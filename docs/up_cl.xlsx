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quen\Downloads\"/>
    </mc:Choice>
  </mc:AlternateContent>
  <xr:revisionPtr revIDLastSave="0" documentId="13_ncr:1_{BB478471-033F-4380-893A-19517998CA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_c_Upstream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IZWzUGxrAJF5O/cKdc2NapM7n5v0ZwsAcB1hgGuP3n0="/>
    </ext>
  </extLst>
</workbook>
</file>

<file path=xl/calcChain.xml><?xml version="1.0" encoding="utf-8"?>
<calcChain xmlns="http://schemas.openxmlformats.org/spreadsheetml/2006/main">
  <c r="M2" i="9" l="1"/>
  <c r="M3" i="9"/>
  <c r="M5" i="9"/>
  <c r="M8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AJ1021" i="9"/>
  <c r="AI1021" i="9"/>
  <c r="AH1021" i="9"/>
  <c r="AG1021" i="9"/>
  <c r="AF1021" i="9"/>
  <c r="AE1021" i="9"/>
  <c r="AD1021" i="9"/>
  <c r="AC1021" i="9"/>
  <c r="AB1021" i="9"/>
  <c r="AA1021" i="9"/>
  <c r="Z1021" i="9"/>
  <c r="Y1021" i="9"/>
  <c r="X1021" i="9"/>
  <c r="W1021" i="9"/>
  <c r="V1021" i="9"/>
  <c r="U1021" i="9"/>
  <c r="T1021" i="9"/>
  <c r="S1021" i="9"/>
  <c r="R1021" i="9"/>
  <c r="Q1021" i="9"/>
  <c r="P1021" i="9"/>
  <c r="O1021" i="9"/>
  <c r="M1021" i="9"/>
  <c r="L1021" i="9"/>
  <c r="K1021" i="9"/>
  <c r="J1021" i="9"/>
  <c r="I1021" i="9"/>
  <c r="H1021" i="9"/>
  <c r="G1021" i="9"/>
  <c r="F1021" i="9"/>
  <c r="E1021" i="9"/>
  <c r="D1021" i="9"/>
  <c r="C1021" i="9"/>
  <c r="B1021" i="9"/>
  <c r="AJ1020" i="9"/>
  <c r="AI1020" i="9"/>
  <c r="AH1020" i="9"/>
  <c r="AG1020" i="9"/>
  <c r="AF1020" i="9"/>
  <c r="AE1020" i="9"/>
  <c r="AD1020" i="9"/>
  <c r="AC1020" i="9"/>
  <c r="AB1020" i="9"/>
  <c r="AA1020" i="9"/>
  <c r="Z1020" i="9"/>
  <c r="Y1020" i="9"/>
  <c r="X1020" i="9"/>
  <c r="W1020" i="9"/>
  <c r="V1020" i="9"/>
  <c r="U1020" i="9"/>
  <c r="T1020" i="9"/>
  <c r="S1020" i="9"/>
  <c r="R1020" i="9"/>
  <c r="Q1020" i="9"/>
  <c r="P1020" i="9"/>
  <c r="O1020" i="9"/>
  <c r="M1020" i="9"/>
  <c r="L1020" i="9"/>
  <c r="K1020" i="9"/>
  <c r="J1020" i="9"/>
  <c r="I1020" i="9"/>
  <c r="H1020" i="9"/>
  <c r="G1020" i="9"/>
  <c r="F1020" i="9"/>
  <c r="E1020" i="9"/>
  <c r="D1020" i="9"/>
  <c r="C1020" i="9"/>
  <c r="B1020" i="9"/>
  <c r="AJ1019" i="9"/>
  <c r="AI1019" i="9"/>
  <c r="AH1019" i="9"/>
  <c r="AG1019" i="9"/>
  <c r="AF1019" i="9"/>
  <c r="AE1019" i="9"/>
  <c r="AD1019" i="9"/>
  <c r="AC1019" i="9"/>
  <c r="AB1019" i="9"/>
  <c r="AA1019" i="9"/>
  <c r="Z1019" i="9"/>
  <c r="Y1019" i="9"/>
  <c r="X1019" i="9"/>
  <c r="W1019" i="9"/>
  <c r="V1019" i="9"/>
  <c r="U1019" i="9"/>
  <c r="T1019" i="9"/>
  <c r="S1019" i="9"/>
  <c r="R1019" i="9"/>
  <c r="Q1019" i="9"/>
  <c r="P1019" i="9"/>
  <c r="O1019" i="9"/>
  <c r="M1019" i="9"/>
  <c r="L1019" i="9"/>
  <c r="K1019" i="9"/>
  <c r="J1019" i="9"/>
  <c r="I1019" i="9"/>
  <c r="H1019" i="9"/>
  <c r="G1019" i="9"/>
  <c r="F1019" i="9"/>
  <c r="E1019" i="9"/>
  <c r="D1019" i="9"/>
  <c r="C1019" i="9"/>
  <c r="B1019" i="9"/>
  <c r="AJ1018" i="9"/>
  <c r="AI1018" i="9"/>
  <c r="AH1018" i="9"/>
  <c r="AG1018" i="9"/>
  <c r="AF1018" i="9"/>
  <c r="AE1018" i="9"/>
  <c r="AD1018" i="9"/>
  <c r="AC1018" i="9"/>
  <c r="AB1018" i="9"/>
  <c r="AA1018" i="9"/>
  <c r="Z1018" i="9"/>
  <c r="Y1018" i="9"/>
  <c r="X1018" i="9"/>
  <c r="W1018" i="9"/>
  <c r="V1018" i="9"/>
  <c r="U1018" i="9"/>
  <c r="T1018" i="9"/>
  <c r="S1018" i="9"/>
  <c r="R1018" i="9"/>
  <c r="Q1018" i="9"/>
  <c r="P1018" i="9"/>
  <c r="O1018" i="9"/>
  <c r="M1018" i="9"/>
  <c r="L1018" i="9"/>
  <c r="K1018" i="9"/>
  <c r="J1018" i="9"/>
  <c r="I1018" i="9"/>
  <c r="H1018" i="9"/>
  <c r="G1018" i="9"/>
  <c r="F1018" i="9"/>
  <c r="E1018" i="9"/>
  <c r="D1018" i="9"/>
  <c r="C1018" i="9"/>
  <c r="B1018" i="9"/>
  <c r="AJ1017" i="9"/>
  <c r="AI1017" i="9"/>
  <c r="AH1017" i="9"/>
  <c r="AG1017" i="9"/>
  <c r="AF1017" i="9"/>
  <c r="AE1017" i="9"/>
  <c r="AD1017" i="9"/>
  <c r="AC1017" i="9"/>
  <c r="AB1017" i="9"/>
  <c r="AA1017" i="9"/>
  <c r="Z1017" i="9"/>
  <c r="Y1017" i="9"/>
  <c r="X1017" i="9"/>
  <c r="W1017" i="9"/>
  <c r="V1017" i="9"/>
  <c r="U1017" i="9"/>
  <c r="T1017" i="9"/>
  <c r="S1017" i="9"/>
  <c r="R1017" i="9"/>
  <c r="Q1017" i="9"/>
  <c r="P1017" i="9"/>
  <c r="O1017" i="9"/>
  <c r="M1017" i="9"/>
  <c r="L1017" i="9"/>
  <c r="K1017" i="9"/>
  <c r="J1017" i="9"/>
  <c r="I1017" i="9"/>
  <c r="H1017" i="9"/>
  <c r="G1017" i="9"/>
  <c r="F1017" i="9"/>
  <c r="E1017" i="9"/>
  <c r="D1017" i="9"/>
  <c r="C1017" i="9"/>
  <c r="B1017" i="9"/>
  <c r="AJ1016" i="9"/>
  <c r="AI1016" i="9"/>
  <c r="AH1016" i="9"/>
  <c r="AG1016" i="9"/>
  <c r="AF1016" i="9"/>
  <c r="AE1016" i="9"/>
  <c r="AD1016" i="9"/>
  <c r="AC1016" i="9"/>
  <c r="AB1016" i="9"/>
  <c r="AA1016" i="9"/>
  <c r="Z1016" i="9"/>
  <c r="Y1016" i="9"/>
  <c r="X1016" i="9"/>
  <c r="W1016" i="9"/>
  <c r="V1016" i="9"/>
  <c r="U1016" i="9"/>
  <c r="T1016" i="9"/>
  <c r="S1016" i="9"/>
  <c r="R1016" i="9"/>
  <c r="Q1016" i="9"/>
  <c r="P1016" i="9"/>
  <c r="O1016" i="9"/>
  <c r="M1016" i="9"/>
  <c r="L1016" i="9"/>
  <c r="K1016" i="9"/>
  <c r="J1016" i="9"/>
  <c r="I1016" i="9"/>
  <c r="H1016" i="9"/>
  <c r="G1016" i="9"/>
  <c r="F1016" i="9"/>
  <c r="E1016" i="9"/>
  <c r="D1016" i="9"/>
  <c r="C1016" i="9"/>
  <c r="B1016" i="9"/>
  <c r="AJ1015" i="9"/>
  <c r="AI1015" i="9"/>
  <c r="AH1015" i="9"/>
  <c r="AG1015" i="9"/>
  <c r="AF1015" i="9"/>
  <c r="AE1015" i="9"/>
  <c r="AD1015" i="9"/>
  <c r="AC1015" i="9"/>
  <c r="AB1015" i="9"/>
  <c r="AA1015" i="9"/>
  <c r="Z1015" i="9"/>
  <c r="Y1015" i="9"/>
  <c r="X1015" i="9"/>
  <c r="W1015" i="9"/>
  <c r="V1015" i="9"/>
  <c r="U1015" i="9"/>
  <c r="T1015" i="9"/>
  <c r="S1015" i="9"/>
  <c r="R1015" i="9"/>
  <c r="Q1015" i="9"/>
  <c r="P1015" i="9"/>
  <c r="O1015" i="9"/>
  <c r="M1015" i="9"/>
  <c r="L1015" i="9"/>
  <c r="K1015" i="9"/>
  <c r="J1015" i="9"/>
  <c r="I1015" i="9"/>
  <c r="H1015" i="9"/>
  <c r="G1015" i="9"/>
  <c r="F1015" i="9"/>
  <c r="E1015" i="9"/>
  <c r="D1015" i="9"/>
  <c r="C1015" i="9"/>
  <c r="B1015" i="9"/>
  <c r="AJ1014" i="9"/>
  <c r="AI1014" i="9"/>
  <c r="AH1014" i="9"/>
  <c r="AG1014" i="9"/>
  <c r="AF1014" i="9"/>
  <c r="AE1014" i="9"/>
  <c r="AD1014" i="9"/>
  <c r="AC1014" i="9"/>
  <c r="AB1014" i="9"/>
  <c r="AA1014" i="9"/>
  <c r="Z1014" i="9"/>
  <c r="Y1014" i="9"/>
  <c r="X1014" i="9"/>
  <c r="W1014" i="9"/>
  <c r="V1014" i="9"/>
  <c r="U1014" i="9"/>
  <c r="T1014" i="9"/>
  <c r="S1014" i="9"/>
  <c r="R1014" i="9"/>
  <c r="Q1014" i="9"/>
  <c r="P1014" i="9"/>
  <c r="O1014" i="9"/>
  <c r="M1014" i="9"/>
  <c r="L1014" i="9"/>
  <c r="K1014" i="9"/>
  <c r="J1014" i="9"/>
  <c r="I1014" i="9"/>
  <c r="H1014" i="9"/>
  <c r="G1014" i="9"/>
  <c r="F1014" i="9"/>
  <c r="E1014" i="9"/>
  <c r="D1014" i="9"/>
  <c r="C1014" i="9"/>
  <c r="B1014" i="9"/>
  <c r="AJ1013" i="9"/>
  <c r="AI1013" i="9"/>
  <c r="AH1013" i="9"/>
  <c r="AG1013" i="9"/>
  <c r="AF1013" i="9"/>
  <c r="AE1013" i="9"/>
  <c r="AD1013" i="9"/>
  <c r="AC1013" i="9"/>
  <c r="AB1013" i="9"/>
  <c r="AA1013" i="9"/>
  <c r="Z1013" i="9"/>
  <c r="Y1013" i="9"/>
  <c r="X1013" i="9"/>
  <c r="W1013" i="9"/>
  <c r="V1013" i="9"/>
  <c r="U1013" i="9"/>
  <c r="T1013" i="9"/>
  <c r="S1013" i="9"/>
  <c r="R1013" i="9"/>
  <c r="Q1013" i="9"/>
  <c r="P1013" i="9"/>
  <c r="O1013" i="9"/>
  <c r="M1013" i="9"/>
  <c r="L1013" i="9"/>
  <c r="K1013" i="9"/>
  <c r="J1013" i="9"/>
  <c r="I1013" i="9"/>
  <c r="H1013" i="9"/>
  <c r="G1013" i="9"/>
  <c r="F1013" i="9"/>
  <c r="E1013" i="9"/>
  <c r="D1013" i="9"/>
  <c r="C1013" i="9"/>
  <c r="B1013" i="9"/>
  <c r="AJ1012" i="9"/>
  <c r="AI1012" i="9"/>
  <c r="AH1012" i="9"/>
  <c r="AG1012" i="9"/>
  <c r="AF1012" i="9"/>
  <c r="AE1012" i="9"/>
  <c r="AD1012" i="9"/>
  <c r="AC1012" i="9"/>
  <c r="AB1012" i="9"/>
  <c r="AA1012" i="9"/>
  <c r="Z1012" i="9"/>
  <c r="Y1012" i="9"/>
  <c r="X1012" i="9"/>
  <c r="W1012" i="9"/>
  <c r="V1012" i="9"/>
  <c r="U1012" i="9"/>
  <c r="T1012" i="9"/>
  <c r="S1012" i="9"/>
  <c r="R1012" i="9"/>
  <c r="Q1012" i="9"/>
  <c r="P1012" i="9"/>
  <c r="O1012" i="9"/>
  <c r="M1012" i="9"/>
  <c r="L1012" i="9"/>
  <c r="K1012" i="9"/>
  <c r="J1012" i="9"/>
  <c r="I1012" i="9"/>
  <c r="H1012" i="9"/>
  <c r="G1012" i="9"/>
  <c r="F1012" i="9"/>
  <c r="E1012" i="9"/>
  <c r="D1012" i="9"/>
  <c r="C1012" i="9"/>
  <c r="B1012" i="9"/>
  <c r="AJ1011" i="9"/>
  <c r="AI1011" i="9"/>
  <c r="AH1011" i="9"/>
  <c r="AG1011" i="9"/>
  <c r="AF1011" i="9"/>
  <c r="AE1011" i="9"/>
  <c r="AD1011" i="9"/>
  <c r="AC1011" i="9"/>
  <c r="AB1011" i="9"/>
  <c r="AA1011" i="9"/>
  <c r="Z1011" i="9"/>
  <c r="Y1011" i="9"/>
  <c r="X1011" i="9"/>
  <c r="W1011" i="9"/>
  <c r="V1011" i="9"/>
  <c r="U1011" i="9"/>
  <c r="T1011" i="9"/>
  <c r="S1011" i="9"/>
  <c r="R1011" i="9"/>
  <c r="Q1011" i="9"/>
  <c r="P1011" i="9"/>
  <c r="O1011" i="9"/>
  <c r="M1011" i="9"/>
  <c r="L1011" i="9"/>
  <c r="K1011" i="9"/>
  <c r="J1011" i="9"/>
  <c r="I1011" i="9"/>
  <c r="H1011" i="9"/>
  <c r="G1011" i="9"/>
  <c r="F1011" i="9"/>
  <c r="E1011" i="9"/>
  <c r="D1011" i="9"/>
  <c r="C1011" i="9"/>
  <c r="B1011" i="9"/>
  <c r="AJ1010" i="9"/>
  <c r="AI1010" i="9"/>
  <c r="AH1010" i="9"/>
  <c r="AG1010" i="9"/>
  <c r="AF1010" i="9"/>
  <c r="AE1010" i="9"/>
  <c r="AD1010" i="9"/>
  <c r="AC1010" i="9"/>
  <c r="AB1010" i="9"/>
  <c r="AA1010" i="9"/>
  <c r="Z1010" i="9"/>
  <c r="Y1010" i="9"/>
  <c r="X1010" i="9"/>
  <c r="W1010" i="9"/>
  <c r="V1010" i="9"/>
  <c r="U1010" i="9"/>
  <c r="T1010" i="9"/>
  <c r="S1010" i="9"/>
  <c r="R1010" i="9"/>
  <c r="Q1010" i="9"/>
  <c r="P1010" i="9"/>
  <c r="O1010" i="9"/>
  <c r="M1010" i="9"/>
  <c r="L1010" i="9"/>
  <c r="K1010" i="9"/>
  <c r="J1010" i="9"/>
  <c r="I1010" i="9"/>
  <c r="H1010" i="9"/>
  <c r="G1010" i="9"/>
  <c r="F1010" i="9"/>
  <c r="E1010" i="9"/>
  <c r="D1010" i="9"/>
  <c r="C1010" i="9"/>
  <c r="B1010" i="9"/>
  <c r="AJ1009" i="9"/>
  <c r="AI1009" i="9"/>
  <c r="AH1009" i="9"/>
  <c r="AG1009" i="9"/>
  <c r="AF1009" i="9"/>
  <c r="AE1009" i="9"/>
  <c r="AD1009" i="9"/>
  <c r="AC1009" i="9"/>
  <c r="AB1009" i="9"/>
  <c r="AA1009" i="9"/>
  <c r="Z1009" i="9"/>
  <c r="Y1009" i="9"/>
  <c r="X1009" i="9"/>
  <c r="W1009" i="9"/>
  <c r="V1009" i="9"/>
  <c r="U1009" i="9"/>
  <c r="T1009" i="9"/>
  <c r="S1009" i="9"/>
  <c r="R1009" i="9"/>
  <c r="Q1009" i="9"/>
  <c r="P1009" i="9"/>
  <c r="O1009" i="9"/>
  <c r="M1009" i="9"/>
  <c r="L1009" i="9"/>
  <c r="K1009" i="9"/>
  <c r="J1009" i="9"/>
  <c r="I1009" i="9"/>
  <c r="H1009" i="9"/>
  <c r="G1009" i="9"/>
  <c r="F1009" i="9"/>
  <c r="E1009" i="9"/>
  <c r="D1009" i="9"/>
  <c r="C1009" i="9"/>
  <c r="B1009" i="9"/>
  <c r="AJ1008" i="9"/>
  <c r="AI1008" i="9"/>
  <c r="AH1008" i="9"/>
  <c r="AG1008" i="9"/>
  <c r="AF1008" i="9"/>
  <c r="AE1008" i="9"/>
  <c r="AD1008" i="9"/>
  <c r="AC1008" i="9"/>
  <c r="AB1008" i="9"/>
  <c r="AA1008" i="9"/>
  <c r="Z1008" i="9"/>
  <c r="Y1008" i="9"/>
  <c r="X1008" i="9"/>
  <c r="W1008" i="9"/>
  <c r="V1008" i="9"/>
  <c r="U1008" i="9"/>
  <c r="T1008" i="9"/>
  <c r="S1008" i="9"/>
  <c r="R1008" i="9"/>
  <c r="Q1008" i="9"/>
  <c r="P1008" i="9"/>
  <c r="O1008" i="9"/>
  <c r="M1008" i="9"/>
  <c r="L1008" i="9"/>
  <c r="K1008" i="9"/>
  <c r="J1008" i="9"/>
  <c r="I1008" i="9"/>
  <c r="H1008" i="9"/>
  <c r="G1008" i="9"/>
  <c r="F1008" i="9"/>
  <c r="E1008" i="9"/>
  <c r="D1008" i="9"/>
  <c r="C1008" i="9"/>
  <c r="B1008" i="9"/>
  <c r="AJ1007" i="9"/>
  <c r="AI1007" i="9"/>
  <c r="AH1007" i="9"/>
  <c r="AG1007" i="9"/>
  <c r="AF1007" i="9"/>
  <c r="AE1007" i="9"/>
  <c r="AD1007" i="9"/>
  <c r="AC1007" i="9"/>
  <c r="AB1007" i="9"/>
  <c r="AA1007" i="9"/>
  <c r="Z1007" i="9"/>
  <c r="Y1007" i="9"/>
  <c r="X1007" i="9"/>
  <c r="W1007" i="9"/>
  <c r="V1007" i="9"/>
  <c r="U1007" i="9"/>
  <c r="T1007" i="9"/>
  <c r="S1007" i="9"/>
  <c r="R1007" i="9"/>
  <c r="Q1007" i="9"/>
  <c r="P1007" i="9"/>
  <c r="O1007" i="9"/>
  <c r="M1007" i="9"/>
  <c r="L1007" i="9"/>
  <c r="K1007" i="9"/>
  <c r="J1007" i="9"/>
  <c r="I1007" i="9"/>
  <c r="H1007" i="9"/>
  <c r="G1007" i="9"/>
  <c r="F1007" i="9"/>
  <c r="E1007" i="9"/>
  <c r="D1007" i="9"/>
  <c r="C1007" i="9"/>
  <c r="B1007" i="9"/>
  <c r="AJ1006" i="9"/>
  <c r="AI1006" i="9"/>
  <c r="AH1006" i="9"/>
  <c r="AG1006" i="9"/>
  <c r="AF1006" i="9"/>
  <c r="AE1006" i="9"/>
  <c r="AD1006" i="9"/>
  <c r="AC1006" i="9"/>
  <c r="AB1006" i="9"/>
  <c r="AA1006" i="9"/>
  <c r="Z1006" i="9"/>
  <c r="Y1006" i="9"/>
  <c r="X1006" i="9"/>
  <c r="W1006" i="9"/>
  <c r="V1006" i="9"/>
  <c r="U1006" i="9"/>
  <c r="T1006" i="9"/>
  <c r="S1006" i="9"/>
  <c r="R1006" i="9"/>
  <c r="Q1006" i="9"/>
  <c r="P1006" i="9"/>
  <c r="O1006" i="9"/>
  <c r="M1006" i="9"/>
  <c r="L1006" i="9"/>
  <c r="K1006" i="9"/>
  <c r="J1006" i="9"/>
  <c r="I1006" i="9"/>
  <c r="H1006" i="9"/>
  <c r="G1006" i="9"/>
  <c r="F1006" i="9"/>
  <c r="E1006" i="9"/>
  <c r="D1006" i="9"/>
  <c r="C1006" i="9"/>
  <c r="B1006" i="9"/>
  <c r="AJ1005" i="9"/>
  <c r="AI1005" i="9"/>
  <c r="AH1005" i="9"/>
  <c r="AG1005" i="9"/>
  <c r="AF1005" i="9"/>
  <c r="AE1005" i="9"/>
  <c r="AD1005" i="9"/>
  <c r="AC1005" i="9"/>
  <c r="AB1005" i="9"/>
  <c r="AA1005" i="9"/>
  <c r="Z1005" i="9"/>
  <c r="Y1005" i="9"/>
  <c r="X1005" i="9"/>
  <c r="W1005" i="9"/>
  <c r="V1005" i="9"/>
  <c r="U1005" i="9"/>
  <c r="T1005" i="9"/>
  <c r="S1005" i="9"/>
  <c r="R1005" i="9"/>
  <c r="Q1005" i="9"/>
  <c r="P1005" i="9"/>
  <c r="O1005" i="9"/>
  <c r="M1005" i="9"/>
  <c r="L1005" i="9"/>
  <c r="K1005" i="9"/>
  <c r="J1005" i="9"/>
  <c r="I1005" i="9"/>
  <c r="H1005" i="9"/>
  <c r="G1005" i="9"/>
  <c r="F1005" i="9"/>
  <c r="E1005" i="9"/>
  <c r="D1005" i="9"/>
  <c r="C1005" i="9"/>
  <c r="B1005" i="9"/>
  <c r="AJ1004" i="9"/>
  <c r="AI1004" i="9"/>
  <c r="AH1004" i="9"/>
  <c r="AG1004" i="9"/>
  <c r="AF1004" i="9"/>
  <c r="AE1004" i="9"/>
  <c r="AD1004" i="9"/>
  <c r="AC1004" i="9"/>
  <c r="AB1004" i="9"/>
  <c r="AA1004" i="9"/>
  <c r="Z1004" i="9"/>
  <c r="Y1004" i="9"/>
  <c r="X1004" i="9"/>
  <c r="W1004" i="9"/>
  <c r="V1004" i="9"/>
  <c r="U1004" i="9"/>
  <c r="T1004" i="9"/>
  <c r="S1004" i="9"/>
  <c r="R1004" i="9"/>
  <c r="Q1004" i="9"/>
  <c r="P1004" i="9"/>
  <c r="O1004" i="9"/>
  <c r="M1004" i="9"/>
  <c r="L1004" i="9"/>
  <c r="K1004" i="9"/>
  <c r="J1004" i="9"/>
  <c r="I1004" i="9"/>
  <c r="H1004" i="9"/>
  <c r="G1004" i="9"/>
  <c r="F1004" i="9"/>
  <c r="E1004" i="9"/>
  <c r="D1004" i="9"/>
  <c r="C1004" i="9"/>
  <c r="B1004" i="9"/>
  <c r="AJ1003" i="9"/>
  <c r="AI1003" i="9"/>
  <c r="AH1003" i="9"/>
  <c r="AG1003" i="9"/>
  <c r="AF1003" i="9"/>
  <c r="AE1003" i="9"/>
  <c r="AD1003" i="9"/>
  <c r="AC1003" i="9"/>
  <c r="AB1003" i="9"/>
  <c r="AA1003" i="9"/>
  <c r="Z1003" i="9"/>
  <c r="Y1003" i="9"/>
  <c r="X1003" i="9"/>
  <c r="W1003" i="9"/>
  <c r="V1003" i="9"/>
  <c r="U1003" i="9"/>
  <c r="T1003" i="9"/>
  <c r="S1003" i="9"/>
  <c r="R1003" i="9"/>
  <c r="Q1003" i="9"/>
  <c r="P1003" i="9"/>
  <c r="O1003" i="9"/>
  <c r="M1003" i="9"/>
  <c r="L1003" i="9"/>
  <c r="K1003" i="9"/>
  <c r="J1003" i="9"/>
  <c r="I1003" i="9"/>
  <c r="H1003" i="9"/>
  <c r="G1003" i="9"/>
  <c r="F1003" i="9"/>
  <c r="E1003" i="9"/>
  <c r="D1003" i="9"/>
  <c r="C1003" i="9"/>
  <c r="B1003" i="9"/>
  <c r="AJ1002" i="9"/>
  <c r="AI1002" i="9"/>
  <c r="AH1002" i="9"/>
  <c r="AG1002" i="9"/>
  <c r="AF1002" i="9"/>
  <c r="AE1002" i="9"/>
  <c r="AD1002" i="9"/>
  <c r="AC1002" i="9"/>
  <c r="AB1002" i="9"/>
  <c r="AA1002" i="9"/>
  <c r="Z1002" i="9"/>
  <c r="Y1002" i="9"/>
  <c r="X1002" i="9"/>
  <c r="W1002" i="9"/>
  <c r="V1002" i="9"/>
  <c r="U1002" i="9"/>
  <c r="T1002" i="9"/>
  <c r="S1002" i="9"/>
  <c r="R1002" i="9"/>
  <c r="Q1002" i="9"/>
  <c r="P1002" i="9"/>
  <c r="O1002" i="9"/>
  <c r="M1002" i="9"/>
  <c r="L1002" i="9"/>
  <c r="K1002" i="9"/>
  <c r="J1002" i="9"/>
  <c r="I1002" i="9"/>
  <c r="H1002" i="9"/>
  <c r="G1002" i="9"/>
  <c r="F1002" i="9"/>
  <c r="E1002" i="9"/>
  <c r="D1002" i="9"/>
  <c r="C1002" i="9"/>
  <c r="B1002" i="9"/>
  <c r="AJ1001" i="9"/>
  <c r="AI1001" i="9"/>
  <c r="AH1001" i="9"/>
  <c r="AG1001" i="9"/>
  <c r="AF1001" i="9"/>
  <c r="AE1001" i="9"/>
  <c r="AD1001" i="9"/>
  <c r="AC1001" i="9"/>
  <c r="AB1001" i="9"/>
  <c r="AA1001" i="9"/>
  <c r="Z1001" i="9"/>
  <c r="Y1001" i="9"/>
  <c r="X1001" i="9"/>
  <c r="W1001" i="9"/>
  <c r="V1001" i="9"/>
  <c r="U1001" i="9"/>
  <c r="T1001" i="9"/>
  <c r="S1001" i="9"/>
  <c r="R1001" i="9"/>
  <c r="Q1001" i="9"/>
  <c r="P1001" i="9"/>
  <c r="O1001" i="9"/>
  <c r="M1001" i="9"/>
  <c r="L1001" i="9"/>
  <c r="K1001" i="9"/>
  <c r="J1001" i="9"/>
  <c r="I1001" i="9"/>
  <c r="H1001" i="9"/>
  <c r="G1001" i="9"/>
  <c r="F1001" i="9"/>
  <c r="E1001" i="9"/>
  <c r="D1001" i="9"/>
  <c r="C1001" i="9"/>
  <c r="B1001" i="9"/>
  <c r="AJ1000" i="9"/>
  <c r="AI1000" i="9"/>
  <c r="AH1000" i="9"/>
  <c r="AG1000" i="9"/>
  <c r="AF1000" i="9"/>
  <c r="AE1000" i="9"/>
  <c r="AD1000" i="9"/>
  <c r="AC1000" i="9"/>
  <c r="AB1000" i="9"/>
  <c r="AA1000" i="9"/>
  <c r="Z1000" i="9"/>
  <c r="Y1000" i="9"/>
  <c r="X1000" i="9"/>
  <c r="W1000" i="9"/>
  <c r="V1000" i="9"/>
  <c r="U1000" i="9"/>
  <c r="T1000" i="9"/>
  <c r="S1000" i="9"/>
  <c r="R1000" i="9"/>
  <c r="Q1000" i="9"/>
  <c r="P1000" i="9"/>
  <c r="O1000" i="9"/>
  <c r="M1000" i="9"/>
  <c r="L1000" i="9"/>
  <c r="K1000" i="9"/>
  <c r="J1000" i="9"/>
  <c r="I1000" i="9"/>
  <c r="H1000" i="9"/>
  <c r="G1000" i="9"/>
  <c r="F1000" i="9"/>
  <c r="E1000" i="9"/>
  <c r="D1000" i="9"/>
  <c r="C1000" i="9"/>
  <c r="B1000" i="9"/>
  <c r="AJ999" i="9"/>
  <c r="AI999" i="9"/>
  <c r="AH999" i="9"/>
  <c r="AG999" i="9"/>
  <c r="AF999" i="9"/>
  <c r="AE999" i="9"/>
  <c r="AD999" i="9"/>
  <c r="AC999" i="9"/>
  <c r="AB999" i="9"/>
  <c r="AA999" i="9"/>
  <c r="Z999" i="9"/>
  <c r="Y999" i="9"/>
  <c r="X999" i="9"/>
  <c r="W999" i="9"/>
  <c r="V999" i="9"/>
  <c r="U999" i="9"/>
  <c r="T999" i="9"/>
  <c r="S999" i="9"/>
  <c r="R999" i="9"/>
  <c r="Q999" i="9"/>
  <c r="P999" i="9"/>
  <c r="O999" i="9"/>
  <c r="M999" i="9"/>
  <c r="L999" i="9"/>
  <c r="K999" i="9"/>
  <c r="J999" i="9"/>
  <c r="I999" i="9"/>
  <c r="H999" i="9"/>
  <c r="G999" i="9"/>
  <c r="F999" i="9"/>
  <c r="E999" i="9"/>
  <c r="D999" i="9"/>
  <c r="C999" i="9"/>
  <c r="B999" i="9"/>
  <c r="AJ998" i="9"/>
  <c r="AI998" i="9"/>
  <c r="AH998" i="9"/>
  <c r="AG998" i="9"/>
  <c r="AF998" i="9"/>
  <c r="AE998" i="9"/>
  <c r="AD998" i="9"/>
  <c r="AC998" i="9"/>
  <c r="AB998" i="9"/>
  <c r="AA998" i="9"/>
  <c r="Z998" i="9"/>
  <c r="Y998" i="9"/>
  <c r="X998" i="9"/>
  <c r="W998" i="9"/>
  <c r="V998" i="9"/>
  <c r="U998" i="9"/>
  <c r="T998" i="9"/>
  <c r="S998" i="9"/>
  <c r="R998" i="9"/>
  <c r="Q998" i="9"/>
  <c r="P998" i="9"/>
  <c r="O998" i="9"/>
  <c r="M998" i="9"/>
  <c r="L998" i="9"/>
  <c r="K998" i="9"/>
  <c r="J998" i="9"/>
  <c r="I998" i="9"/>
  <c r="H998" i="9"/>
  <c r="G998" i="9"/>
  <c r="F998" i="9"/>
  <c r="E998" i="9"/>
  <c r="D998" i="9"/>
  <c r="C998" i="9"/>
  <c r="B998" i="9"/>
  <c r="AJ997" i="9"/>
  <c r="AI997" i="9"/>
  <c r="AH997" i="9"/>
  <c r="AG997" i="9"/>
  <c r="AF997" i="9"/>
  <c r="AE997" i="9"/>
  <c r="AD997" i="9"/>
  <c r="AC997" i="9"/>
  <c r="AB997" i="9"/>
  <c r="AA997" i="9"/>
  <c r="Z997" i="9"/>
  <c r="Y997" i="9"/>
  <c r="X997" i="9"/>
  <c r="W997" i="9"/>
  <c r="V997" i="9"/>
  <c r="U997" i="9"/>
  <c r="T997" i="9"/>
  <c r="S997" i="9"/>
  <c r="R997" i="9"/>
  <c r="Q997" i="9"/>
  <c r="P997" i="9"/>
  <c r="O997" i="9"/>
  <c r="M997" i="9"/>
  <c r="L997" i="9"/>
  <c r="K997" i="9"/>
  <c r="J997" i="9"/>
  <c r="I997" i="9"/>
  <c r="H997" i="9"/>
  <c r="G997" i="9"/>
  <c r="F997" i="9"/>
  <c r="E997" i="9"/>
  <c r="D997" i="9"/>
  <c r="C997" i="9"/>
  <c r="B997" i="9"/>
  <c r="AJ996" i="9"/>
  <c r="AI996" i="9"/>
  <c r="AH996" i="9"/>
  <c r="AG996" i="9"/>
  <c r="AF996" i="9"/>
  <c r="AE996" i="9"/>
  <c r="AD996" i="9"/>
  <c r="AC996" i="9"/>
  <c r="AB996" i="9"/>
  <c r="AA996" i="9"/>
  <c r="Z996" i="9"/>
  <c r="Y996" i="9"/>
  <c r="X996" i="9"/>
  <c r="W996" i="9"/>
  <c r="V996" i="9"/>
  <c r="U996" i="9"/>
  <c r="T996" i="9"/>
  <c r="S996" i="9"/>
  <c r="R996" i="9"/>
  <c r="Q996" i="9"/>
  <c r="P996" i="9"/>
  <c r="O996" i="9"/>
  <c r="M996" i="9"/>
  <c r="L996" i="9"/>
  <c r="K996" i="9"/>
  <c r="J996" i="9"/>
  <c r="I996" i="9"/>
  <c r="H996" i="9"/>
  <c r="G996" i="9"/>
  <c r="F996" i="9"/>
  <c r="E996" i="9"/>
  <c r="D996" i="9"/>
  <c r="C996" i="9"/>
  <c r="B996" i="9"/>
  <c r="AJ995" i="9"/>
  <c r="AI995" i="9"/>
  <c r="AH995" i="9"/>
  <c r="AG995" i="9"/>
  <c r="AF995" i="9"/>
  <c r="AE995" i="9"/>
  <c r="AD995" i="9"/>
  <c r="AC995" i="9"/>
  <c r="AB995" i="9"/>
  <c r="AA995" i="9"/>
  <c r="Z995" i="9"/>
  <c r="Y995" i="9"/>
  <c r="X995" i="9"/>
  <c r="W995" i="9"/>
  <c r="V995" i="9"/>
  <c r="U995" i="9"/>
  <c r="T995" i="9"/>
  <c r="S995" i="9"/>
  <c r="R995" i="9"/>
  <c r="Q995" i="9"/>
  <c r="P995" i="9"/>
  <c r="O995" i="9"/>
  <c r="M995" i="9"/>
  <c r="L995" i="9"/>
  <c r="K995" i="9"/>
  <c r="J995" i="9"/>
  <c r="I995" i="9"/>
  <c r="H995" i="9"/>
  <c r="G995" i="9"/>
  <c r="F995" i="9"/>
  <c r="E995" i="9"/>
  <c r="D995" i="9"/>
  <c r="C995" i="9"/>
  <c r="B995" i="9"/>
  <c r="AJ994" i="9"/>
  <c r="AI994" i="9"/>
  <c r="AH994" i="9"/>
  <c r="AG994" i="9"/>
  <c r="AF994" i="9"/>
  <c r="AE994" i="9"/>
  <c r="AD994" i="9"/>
  <c r="AC994" i="9"/>
  <c r="AB994" i="9"/>
  <c r="AA994" i="9"/>
  <c r="Z994" i="9"/>
  <c r="Y994" i="9"/>
  <c r="X994" i="9"/>
  <c r="W994" i="9"/>
  <c r="V994" i="9"/>
  <c r="U994" i="9"/>
  <c r="T994" i="9"/>
  <c r="S994" i="9"/>
  <c r="R994" i="9"/>
  <c r="Q994" i="9"/>
  <c r="P994" i="9"/>
  <c r="O994" i="9"/>
  <c r="M994" i="9"/>
  <c r="L994" i="9"/>
  <c r="K994" i="9"/>
  <c r="J994" i="9"/>
  <c r="I994" i="9"/>
  <c r="H994" i="9"/>
  <c r="G994" i="9"/>
  <c r="F994" i="9"/>
  <c r="E994" i="9"/>
  <c r="D994" i="9"/>
  <c r="C994" i="9"/>
  <c r="B994" i="9"/>
  <c r="AJ993" i="9"/>
  <c r="AI993" i="9"/>
  <c r="AH993" i="9"/>
  <c r="AG993" i="9"/>
  <c r="AF993" i="9"/>
  <c r="AE993" i="9"/>
  <c r="AD993" i="9"/>
  <c r="AC993" i="9"/>
  <c r="AB993" i="9"/>
  <c r="AA993" i="9"/>
  <c r="Z993" i="9"/>
  <c r="Y993" i="9"/>
  <c r="X993" i="9"/>
  <c r="W993" i="9"/>
  <c r="V993" i="9"/>
  <c r="U993" i="9"/>
  <c r="T993" i="9"/>
  <c r="S993" i="9"/>
  <c r="R993" i="9"/>
  <c r="Q993" i="9"/>
  <c r="P993" i="9"/>
  <c r="O993" i="9"/>
  <c r="M993" i="9"/>
  <c r="L993" i="9"/>
  <c r="K993" i="9"/>
  <c r="J993" i="9"/>
  <c r="I993" i="9"/>
  <c r="H993" i="9"/>
  <c r="G993" i="9"/>
  <c r="F993" i="9"/>
  <c r="E993" i="9"/>
  <c r="D993" i="9"/>
  <c r="C993" i="9"/>
  <c r="B993" i="9"/>
  <c r="AJ992" i="9"/>
  <c r="AI992" i="9"/>
  <c r="AH992" i="9"/>
  <c r="AG992" i="9"/>
  <c r="AF992" i="9"/>
  <c r="AE992" i="9"/>
  <c r="AD992" i="9"/>
  <c r="AC992" i="9"/>
  <c r="AB992" i="9"/>
  <c r="AA992" i="9"/>
  <c r="Z992" i="9"/>
  <c r="Y992" i="9"/>
  <c r="X992" i="9"/>
  <c r="W992" i="9"/>
  <c r="V992" i="9"/>
  <c r="U992" i="9"/>
  <c r="T992" i="9"/>
  <c r="S992" i="9"/>
  <c r="R992" i="9"/>
  <c r="Q992" i="9"/>
  <c r="P992" i="9"/>
  <c r="O992" i="9"/>
  <c r="M992" i="9"/>
  <c r="L992" i="9"/>
  <c r="K992" i="9"/>
  <c r="J992" i="9"/>
  <c r="I992" i="9"/>
  <c r="H992" i="9"/>
  <c r="G992" i="9"/>
  <c r="F992" i="9"/>
  <c r="E992" i="9"/>
  <c r="D992" i="9"/>
  <c r="C992" i="9"/>
  <c r="B992" i="9"/>
  <c r="AJ991" i="9"/>
  <c r="AI991" i="9"/>
  <c r="AH991" i="9"/>
  <c r="AG991" i="9"/>
  <c r="AF991" i="9"/>
  <c r="AE991" i="9"/>
  <c r="AD991" i="9"/>
  <c r="AC991" i="9"/>
  <c r="AB991" i="9"/>
  <c r="AA991" i="9"/>
  <c r="Z991" i="9"/>
  <c r="Y991" i="9"/>
  <c r="X991" i="9"/>
  <c r="W991" i="9"/>
  <c r="V991" i="9"/>
  <c r="U991" i="9"/>
  <c r="T991" i="9"/>
  <c r="S991" i="9"/>
  <c r="R991" i="9"/>
  <c r="Q991" i="9"/>
  <c r="P991" i="9"/>
  <c r="O991" i="9"/>
  <c r="M991" i="9"/>
  <c r="L991" i="9"/>
  <c r="K991" i="9"/>
  <c r="J991" i="9"/>
  <c r="I991" i="9"/>
  <c r="H991" i="9"/>
  <c r="G991" i="9"/>
  <c r="F991" i="9"/>
  <c r="E991" i="9"/>
  <c r="D991" i="9"/>
  <c r="C991" i="9"/>
  <c r="B991" i="9"/>
  <c r="AJ990" i="9"/>
  <c r="AI990" i="9"/>
  <c r="AH990" i="9"/>
  <c r="AG990" i="9"/>
  <c r="AF990" i="9"/>
  <c r="AE990" i="9"/>
  <c r="AD990" i="9"/>
  <c r="AC990" i="9"/>
  <c r="AB990" i="9"/>
  <c r="AA990" i="9"/>
  <c r="Z990" i="9"/>
  <c r="Y990" i="9"/>
  <c r="X990" i="9"/>
  <c r="W990" i="9"/>
  <c r="V990" i="9"/>
  <c r="U990" i="9"/>
  <c r="T990" i="9"/>
  <c r="S990" i="9"/>
  <c r="R990" i="9"/>
  <c r="Q990" i="9"/>
  <c r="P990" i="9"/>
  <c r="O990" i="9"/>
  <c r="M990" i="9"/>
  <c r="L990" i="9"/>
  <c r="K990" i="9"/>
  <c r="J990" i="9"/>
  <c r="I990" i="9"/>
  <c r="H990" i="9"/>
  <c r="G990" i="9"/>
  <c r="F990" i="9"/>
  <c r="E990" i="9"/>
  <c r="D990" i="9"/>
  <c r="C990" i="9"/>
  <c r="B990" i="9"/>
  <c r="AJ989" i="9"/>
  <c r="AI989" i="9"/>
  <c r="AH989" i="9"/>
  <c r="AG989" i="9"/>
  <c r="AF989" i="9"/>
  <c r="AE989" i="9"/>
  <c r="AD989" i="9"/>
  <c r="AC989" i="9"/>
  <c r="AB989" i="9"/>
  <c r="AA989" i="9"/>
  <c r="Z989" i="9"/>
  <c r="Y989" i="9"/>
  <c r="X989" i="9"/>
  <c r="W989" i="9"/>
  <c r="V989" i="9"/>
  <c r="U989" i="9"/>
  <c r="T989" i="9"/>
  <c r="S989" i="9"/>
  <c r="R989" i="9"/>
  <c r="Q989" i="9"/>
  <c r="P989" i="9"/>
  <c r="O989" i="9"/>
  <c r="M989" i="9"/>
  <c r="L989" i="9"/>
  <c r="K989" i="9"/>
  <c r="J989" i="9"/>
  <c r="I989" i="9"/>
  <c r="H989" i="9"/>
  <c r="G989" i="9"/>
  <c r="F989" i="9"/>
  <c r="E989" i="9"/>
  <c r="D989" i="9"/>
  <c r="C989" i="9"/>
  <c r="B989" i="9"/>
  <c r="AJ988" i="9"/>
  <c r="AI988" i="9"/>
  <c r="AH988" i="9"/>
  <c r="AG988" i="9"/>
  <c r="AF988" i="9"/>
  <c r="AE988" i="9"/>
  <c r="AD988" i="9"/>
  <c r="AC988" i="9"/>
  <c r="AB988" i="9"/>
  <c r="AA988" i="9"/>
  <c r="Z988" i="9"/>
  <c r="Y988" i="9"/>
  <c r="X988" i="9"/>
  <c r="W988" i="9"/>
  <c r="V988" i="9"/>
  <c r="U988" i="9"/>
  <c r="T988" i="9"/>
  <c r="S988" i="9"/>
  <c r="R988" i="9"/>
  <c r="Q988" i="9"/>
  <c r="P988" i="9"/>
  <c r="O988" i="9"/>
  <c r="M988" i="9"/>
  <c r="L988" i="9"/>
  <c r="K988" i="9"/>
  <c r="J988" i="9"/>
  <c r="I988" i="9"/>
  <c r="H988" i="9"/>
  <c r="G988" i="9"/>
  <c r="F988" i="9"/>
  <c r="E988" i="9"/>
  <c r="D988" i="9"/>
  <c r="C988" i="9"/>
  <c r="B988" i="9"/>
  <c r="AJ987" i="9"/>
  <c r="AI987" i="9"/>
  <c r="AH987" i="9"/>
  <c r="AG987" i="9"/>
  <c r="AF987" i="9"/>
  <c r="AE987" i="9"/>
  <c r="AD987" i="9"/>
  <c r="AC987" i="9"/>
  <c r="AB987" i="9"/>
  <c r="AA987" i="9"/>
  <c r="Z987" i="9"/>
  <c r="Y987" i="9"/>
  <c r="X987" i="9"/>
  <c r="W987" i="9"/>
  <c r="V987" i="9"/>
  <c r="U987" i="9"/>
  <c r="T987" i="9"/>
  <c r="S987" i="9"/>
  <c r="R987" i="9"/>
  <c r="Q987" i="9"/>
  <c r="P987" i="9"/>
  <c r="O987" i="9"/>
  <c r="M987" i="9"/>
  <c r="L987" i="9"/>
  <c r="K987" i="9"/>
  <c r="J987" i="9"/>
  <c r="I987" i="9"/>
  <c r="H987" i="9"/>
  <c r="G987" i="9"/>
  <c r="F987" i="9"/>
  <c r="E987" i="9"/>
  <c r="D987" i="9"/>
  <c r="C987" i="9"/>
  <c r="B987" i="9"/>
  <c r="AJ986" i="9"/>
  <c r="AI986" i="9"/>
  <c r="AH986" i="9"/>
  <c r="AG986" i="9"/>
  <c r="AF986" i="9"/>
  <c r="AE986" i="9"/>
  <c r="AD986" i="9"/>
  <c r="AC986" i="9"/>
  <c r="AB986" i="9"/>
  <c r="AA986" i="9"/>
  <c r="Z986" i="9"/>
  <c r="Y986" i="9"/>
  <c r="X986" i="9"/>
  <c r="W986" i="9"/>
  <c r="V986" i="9"/>
  <c r="U986" i="9"/>
  <c r="T986" i="9"/>
  <c r="S986" i="9"/>
  <c r="R986" i="9"/>
  <c r="Q986" i="9"/>
  <c r="P986" i="9"/>
  <c r="O986" i="9"/>
  <c r="M986" i="9"/>
  <c r="L986" i="9"/>
  <c r="K986" i="9"/>
  <c r="J986" i="9"/>
  <c r="I986" i="9"/>
  <c r="H986" i="9"/>
  <c r="G986" i="9"/>
  <c r="F986" i="9"/>
  <c r="E986" i="9"/>
  <c r="D986" i="9"/>
  <c r="C986" i="9"/>
  <c r="B986" i="9"/>
  <c r="AJ985" i="9"/>
  <c r="AI985" i="9"/>
  <c r="AH985" i="9"/>
  <c r="AG985" i="9"/>
  <c r="AF985" i="9"/>
  <c r="AE985" i="9"/>
  <c r="AD985" i="9"/>
  <c r="AC985" i="9"/>
  <c r="AB985" i="9"/>
  <c r="AA985" i="9"/>
  <c r="Z985" i="9"/>
  <c r="Y985" i="9"/>
  <c r="X985" i="9"/>
  <c r="W985" i="9"/>
  <c r="V985" i="9"/>
  <c r="U985" i="9"/>
  <c r="T985" i="9"/>
  <c r="S985" i="9"/>
  <c r="R985" i="9"/>
  <c r="Q985" i="9"/>
  <c r="P985" i="9"/>
  <c r="O985" i="9"/>
  <c r="M985" i="9"/>
  <c r="L985" i="9"/>
  <c r="K985" i="9"/>
  <c r="J985" i="9"/>
  <c r="I985" i="9"/>
  <c r="H985" i="9"/>
  <c r="G985" i="9"/>
  <c r="F985" i="9"/>
  <c r="E985" i="9"/>
  <c r="D985" i="9"/>
  <c r="C985" i="9"/>
  <c r="B985" i="9"/>
  <c r="AJ984" i="9"/>
  <c r="AI984" i="9"/>
  <c r="AH984" i="9"/>
  <c r="AG984" i="9"/>
  <c r="AF984" i="9"/>
  <c r="AE984" i="9"/>
  <c r="AD984" i="9"/>
  <c r="AC984" i="9"/>
  <c r="AB984" i="9"/>
  <c r="AA984" i="9"/>
  <c r="Z984" i="9"/>
  <c r="Y984" i="9"/>
  <c r="X984" i="9"/>
  <c r="W984" i="9"/>
  <c r="V984" i="9"/>
  <c r="U984" i="9"/>
  <c r="T984" i="9"/>
  <c r="S984" i="9"/>
  <c r="R984" i="9"/>
  <c r="Q984" i="9"/>
  <c r="P984" i="9"/>
  <c r="O984" i="9"/>
  <c r="M984" i="9"/>
  <c r="L984" i="9"/>
  <c r="K984" i="9"/>
  <c r="J984" i="9"/>
  <c r="I984" i="9"/>
  <c r="H984" i="9"/>
  <c r="G984" i="9"/>
  <c r="F984" i="9"/>
  <c r="E984" i="9"/>
  <c r="D984" i="9"/>
  <c r="C984" i="9"/>
  <c r="B984" i="9"/>
  <c r="AJ983" i="9"/>
  <c r="AI983" i="9"/>
  <c r="AH983" i="9"/>
  <c r="AG983" i="9"/>
  <c r="AF983" i="9"/>
  <c r="AE983" i="9"/>
  <c r="AD983" i="9"/>
  <c r="AC983" i="9"/>
  <c r="AB983" i="9"/>
  <c r="AA983" i="9"/>
  <c r="Z983" i="9"/>
  <c r="Y983" i="9"/>
  <c r="X983" i="9"/>
  <c r="W983" i="9"/>
  <c r="V983" i="9"/>
  <c r="U983" i="9"/>
  <c r="T983" i="9"/>
  <c r="S983" i="9"/>
  <c r="R983" i="9"/>
  <c r="Q983" i="9"/>
  <c r="P983" i="9"/>
  <c r="O983" i="9"/>
  <c r="M983" i="9"/>
  <c r="L983" i="9"/>
  <c r="K983" i="9"/>
  <c r="J983" i="9"/>
  <c r="I983" i="9"/>
  <c r="H983" i="9"/>
  <c r="G983" i="9"/>
  <c r="F983" i="9"/>
  <c r="E983" i="9"/>
  <c r="D983" i="9"/>
  <c r="C983" i="9"/>
  <c r="B983" i="9"/>
  <c r="AJ982" i="9"/>
  <c r="AI982" i="9"/>
  <c r="AH982" i="9"/>
  <c r="AG982" i="9"/>
  <c r="AF982" i="9"/>
  <c r="AE982" i="9"/>
  <c r="AD982" i="9"/>
  <c r="AC982" i="9"/>
  <c r="AB982" i="9"/>
  <c r="AA982" i="9"/>
  <c r="Z982" i="9"/>
  <c r="Y982" i="9"/>
  <c r="X982" i="9"/>
  <c r="W982" i="9"/>
  <c r="V982" i="9"/>
  <c r="U982" i="9"/>
  <c r="T982" i="9"/>
  <c r="S982" i="9"/>
  <c r="R982" i="9"/>
  <c r="Q982" i="9"/>
  <c r="P982" i="9"/>
  <c r="O982" i="9"/>
  <c r="M982" i="9"/>
  <c r="L982" i="9"/>
  <c r="K982" i="9"/>
  <c r="J982" i="9"/>
  <c r="I982" i="9"/>
  <c r="H982" i="9"/>
  <c r="G982" i="9"/>
  <c r="F982" i="9"/>
  <c r="E982" i="9"/>
  <c r="D982" i="9"/>
  <c r="C982" i="9"/>
  <c r="B982" i="9"/>
  <c r="AJ981" i="9"/>
  <c r="AI981" i="9"/>
  <c r="AH981" i="9"/>
  <c r="AG981" i="9"/>
  <c r="AF981" i="9"/>
  <c r="AE981" i="9"/>
  <c r="AD981" i="9"/>
  <c r="AC981" i="9"/>
  <c r="AB981" i="9"/>
  <c r="AA981" i="9"/>
  <c r="Z981" i="9"/>
  <c r="Y981" i="9"/>
  <c r="X981" i="9"/>
  <c r="W981" i="9"/>
  <c r="V981" i="9"/>
  <c r="U981" i="9"/>
  <c r="T981" i="9"/>
  <c r="S981" i="9"/>
  <c r="R981" i="9"/>
  <c r="Q981" i="9"/>
  <c r="P981" i="9"/>
  <c r="O981" i="9"/>
  <c r="M981" i="9"/>
  <c r="L981" i="9"/>
  <c r="K981" i="9"/>
  <c r="J981" i="9"/>
  <c r="I981" i="9"/>
  <c r="H981" i="9"/>
  <c r="G981" i="9"/>
  <c r="F981" i="9"/>
  <c r="E981" i="9"/>
  <c r="D981" i="9"/>
  <c r="C981" i="9"/>
  <c r="B981" i="9"/>
  <c r="AJ980" i="9"/>
  <c r="AI980" i="9"/>
  <c r="AH980" i="9"/>
  <c r="AG980" i="9"/>
  <c r="AF980" i="9"/>
  <c r="AE980" i="9"/>
  <c r="AD980" i="9"/>
  <c r="AC980" i="9"/>
  <c r="AB980" i="9"/>
  <c r="AA980" i="9"/>
  <c r="Z980" i="9"/>
  <c r="Y980" i="9"/>
  <c r="X980" i="9"/>
  <c r="W980" i="9"/>
  <c r="V980" i="9"/>
  <c r="U980" i="9"/>
  <c r="T980" i="9"/>
  <c r="S980" i="9"/>
  <c r="R980" i="9"/>
  <c r="Q980" i="9"/>
  <c r="P980" i="9"/>
  <c r="O980" i="9"/>
  <c r="M980" i="9"/>
  <c r="L980" i="9"/>
  <c r="K980" i="9"/>
  <c r="J980" i="9"/>
  <c r="I980" i="9"/>
  <c r="H980" i="9"/>
  <c r="G980" i="9"/>
  <c r="F980" i="9"/>
  <c r="E980" i="9"/>
  <c r="D980" i="9"/>
  <c r="C980" i="9"/>
  <c r="B980" i="9"/>
  <c r="AJ979" i="9"/>
  <c r="AI979" i="9"/>
  <c r="AH979" i="9"/>
  <c r="AG979" i="9"/>
  <c r="AF979" i="9"/>
  <c r="AE979" i="9"/>
  <c r="AD979" i="9"/>
  <c r="AC979" i="9"/>
  <c r="AB979" i="9"/>
  <c r="AA979" i="9"/>
  <c r="Z979" i="9"/>
  <c r="Y979" i="9"/>
  <c r="X979" i="9"/>
  <c r="W979" i="9"/>
  <c r="V979" i="9"/>
  <c r="U979" i="9"/>
  <c r="T979" i="9"/>
  <c r="S979" i="9"/>
  <c r="R979" i="9"/>
  <c r="Q979" i="9"/>
  <c r="P979" i="9"/>
  <c r="O979" i="9"/>
  <c r="M979" i="9"/>
  <c r="L979" i="9"/>
  <c r="K979" i="9"/>
  <c r="J979" i="9"/>
  <c r="I979" i="9"/>
  <c r="H979" i="9"/>
  <c r="G979" i="9"/>
  <c r="F979" i="9"/>
  <c r="E979" i="9"/>
  <c r="D979" i="9"/>
  <c r="C979" i="9"/>
  <c r="B979" i="9"/>
  <c r="AJ978" i="9"/>
  <c r="AI978" i="9"/>
  <c r="AH978" i="9"/>
  <c r="AG978" i="9"/>
  <c r="AF978" i="9"/>
  <c r="AE978" i="9"/>
  <c r="AD978" i="9"/>
  <c r="AC978" i="9"/>
  <c r="AB978" i="9"/>
  <c r="AA978" i="9"/>
  <c r="Z978" i="9"/>
  <c r="Y978" i="9"/>
  <c r="X978" i="9"/>
  <c r="W978" i="9"/>
  <c r="V978" i="9"/>
  <c r="U978" i="9"/>
  <c r="T978" i="9"/>
  <c r="S978" i="9"/>
  <c r="R978" i="9"/>
  <c r="Q978" i="9"/>
  <c r="P978" i="9"/>
  <c r="O978" i="9"/>
  <c r="M978" i="9"/>
  <c r="L978" i="9"/>
  <c r="K978" i="9"/>
  <c r="J978" i="9"/>
  <c r="I978" i="9"/>
  <c r="H978" i="9"/>
  <c r="G978" i="9"/>
  <c r="F978" i="9"/>
  <c r="E978" i="9"/>
  <c r="D978" i="9"/>
  <c r="C978" i="9"/>
  <c r="B978" i="9"/>
  <c r="AJ977" i="9"/>
  <c r="AI977" i="9"/>
  <c r="AH977" i="9"/>
  <c r="AG977" i="9"/>
  <c r="AF977" i="9"/>
  <c r="AE977" i="9"/>
  <c r="AD977" i="9"/>
  <c r="AC977" i="9"/>
  <c r="AB977" i="9"/>
  <c r="AA977" i="9"/>
  <c r="Z977" i="9"/>
  <c r="Y977" i="9"/>
  <c r="X977" i="9"/>
  <c r="W977" i="9"/>
  <c r="V977" i="9"/>
  <c r="U977" i="9"/>
  <c r="T977" i="9"/>
  <c r="S977" i="9"/>
  <c r="R977" i="9"/>
  <c r="Q977" i="9"/>
  <c r="P977" i="9"/>
  <c r="O977" i="9"/>
  <c r="M977" i="9"/>
  <c r="L977" i="9"/>
  <c r="K977" i="9"/>
  <c r="J977" i="9"/>
  <c r="I977" i="9"/>
  <c r="H977" i="9"/>
  <c r="G977" i="9"/>
  <c r="F977" i="9"/>
  <c r="E977" i="9"/>
  <c r="D977" i="9"/>
  <c r="C977" i="9"/>
  <c r="B977" i="9"/>
  <c r="AJ976" i="9"/>
  <c r="AI976" i="9"/>
  <c r="AH976" i="9"/>
  <c r="AG976" i="9"/>
  <c r="AF976" i="9"/>
  <c r="AE976" i="9"/>
  <c r="AD976" i="9"/>
  <c r="AC976" i="9"/>
  <c r="AB976" i="9"/>
  <c r="AA976" i="9"/>
  <c r="Z976" i="9"/>
  <c r="Y976" i="9"/>
  <c r="X976" i="9"/>
  <c r="W976" i="9"/>
  <c r="V976" i="9"/>
  <c r="U976" i="9"/>
  <c r="T976" i="9"/>
  <c r="S976" i="9"/>
  <c r="R976" i="9"/>
  <c r="Q976" i="9"/>
  <c r="P976" i="9"/>
  <c r="O976" i="9"/>
  <c r="M976" i="9"/>
  <c r="L976" i="9"/>
  <c r="K976" i="9"/>
  <c r="J976" i="9"/>
  <c r="I976" i="9"/>
  <c r="H976" i="9"/>
  <c r="G976" i="9"/>
  <c r="F976" i="9"/>
  <c r="E976" i="9"/>
  <c r="D976" i="9"/>
  <c r="C976" i="9"/>
  <c r="B976" i="9"/>
  <c r="AJ975" i="9"/>
  <c r="AI975" i="9"/>
  <c r="AH975" i="9"/>
  <c r="AG975" i="9"/>
  <c r="AF975" i="9"/>
  <c r="AE975" i="9"/>
  <c r="AD975" i="9"/>
  <c r="AC975" i="9"/>
  <c r="AB975" i="9"/>
  <c r="AA975" i="9"/>
  <c r="Z975" i="9"/>
  <c r="Y975" i="9"/>
  <c r="X975" i="9"/>
  <c r="W975" i="9"/>
  <c r="V975" i="9"/>
  <c r="U975" i="9"/>
  <c r="T975" i="9"/>
  <c r="S975" i="9"/>
  <c r="R975" i="9"/>
  <c r="Q975" i="9"/>
  <c r="P975" i="9"/>
  <c r="O975" i="9"/>
  <c r="M975" i="9"/>
  <c r="L975" i="9"/>
  <c r="K975" i="9"/>
  <c r="J975" i="9"/>
  <c r="I975" i="9"/>
  <c r="H975" i="9"/>
  <c r="G975" i="9"/>
  <c r="F975" i="9"/>
  <c r="E975" i="9"/>
  <c r="D975" i="9"/>
  <c r="C975" i="9"/>
  <c r="B975" i="9"/>
  <c r="AJ974" i="9"/>
  <c r="AI974" i="9"/>
  <c r="AH974" i="9"/>
  <c r="AG974" i="9"/>
  <c r="AF974" i="9"/>
  <c r="AE974" i="9"/>
  <c r="AD974" i="9"/>
  <c r="AC974" i="9"/>
  <c r="AB974" i="9"/>
  <c r="AA974" i="9"/>
  <c r="Z974" i="9"/>
  <c r="Y974" i="9"/>
  <c r="X974" i="9"/>
  <c r="W974" i="9"/>
  <c r="V974" i="9"/>
  <c r="U974" i="9"/>
  <c r="T974" i="9"/>
  <c r="S974" i="9"/>
  <c r="R974" i="9"/>
  <c r="Q974" i="9"/>
  <c r="P974" i="9"/>
  <c r="O974" i="9"/>
  <c r="M974" i="9"/>
  <c r="L974" i="9"/>
  <c r="K974" i="9"/>
  <c r="J974" i="9"/>
  <c r="I974" i="9"/>
  <c r="H974" i="9"/>
  <c r="G974" i="9"/>
  <c r="F974" i="9"/>
  <c r="E974" i="9"/>
  <c r="D974" i="9"/>
  <c r="C974" i="9"/>
  <c r="B974" i="9"/>
  <c r="AJ973" i="9"/>
  <c r="AI973" i="9"/>
  <c r="AH973" i="9"/>
  <c r="AG973" i="9"/>
  <c r="AF973" i="9"/>
  <c r="AE973" i="9"/>
  <c r="AD973" i="9"/>
  <c r="AC973" i="9"/>
  <c r="AB973" i="9"/>
  <c r="AA973" i="9"/>
  <c r="Z973" i="9"/>
  <c r="Y973" i="9"/>
  <c r="X973" i="9"/>
  <c r="W973" i="9"/>
  <c r="V973" i="9"/>
  <c r="U973" i="9"/>
  <c r="T973" i="9"/>
  <c r="S973" i="9"/>
  <c r="R973" i="9"/>
  <c r="Q973" i="9"/>
  <c r="P973" i="9"/>
  <c r="O973" i="9"/>
  <c r="M973" i="9"/>
  <c r="L973" i="9"/>
  <c r="K973" i="9"/>
  <c r="J973" i="9"/>
  <c r="I973" i="9"/>
  <c r="H973" i="9"/>
  <c r="G973" i="9"/>
  <c r="F973" i="9"/>
  <c r="E973" i="9"/>
  <c r="D973" i="9"/>
  <c r="C973" i="9"/>
  <c r="B973" i="9"/>
  <c r="AJ972" i="9"/>
  <c r="AI972" i="9"/>
  <c r="AH972" i="9"/>
  <c r="AG972" i="9"/>
  <c r="AF972" i="9"/>
  <c r="AE972" i="9"/>
  <c r="AD972" i="9"/>
  <c r="AC972" i="9"/>
  <c r="AB972" i="9"/>
  <c r="AA972" i="9"/>
  <c r="Z972" i="9"/>
  <c r="Y972" i="9"/>
  <c r="X972" i="9"/>
  <c r="W972" i="9"/>
  <c r="V972" i="9"/>
  <c r="U972" i="9"/>
  <c r="T972" i="9"/>
  <c r="S972" i="9"/>
  <c r="R972" i="9"/>
  <c r="Q972" i="9"/>
  <c r="P972" i="9"/>
  <c r="O972" i="9"/>
  <c r="M972" i="9"/>
  <c r="L972" i="9"/>
  <c r="K972" i="9"/>
  <c r="J972" i="9"/>
  <c r="I972" i="9"/>
  <c r="H972" i="9"/>
  <c r="G972" i="9"/>
  <c r="F972" i="9"/>
  <c r="E972" i="9"/>
  <c r="D972" i="9"/>
  <c r="C972" i="9"/>
  <c r="B972" i="9"/>
  <c r="AJ971" i="9"/>
  <c r="AI971" i="9"/>
  <c r="AH971" i="9"/>
  <c r="AG971" i="9"/>
  <c r="AF971" i="9"/>
  <c r="AE971" i="9"/>
  <c r="AD971" i="9"/>
  <c r="AC971" i="9"/>
  <c r="AB971" i="9"/>
  <c r="AA971" i="9"/>
  <c r="Z971" i="9"/>
  <c r="Y971" i="9"/>
  <c r="X971" i="9"/>
  <c r="W971" i="9"/>
  <c r="V971" i="9"/>
  <c r="U971" i="9"/>
  <c r="T971" i="9"/>
  <c r="S971" i="9"/>
  <c r="R971" i="9"/>
  <c r="Q971" i="9"/>
  <c r="P971" i="9"/>
  <c r="O971" i="9"/>
  <c r="M971" i="9"/>
  <c r="L971" i="9"/>
  <c r="K971" i="9"/>
  <c r="J971" i="9"/>
  <c r="I971" i="9"/>
  <c r="H971" i="9"/>
  <c r="G971" i="9"/>
  <c r="F971" i="9"/>
  <c r="E971" i="9"/>
  <c r="D971" i="9"/>
  <c r="C971" i="9"/>
  <c r="B971" i="9"/>
  <c r="AJ970" i="9"/>
  <c r="AI970" i="9"/>
  <c r="AH970" i="9"/>
  <c r="AG970" i="9"/>
  <c r="AF970" i="9"/>
  <c r="AE970" i="9"/>
  <c r="AD970" i="9"/>
  <c r="AC970" i="9"/>
  <c r="AB970" i="9"/>
  <c r="AA970" i="9"/>
  <c r="Z970" i="9"/>
  <c r="Y970" i="9"/>
  <c r="X970" i="9"/>
  <c r="W970" i="9"/>
  <c r="V970" i="9"/>
  <c r="U970" i="9"/>
  <c r="T970" i="9"/>
  <c r="S970" i="9"/>
  <c r="R970" i="9"/>
  <c r="Q970" i="9"/>
  <c r="P970" i="9"/>
  <c r="O970" i="9"/>
  <c r="M970" i="9"/>
  <c r="L970" i="9"/>
  <c r="K970" i="9"/>
  <c r="J970" i="9"/>
  <c r="I970" i="9"/>
  <c r="H970" i="9"/>
  <c r="G970" i="9"/>
  <c r="F970" i="9"/>
  <c r="E970" i="9"/>
  <c r="D970" i="9"/>
  <c r="C970" i="9"/>
  <c r="B970" i="9"/>
  <c r="AJ969" i="9"/>
  <c r="AI969" i="9"/>
  <c r="AH969" i="9"/>
  <c r="AG969" i="9"/>
  <c r="AF969" i="9"/>
  <c r="AE969" i="9"/>
  <c r="AD969" i="9"/>
  <c r="AC969" i="9"/>
  <c r="AB969" i="9"/>
  <c r="AA969" i="9"/>
  <c r="Z969" i="9"/>
  <c r="Y969" i="9"/>
  <c r="X969" i="9"/>
  <c r="W969" i="9"/>
  <c r="V969" i="9"/>
  <c r="U969" i="9"/>
  <c r="T969" i="9"/>
  <c r="S969" i="9"/>
  <c r="R969" i="9"/>
  <c r="Q969" i="9"/>
  <c r="P969" i="9"/>
  <c r="O969" i="9"/>
  <c r="M969" i="9"/>
  <c r="L969" i="9"/>
  <c r="K969" i="9"/>
  <c r="J969" i="9"/>
  <c r="I969" i="9"/>
  <c r="H969" i="9"/>
  <c r="G969" i="9"/>
  <c r="F969" i="9"/>
  <c r="E969" i="9"/>
  <c r="D969" i="9"/>
  <c r="C969" i="9"/>
  <c r="B969" i="9"/>
  <c r="AJ968" i="9"/>
  <c r="AI968" i="9"/>
  <c r="AH968" i="9"/>
  <c r="AG968" i="9"/>
  <c r="AF968" i="9"/>
  <c r="AE968" i="9"/>
  <c r="AD968" i="9"/>
  <c r="AC968" i="9"/>
  <c r="AB968" i="9"/>
  <c r="AA968" i="9"/>
  <c r="Z968" i="9"/>
  <c r="Y968" i="9"/>
  <c r="X968" i="9"/>
  <c r="W968" i="9"/>
  <c r="V968" i="9"/>
  <c r="U968" i="9"/>
  <c r="T968" i="9"/>
  <c r="S968" i="9"/>
  <c r="R968" i="9"/>
  <c r="Q968" i="9"/>
  <c r="P968" i="9"/>
  <c r="O968" i="9"/>
  <c r="M968" i="9"/>
  <c r="L968" i="9"/>
  <c r="K968" i="9"/>
  <c r="J968" i="9"/>
  <c r="I968" i="9"/>
  <c r="H968" i="9"/>
  <c r="G968" i="9"/>
  <c r="F968" i="9"/>
  <c r="E968" i="9"/>
  <c r="D968" i="9"/>
  <c r="C968" i="9"/>
  <c r="B968" i="9"/>
  <c r="AJ967" i="9"/>
  <c r="AI967" i="9"/>
  <c r="AH967" i="9"/>
  <c r="AG967" i="9"/>
  <c r="AF967" i="9"/>
  <c r="AE967" i="9"/>
  <c r="AD967" i="9"/>
  <c r="AC967" i="9"/>
  <c r="AB967" i="9"/>
  <c r="AA967" i="9"/>
  <c r="Z967" i="9"/>
  <c r="Y967" i="9"/>
  <c r="X967" i="9"/>
  <c r="W967" i="9"/>
  <c r="V967" i="9"/>
  <c r="U967" i="9"/>
  <c r="T967" i="9"/>
  <c r="S967" i="9"/>
  <c r="R967" i="9"/>
  <c r="Q967" i="9"/>
  <c r="P967" i="9"/>
  <c r="O967" i="9"/>
  <c r="M967" i="9"/>
  <c r="L967" i="9"/>
  <c r="K967" i="9"/>
  <c r="J967" i="9"/>
  <c r="I967" i="9"/>
  <c r="H967" i="9"/>
  <c r="G967" i="9"/>
  <c r="F967" i="9"/>
  <c r="E967" i="9"/>
  <c r="D967" i="9"/>
  <c r="C967" i="9"/>
  <c r="B967" i="9"/>
  <c r="AJ966" i="9"/>
  <c r="AI966" i="9"/>
  <c r="AH966" i="9"/>
  <c r="AG966" i="9"/>
  <c r="AF966" i="9"/>
  <c r="AE966" i="9"/>
  <c r="AD966" i="9"/>
  <c r="AC966" i="9"/>
  <c r="AB966" i="9"/>
  <c r="AA966" i="9"/>
  <c r="Z966" i="9"/>
  <c r="Y966" i="9"/>
  <c r="X966" i="9"/>
  <c r="W966" i="9"/>
  <c r="V966" i="9"/>
  <c r="U966" i="9"/>
  <c r="T966" i="9"/>
  <c r="S966" i="9"/>
  <c r="R966" i="9"/>
  <c r="Q966" i="9"/>
  <c r="P966" i="9"/>
  <c r="O966" i="9"/>
  <c r="M966" i="9"/>
  <c r="L966" i="9"/>
  <c r="K966" i="9"/>
  <c r="J966" i="9"/>
  <c r="I966" i="9"/>
  <c r="H966" i="9"/>
  <c r="G966" i="9"/>
  <c r="F966" i="9"/>
  <c r="E966" i="9"/>
  <c r="D966" i="9"/>
  <c r="C966" i="9"/>
  <c r="B966" i="9"/>
  <c r="AJ965" i="9"/>
  <c r="AI965" i="9"/>
  <c r="AH965" i="9"/>
  <c r="AG965" i="9"/>
  <c r="AF965" i="9"/>
  <c r="AE965" i="9"/>
  <c r="AD965" i="9"/>
  <c r="AC965" i="9"/>
  <c r="AB965" i="9"/>
  <c r="AA965" i="9"/>
  <c r="Z965" i="9"/>
  <c r="Y965" i="9"/>
  <c r="X965" i="9"/>
  <c r="W965" i="9"/>
  <c r="V965" i="9"/>
  <c r="U965" i="9"/>
  <c r="T965" i="9"/>
  <c r="S965" i="9"/>
  <c r="R965" i="9"/>
  <c r="Q965" i="9"/>
  <c r="P965" i="9"/>
  <c r="O965" i="9"/>
  <c r="M965" i="9"/>
  <c r="L965" i="9"/>
  <c r="K965" i="9"/>
  <c r="J965" i="9"/>
  <c r="I965" i="9"/>
  <c r="H965" i="9"/>
  <c r="G965" i="9"/>
  <c r="F965" i="9"/>
  <c r="E965" i="9"/>
  <c r="D965" i="9"/>
  <c r="C965" i="9"/>
  <c r="B965" i="9"/>
  <c r="AJ964" i="9"/>
  <c r="AI964" i="9"/>
  <c r="AH964" i="9"/>
  <c r="AG964" i="9"/>
  <c r="AF964" i="9"/>
  <c r="AE964" i="9"/>
  <c r="AD964" i="9"/>
  <c r="AC964" i="9"/>
  <c r="AB964" i="9"/>
  <c r="AA964" i="9"/>
  <c r="Z964" i="9"/>
  <c r="Y964" i="9"/>
  <c r="X964" i="9"/>
  <c r="W964" i="9"/>
  <c r="V964" i="9"/>
  <c r="U964" i="9"/>
  <c r="T964" i="9"/>
  <c r="S964" i="9"/>
  <c r="R964" i="9"/>
  <c r="Q964" i="9"/>
  <c r="P964" i="9"/>
  <c r="O964" i="9"/>
  <c r="M964" i="9"/>
  <c r="L964" i="9"/>
  <c r="K964" i="9"/>
  <c r="J964" i="9"/>
  <c r="I964" i="9"/>
  <c r="H964" i="9"/>
  <c r="G964" i="9"/>
  <c r="F964" i="9"/>
  <c r="E964" i="9"/>
  <c r="D964" i="9"/>
  <c r="C964" i="9"/>
  <c r="B964" i="9"/>
  <c r="AJ963" i="9"/>
  <c r="AI963" i="9"/>
  <c r="AH963" i="9"/>
  <c r="AG963" i="9"/>
  <c r="AF963" i="9"/>
  <c r="AE963" i="9"/>
  <c r="AD963" i="9"/>
  <c r="AC963" i="9"/>
  <c r="AB963" i="9"/>
  <c r="AA963" i="9"/>
  <c r="Z963" i="9"/>
  <c r="Y963" i="9"/>
  <c r="X963" i="9"/>
  <c r="W963" i="9"/>
  <c r="V963" i="9"/>
  <c r="U963" i="9"/>
  <c r="T963" i="9"/>
  <c r="S963" i="9"/>
  <c r="R963" i="9"/>
  <c r="Q963" i="9"/>
  <c r="P963" i="9"/>
  <c r="O963" i="9"/>
  <c r="M963" i="9"/>
  <c r="L963" i="9"/>
  <c r="K963" i="9"/>
  <c r="J963" i="9"/>
  <c r="I963" i="9"/>
  <c r="H963" i="9"/>
  <c r="G963" i="9"/>
  <c r="F963" i="9"/>
  <c r="E963" i="9"/>
  <c r="D963" i="9"/>
  <c r="C963" i="9"/>
  <c r="B963" i="9"/>
  <c r="AJ962" i="9"/>
  <c r="AI962" i="9"/>
  <c r="AH962" i="9"/>
  <c r="AG962" i="9"/>
  <c r="AF962" i="9"/>
  <c r="AE962" i="9"/>
  <c r="AD962" i="9"/>
  <c r="AC962" i="9"/>
  <c r="AB962" i="9"/>
  <c r="AA962" i="9"/>
  <c r="Z962" i="9"/>
  <c r="Y962" i="9"/>
  <c r="X962" i="9"/>
  <c r="W962" i="9"/>
  <c r="V962" i="9"/>
  <c r="U962" i="9"/>
  <c r="T962" i="9"/>
  <c r="S962" i="9"/>
  <c r="R962" i="9"/>
  <c r="Q962" i="9"/>
  <c r="P962" i="9"/>
  <c r="O962" i="9"/>
  <c r="M962" i="9"/>
  <c r="L962" i="9"/>
  <c r="K962" i="9"/>
  <c r="J962" i="9"/>
  <c r="I962" i="9"/>
  <c r="H962" i="9"/>
  <c r="G962" i="9"/>
  <c r="F962" i="9"/>
  <c r="E962" i="9"/>
  <c r="D962" i="9"/>
  <c r="C962" i="9"/>
  <c r="B962" i="9"/>
  <c r="AJ961" i="9"/>
  <c r="AI961" i="9"/>
  <c r="AH961" i="9"/>
  <c r="AG961" i="9"/>
  <c r="AF961" i="9"/>
  <c r="AE961" i="9"/>
  <c r="AD961" i="9"/>
  <c r="AC961" i="9"/>
  <c r="AB961" i="9"/>
  <c r="AA961" i="9"/>
  <c r="Z961" i="9"/>
  <c r="Y961" i="9"/>
  <c r="X961" i="9"/>
  <c r="W961" i="9"/>
  <c r="V961" i="9"/>
  <c r="U961" i="9"/>
  <c r="T961" i="9"/>
  <c r="S961" i="9"/>
  <c r="R961" i="9"/>
  <c r="Q961" i="9"/>
  <c r="P961" i="9"/>
  <c r="O961" i="9"/>
  <c r="M961" i="9"/>
  <c r="L961" i="9"/>
  <c r="K961" i="9"/>
  <c r="J961" i="9"/>
  <c r="I961" i="9"/>
  <c r="H961" i="9"/>
  <c r="G961" i="9"/>
  <c r="F961" i="9"/>
  <c r="E961" i="9"/>
  <c r="D961" i="9"/>
  <c r="C961" i="9"/>
  <c r="B961" i="9"/>
  <c r="AJ960" i="9"/>
  <c r="AI960" i="9"/>
  <c r="AH960" i="9"/>
  <c r="AG960" i="9"/>
  <c r="AF960" i="9"/>
  <c r="AE960" i="9"/>
  <c r="AD960" i="9"/>
  <c r="AC960" i="9"/>
  <c r="AB960" i="9"/>
  <c r="AA960" i="9"/>
  <c r="Z960" i="9"/>
  <c r="Y960" i="9"/>
  <c r="X960" i="9"/>
  <c r="W960" i="9"/>
  <c r="V960" i="9"/>
  <c r="U960" i="9"/>
  <c r="T960" i="9"/>
  <c r="S960" i="9"/>
  <c r="R960" i="9"/>
  <c r="Q960" i="9"/>
  <c r="P960" i="9"/>
  <c r="O960" i="9"/>
  <c r="M960" i="9"/>
  <c r="L960" i="9"/>
  <c r="K960" i="9"/>
  <c r="J960" i="9"/>
  <c r="I960" i="9"/>
  <c r="H960" i="9"/>
  <c r="G960" i="9"/>
  <c r="F960" i="9"/>
  <c r="E960" i="9"/>
  <c r="D960" i="9"/>
  <c r="C960" i="9"/>
  <c r="B960" i="9"/>
  <c r="AJ959" i="9"/>
  <c r="AI959" i="9"/>
  <c r="AH959" i="9"/>
  <c r="AG959" i="9"/>
  <c r="AF959" i="9"/>
  <c r="AE959" i="9"/>
  <c r="AD959" i="9"/>
  <c r="AC959" i="9"/>
  <c r="AB959" i="9"/>
  <c r="AA959" i="9"/>
  <c r="Z959" i="9"/>
  <c r="Y959" i="9"/>
  <c r="X959" i="9"/>
  <c r="W959" i="9"/>
  <c r="V959" i="9"/>
  <c r="U959" i="9"/>
  <c r="T959" i="9"/>
  <c r="S959" i="9"/>
  <c r="R959" i="9"/>
  <c r="Q959" i="9"/>
  <c r="P959" i="9"/>
  <c r="O959" i="9"/>
  <c r="M959" i="9"/>
  <c r="L959" i="9"/>
  <c r="K959" i="9"/>
  <c r="J959" i="9"/>
  <c r="I959" i="9"/>
  <c r="H959" i="9"/>
  <c r="G959" i="9"/>
  <c r="F959" i="9"/>
  <c r="E959" i="9"/>
  <c r="D959" i="9"/>
  <c r="C959" i="9"/>
  <c r="B959" i="9"/>
  <c r="AJ958" i="9"/>
  <c r="AI958" i="9"/>
  <c r="AH958" i="9"/>
  <c r="AG958" i="9"/>
  <c r="AF958" i="9"/>
  <c r="AE958" i="9"/>
  <c r="AD958" i="9"/>
  <c r="AC958" i="9"/>
  <c r="AB958" i="9"/>
  <c r="AA958" i="9"/>
  <c r="Z958" i="9"/>
  <c r="Y958" i="9"/>
  <c r="X958" i="9"/>
  <c r="W958" i="9"/>
  <c r="V958" i="9"/>
  <c r="U958" i="9"/>
  <c r="T958" i="9"/>
  <c r="S958" i="9"/>
  <c r="R958" i="9"/>
  <c r="Q958" i="9"/>
  <c r="P958" i="9"/>
  <c r="O958" i="9"/>
  <c r="M958" i="9"/>
  <c r="L958" i="9"/>
  <c r="K958" i="9"/>
  <c r="J958" i="9"/>
  <c r="I958" i="9"/>
  <c r="H958" i="9"/>
  <c r="G958" i="9"/>
  <c r="F958" i="9"/>
  <c r="E958" i="9"/>
  <c r="D958" i="9"/>
  <c r="C958" i="9"/>
  <c r="B958" i="9"/>
  <c r="AJ957" i="9"/>
  <c r="AI957" i="9"/>
  <c r="AH957" i="9"/>
  <c r="AG957" i="9"/>
  <c r="AF957" i="9"/>
  <c r="AE957" i="9"/>
  <c r="AD957" i="9"/>
  <c r="AC957" i="9"/>
  <c r="AB957" i="9"/>
  <c r="AA957" i="9"/>
  <c r="Z957" i="9"/>
  <c r="Y957" i="9"/>
  <c r="X957" i="9"/>
  <c r="W957" i="9"/>
  <c r="V957" i="9"/>
  <c r="U957" i="9"/>
  <c r="T957" i="9"/>
  <c r="S957" i="9"/>
  <c r="R957" i="9"/>
  <c r="Q957" i="9"/>
  <c r="P957" i="9"/>
  <c r="O957" i="9"/>
  <c r="M957" i="9"/>
  <c r="L957" i="9"/>
  <c r="K957" i="9"/>
  <c r="J957" i="9"/>
  <c r="I957" i="9"/>
  <c r="H957" i="9"/>
  <c r="G957" i="9"/>
  <c r="F957" i="9"/>
  <c r="E957" i="9"/>
  <c r="D957" i="9"/>
  <c r="C957" i="9"/>
  <c r="B957" i="9"/>
  <c r="AJ956" i="9"/>
  <c r="AI956" i="9"/>
  <c r="AH956" i="9"/>
  <c r="AG956" i="9"/>
  <c r="AF956" i="9"/>
  <c r="AE956" i="9"/>
  <c r="AD956" i="9"/>
  <c r="AC956" i="9"/>
  <c r="AB956" i="9"/>
  <c r="AA956" i="9"/>
  <c r="Z956" i="9"/>
  <c r="Y956" i="9"/>
  <c r="X956" i="9"/>
  <c r="W956" i="9"/>
  <c r="V956" i="9"/>
  <c r="U956" i="9"/>
  <c r="T956" i="9"/>
  <c r="S956" i="9"/>
  <c r="R956" i="9"/>
  <c r="Q956" i="9"/>
  <c r="P956" i="9"/>
  <c r="O956" i="9"/>
  <c r="M956" i="9"/>
  <c r="L956" i="9"/>
  <c r="K956" i="9"/>
  <c r="J956" i="9"/>
  <c r="I956" i="9"/>
  <c r="H956" i="9"/>
  <c r="G956" i="9"/>
  <c r="F956" i="9"/>
  <c r="E956" i="9"/>
  <c r="D956" i="9"/>
  <c r="C956" i="9"/>
  <c r="B956" i="9"/>
  <c r="AJ955" i="9"/>
  <c r="AI955" i="9"/>
  <c r="AH955" i="9"/>
  <c r="AG955" i="9"/>
  <c r="AF955" i="9"/>
  <c r="AE955" i="9"/>
  <c r="AD955" i="9"/>
  <c r="AC955" i="9"/>
  <c r="AB955" i="9"/>
  <c r="AA955" i="9"/>
  <c r="Z955" i="9"/>
  <c r="Y955" i="9"/>
  <c r="X955" i="9"/>
  <c r="W955" i="9"/>
  <c r="V955" i="9"/>
  <c r="U955" i="9"/>
  <c r="T955" i="9"/>
  <c r="S955" i="9"/>
  <c r="R955" i="9"/>
  <c r="Q955" i="9"/>
  <c r="P955" i="9"/>
  <c r="O955" i="9"/>
  <c r="M955" i="9"/>
  <c r="L955" i="9"/>
  <c r="K955" i="9"/>
  <c r="J955" i="9"/>
  <c r="I955" i="9"/>
  <c r="H955" i="9"/>
  <c r="G955" i="9"/>
  <c r="F955" i="9"/>
  <c r="E955" i="9"/>
  <c r="D955" i="9"/>
  <c r="C955" i="9"/>
  <c r="B955" i="9"/>
  <c r="AJ954" i="9"/>
  <c r="AI954" i="9"/>
  <c r="AH954" i="9"/>
  <c r="AG954" i="9"/>
  <c r="AF954" i="9"/>
  <c r="AE954" i="9"/>
  <c r="AD954" i="9"/>
  <c r="AC954" i="9"/>
  <c r="AB954" i="9"/>
  <c r="AA954" i="9"/>
  <c r="Z954" i="9"/>
  <c r="Y954" i="9"/>
  <c r="X954" i="9"/>
  <c r="W954" i="9"/>
  <c r="V954" i="9"/>
  <c r="U954" i="9"/>
  <c r="T954" i="9"/>
  <c r="S954" i="9"/>
  <c r="R954" i="9"/>
  <c r="Q954" i="9"/>
  <c r="P954" i="9"/>
  <c r="O954" i="9"/>
  <c r="M954" i="9"/>
  <c r="L954" i="9"/>
  <c r="K954" i="9"/>
  <c r="J954" i="9"/>
  <c r="I954" i="9"/>
  <c r="H954" i="9"/>
  <c r="G954" i="9"/>
  <c r="F954" i="9"/>
  <c r="E954" i="9"/>
  <c r="D954" i="9"/>
  <c r="C954" i="9"/>
  <c r="B954" i="9"/>
  <c r="AJ953" i="9"/>
  <c r="AI953" i="9"/>
  <c r="AH953" i="9"/>
  <c r="AG953" i="9"/>
  <c r="AF953" i="9"/>
  <c r="AE953" i="9"/>
  <c r="AD953" i="9"/>
  <c r="AC953" i="9"/>
  <c r="AB953" i="9"/>
  <c r="AA953" i="9"/>
  <c r="Z953" i="9"/>
  <c r="Y953" i="9"/>
  <c r="X953" i="9"/>
  <c r="W953" i="9"/>
  <c r="V953" i="9"/>
  <c r="U953" i="9"/>
  <c r="T953" i="9"/>
  <c r="S953" i="9"/>
  <c r="R953" i="9"/>
  <c r="Q953" i="9"/>
  <c r="P953" i="9"/>
  <c r="O953" i="9"/>
  <c r="M953" i="9"/>
  <c r="L953" i="9"/>
  <c r="K953" i="9"/>
  <c r="J953" i="9"/>
  <c r="I953" i="9"/>
  <c r="H953" i="9"/>
  <c r="G953" i="9"/>
  <c r="F953" i="9"/>
  <c r="E953" i="9"/>
  <c r="D953" i="9"/>
  <c r="C953" i="9"/>
  <c r="B953" i="9"/>
  <c r="AJ952" i="9"/>
  <c r="AI952" i="9"/>
  <c r="AH952" i="9"/>
  <c r="AG952" i="9"/>
  <c r="AF952" i="9"/>
  <c r="AE952" i="9"/>
  <c r="AD952" i="9"/>
  <c r="AC952" i="9"/>
  <c r="AB952" i="9"/>
  <c r="AA952" i="9"/>
  <c r="Z952" i="9"/>
  <c r="Y952" i="9"/>
  <c r="X952" i="9"/>
  <c r="W952" i="9"/>
  <c r="V952" i="9"/>
  <c r="U952" i="9"/>
  <c r="T952" i="9"/>
  <c r="S952" i="9"/>
  <c r="R952" i="9"/>
  <c r="Q952" i="9"/>
  <c r="P952" i="9"/>
  <c r="O952" i="9"/>
  <c r="M952" i="9"/>
  <c r="L952" i="9"/>
  <c r="K952" i="9"/>
  <c r="J952" i="9"/>
  <c r="I952" i="9"/>
  <c r="H952" i="9"/>
  <c r="G952" i="9"/>
  <c r="F952" i="9"/>
  <c r="E952" i="9"/>
  <c r="D952" i="9"/>
  <c r="C952" i="9"/>
  <c r="B952" i="9"/>
  <c r="AJ951" i="9"/>
  <c r="AI951" i="9"/>
  <c r="AH951" i="9"/>
  <c r="AG951" i="9"/>
  <c r="AF951" i="9"/>
  <c r="AE951" i="9"/>
  <c r="AD951" i="9"/>
  <c r="AC951" i="9"/>
  <c r="AB951" i="9"/>
  <c r="AA951" i="9"/>
  <c r="Z951" i="9"/>
  <c r="Y951" i="9"/>
  <c r="X951" i="9"/>
  <c r="W951" i="9"/>
  <c r="V951" i="9"/>
  <c r="U951" i="9"/>
  <c r="T951" i="9"/>
  <c r="S951" i="9"/>
  <c r="R951" i="9"/>
  <c r="Q951" i="9"/>
  <c r="P951" i="9"/>
  <c r="O951" i="9"/>
  <c r="M951" i="9"/>
  <c r="L951" i="9"/>
  <c r="K951" i="9"/>
  <c r="J951" i="9"/>
  <c r="I951" i="9"/>
  <c r="H951" i="9"/>
  <c r="G951" i="9"/>
  <c r="F951" i="9"/>
  <c r="E951" i="9"/>
  <c r="D951" i="9"/>
  <c r="C951" i="9"/>
  <c r="B951" i="9"/>
  <c r="AJ950" i="9"/>
  <c r="AI950" i="9"/>
  <c r="AH950" i="9"/>
  <c r="AG950" i="9"/>
  <c r="AF950" i="9"/>
  <c r="AE950" i="9"/>
  <c r="AD950" i="9"/>
  <c r="AC950" i="9"/>
  <c r="AB950" i="9"/>
  <c r="AA950" i="9"/>
  <c r="Z950" i="9"/>
  <c r="Y950" i="9"/>
  <c r="X950" i="9"/>
  <c r="W950" i="9"/>
  <c r="V950" i="9"/>
  <c r="U950" i="9"/>
  <c r="T950" i="9"/>
  <c r="S950" i="9"/>
  <c r="R950" i="9"/>
  <c r="Q950" i="9"/>
  <c r="P950" i="9"/>
  <c r="O950" i="9"/>
  <c r="M950" i="9"/>
  <c r="L950" i="9"/>
  <c r="K950" i="9"/>
  <c r="J950" i="9"/>
  <c r="I950" i="9"/>
  <c r="H950" i="9"/>
  <c r="G950" i="9"/>
  <c r="F950" i="9"/>
  <c r="E950" i="9"/>
  <c r="D950" i="9"/>
  <c r="C950" i="9"/>
  <c r="B950" i="9"/>
  <c r="AJ949" i="9"/>
  <c r="AI949" i="9"/>
  <c r="AH949" i="9"/>
  <c r="AG949" i="9"/>
  <c r="AF949" i="9"/>
  <c r="AE949" i="9"/>
  <c r="AD949" i="9"/>
  <c r="AC949" i="9"/>
  <c r="AB949" i="9"/>
  <c r="AA949" i="9"/>
  <c r="Z949" i="9"/>
  <c r="Y949" i="9"/>
  <c r="X949" i="9"/>
  <c r="W949" i="9"/>
  <c r="V949" i="9"/>
  <c r="U949" i="9"/>
  <c r="T949" i="9"/>
  <c r="S949" i="9"/>
  <c r="R949" i="9"/>
  <c r="Q949" i="9"/>
  <c r="P949" i="9"/>
  <c r="O949" i="9"/>
  <c r="M949" i="9"/>
  <c r="L949" i="9"/>
  <c r="K949" i="9"/>
  <c r="J949" i="9"/>
  <c r="I949" i="9"/>
  <c r="H949" i="9"/>
  <c r="G949" i="9"/>
  <c r="F949" i="9"/>
  <c r="E949" i="9"/>
  <c r="D949" i="9"/>
  <c r="C949" i="9"/>
  <c r="B949" i="9"/>
  <c r="AJ948" i="9"/>
  <c r="AI948" i="9"/>
  <c r="AH948" i="9"/>
  <c r="AG948" i="9"/>
  <c r="AF948" i="9"/>
  <c r="AE948" i="9"/>
  <c r="AD948" i="9"/>
  <c r="AC948" i="9"/>
  <c r="AB948" i="9"/>
  <c r="AA948" i="9"/>
  <c r="Z948" i="9"/>
  <c r="Y948" i="9"/>
  <c r="X948" i="9"/>
  <c r="W948" i="9"/>
  <c r="V948" i="9"/>
  <c r="U948" i="9"/>
  <c r="T948" i="9"/>
  <c r="S948" i="9"/>
  <c r="R948" i="9"/>
  <c r="Q948" i="9"/>
  <c r="P948" i="9"/>
  <c r="O948" i="9"/>
  <c r="M948" i="9"/>
  <c r="L948" i="9"/>
  <c r="K948" i="9"/>
  <c r="J948" i="9"/>
  <c r="I948" i="9"/>
  <c r="H948" i="9"/>
  <c r="G948" i="9"/>
  <c r="F948" i="9"/>
  <c r="E948" i="9"/>
  <c r="D948" i="9"/>
  <c r="C948" i="9"/>
  <c r="B948" i="9"/>
  <c r="AJ947" i="9"/>
  <c r="AI947" i="9"/>
  <c r="AH947" i="9"/>
  <c r="AG947" i="9"/>
  <c r="AF947" i="9"/>
  <c r="AE947" i="9"/>
  <c r="AD947" i="9"/>
  <c r="AC947" i="9"/>
  <c r="AB947" i="9"/>
  <c r="AA947" i="9"/>
  <c r="Z947" i="9"/>
  <c r="Y947" i="9"/>
  <c r="X947" i="9"/>
  <c r="W947" i="9"/>
  <c r="V947" i="9"/>
  <c r="U947" i="9"/>
  <c r="T947" i="9"/>
  <c r="S947" i="9"/>
  <c r="R947" i="9"/>
  <c r="Q947" i="9"/>
  <c r="P947" i="9"/>
  <c r="O947" i="9"/>
  <c r="M947" i="9"/>
  <c r="L947" i="9"/>
  <c r="K947" i="9"/>
  <c r="J947" i="9"/>
  <c r="I947" i="9"/>
  <c r="H947" i="9"/>
  <c r="G947" i="9"/>
  <c r="F947" i="9"/>
  <c r="E947" i="9"/>
  <c r="D947" i="9"/>
  <c r="C947" i="9"/>
  <c r="B947" i="9"/>
  <c r="AJ946" i="9"/>
  <c r="AI946" i="9"/>
  <c r="AH946" i="9"/>
  <c r="AG946" i="9"/>
  <c r="AF946" i="9"/>
  <c r="AE946" i="9"/>
  <c r="AD946" i="9"/>
  <c r="AC946" i="9"/>
  <c r="AB946" i="9"/>
  <c r="AA946" i="9"/>
  <c r="Z946" i="9"/>
  <c r="Y946" i="9"/>
  <c r="X946" i="9"/>
  <c r="W946" i="9"/>
  <c r="V946" i="9"/>
  <c r="U946" i="9"/>
  <c r="T946" i="9"/>
  <c r="S946" i="9"/>
  <c r="R946" i="9"/>
  <c r="Q946" i="9"/>
  <c r="P946" i="9"/>
  <c r="O946" i="9"/>
  <c r="M946" i="9"/>
  <c r="L946" i="9"/>
  <c r="K946" i="9"/>
  <c r="J946" i="9"/>
  <c r="I946" i="9"/>
  <c r="H946" i="9"/>
  <c r="G946" i="9"/>
  <c r="F946" i="9"/>
  <c r="E946" i="9"/>
  <c r="D946" i="9"/>
  <c r="C946" i="9"/>
  <c r="B946" i="9"/>
  <c r="AJ945" i="9"/>
  <c r="AI945" i="9"/>
  <c r="AH945" i="9"/>
  <c r="AG945" i="9"/>
  <c r="AF945" i="9"/>
  <c r="AE945" i="9"/>
  <c r="AD945" i="9"/>
  <c r="AC945" i="9"/>
  <c r="AB945" i="9"/>
  <c r="AA945" i="9"/>
  <c r="Z945" i="9"/>
  <c r="Y945" i="9"/>
  <c r="X945" i="9"/>
  <c r="W945" i="9"/>
  <c r="V945" i="9"/>
  <c r="U945" i="9"/>
  <c r="T945" i="9"/>
  <c r="S945" i="9"/>
  <c r="R945" i="9"/>
  <c r="Q945" i="9"/>
  <c r="P945" i="9"/>
  <c r="O945" i="9"/>
  <c r="M945" i="9"/>
  <c r="L945" i="9"/>
  <c r="K945" i="9"/>
  <c r="J945" i="9"/>
  <c r="I945" i="9"/>
  <c r="H945" i="9"/>
  <c r="G945" i="9"/>
  <c r="F945" i="9"/>
  <c r="E945" i="9"/>
  <c r="D945" i="9"/>
  <c r="C945" i="9"/>
  <c r="B945" i="9"/>
  <c r="AJ944" i="9"/>
  <c r="AI944" i="9"/>
  <c r="AH944" i="9"/>
  <c r="AG944" i="9"/>
  <c r="AF944" i="9"/>
  <c r="AE944" i="9"/>
  <c r="AD944" i="9"/>
  <c r="AC944" i="9"/>
  <c r="AB944" i="9"/>
  <c r="AA944" i="9"/>
  <c r="Z944" i="9"/>
  <c r="Y944" i="9"/>
  <c r="X944" i="9"/>
  <c r="W944" i="9"/>
  <c r="V944" i="9"/>
  <c r="U944" i="9"/>
  <c r="T944" i="9"/>
  <c r="S944" i="9"/>
  <c r="R944" i="9"/>
  <c r="Q944" i="9"/>
  <c r="P944" i="9"/>
  <c r="O944" i="9"/>
  <c r="M944" i="9"/>
  <c r="L944" i="9"/>
  <c r="K944" i="9"/>
  <c r="J944" i="9"/>
  <c r="I944" i="9"/>
  <c r="H944" i="9"/>
  <c r="G944" i="9"/>
  <c r="F944" i="9"/>
  <c r="E944" i="9"/>
  <c r="D944" i="9"/>
  <c r="C944" i="9"/>
  <c r="B944" i="9"/>
  <c r="AJ943" i="9"/>
  <c r="AI943" i="9"/>
  <c r="AH943" i="9"/>
  <c r="AG943" i="9"/>
  <c r="AF943" i="9"/>
  <c r="AE943" i="9"/>
  <c r="AD943" i="9"/>
  <c r="AC943" i="9"/>
  <c r="AB943" i="9"/>
  <c r="AA943" i="9"/>
  <c r="Z943" i="9"/>
  <c r="Y943" i="9"/>
  <c r="X943" i="9"/>
  <c r="W943" i="9"/>
  <c r="V943" i="9"/>
  <c r="U943" i="9"/>
  <c r="T943" i="9"/>
  <c r="S943" i="9"/>
  <c r="R943" i="9"/>
  <c r="Q943" i="9"/>
  <c r="P943" i="9"/>
  <c r="O943" i="9"/>
  <c r="M943" i="9"/>
  <c r="L943" i="9"/>
  <c r="K943" i="9"/>
  <c r="J943" i="9"/>
  <c r="I943" i="9"/>
  <c r="H943" i="9"/>
  <c r="G943" i="9"/>
  <c r="F943" i="9"/>
  <c r="E943" i="9"/>
  <c r="D943" i="9"/>
  <c r="C943" i="9"/>
  <c r="B943" i="9"/>
  <c r="AJ942" i="9"/>
  <c r="AI942" i="9"/>
  <c r="AH942" i="9"/>
  <c r="AG942" i="9"/>
  <c r="AF942" i="9"/>
  <c r="AE942" i="9"/>
  <c r="AD942" i="9"/>
  <c r="AC942" i="9"/>
  <c r="AB942" i="9"/>
  <c r="AA942" i="9"/>
  <c r="Z942" i="9"/>
  <c r="Y942" i="9"/>
  <c r="X942" i="9"/>
  <c r="W942" i="9"/>
  <c r="V942" i="9"/>
  <c r="U942" i="9"/>
  <c r="T942" i="9"/>
  <c r="S942" i="9"/>
  <c r="R942" i="9"/>
  <c r="Q942" i="9"/>
  <c r="P942" i="9"/>
  <c r="O942" i="9"/>
  <c r="M942" i="9"/>
  <c r="L942" i="9"/>
  <c r="K942" i="9"/>
  <c r="J942" i="9"/>
  <c r="I942" i="9"/>
  <c r="H942" i="9"/>
  <c r="G942" i="9"/>
  <c r="F942" i="9"/>
  <c r="E942" i="9"/>
  <c r="D942" i="9"/>
  <c r="C942" i="9"/>
  <c r="B942" i="9"/>
  <c r="AJ941" i="9"/>
  <c r="AI941" i="9"/>
  <c r="AH941" i="9"/>
  <c r="AG941" i="9"/>
  <c r="AF941" i="9"/>
  <c r="AE941" i="9"/>
  <c r="AD941" i="9"/>
  <c r="AC941" i="9"/>
  <c r="AB941" i="9"/>
  <c r="AA941" i="9"/>
  <c r="Z941" i="9"/>
  <c r="Y941" i="9"/>
  <c r="X941" i="9"/>
  <c r="W941" i="9"/>
  <c r="V941" i="9"/>
  <c r="U941" i="9"/>
  <c r="T941" i="9"/>
  <c r="S941" i="9"/>
  <c r="R941" i="9"/>
  <c r="Q941" i="9"/>
  <c r="P941" i="9"/>
  <c r="O941" i="9"/>
  <c r="M941" i="9"/>
  <c r="L941" i="9"/>
  <c r="K941" i="9"/>
  <c r="J941" i="9"/>
  <c r="I941" i="9"/>
  <c r="H941" i="9"/>
  <c r="G941" i="9"/>
  <c r="F941" i="9"/>
  <c r="E941" i="9"/>
  <c r="D941" i="9"/>
  <c r="C941" i="9"/>
  <c r="B941" i="9"/>
  <c r="AJ940" i="9"/>
  <c r="AI940" i="9"/>
  <c r="AH940" i="9"/>
  <c r="AG940" i="9"/>
  <c r="AF940" i="9"/>
  <c r="AE940" i="9"/>
  <c r="AD940" i="9"/>
  <c r="AC940" i="9"/>
  <c r="AB940" i="9"/>
  <c r="AA940" i="9"/>
  <c r="Z940" i="9"/>
  <c r="Y940" i="9"/>
  <c r="X940" i="9"/>
  <c r="W940" i="9"/>
  <c r="V940" i="9"/>
  <c r="U940" i="9"/>
  <c r="T940" i="9"/>
  <c r="S940" i="9"/>
  <c r="R940" i="9"/>
  <c r="Q940" i="9"/>
  <c r="P940" i="9"/>
  <c r="O940" i="9"/>
  <c r="M940" i="9"/>
  <c r="L940" i="9"/>
  <c r="K940" i="9"/>
  <c r="J940" i="9"/>
  <c r="I940" i="9"/>
  <c r="H940" i="9"/>
  <c r="G940" i="9"/>
  <c r="F940" i="9"/>
  <c r="E940" i="9"/>
  <c r="D940" i="9"/>
  <c r="C940" i="9"/>
  <c r="B940" i="9"/>
  <c r="AJ939" i="9"/>
  <c r="AI939" i="9"/>
  <c r="AH939" i="9"/>
  <c r="AG939" i="9"/>
  <c r="AF939" i="9"/>
  <c r="AE939" i="9"/>
  <c r="AD939" i="9"/>
  <c r="AC939" i="9"/>
  <c r="AB939" i="9"/>
  <c r="AA939" i="9"/>
  <c r="Z939" i="9"/>
  <c r="Y939" i="9"/>
  <c r="X939" i="9"/>
  <c r="W939" i="9"/>
  <c r="V939" i="9"/>
  <c r="U939" i="9"/>
  <c r="T939" i="9"/>
  <c r="S939" i="9"/>
  <c r="R939" i="9"/>
  <c r="Q939" i="9"/>
  <c r="P939" i="9"/>
  <c r="O939" i="9"/>
  <c r="M939" i="9"/>
  <c r="L939" i="9"/>
  <c r="K939" i="9"/>
  <c r="J939" i="9"/>
  <c r="I939" i="9"/>
  <c r="H939" i="9"/>
  <c r="G939" i="9"/>
  <c r="F939" i="9"/>
  <c r="E939" i="9"/>
  <c r="D939" i="9"/>
  <c r="C939" i="9"/>
  <c r="B939" i="9"/>
  <c r="AJ938" i="9"/>
  <c r="AI938" i="9"/>
  <c r="AH938" i="9"/>
  <c r="AG938" i="9"/>
  <c r="AF938" i="9"/>
  <c r="AE938" i="9"/>
  <c r="AD938" i="9"/>
  <c r="AC938" i="9"/>
  <c r="AB938" i="9"/>
  <c r="AA938" i="9"/>
  <c r="Z938" i="9"/>
  <c r="Y938" i="9"/>
  <c r="X938" i="9"/>
  <c r="W938" i="9"/>
  <c r="V938" i="9"/>
  <c r="U938" i="9"/>
  <c r="T938" i="9"/>
  <c r="S938" i="9"/>
  <c r="R938" i="9"/>
  <c r="Q938" i="9"/>
  <c r="P938" i="9"/>
  <c r="O938" i="9"/>
  <c r="M938" i="9"/>
  <c r="L938" i="9"/>
  <c r="K938" i="9"/>
  <c r="J938" i="9"/>
  <c r="I938" i="9"/>
  <c r="H938" i="9"/>
  <c r="G938" i="9"/>
  <c r="F938" i="9"/>
  <c r="E938" i="9"/>
  <c r="D938" i="9"/>
  <c r="C938" i="9"/>
  <c r="B938" i="9"/>
  <c r="AJ937" i="9"/>
  <c r="AI937" i="9"/>
  <c r="AH937" i="9"/>
  <c r="AG937" i="9"/>
  <c r="AF937" i="9"/>
  <c r="AE937" i="9"/>
  <c r="AD937" i="9"/>
  <c r="AC937" i="9"/>
  <c r="AB937" i="9"/>
  <c r="AA937" i="9"/>
  <c r="Z937" i="9"/>
  <c r="Y937" i="9"/>
  <c r="X937" i="9"/>
  <c r="W937" i="9"/>
  <c r="V937" i="9"/>
  <c r="U937" i="9"/>
  <c r="T937" i="9"/>
  <c r="S937" i="9"/>
  <c r="R937" i="9"/>
  <c r="Q937" i="9"/>
  <c r="P937" i="9"/>
  <c r="O937" i="9"/>
  <c r="M937" i="9"/>
  <c r="L937" i="9"/>
  <c r="K937" i="9"/>
  <c r="J937" i="9"/>
  <c r="I937" i="9"/>
  <c r="H937" i="9"/>
  <c r="G937" i="9"/>
  <c r="F937" i="9"/>
  <c r="E937" i="9"/>
  <c r="D937" i="9"/>
  <c r="C937" i="9"/>
  <c r="B937" i="9"/>
  <c r="AJ936" i="9"/>
  <c r="AI936" i="9"/>
  <c r="AH936" i="9"/>
  <c r="AG936" i="9"/>
  <c r="AF936" i="9"/>
  <c r="AE936" i="9"/>
  <c r="AD936" i="9"/>
  <c r="AC936" i="9"/>
  <c r="AB936" i="9"/>
  <c r="AA936" i="9"/>
  <c r="Z936" i="9"/>
  <c r="Y936" i="9"/>
  <c r="X936" i="9"/>
  <c r="W936" i="9"/>
  <c r="V936" i="9"/>
  <c r="U936" i="9"/>
  <c r="T936" i="9"/>
  <c r="S936" i="9"/>
  <c r="R936" i="9"/>
  <c r="Q936" i="9"/>
  <c r="P936" i="9"/>
  <c r="O936" i="9"/>
  <c r="M936" i="9"/>
  <c r="L936" i="9"/>
  <c r="K936" i="9"/>
  <c r="J936" i="9"/>
  <c r="I936" i="9"/>
  <c r="H936" i="9"/>
  <c r="G936" i="9"/>
  <c r="F936" i="9"/>
  <c r="E936" i="9"/>
  <c r="D936" i="9"/>
  <c r="C936" i="9"/>
  <c r="B936" i="9"/>
  <c r="AJ935" i="9"/>
  <c r="AI935" i="9"/>
  <c r="AH935" i="9"/>
  <c r="AG935" i="9"/>
  <c r="AF935" i="9"/>
  <c r="AE935" i="9"/>
  <c r="AD935" i="9"/>
  <c r="AC935" i="9"/>
  <c r="AB935" i="9"/>
  <c r="AA935" i="9"/>
  <c r="Z935" i="9"/>
  <c r="Y935" i="9"/>
  <c r="X935" i="9"/>
  <c r="W935" i="9"/>
  <c r="V935" i="9"/>
  <c r="U935" i="9"/>
  <c r="T935" i="9"/>
  <c r="S935" i="9"/>
  <c r="R935" i="9"/>
  <c r="Q935" i="9"/>
  <c r="P935" i="9"/>
  <c r="O935" i="9"/>
  <c r="M935" i="9"/>
  <c r="L935" i="9"/>
  <c r="K935" i="9"/>
  <c r="J935" i="9"/>
  <c r="I935" i="9"/>
  <c r="H935" i="9"/>
  <c r="G935" i="9"/>
  <c r="F935" i="9"/>
  <c r="E935" i="9"/>
  <c r="D935" i="9"/>
  <c r="C935" i="9"/>
  <c r="B935" i="9"/>
  <c r="AJ934" i="9"/>
  <c r="AI934" i="9"/>
  <c r="AH934" i="9"/>
  <c r="AG934" i="9"/>
  <c r="AF934" i="9"/>
  <c r="AE934" i="9"/>
  <c r="AD934" i="9"/>
  <c r="AC934" i="9"/>
  <c r="AB934" i="9"/>
  <c r="AA934" i="9"/>
  <c r="Z934" i="9"/>
  <c r="Y934" i="9"/>
  <c r="X934" i="9"/>
  <c r="W934" i="9"/>
  <c r="V934" i="9"/>
  <c r="U934" i="9"/>
  <c r="T934" i="9"/>
  <c r="S934" i="9"/>
  <c r="R934" i="9"/>
  <c r="Q934" i="9"/>
  <c r="P934" i="9"/>
  <c r="O934" i="9"/>
  <c r="M934" i="9"/>
  <c r="L934" i="9"/>
  <c r="K934" i="9"/>
  <c r="J934" i="9"/>
  <c r="I934" i="9"/>
  <c r="H934" i="9"/>
  <c r="G934" i="9"/>
  <c r="F934" i="9"/>
  <c r="E934" i="9"/>
  <c r="D934" i="9"/>
  <c r="C934" i="9"/>
  <c r="B934" i="9"/>
  <c r="AJ933" i="9"/>
  <c r="AI933" i="9"/>
  <c r="AH933" i="9"/>
  <c r="AG933" i="9"/>
  <c r="AF933" i="9"/>
  <c r="AE933" i="9"/>
  <c r="AD933" i="9"/>
  <c r="AC933" i="9"/>
  <c r="AB933" i="9"/>
  <c r="AA933" i="9"/>
  <c r="Z933" i="9"/>
  <c r="Y933" i="9"/>
  <c r="X933" i="9"/>
  <c r="W933" i="9"/>
  <c r="V933" i="9"/>
  <c r="U933" i="9"/>
  <c r="T933" i="9"/>
  <c r="S933" i="9"/>
  <c r="R933" i="9"/>
  <c r="Q933" i="9"/>
  <c r="P933" i="9"/>
  <c r="O933" i="9"/>
  <c r="M933" i="9"/>
  <c r="L933" i="9"/>
  <c r="K933" i="9"/>
  <c r="J933" i="9"/>
  <c r="I933" i="9"/>
  <c r="H933" i="9"/>
  <c r="G933" i="9"/>
  <c r="F933" i="9"/>
  <c r="E933" i="9"/>
  <c r="D933" i="9"/>
  <c r="C933" i="9"/>
  <c r="B933" i="9"/>
  <c r="AJ932" i="9"/>
  <c r="AI932" i="9"/>
  <c r="AH932" i="9"/>
  <c r="AG932" i="9"/>
  <c r="AF932" i="9"/>
  <c r="AE932" i="9"/>
  <c r="AD932" i="9"/>
  <c r="AC932" i="9"/>
  <c r="AB932" i="9"/>
  <c r="AA932" i="9"/>
  <c r="Z932" i="9"/>
  <c r="Y932" i="9"/>
  <c r="X932" i="9"/>
  <c r="W932" i="9"/>
  <c r="V932" i="9"/>
  <c r="U932" i="9"/>
  <c r="T932" i="9"/>
  <c r="S932" i="9"/>
  <c r="R932" i="9"/>
  <c r="Q932" i="9"/>
  <c r="P932" i="9"/>
  <c r="O932" i="9"/>
  <c r="M932" i="9"/>
  <c r="L932" i="9"/>
  <c r="K932" i="9"/>
  <c r="J932" i="9"/>
  <c r="I932" i="9"/>
  <c r="H932" i="9"/>
  <c r="G932" i="9"/>
  <c r="F932" i="9"/>
  <c r="E932" i="9"/>
  <c r="D932" i="9"/>
  <c r="C932" i="9"/>
  <c r="B932" i="9"/>
  <c r="AJ931" i="9"/>
  <c r="AI931" i="9"/>
  <c r="AH931" i="9"/>
  <c r="AG931" i="9"/>
  <c r="AF931" i="9"/>
  <c r="AE931" i="9"/>
  <c r="AD931" i="9"/>
  <c r="AC931" i="9"/>
  <c r="AB931" i="9"/>
  <c r="AA931" i="9"/>
  <c r="Z931" i="9"/>
  <c r="Y931" i="9"/>
  <c r="X931" i="9"/>
  <c r="W931" i="9"/>
  <c r="V931" i="9"/>
  <c r="U931" i="9"/>
  <c r="T931" i="9"/>
  <c r="S931" i="9"/>
  <c r="R931" i="9"/>
  <c r="Q931" i="9"/>
  <c r="P931" i="9"/>
  <c r="O931" i="9"/>
  <c r="M931" i="9"/>
  <c r="L931" i="9"/>
  <c r="K931" i="9"/>
  <c r="J931" i="9"/>
  <c r="I931" i="9"/>
  <c r="H931" i="9"/>
  <c r="G931" i="9"/>
  <c r="F931" i="9"/>
  <c r="E931" i="9"/>
  <c r="D931" i="9"/>
  <c r="C931" i="9"/>
  <c r="B931" i="9"/>
  <c r="AJ930" i="9"/>
  <c r="AI930" i="9"/>
  <c r="AH930" i="9"/>
  <c r="AG930" i="9"/>
  <c r="AF930" i="9"/>
  <c r="AE930" i="9"/>
  <c r="AD930" i="9"/>
  <c r="AC930" i="9"/>
  <c r="AB930" i="9"/>
  <c r="AA930" i="9"/>
  <c r="Z930" i="9"/>
  <c r="Y930" i="9"/>
  <c r="X930" i="9"/>
  <c r="W930" i="9"/>
  <c r="V930" i="9"/>
  <c r="U930" i="9"/>
  <c r="T930" i="9"/>
  <c r="S930" i="9"/>
  <c r="R930" i="9"/>
  <c r="Q930" i="9"/>
  <c r="P930" i="9"/>
  <c r="O930" i="9"/>
  <c r="M930" i="9"/>
  <c r="L930" i="9"/>
  <c r="K930" i="9"/>
  <c r="J930" i="9"/>
  <c r="I930" i="9"/>
  <c r="H930" i="9"/>
  <c r="G930" i="9"/>
  <c r="F930" i="9"/>
  <c r="E930" i="9"/>
  <c r="D930" i="9"/>
  <c r="C930" i="9"/>
  <c r="B930" i="9"/>
  <c r="AJ929" i="9"/>
  <c r="AI929" i="9"/>
  <c r="AH929" i="9"/>
  <c r="AG929" i="9"/>
  <c r="AF929" i="9"/>
  <c r="AE929" i="9"/>
  <c r="AD929" i="9"/>
  <c r="AC929" i="9"/>
  <c r="AB929" i="9"/>
  <c r="AA929" i="9"/>
  <c r="Z929" i="9"/>
  <c r="Y929" i="9"/>
  <c r="X929" i="9"/>
  <c r="W929" i="9"/>
  <c r="V929" i="9"/>
  <c r="U929" i="9"/>
  <c r="T929" i="9"/>
  <c r="S929" i="9"/>
  <c r="R929" i="9"/>
  <c r="Q929" i="9"/>
  <c r="P929" i="9"/>
  <c r="O929" i="9"/>
  <c r="M929" i="9"/>
  <c r="L929" i="9"/>
  <c r="K929" i="9"/>
  <c r="J929" i="9"/>
  <c r="I929" i="9"/>
  <c r="H929" i="9"/>
  <c r="G929" i="9"/>
  <c r="F929" i="9"/>
  <c r="E929" i="9"/>
  <c r="D929" i="9"/>
  <c r="C929" i="9"/>
  <c r="B929" i="9"/>
  <c r="AJ928" i="9"/>
  <c r="AI928" i="9"/>
  <c r="AH928" i="9"/>
  <c r="AG928" i="9"/>
  <c r="AF928" i="9"/>
  <c r="AE928" i="9"/>
  <c r="AD928" i="9"/>
  <c r="AC928" i="9"/>
  <c r="AB928" i="9"/>
  <c r="AA928" i="9"/>
  <c r="Z928" i="9"/>
  <c r="Y928" i="9"/>
  <c r="X928" i="9"/>
  <c r="W928" i="9"/>
  <c r="V928" i="9"/>
  <c r="U928" i="9"/>
  <c r="T928" i="9"/>
  <c r="S928" i="9"/>
  <c r="R928" i="9"/>
  <c r="Q928" i="9"/>
  <c r="P928" i="9"/>
  <c r="O928" i="9"/>
  <c r="M928" i="9"/>
  <c r="L928" i="9"/>
  <c r="K928" i="9"/>
  <c r="J928" i="9"/>
  <c r="I928" i="9"/>
  <c r="H928" i="9"/>
  <c r="G928" i="9"/>
  <c r="F928" i="9"/>
  <c r="E928" i="9"/>
  <c r="D928" i="9"/>
  <c r="C928" i="9"/>
  <c r="B928" i="9"/>
  <c r="AJ927" i="9"/>
  <c r="AI927" i="9"/>
  <c r="AH927" i="9"/>
  <c r="AG927" i="9"/>
  <c r="AF927" i="9"/>
  <c r="AE927" i="9"/>
  <c r="AD927" i="9"/>
  <c r="AC927" i="9"/>
  <c r="AB927" i="9"/>
  <c r="AA927" i="9"/>
  <c r="Z927" i="9"/>
  <c r="Y927" i="9"/>
  <c r="X927" i="9"/>
  <c r="W927" i="9"/>
  <c r="V927" i="9"/>
  <c r="U927" i="9"/>
  <c r="T927" i="9"/>
  <c r="S927" i="9"/>
  <c r="R927" i="9"/>
  <c r="Q927" i="9"/>
  <c r="P927" i="9"/>
  <c r="O927" i="9"/>
  <c r="M927" i="9"/>
  <c r="L927" i="9"/>
  <c r="K927" i="9"/>
  <c r="J927" i="9"/>
  <c r="I927" i="9"/>
  <c r="H927" i="9"/>
  <c r="G927" i="9"/>
  <c r="F927" i="9"/>
  <c r="E927" i="9"/>
  <c r="D927" i="9"/>
  <c r="C927" i="9"/>
  <c r="B927" i="9"/>
  <c r="AJ926" i="9"/>
  <c r="AI926" i="9"/>
  <c r="AH926" i="9"/>
  <c r="AG926" i="9"/>
  <c r="AF926" i="9"/>
  <c r="AE926" i="9"/>
  <c r="AD926" i="9"/>
  <c r="AC926" i="9"/>
  <c r="AB926" i="9"/>
  <c r="AA926" i="9"/>
  <c r="Z926" i="9"/>
  <c r="Y926" i="9"/>
  <c r="X926" i="9"/>
  <c r="W926" i="9"/>
  <c r="V926" i="9"/>
  <c r="U926" i="9"/>
  <c r="T926" i="9"/>
  <c r="S926" i="9"/>
  <c r="R926" i="9"/>
  <c r="Q926" i="9"/>
  <c r="P926" i="9"/>
  <c r="O926" i="9"/>
  <c r="M926" i="9"/>
  <c r="L926" i="9"/>
  <c r="K926" i="9"/>
  <c r="J926" i="9"/>
  <c r="I926" i="9"/>
  <c r="H926" i="9"/>
  <c r="G926" i="9"/>
  <c r="F926" i="9"/>
  <c r="E926" i="9"/>
  <c r="D926" i="9"/>
  <c r="C926" i="9"/>
  <c r="B926" i="9"/>
  <c r="AJ925" i="9"/>
  <c r="AI925" i="9"/>
  <c r="AH925" i="9"/>
  <c r="AG925" i="9"/>
  <c r="AF925" i="9"/>
  <c r="AE925" i="9"/>
  <c r="AD925" i="9"/>
  <c r="AC925" i="9"/>
  <c r="AB925" i="9"/>
  <c r="AA925" i="9"/>
  <c r="Z925" i="9"/>
  <c r="Y925" i="9"/>
  <c r="X925" i="9"/>
  <c r="W925" i="9"/>
  <c r="V925" i="9"/>
  <c r="U925" i="9"/>
  <c r="T925" i="9"/>
  <c r="S925" i="9"/>
  <c r="R925" i="9"/>
  <c r="Q925" i="9"/>
  <c r="P925" i="9"/>
  <c r="O925" i="9"/>
  <c r="M925" i="9"/>
  <c r="L925" i="9"/>
  <c r="K925" i="9"/>
  <c r="J925" i="9"/>
  <c r="I925" i="9"/>
  <c r="H925" i="9"/>
  <c r="G925" i="9"/>
  <c r="F925" i="9"/>
  <c r="E925" i="9"/>
  <c r="D925" i="9"/>
  <c r="C925" i="9"/>
  <c r="B925" i="9"/>
  <c r="AJ924" i="9"/>
  <c r="AI924" i="9"/>
  <c r="AH924" i="9"/>
  <c r="AG924" i="9"/>
  <c r="AF924" i="9"/>
  <c r="AE924" i="9"/>
  <c r="AD924" i="9"/>
  <c r="AC924" i="9"/>
  <c r="AB924" i="9"/>
  <c r="AA924" i="9"/>
  <c r="Z924" i="9"/>
  <c r="Y924" i="9"/>
  <c r="X924" i="9"/>
  <c r="W924" i="9"/>
  <c r="V924" i="9"/>
  <c r="U924" i="9"/>
  <c r="T924" i="9"/>
  <c r="S924" i="9"/>
  <c r="R924" i="9"/>
  <c r="Q924" i="9"/>
  <c r="P924" i="9"/>
  <c r="O924" i="9"/>
  <c r="M924" i="9"/>
  <c r="L924" i="9"/>
  <c r="K924" i="9"/>
  <c r="J924" i="9"/>
  <c r="I924" i="9"/>
  <c r="H924" i="9"/>
  <c r="G924" i="9"/>
  <c r="F924" i="9"/>
  <c r="E924" i="9"/>
  <c r="D924" i="9"/>
  <c r="C924" i="9"/>
  <c r="B924" i="9"/>
  <c r="AJ923" i="9"/>
  <c r="AI923" i="9"/>
  <c r="AH923" i="9"/>
  <c r="AG923" i="9"/>
  <c r="AF923" i="9"/>
  <c r="AE923" i="9"/>
  <c r="AD923" i="9"/>
  <c r="AC923" i="9"/>
  <c r="AB923" i="9"/>
  <c r="AA923" i="9"/>
  <c r="Z923" i="9"/>
  <c r="Y923" i="9"/>
  <c r="X923" i="9"/>
  <c r="W923" i="9"/>
  <c r="V923" i="9"/>
  <c r="U923" i="9"/>
  <c r="T923" i="9"/>
  <c r="S923" i="9"/>
  <c r="R923" i="9"/>
  <c r="Q923" i="9"/>
  <c r="P923" i="9"/>
  <c r="O923" i="9"/>
  <c r="M923" i="9"/>
  <c r="L923" i="9"/>
  <c r="K923" i="9"/>
  <c r="J923" i="9"/>
  <c r="I923" i="9"/>
  <c r="H923" i="9"/>
  <c r="G923" i="9"/>
  <c r="F923" i="9"/>
  <c r="E923" i="9"/>
  <c r="D923" i="9"/>
  <c r="C923" i="9"/>
  <c r="B923" i="9"/>
  <c r="AJ922" i="9"/>
  <c r="AI922" i="9"/>
  <c r="AH922" i="9"/>
  <c r="AG922" i="9"/>
  <c r="AF922" i="9"/>
  <c r="AE922" i="9"/>
  <c r="AD922" i="9"/>
  <c r="AC922" i="9"/>
  <c r="AB922" i="9"/>
  <c r="AA922" i="9"/>
  <c r="Z922" i="9"/>
  <c r="Y922" i="9"/>
  <c r="X922" i="9"/>
  <c r="W922" i="9"/>
  <c r="V922" i="9"/>
  <c r="U922" i="9"/>
  <c r="T922" i="9"/>
  <c r="S922" i="9"/>
  <c r="R922" i="9"/>
  <c r="Q922" i="9"/>
  <c r="P922" i="9"/>
  <c r="O922" i="9"/>
  <c r="M922" i="9"/>
  <c r="L922" i="9"/>
  <c r="K922" i="9"/>
  <c r="J922" i="9"/>
  <c r="I922" i="9"/>
  <c r="H922" i="9"/>
  <c r="G922" i="9"/>
  <c r="F922" i="9"/>
  <c r="E922" i="9"/>
  <c r="D922" i="9"/>
  <c r="C922" i="9"/>
  <c r="B922" i="9"/>
  <c r="AJ921" i="9"/>
  <c r="AI921" i="9"/>
  <c r="AH921" i="9"/>
  <c r="AG921" i="9"/>
  <c r="AF921" i="9"/>
  <c r="AE921" i="9"/>
  <c r="AD921" i="9"/>
  <c r="AC921" i="9"/>
  <c r="AB921" i="9"/>
  <c r="AA921" i="9"/>
  <c r="Z921" i="9"/>
  <c r="Y921" i="9"/>
  <c r="X921" i="9"/>
  <c r="W921" i="9"/>
  <c r="V921" i="9"/>
  <c r="U921" i="9"/>
  <c r="T921" i="9"/>
  <c r="S921" i="9"/>
  <c r="R921" i="9"/>
  <c r="Q921" i="9"/>
  <c r="P921" i="9"/>
  <c r="O921" i="9"/>
  <c r="M921" i="9"/>
  <c r="L921" i="9"/>
  <c r="K921" i="9"/>
  <c r="J921" i="9"/>
  <c r="I921" i="9"/>
  <c r="H921" i="9"/>
  <c r="G921" i="9"/>
  <c r="F921" i="9"/>
  <c r="E921" i="9"/>
  <c r="D921" i="9"/>
  <c r="C921" i="9"/>
  <c r="B921" i="9"/>
  <c r="AJ920" i="9"/>
  <c r="AI920" i="9"/>
  <c r="AH920" i="9"/>
  <c r="AG920" i="9"/>
  <c r="AF920" i="9"/>
  <c r="AE920" i="9"/>
  <c r="AD920" i="9"/>
  <c r="AC920" i="9"/>
  <c r="AB920" i="9"/>
  <c r="AA920" i="9"/>
  <c r="Z920" i="9"/>
  <c r="Y920" i="9"/>
  <c r="X920" i="9"/>
  <c r="W920" i="9"/>
  <c r="V920" i="9"/>
  <c r="U920" i="9"/>
  <c r="T920" i="9"/>
  <c r="S920" i="9"/>
  <c r="R920" i="9"/>
  <c r="Q920" i="9"/>
  <c r="P920" i="9"/>
  <c r="O920" i="9"/>
  <c r="M920" i="9"/>
  <c r="L920" i="9"/>
  <c r="K920" i="9"/>
  <c r="J920" i="9"/>
  <c r="I920" i="9"/>
  <c r="H920" i="9"/>
  <c r="G920" i="9"/>
  <c r="F920" i="9"/>
  <c r="E920" i="9"/>
  <c r="D920" i="9"/>
  <c r="C920" i="9"/>
  <c r="B920" i="9"/>
  <c r="AJ919" i="9"/>
  <c r="AI919" i="9"/>
  <c r="AH919" i="9"/>
  <c r="AG919" i="9"/>
  <c r="AF919" i="9"/>
  <c r="AE919" i="9"/>
  <c r="AD919" i="9"/>
  <c r="AC919" i="9"/>
  <c r="AB919" i="9"/>
  <c r="AA919" i="9"/>
  <c r="Z919" i="9"/>
  <c r="Y919" i="9"/>
  <c r="X919" i="9"/>
  <c r="W919" i="9"/>
  <c r="V919" i="9"/>
  <c r="U919" i="9"/>
  <c r="T919" i="9"/>
  <c r="S919" i="9"/>
  <c r="R919" i="9"/>
  <c r="Q919" i="9"/>
  <c r="P919" i="9"/>
  <c r="O919" i="9"/>
  <c r="M919" i="9"/>
  <c r="L919" i="9"/>
  <c r="K919" i="9"/>
  <c r="J919" i="9"/>
  <c r="I919" i="9"/>
  <c r="H919" i="9"/>
  <c r="G919" i="9"/>
  <c r="F919" i="9"/>
  <c r="E919" i="9"/>
  <c r="D919" i="9"/>
  <c r="C919" i="9"/>
  <c r="B919" i="9"/>
  <c r="AJ918" i="9"/>
  <c r="AI918" i="9"/>
  <c r="AH918" i="9"/>
  <c r="AG918" i="9"/>
  <c r="AF918" i="9"/>
  <c r="AE918" i="9"/>
  <c r="AD918" i="9"/>
  <c r="AC918" i="9"/>
  <c r="AB918" i="9"/>
  <c r="AA918" i="9"/>
  <c r="Z918" i="9"/>
  <c r="Y918" i="9"/>
  <c r="X918" i="9"/>
  <c r="W918" i="9"/>
  <c r="V918" i="9"/>
  <c r="U918" i="9"/>
  <c r="T918" i="9"/>
  <c r="S918" i="9"/>
  <c r="R918" i="9"/>
  <c r="Q918" i="9"/>
  <c r="P918" i="9"/>
  <c r="O918" i="9"/>
  <c r="M918" i="9"/>
  <c r="L918" i="9"/>
  <c r="K918" i="9"/>
  <c r="J918" i="9"/>
  <c r="I918" i="9"/>
  <c r="H918" i="9"/>
  <c r="G918" i="9"/>
  <c r="F918" i="9"/>
  <c r="E918" i="9"/>
  <c r="D918" i="9"/>
  <c r="C918" i="9"/>
  <c r="B918" i="9"/>
  <c r="AJ917" i="9"/>
  <c r="AI917" i="9"/>
  <c r="AH917" i="9"/>
  <c r="AG917" i="9"/>
  <c r="AF917" i="9"/>
  <c r="AE917" i="9"/>
  <c r="AD917" i="9"/>
  <c r="AC917" i="9"/>
  <c r="AB917" i="9"/>
  <c r="AA917" i="9"/>
  <c r="Z917" i="9"/>
  <c r="Y917" i="9"/>
  <c r="X917" i="9"/>
  <c r="W917" i="9"/>
  <c r="V917" i="9"/>
  <c r="U917" i="9"/>
  <c r="T917" i="9"/>
  <c r="S917" i="9"/>
  <c r="R917" i="9"/>
  <c r="Q917" i="9"/>
  <c r="P917" i="9"/>
  <c r="O917" i="9"/>
  <c r="M917" i="9"/>
  <c r="L917" i="9"/>
  <c r="K917" i="9"/>
  <c r="J917" i="9"/>
  <c r="I917" i="9"/>
  <c r="H917" i="9"/>
  <c r="G917" i="9"/>
  <c r="F917" i="9"/>
  <c r="E917" i="9"/>
  <c r="D917" i="9"/>
  <c r="C917" i="9"/>
  <c r="B917" i="9"/>
  <c r="AJ916" i="9"/>
  <c r="AI916" i="9"/>
  <c r="AH916" i="9"/>
  <c r="AG916" i="9"/>
  <c r="AF916" i="9"/>
  <c r="AE916" i="9"/>
  <c r="AD916" i="9"/>
  <c r="AC916" i="9"/>
  <c r="AB916" i="9"/>
  <c r="AA916" i="9"/>
  <c r="Z916" i="9"/>
  <c r="Y916" i="9"/>
  <c r="X916" i="9"/>
  <c r="W916" i="9"/>
  <c r="V916" i="9"/>
  <c r="U916" i="9"/>
  <c r="T916" i="9"/>
  <c r="S916" i="9"/>
  <c r="R916" i="9"/>
  <c r="Q916" i="9"/>
  <c r="P916" i="9"/>
  <c r="O916" i="9"/>
  <c r="M916" i="9"/>
  <c r="L916" i="9"/>
  <c r="K916" i="9"/>
  <c r="J916" i="9"/>
  <c r="I916" i="9"/>
  <c r="H916" i="9"/>
  <c r="G916" i="9"/>
  <c r="F916" i="9"/>
  <c r="E916" i="9"/>
  <c r="D916" i="9"/>
  <c r="C916" i="9"/>
  <c r="B916" i="9"/>
  <c r="AJ915" i="9"/>
  <c r="AI915" i="9"/>
  <c r="AH915" i="9"/>
  <c r="AG915" i="9"/>
  <c r="AF915" i="9"/>
  <c r="AE915" i="9"/>
  <c r="AD915" i="9"/>
  <c r="AC915" i="9"/>
  <c r="AB915" i="9"/>
  <c r="AA915" i="9"/>
  <c r="Z915" i="9"/>
  <c r="Y915" i="9"/>
  <c r="X915" i="9"/>
  <c r="W915" i="9"/>
  <c r="V915" i="9"/>
  <c r="U915" i="9"/>
  <c r="T915" i="9"/>
  <c r="S915" i="9"/>
  <c r="R915" i="9"/>
  <c r="Q915" i="9"/>
  <c r="P915" i="9"/>
  <c r="O915" i="9"/>
  <c r="M915" i="9"/>
  <c r="L915" i="9"/>
  <c r="K915" i="9"/>
  <c r="J915" i="9"/>
  <c r="I915" i="9"/>
  <c r="H915" i="9"/>
  <c r="G915" i="9"/>
  <c r="F915" i="9"/>
  <c r="E915" i="9"/>
  <c r="D915" i="9"/>
  <c r="C915" i="9"/>
  <c r="B915" i="9"/>
  <c r="AJ914" i="9"/>
  <c r="AI914" i="9"/>
  <c r="AH914" i="9"/>
  <c r="AG914" i="9"/>
  <c r="AF914" i="9"/>
  <c r="AE914" i="9"/>
  <c r="AD914" i="9"/>
  <c r="AC914" i="9"/>
  <c r="AB914" i="9"/>
  <c r="AA914" i="9"/>
  <c r="Z914" i="9"/>
  <c r="Y914" i="9"/>
  <c r="X914" i="9"/>
  <c r="W914" i="9"/>
  <c r="V914" i="9"/>
  <c r="U914" i="9"/>
  <c r="T914" i="9"/>
  <c r="S914" i="9"/>
  <c r="R914" i="9"/>
  <c r="Q914" i="9"/>
  <c r="P914" i="9"/>
  <c r="O914" i="9"/>
  <c r="M914" i="9"/>
  <c r="L914" i="9"/>
  <c r="K914" i="9"/>
  <c r="J914" i="9"/>
  <c r="I914" i="9"/>
  <c r="H914" i="9"/>
  <c r="G914" i="9"/>
  <c r="F914" i="9"/>
  <c r="E914" i="9"/>
  <c r="D914" i="9"/>
  <c r="C914" i="9"/>
  <c r="B914" i="9"/>
  <c r="AJ913" i="9"/>
  <c r="AI913" i="9"/>
  <c r="AH913" i="9"/>
  <c r="AG913" i="9"/>
  <c r="AF913" i="9"/>
  <c r="AE913" i="9"/>
  <c r="AD913" i="9"/>
  <c r="AC913" i="9"/>
  <c r="AB913" i="9"/>
  <c r="AA913" i="9"/>
  <c r="Z913" i="9"/>
  <c r="Y913" i="9"/>
  <c r="X913" i="9"/>
  <c r="W913" i="9"/>
  <c r="V913" i="9"/>
  <c r="U913" i="9"/>
  <c r="T913" i="9"/>
  <c r="S913" i="9"/>
  <c r="R913" i="9"/>
  <c r="Q913" i="9"/>
  <c r="P913" i="9"/>
  <c r="O913" i="9"/>
  <c r="M913" i="9"/>
  <c r="L913" i="9"/>
  <c r="K913" i="9"/>
  <c r="J913" i="9"/>
  <c r="I913" i="9"/>
  <c r="H913" i="9"/>
  <c r="G913" i="9"/>
  <c r="F913" i="9"/>
  <c r="E913" i="9"/>
  <c r="D913" i="9"/>
  <c r="C913" i="9"/>
  <c r="B913" i="9"/>
  <c r="AJ912" i="9"/>
  <c r="AI912" i="9"/>
  <c r="AH912" i="9"/>
  <c r="AG912" i="9"/>
  <c r="AF912" i="9"/>
  <c r="AE912" i="9"/>
  <c r="AD912" i="9"/>
  <c r="AC912" i="9"/>
  <c r="AB912" i="9"/>
  <c r="AA912" i="9"/>
  <c r="Z912" i="9"/>
  <c r="Y912" i="9"/>
  <c r="X912" i="9"/>
  <c r="W912" i="9"/>
  <c r="V912" i="9"/>
  <c r="U912" i="9"/>
  <c r="T912" i="9"/>
  <c r="S912" i="9"/>
  <c r="R912" i="9"/>
  <c r="Q912" i="9"/>
  <c r="P912" i="9"/>
  <c r="O912" i="9"/>
  <c r="M912" i="9"/>
  <c r="L912" i="9"/>
  <c r="K912" i="9"/>
  <c r="J912" i="9"/>
  <c r="I912" i="9"/>
  <c r="H912" i="9"/>
  <c r="G912" i="9"/>
  <c r="F912" i="9"/>
  <c r="E912" i="9"/>
  <c r="D912" i="9"/>
  <c r="C912" i="9"/>
  <c r="B912" i="9"/>
  <c r="AJ911" i="9"/>
  <c r="AI911" i="9"/>
  <c r="AH911" i="9"/>
  <c r="AG911" i="9"/>
  <c r="AF911" i="9"/>
  <c r="AE911" i="9"/>
  <c r="AD911" i="9"/>
  <c r="AC911" i="9"/>
  <c r="AB911" i="9"/>
  <c r="AA911" i="9"/>
  <c r="Z911" i="9"/>
  <c r="Y911" i="9"/>
  <c r="X911" i="9"/>
  <c r="W911" i="9"/>
  <c r="V911" i="9"/>
  <c r="U911" i="9"/>
  <c r="T911" i="9"/>
  <c r="S911" i="9"/>
  <c r="R911" i="9"/>
  <c r="Q911" i="9"/>
  <c r="P911" i="9"/>
  <c r="O911" i="9"/>
  <c r="M911" i="9"/>
  <c r="L911" i="9"/>
  <c r="K911" i="9"/>
  <c r="J911" i="9"/>
  <c r="I911" i="9"/>
  <c r="H911" i="9"/>
  <c r="G911" i="9"/>
  <c r="F911" i="9"/>
  <c r="E911" i="9"/>
  <c r="D911" i="9"/>
  <c r="C911" i="9"/>
  <c r="B911" i="9"/>
  <c r="AJ910" i="9"/>
  <c r="AI910" i="9"/>
  <c r="AH910" i="9"/>
  <c r="AG910" i="9"/>
  <c r="AF910" i="9"/>
  <c r="AE910" i="9"/>
  <c r="AD910" i="9"/>
  <c r="AC910" i="9"/>
  <c r="AB910" i="9"/>
  <c r="AA910" i="9"/>
  <c r="Z910" i="9"/>
  <c r="Y910" i="9"/>
  <c r="X910" i="9"/>
  <c r="W910" i="9"/>
  <c r="V910" i="9"/>
  <c r="U910" i="9"/>
  <c r="T910" i="9"/>
  <c r="S910" i="9"/>
  <c r="R910" i="9"/>
  <c r="Q910" i="9"/>
  <c r="P910" i="9"/>
  <c r="O910" i="9"/>
  <c r="M910" i="9"/>
  <c r="L910" i="9"/>
  <c r="K910" i="9"/>
  <c r="J910" i="9"/>
  <c r="I910" i="9"/>
  <c r="H910" i="9"/>
  <c r="G910" i="9"/>
  <c r="F910" i="9"/>
  <c r="E910" i="9"/>
  <c r="D910" i="9"/>
  <c r="C910" i="9"/>
  <c r="B910" i="9"/>
  <c r="AJ909" i="9"/>
  <c r="AI909" i="9"/>
  <c r="AH909" i="9"/>
  <c r="AG909" i="9"/>
  <c r="AF909" i="9"/>
  <c r="AE909" i="9"/>
  <c r="AD909" i="9"/>
  <c r="AC909" i="9"/>
  <c r="AB909" i="9"/>
  <c r="AA909" i="9"/>
  <c r="Z909" i="9"/>
  <c r="Y909" i="9"/>
  <c r="X909" i="9"/>
  <c r="W909" i="9"/>
  <c r="V909" i="9"/>
  <c r="U909" i="9"/>
  <c r="T909" i="9"/>
  <c r="S909" i="9"/>
  <c r="R909" i="9"/>
  <c r="Q909" i="9"/>
  <c r="P909" i="9"/>
  <c r="O909" i="9"/>
  <c r="M909" i="9"/>
  <c r="L909" i="9"/>
  <c r="K909" i="9"/>
  <c r="J909" i="9"/>
  <c r="I909" i="9"/>
  <c r="H909" i="9"/>
  <c r="G909" i="9"/>
  <c r="F909" i="9"/>
  <c r="E909" i="9"/>
  <c r="D909" i="9"/>
  <c r="C909" i="9"/>
  <c r="B909" i="9"/>
  <c r="AJ908" i="9"/>
  <c r="AI908" i="9"/>
  <c r="AH908" i="9"/>
  <c r="AG908" i="9"/>
  <c r="AF908" i="9"/>
  <c r="AE908" i="9"/>
  <c r="AD908" i="9"/>
  <c r="AC908" i="9"/>
  <c r="AB908" i="9"/>
  <c r="AA908" i="9"/>
  <c r="Z908" i="9"/>
  <c r="Y908" i="9"/>
  <c r="X908" i="9"/>
  <c r="W908" i="9"/>
  <c r="V908" i="9"/>
  <c r="U908" i="9"/>
  <c r="T908" i="9"/>
  <c r="S908" i="9"/>
  <c r="R908" i="9"/>
  <c r="Q908" i="9"/>
  <c r="P908" i="9"/>
  <c r="O908" i="9"/>
  <c r="M908" i="9"/>
  <c r="L908" i="9"/>
  <c r="K908" i="9"/>
  <c r="J908" i="9"/>
  <c r="I908" i="9"/>
  <c r="H908" i="9"/>
  <c r="G908" i="9"/>
  <c r="F908" i="9"/>
  <c r="E908" i="9"/>
  <c r="D908" i="9"/>
  <c r="C908" i="9"/>
  <c r="B908" i="9"/>
  <c r="AJ907" i="9"/>
  <c r="AI907" i="9"/>
  <c r="AH907" i="9"/>
  <c r="AG907" i="9"/>
  <c r="AF907" i="9"/>
  <c r="AE907" i="9"/>
  <c r="AD907" i="9"/>
  <c r="AC907" i="9"/>
  <c r="AB907" i="9"/>
  <c r="AA907" i="9"/>
  <c r="Z907" i="9"/>
  <c r="Y907" i="9"/>
  <c r="X907" i="9"/>
  <c r="W907" i="9"/>
  <c r="V907" i="9"/>
  <c r="U907" i="9"/>
  <c r="T907" i="9"/>
  <c r="S907" i="9"/>
  <c r="R907" i="9"/>
  <c r="Q907" i="9"/>
  <c r="P907" i="9"/>
  <c r="O907" i="9"/>
  <c r="M907" i="9"/>
  <c r="L907" i="9"/>
  <c r="K907" i="9"/>
  <c r="J907" i="9"/>
  <c r="I907" i="9"/>
  <c r="H907" i="9"/>
  <c r="G907" i="9"/>
  <c r="F907" i="9"/>
  <c r="E907" i="9"/>
  <c r="D907" i="9"/>
  <c r="C907" i="9"/>
  <c r="B907" i="9"/>
  <c r="AJ906" i="9"/>
  <c r="AI906" i="9"/>
  <c r="AH906" i="9"/>
  <c r="AG906" i="9"/>
  <c r="AF906" i="9"/>
  <c r="AE906" i="9"/>
  <c r="AD906" i="9"/>
  <c r="AC906" i="9"/>
  <c r="AB906" i="9"/>
  <c r="AA906" i="9"/>
  <c r="Z906" i="9"/>
  <c r="Y906" i="9"/>
  <c r="X906" i="9"/>
  <c r="W906" i="9"/>
  <c r="V906" i="9"/>
  <c r="U906" i="9"/>
  <c r="T906" i="9"/>
  <c r="S906" i="9"/>
  <c r="R906" i="9"/>
  <c r="Q906" i="9"/>
  <c r="P906" i="9"/>
  <c r="O906" i="9"/>
  <c r="M906" i="9"/>
  <c r="L906" i="9"/>
  <c r="K906" i="9"/>
  <c r="J906" i="9"/>
  <c r="I906" i="9"/>
  <c r="H906" i="9"/>
  <c r="G906" i="9"/>
  <c r="F906" i="9"/>
  <c r="E906" i="9"/>
  <c r="D906" i="9"/>
  <c r="C906" i="9"/>
  <c r="B906" i="9"/>
  <c r="AJ905" i="9"/>
  <c r="AI905" i="9"/>
  <c r="AH905" i="9"/>
  <c r="AG905" i="9"/>
  <c r="AF905" i="9"/>
  <c r="AE905" i="9"/>
  <c r="AD905" i="9"/>
  <c r="AC905" i="9"/>
  <c r="AB905" i="9"/>
  <c r="AA905" i="9"/>
  <c r="Z905" i="9"/>
  <c r="Y905" i="9"/>
  <c r="X905" i="9"/>
  <c r="W905" i="9"/>
  <c r="V905" i="9"/>
  <c r="U905" i="9"/>
  <c r="T905" i="9"/>
  <c r="S905" i="9"/>
  <c r="R905" i="9"/>
  <c r="Q905" i="9"/>
  <c r="P905" i="9"/>
  <c r="O905" i="9"/>
  <c r="M905" i="9"/>
  <c r="L905" i="9"/>
  <c r="K905" i="9"/>
  <c r="J905" i="9"/>
  <c r="I905" i="9"/>
  <c r="H905" i="9"/>
  <c r="G905" i="9"/>
  <c r="F905" i="9"/>
  <c r="E905" i="9"/>
  <c r="D905" i="9"/>
  <c r="C905" i="9"/>
  <c r="B905" i="9"/>
  <c r="AJ904" i="9"/>
  <c r="AI904" i="9"/>
  <c r="AH904" i="9"/>
  <c r="AG904" i="9"/>
  <c r="AF904" i="9"/>
  <c r="AE904" i="9"/>
  <c r="AD904" i="9"/>
  <c r="AC904" i="9"/>
  <c r="AB904" i="9"/>
  <c r="AA904" i="9"/>
  <c r="Z904" i="9"/>
  <c r="Y904" i="9"/>
  <c r="X904" i="9"/>
  <c r="W904" i="9"/>
  <c r="V904" i="9"/>
  <c r="U904" i="9"/>
  <c r="T904" i="9"/>
  <c r="S904" i="9"/>
  <c r="R904" i="9"/>
  <c r="Q904" i="9"/>
  <c r="P904" i="9"/>
  <c r="O904" i="9"/>
  <c r="M904" i="9"/>
  <c r="L904" i="9"/>
  <c r="K904" i="9"/>
  <c r="J904" i="9"/>
  <c r="I904" i="9"/>
  <c r="H904" i="9"/>
  <c r="G904" i="9"/>
  <c r="F904" i="9"/>
  <c r="E904" i="9"/>
  <c r="D904" i="9"/>
  <c r="C904" i="9"/>
  <c r="B904" i="9"/>
  <c r="AJ903" i="9"/>
  <c r="AI903" i="9"/>
  <c r="AH903" i="9"/>
  <c r="AG903" i="9"/>
  <c r="AF903" i="9"/>
  <c r="AE903" i="9"/>
  <c r="AD903" i="9"/>
  <c r="AC903" i="9"/>
  <c r="AB903" i="9"/>
  <c r="AA903" i="9"/>
  <c r="Z903" i="9"/>
  <c r="Y903" i="9"/>
  <c r="X903" i="9"/>
  <c r="W903" i="9"/>
  <c r="V903" i="9"/>
  <c r="U903" i="9"/>
  <c r="T903" i="9"/>
  <c r="S903" i="9"/>
  <c r="R903" i="9"/>
  <c r="Q903" i="9"/>
  <c r="P903" i="9"/>
  <c r="O903" i="9"/>
  <c r="M903" i="9"/>
  <c r="L903" i="9"/>
  <c r="K903" i="9"/>
  <c r="J903" i="9"/>
  <c r="I903" i="9"/>
  <c r="H903" i="9"/>
  <c r="G903" i="9"/>
  <c r="F903" i="9"/>
  <c r="E903" i="9"/>
  <c r="D903" i="9"/>
  <c r="C903" i="9"/>
  <c r="B903" i="9"/>
  <c r="AJ902" i="9"/>
  <c r="AI902" i="9"/>
  <c r="AH902" i="9"/>
  <c r="AG902" i="9"/>
  <c r="AF902" i="9"/>
  <c r="AE902" i="9"/>
  <c r="AD902" i="9"/>
  <c r="AC902" i="9"/>
  <c r="AB902" i="9"/>
  <c r="AA902" i="9"/>
  <c r="Z902" i="9"/>
  <c r="Y902" i="9"/>
  <c r="X902" i="9"/>
  <c r="W902" i="9"/>
  <c r="V902" i="9"/>
  <c r="U902" i="9"/>
  <c r="T902" i="9"/>
  <c r="S902" i="9"/>
  <c r="R902" i="9"/>
  <c r="Q902" i="9"/>
  <c r="P902" i="9"/>
  <c r="O902" i="9"/>
  <c r="M902" i="9"/>
  <c r="L902" i="9"/>
  <c r="K902" i="9"/>
  <c r="J902" i="9"/>
  <c r="I902" i="9"/>
  <c r="H902" i="9"/>
  <c r="G902" i="9"/>
  <c r="F902" i="9"/>
  <c r="E902" i="9"/>
  <c r="D902" i="9"/>
  <c r="C902" i="9"/>
  <c r="B902" i="9"/>
  <c r="AJ901" i="9"/>
  <c r="AI901" i="9"/>
  <c r="AH901" i="9"/>
  <c r="AG901" i="9"/>
  <c r="AF901" i="9"/>
  <c r="AE901" i="9"/>
  <c r="AD901" i="9"/>
  <c r="AC901" i="9"/>
  <c r="AB901" i="9"/>
  <c r="AA901" i="9"/>
  <c r="Z901" i="9"/>
  <c r="Y901" i="9"/>
  <c r="X901" i="9"/>
  <c r="W901" i="9"/>
  <c r="V901" i="9"/>
  <c r="U901" i="9"/>
  <c r="T901" i="9"/>
  <c r="S901" i="9"/>
  <c r="R901" i="9"/>
  <c r="Q901" i="9"/>
  <c r="P901" i="9"/>
  <c r="O901" i="9"/>
  <c r="M901" i="9"/>
  <c r="L901" i="9"/>
  <c r="K901" i="9"/>
  <c r="J901" i="9"/>
  <c r="I901" i="9"/>
  <c r="H901" i="9"/>
  <c r="G901" i="9"/>
  <c r="F901" i="9"/>
  <c r="E901" i="9"/>
  <c r="D901" i="9"/>
  <c r="C901" i="9"/>
  <c r="B901" i="9"/>
  <c r="AJ900" i="9"/>
  <c r="AI900" i="9"/>
  <c r="AH900" i="9"/>
  <c r="AG900" i="9"/>
  <c r="AF900" i="9"/>
  <c r="AE900" i="9"/>
  <c r="AD900" i="9"/>
  <c r="AC900" i="9"/>
  <c r="AB900" i="9"/>
  <c r="AA900" i="9"/>
  <c r="Z900" i="9"/>
  <c r="Y900" i="9"/>
  <c r="X900" i="9"/>
  <c r="W900" i="9"/>
  <c r="V900" i="9"/>
  <c r="U900" i="9"/>
  <c r="T900" i="9"/>
  <c r="S900" i="9"/>
  <c r="R900" i="9"/>
  <c r="Q900" i="9"/>
  <c r="P900" i="9"/>
  <c r="O900" i="9"/>
  <c r="M900" i="9"/>
  <c r="L900" i="9"/>
  <c r="K900" i="9"/>
  <c r="J900" i="9"/>
  <c r="I900" i="9"/>
  <c r="H900" i="9"/>
  <c r="G900" i="9"/>
  <c r="F900" i="9"/>
  <c r="E900" i="9"/>
  <c r="D900" i="9"/>
  <c r="C900" i="9"/>
  <c r="B900" i="9"/>
  <c r="AJ899" i="9"/>
  <c r="AI899" i="9"/>
  <c r="AH899" i="9"/>
  <c r="AG899" i="9"/>
  <c r="AF899" i="9"/>
  <c r="AE899" i="9"/>
  <c r="AD899" i="9"/>
  <c r="AC899" i="9"/>
  <c r="AB899" i="9"/>
  <c r="AA899" i="9"/>
  <c r="Z899" i="9"/>
  <c r="Y899" i="9"/>
  <c r="X899" i="9"/>
  <c r="W899" i="9"/>
  <c r="V899" i="9"/>
  <c r="U899" i="9"/>
  <c r="T899" i="9"/>
  <c r="S899" i="9"/>
  <c r="R899" i="9"/>
  <c r="Q899" i="9"/>
  <c r="P899" i="9"/>
  <c r="O899" i="9"/>
  <c r="M899" i="9"/>
  <c r="L899" i="9"/>
  <c r="K899" i="9"/>
  <c r="J899" i="9"/>
  <c r="I899" i="9"/>
  <c r="H899" i="9"/>
  <c r="G899" i="9"/>
  <c r="F899" i="9"/>
  <c r="E899" i="9"/>
  <c r="D899" i="9"/>
  <c r="C899" i="9"/>
  <c r="B899" i="9"/>
  <c r="AJ898" i="9"/>
  <c r="AI898" i="9"/>
  <c r="AH898" i="9"/>
  <c r="AG898" i="9"/>
  <c r="AF898" i="9"/>
  <c r="AE898" i="9"/>
  <c r="AD898" i="9"/>
  <c r="AC898" i="9"/>
  <c r="AB898" i="9"/>
  <c r="AA898" i="9"/>
  <c r="Z898" i="9"/>
  <c r="Y898" i="9"/>
  <c r="X898" i="9"/>
  <c r="W898" i="9"/>
  <c r="V898" i="9"/>
  <c r="U898" i="9"/>
  <c r="T898" i="9"/>
  <c r="S898" i="9"/>
  <c r="R898" i="9"/>
  <c r="Q898" i="9"/>
  <c r="P898" i="9"/>
  <c r="O898" i="9"/>
  <c r="M898" i="9"/>
  <c r="L898" i="9"/>
  <c r="K898" i="9"/>
  <c r="J898" i="9"/>
  <c r="I898" i="9"/>
  <c r="H898" i="9"/>
  <c r="G898" i="9"/>
  <c r="F898" i="9"/>
  <c r="E898" i="9"/>
  <c r="D898" i="9"/>
  <c r="C898" i="9"/>
  <c r="B898" i="9"/>
  <c r="AJ897" i="9"/>
  <c r="AI897" i="9"/>
  <c r="AH897" i="9"/>
  <c r="AG897" i="9"/>
  <c r="AF897" i="9"/>
  <c r="AE897" i="9"/>
  <c r="AD897" i="9"/>
  <c r="AC897" i="9"/>
  <c r="AB897" i="9"/>
  <c r="AA897" i="9"/>
  <c r="Z897" i="9"/>
  <c r="Y897" i="9"/>
  <c r="X897" i="9"/>
  <c r="W897" i="9"/>
  <c r="V897" i="9"/>
  <c r="U897" i="9"/>
  <c r="T897" i="9"/>
  <c r="S897" i="9"/>
  <c r="R897" i="9"/>
  <c r="Q897" i="9"/>
  <c r="P897" i="9"/>
  <c r="O897" i="9"/>
  <c r="M897" i="9"/>
  <c r="L897" i="9"/>
  <c r="K897" i="9"/>
  <c r="J897" i="9"/>
  <c r="I897" i="9"/>
  <c r="H897" i="9"/>
  <c r="G897" i="9"/>
  <c r="F897" i="9"/>
  <c r="E897" i="9"/>
  <c r="D897" i="9"/>
  <c r="C897" i="9"/>
  <c r="B897" i="9"/>
  <c r="AJ896" i="9"/>
  <c r="AI896" i="9"/>
  <c r="AH896" i="9"/>
  <c r="AG896" i="9"/>
  <c r="AF896" i="9"/>
  <c r="AE896" i="9"/>
  <c r="AD896" i="9"/>
  <c r="AC896" i="9"/>
  <c r="AB896" i="9"/>
  <c r="AA896" i="9"/>
  <c r="Z896" i="9"/>
  <c r="Y896" i="9"/>
  <c r="X896" i="9"/>
  <c r="W896" i="9"/>
  <c r="V896" i="9"/>
  <c r="U896" i="9"/>
  <c r="T896" i="9"/>
  <c r="S896" i="9"/>
  <c r="R896" i="9"/>
  <c r="Q896" i="9"/>
  <c r="P896" i="9"/>
  <c r="O896" i="9"/>
  <c r="M896" i="9"/>
  <c r="L896" i="9"/>
  <c r="K896" i="9"/>
  <c r="J896" i="9"/>
  <c r="I896" i="9"/>
  <c r="H896" i="9"/>
  <c r="G896" i="9"/>
  <c r="F896" i="9"/>
  <c r="E896" i="9"/>
  <c r="D896" i="9"/>
  <c r="C896" i="9"/>
  <c r="B896" i="9"/>
  <c r="AJ895" i="9"/>
  <c r="AI895" i="9"/>
  <c r="AH895" i="9"/>
  <c r="AG895" i="9"/>
  <c r="AF895" i="9"/>
  <c r="AE895" i="9"/>
  <c r="AD895" i="9"/>
  <c r="AC895" i="9"/>
  <c r="AB895" i="9"/>
  <c r="AA895" i="9"/>
  <c r="Z895" i="9"/>
  <c r="Y895" i="9"/>
  <c r="X895" i="9"/>
  <c r="W895" i="9"/>
  <c r="V895" i="9"/>
  <c r="U895" i="9"/>
  <c r="T895" i="9"/>
  <c r="S895" i="9"/>
  <c r="R895" i="9"/>
  <c r="Q895" i="9"/>
  <c r="P895" i="9"/>
  <c r="O895" i="9"/>
  <c r="M895" i="9"/>
  <c r="L895" i="9"/>
  <c r="K895" i="9"/>
  <c r="J895" i="9"/>
  <c r="I895" i="9"/>
  <c r="H895" i="9"/>
  <c r="G895" i="9"/>
  <c r="F895" i="9"/>
  <c r="E895" i="9"/>
  <c r="D895" i="9"/>
  <c r="C895" i="9"/>
  <c r="B895" i="9"/>
  <c r="AJ894" i="9"/>
  <c r="AI894" i="9"/>
  <c r="AH894" i="9"/>
  <c r="AG894" i="9"/>
  <c r="AF894" i="9"/>
  <c r="AE894" i="9"/>
  <c r="AD894" i="9"/>
  <c r="AC894" i="9"/>
  <c r="AB894" i="9"/>
  <c r="AA894" i="9"/>
  <c r="Z894" i="9"/>
  <c r="Y894" i="9"/>
  <c r="X894" i="9"/>
  <c r="W894" i="9"/>
  <c r="V894" i="9"/>
  <c r="U894" i="9"/>
  <c r="T894" i="9"/>
  <c r="S894" i="9"/>
  <c r="R894" i="9"/>
  <c r="Q894" i="9"/>
  <c r="P894" i="9"/>
  <c r="O894" i="9"/>
  <c r="M894" i="9"/>
  <c r="L894" i="9"/>
  <c r="K894" i="9"/>
  <c r="J894" i="9"/>
  <c r="I894" i="9"/>
  <c r="H894" i="9"/>
  <c r="G894" i="9"/>
  <c r="F894" i="9"/>
  <c r="E894" i="9"/>
  <c r="D894" i="9"/>
  <c r="C894" i="9"/>
  <c r="B894" i="9"/>
  <c r="AJ893" i="9"/>
  <c r="AI893" i="9"/>
  <c r="AH893" i="9"/>
  <c r="AG893" i="9"/>
  <c r="AF893" i="9"/>
  <c r="AE893" i="9"/>
  <c r="AD893" i="9"/>
  <c r="AC893" i="9"/>
  <c r="AB893" i="9"/>
  <c r="AA893" i="9"/>
  <c r="Z893" i="9"/>
  <c r="Y893" i="9"/>
  <c r="X893" i="9"/>
  <c r="W893" i="9"/>
  <c r="V893" i="9"/>
  <c r="U893" i="9"/>
  <c r="T893" i="9"/>
  <c r="S893" i="9"/>
  <c r="R893" i="9"/>
  <c r="Q893" i="9"/>
  <c r="P893" i="9"/>
  <c r="O893" i="9"/>
  <c r="M893" i="9"/>
  <c r="L893" i="9"/>
  <c r="K893" i="9"/>
  <c r="J893" i="9"/>
  <c r="I893" i="9"/>
  <c r="H893" i="9"/>
  <c r="G893" i="9"/>
  <c r="F893" i="9"/>
  <c r="E893" i="9"/>
  <c r="D893" i="9"/>
  <c r="C893" i="9"/>
  <c r="B893" i="9"/>
  <c r="AJ892" i="9"/>
  <c r="AI892" i="9"/>
  <c r="AH892" i="9"/>
  <c r="AG892" i="9"/>
  <c r="AF892" i="9"/>
  <c r="AE892" i="9"/>
  <c r="AD892" i="9"/>
  <c r="AC892" i="9"/>
  <c r="AB892" i="9"/>
  <c r="AA892" i="9"/>
  <c r="Z892" i="9"/>
  <c r="Y892" i="9"/>
  <c r="X892" i="9"/>
  <c r="W892" i="9"/>
  <c r="V892" i="9"/>
  <c r="U892" i="9"/>
  <c r="T892" i="9"/>
  <c r="S892" i="9"/>
  <c r="R892" i="9"/>
  <c r="Q892" i="9"/>
  <c r="P892" i="9"/>
  <c r="O892" i="9"/>
  <c r="M892" i="9"/>
  <c r="L892" i="9"/>
  <c r="K892" i="9"/>
  <c r="J892" i="9"/>
  <c r="I892" i="9"/>
  <c r="H892" i="9"/>
  <c r="G892" i="9"/>
  <c r="F892" i="9"/>
  <c r="E892" i="9"/>
  <c r="D892" i="9"/>
  <c r="C892" i="9"/>
  <c r="B892" i="9"/>
  <c r="AJ891" i="9"/>
  <c r="AI891" i="9"/>
  <c r="AH891" i="9"/>
  <c r="AG891" i="9"/>
  <c r="AF891" i="9"/>
  <c r="AE891" i="9"/>
  <c r="AD891" i="9"/>
  <c r="AC891" i="9"/>
  <c r="AB891" i="9"/>
  <c r="AA891" i="9"/>
  <c r="Z891" i="9"/>
  <c r="Y891" i="9"/>
  <c r="X891" i="9"/>
  <c r="W891" i="9"/>
  <c r="V891" i="9"/>
  <c r="U891" i="9"/>
  <c r="T891" i="9"/>
  <c r="S891" i="9"/>
  <c r="R891" i="9"/>
  <c r="Q891" i="9"/>
  <c r="P891" i="9"/>
  <c r="O891" i="9"/>
  <c r="M891" i="9"/>
  <c r="L891" i="9"/>
  <c r="K891" i="9"/>
  <c r="J891" i="9"/>
  <c r="I891" i="9"/>
  <c r="H891" i="9"/>
  <c r="G891" i="9"/>
  <c r="F891" i="9"/>
  <c r="E891" i="9"/>
  <c r="D891" i="9"/>
  <c r="C891" i="9"/>
  <c r="B891" i="9"/>
  <c r="AJ890" i="9"/>
  <c r="AI890" i="9"/>
  <c r="AH890" i="9"/>
  <c r="AG890" i="9"/>
  <c r="AF890" i="9"/>
  <c r="AE890" i="9"/>
  <c r="AD890" i="9"/>
  <c r="AC890" i="9"/>
  <c r="AB890" i="9"/>
  <c r="AA890" i="9"/>
  <c r="Z890" i="9"/>
  <c r="Y890" i="9"/>
  <c r="X890" i="9"/>
  <c r="W890" i="9"/>
  <c r="V890" i="9"/>
  <c r="U890" i="9"/>
  <c r="T890" i="9"/>
  <c r="S890" i="9"/>
  <c r="R890" i="9"/>
  <c r="Q890" i="9"/>
  <c r="P890" i="9"/>
  <c r="O890" i="9"/>
  <c r="M890" i="9"/>
  <c r="L890" i="9"/>
  <c r="K890" i="9"/>
  <c r="J890" i="9"/>
  <c r="I890" i="9"/>
  <c r="H890" i="9"/>
  <c r="G890" i="9"/>
  <c r="F890" i="9"/>
  <c r="E890" i="9"/>
  <c r="D890" i="9"/>
  <c r="C890" i="9"/>
  <c r="B890" i="9"/>
  <c r="AJ889" i="9"/>
  <c r="AI889" i="9"/>
  <c r="AH889" i="9"/>
  <c r="AG889" i="9"/>
  <c r="AF889" i="9"/>
  <c r="AE889" i="9"/>
  <c r="AD889" i="9"/>
  <c r="AC889" i="9"/>
  <c r="AB889" i="9"/>
  <c r="AA889" i="9"/>
  <c r="Z889" i="9"/>
  <c r="Y889" i="9"/>
  <c r="X889" i="9"/>
  <c r="W889" i="9"/>
  <c r="V889" i="9"/>
  <c r="U889" i="9"/>
  <c r="T889" i="9"/>
  <c r="S889" i="9"/>
  <c r="R889" i="9"/>
  <c r="Q889" i="9"/>
  <c r="P889" i="9"/>
  <c r="O889" i="9"/>
  <c r="M889" i="9"/>
  <c r="L889" i="9"/>
  <c r="K889" i="9"/>
  <c r="J889" i="9"/>
  <c r="I889" i="9"/>
  <c r="H889" i="9"/>
  <c r="G889" i="9"/>
  <c r="F889" i="9"/>
  <c r="E889" i="9"/>
  <c r="D889" i="9"/>
  <c r="C889" i="9"/>
  <c r="B889" i="9"/>
  <c r="AJ888" i="9"/>
  <c r="AI888" i="9"/>
  <c r="AH888" i="9"/>
  <c r="AG888" i="9"/>
  <c r="AF888" i="9"/>
  <c r="AE888" i="9"/>
  <c r="AD888" i="9"/>
  <c r="AC888" i="9"/>
  <c r="AB888" i="9"/>
  <c r="AA888" i="9"/>
  <c r="Z888" i="9"/>
  <c r="Y888" i="9"/>
  <c r="X888" i="9"/>
  <c r="W888" i="9"/>
  <c r="V888" i="9"/>
  <c r="U888" i="9"/>
  <c r="T888" i="9"/>
  <c r="S888" i="9"/>
  <c r="R888" i="9"/>
  <c r="Q888" i="9"/>
  <c r="P888" i="9"/>
  <c r="O888" i="9"/>
  <c r="M888" i="9"/>
  <c r="L888" i="9"/>
  <c r="K888" i="9"/>
  <c r="J888" i="9"/>
  <c r="I888" i="9"/>
  <c r="H888" i="9"/>
  <c r="G888" i="9"/>
  <c r="F888" i="9"/>
  <c r="E888" i="9"/>
  <c r="D888" i="9"/>
  <c r="C888" i="9"/>
  <c r="B888" i="9"/>
  <c r="AJ887" i="9"/>
  <c r="AI887" i="9"/>
  <c r="AH887" i="9"/>
  <c r="AG887" i="9"/>
  <c r="AF887" i="9"/>
  <c r="AE887" i="9"/>
  <c r="AD887" i="9"/>
  <c r="AC887" i="9"/>
  <c r="AB887" i="9"/>
  <c r="AA887" i="9"/>
  <c r="Z887" i="9"/>
  <c r="Y887" i="9"/>
  <c r="X887" i="9"/>
  <c r="W887" i="9"/>
  <c r="V887" i="9"/>
  <c r="U887" i="9"/>
  <c r="T887" i="9"/>
  <c r="S887" i="9"/>
  <c r="R887" i="9"/>
  <c r="Q887" i="9"/>
  <c r="P887" i="9"/>
  <c r="O887" i="9"/>
  <c r="M887" i="9"/>
  <c r="L887" i="9"/>
  <c r="K887" i="9"/>
  <c r="J887" i="9"/>
  <c r="I887" i="9"/>
  <c r="H887" i="9"/>
  <c r="G887" i="9"/>
  <c r="F887" i="9"/>
  <c r="E887" i="9"/>
  <c r="D887" i="9"/>
  <c r="C887" i="9"/>
  <c r="B887" i="9"/>
  <c r="AJ886" i="9"/>
  <c r="AI886" i="9"/>
  <c r="AH886" i="9"/>
  <c r="AG886" i="9"/>
  <c r="AF886" i="9"/>
  <c r="AE886" i="9"/>
  <c r="AD886" i="9"/>
  <c r="AC886" i="9"/>
  <c r="AB886" i="9"/>
  <c r="AA886" i="9"/>
  <c r="Z886" i="9"/>
  <c r="Y886" i="9"/>
  <c r="X886" i="9"/>
  <c r="W886" i="9"/>
  <c r="V886" i="9"/>
  <c r="U886" i="9"/>
  <c r="T886" i="9"/>
  <c r="S886" i="9"/>
  <c r="R886" i="9"/>
  <c r="Q886" i="9"/>
  <c r="P886" i="9"/>
  <c r="O886" i="9"/>
  <c r="M886" i="9"/>
  <c r="L886" i="9"/>
  <c r="K886" i="9"/>
  <c r="J886" i="9"/>
  <c r="I886" i="9"/>
  <c r="H886" i="9"/>
  <c r="G886" i="9"/>
  <c r="F886" i="9"/>
  <c r="E886" i="9"/>
  <c r="D886" i="9"/>
  <c r="C886" i="9"/>
  <c r="B886" i="9"/>
  <c r="AJ885" i="9"/>
  <c r="AI885" i="9"/>
  <c r="AH885" i="9"/>
  <c r="AG885" i="9"/>
  <c r="AF885" i="9"/>
  <c r="AE885" i="9"/>
  <c r="AD885" i="9"/>
  <c r="AC885" i="9"/>
  <c r="AB885" i="9"/>
  <c r="AA885" i="9"/>
  <c r="Z885" i="9"/>
  <c r="Y885" i="9"/>
  <c r="X885" i="9"/>
  <c r="W885" i="9"/>
  <c r="V885" i="9"/>
  <c r="U885" i="9"/>
  <c r="T885" i="9"/>
  <c r="S885" i="9"/>
  <c r="R885" i="9"/>
  <c r="Q885" i="9"/>
  <c r="P885" i="9"/>
  <c r="O885" i="9"/>
  <c r="M885" i="9"/>
  <c r="L885" i="9"/>
  <c r="K885" i="9"/>
  <c r="J885" i="9"/>
  <c r="I885" i="9"/>
  <c r="H885" i="9"/>
  <c r="G885" i="9"/>
  <c r="F885" i="9"/>
  <c r="E885" i="9"/>
  <c r="D885" i="9"/>
  <c r="C885" i="9"/>
  <c r="B885" i="9"/>
  <c r="AJ884" i="9"/>
  <c r="AI884" i="9"/>
  <c r="AH884" i="9"/>
  <c r="AG884" i="9"/>
  <c r="AF884" i="9"/>
  <c r="AE884" i="9"/>
  <c r="AD884" i="9"/>
  <c r="AC884" i="9"/>
  <c r="AB884" i="9"/>
  <c r="AA884" i="9"/>
  <c r="Z884" i="9"/>
  <c r="Y884" i="9"/>
  <c r="X884" i="9"/>
  <c r="W884" i="9"/>
  <c r="V884" i="9"/>
  <c r="U884" i="9"/>
  <c r="T884" i="9"/>
  <c r="S884" i="9"/>
  <c r="R884" i="9"/>
  <c r="Q884" i="9"/>
  <c r="P884" i="9"/>
  <c r="O884" i="9"/>
  <c r="M884" i="9"/>
  <c r="L884" i="9"/>
  <c r="K884" i="9"/>
  <c r="J884" i="9"/>
  <c r="I884" i="9"/>
  <c r="H884" i="9"/>
  <c r="G884" i="9"/>
  <c r="F884" i="9"/>
  <c r="E884" i="9"/>
  <c r="D884" i="9"/>
  <c r="C884" i="9"/>
  <c r="B884" i="9"/>
  <c r="AJ883" i="9"/>
  <c r="AI883" i="9"/>
  <c r="AH883" i="9"/>
  <c r="AG883" i="9"/>
  <c r="AF883" i="9"/>
  <c r="AE883" i="9"/>
  <c r="AD883" i="9"/>
  <c r="AC883" i="9"/>
  <c r="AB883" i="9"/>
  <c r="AA883" i="9"/>
  <c r="Z883" i="9"/>
  <c r="Y883" i="9"/>
  <c r="X883" i="9"/>
  <c r="W883" i="9"/>
  <c r="V883" i="9"/>
  <c r="U883" i="9"/>
  <c r="T883" i="9"/>
  <c r="S883" i="9"/>
  <c r="R883" i="9"/>
  <c r="Q883" i="9"/>
  <c r="P883" i="9"/>
  <c r="O883" i="9"/>
  <c r="M883" i="9"/>
  <c r="L883" i="9"/>
  <c r="K883" i="9"/>
  <c r="J883" i="9"/>
  <c r="I883" i="9"/>
  <c r="H883" i="9"/>
  <c r="G883" i="9"/>
  <c r="F883" i="9"/>
  <c r="E883" i="9"/>
  <c r="D883" i="9"/>
  <c r="C883" i="9"/>
  <c r="B883" i="9"/>
  <c r="AJ882" i="9"/>
  <c r="AI882" i="9"/>
  <c r="AH882" i="9"/>
  <c r="AG882" i="9"/>
  <c r="AF882" i="9"/>
  <c r="AE882" i="9"/>
  <c r="AD882" i="9"/>
  <c r="AC882" i="9"/>
  <c r="AB882" i="9"/>
  <c r="AA882" i="9"/>
  <c r="Z882" i="9"/>
  <c r="Y882" i="9"/>
  <c r="X882" i="9"/>
  <c r="W882" i="9"/>
  <c r="V882" i="9"/>
  <c r="U882" i="9"/>
  <c r="T882" i="9"/>
  <c r="S882" i="9"/>
  <c r="R882" i="9"/>
  <c r="Q882" i="9"/>
  <c r="P882" i="9"/>
  <c r="O882" i="9"/>
  <c r="M882" i="9"/>
  <c r="L882" i="9"/>
  <c r="K882" i="9"/>
  <c r="J882" i="9"/>
  <c r="I882" i="9"/>
  <c r="H882" i="9"/>
  <c r="G882" i="9"/>
  <c r="F882" i="9"/>
  <c r="E882" i="9"/>
  <c r="D882" i="9"/>
  <c r="C882" i="9"/>
  <c r="B882" i="9"/>
  <c r="AJ881" i="9"/>
  <c r="AI881" i="9"/>
  <c r="AH881" i="9"/>
  <c r="AG881" i="9"/>
  <c r="AF881" i="9"/>
  <c r="AE881" i="9"/>
  <c r="AD881" i="9"/>
  <c r="AC881" i="9"/>
  <c r="AB881" i="9"/>
  <c r="AA881" i="9"/>
  <c r="Z881" i="9"/>
  <c r="Y881" i="9"/>
  <c r="X881" i="9"/>
  <c r="W881" i="9"/>
  <c r="V881" i="9"/>
  <c r="U881" i="9"/>
  <c r="T881" i="9"/>
  <c r="S881" i="9"/>
  <c r="R881" i="9"/>
  <c r="Q881" i="9"/>
  <c r="P881" i="9"/>
  <c r="O881" i="9"/>
  <c r="M881" i="9"/>
  <c r="L881" i="9"/>
  <c r="K881" i="9"/>
  <c r="J881" i="9"/>
  <c r="I881" i="9"/>
  <c r="H881" i="9"/>
  <c r="G881" i="9"/>
  <c r="F881" i="9"/>
  <c r="E881" i="9"/>
  <c r="D881" i="9"/>
  <c r="C881" i="9"/>
  <c r="B881" i="9"/>
  <c r="AJ880" i="9"/>
  <c r="AI880" i="9"/>
  <c r="AH880" i="9"/>
  <c r="AG880" i="9"/>
  <c r="AF880" i="9"/>
  <c r="AE880" i="9"/>
  <c r="AD880" i="9"/>
  <c r="AC880" i="9"/>
  <c r="AB880" i="9"/>
  <c r="AA880" i="9"/>
  <c r="Z880" i="9"/>
  <c r="Y880" i="9"/>
  <c r="X880" i="9"/>
  <c r="W880" i="9"/>
  <c r="V880" i="9"/>
  <c r="U880" i="9"/>
  <c r="T880" i="9"/>
  <c r="S880" i="9"/>
  <c r="R880" i="9"/>
  <c r="Q880" i="9"/>
  <c r="P880" i="9"/>
  <c r="O880" i="9"/>
  <c r="M880" i="9"/>
  <c r="L880" i="9"/>
  <c r="K880" i="9"/>
  <c r="J880" i="9"/>
  <c r="I880" i="9"/>
  <c r="H880" i="9"/>
  <c r="G880" i="9"/>
  <c r="F880" i="9"/>
  <c r="E880" i="9"/>
  <c r="D880" i="9"/>
  <c r="C880" i="9"/>
  <c r="B880" i="9"/>
  <c r="AJ879" i="9"/>
  <c r="AI879" i="9"/>
  <c r="AH879" i="9"/>
  <c r="AG879" i="9"/>
  <c r="AF879" i="9"/>
  <c r="AE879" i="9"/>
  <c r="AD879" i="9"/>
  <c r="AC879" i="9"/>
  <c r="AB879" i="9"/>
  <c r="AA879" i="9"/>
  <c r="Z879" i="9"/>
  <c r="Y879" i="9"/>
  <c r="X879" i="9"/>
  <c r="W879" i="9"/>
  <c r="V879" i="9"/>
  <c r="U879" i="9"/>
  <c r="T879" i="9"/>
  <c r="S879" i="9"/>
  <c r="R879" i="9"/>
  <c r="Q879" i="9"/>
  <c r="P879" i="9"/>
  <c r="O879" i="9"/>
  <c r="M879" i="9"/>
  <c r="L879" i="9"/>
  <c r="K879" i="9"/>
  <c r="J879" i="9"/>
  <c r="I879" i="9"/>
  <c r="H879" i="9"/>
  <c r="G879" i="9"/>
  <c r="F879" i="9"/>
  <c r="E879" i="9"/>
  <c r="D879" i="9"/>
  <c r="C879" i="9"/>
  <c r="B879" i="9"/>
  <c r="AJ878" i="9"/>
  <c r="AI878" i="9"/>
  <c r="AH878" i="9"/>
  <c r="AG878" i="9"/>
  <c r="AF878" i="9"/>
  <c r="AE878" i="9"/>
  <c r="AD878" i="9"/>
  <c r="AC878" i="9"/>
  <c r="AB878" i="9"/>
  <c r="AA878" i="9"/>
  <c r="Z878" i="9"/>
  <c r="Y878" i="9"/>
  <c r="X878" i="9"/>
  <c r="W878" i="9"/>
  <c r="V878" i="9"/>
  <c r="U878" i="9"/>
  <c r="T878" i="9"/>
  <c r="S878" i="9"/>
  <c r="R878" i="9"/>
  <c r="Q878" i="9"/>
  <c r="P878" i="9"/>
  <c r="O878" i="9"/>
  <c r="M878" i="9"/>
  <c r="L878" i="9"/>
  <c r="K878" i="9"/>
  <c r="J878" i="9"/>
  <c r="I878" i="9"/>
  <c r="H878" i="9"/>
  <c r="G878" i="9"/>
  <c r="F878" i="9"/>
  <c r="E878" i="9"/>
  <c r="D878" i="9"/>
  <c r="C878" i="9"/>
  <c r="B878" i="9"/>
  <c r="AJ877" i="9"/>
  <c r="AI877" i="9"/>
  <c r="AH877" i="9"/>
  <c r="AG877" i="9"/>
  <c r="AF877" i="9"/>
  <c r="AE877" i="9"/>
  <c r="AD877" i="9"/>
  <c r="AC877" i="9"/>
  <c r="AB877" i="9"/>
  <c r="AA877" i="9"/>
  <c r="Z877" i="9"/>
  <c r="Y877" i="9"/>
  <c r="X877" i="9"/>
  <c r="W877" i="9"/>
  <c r="V877" i="9"/>
  <c r="U877" i="9"/>
  <c r="T877" i="9"/>
  <c r="S877" i="9"/>
  <c r="R877" i="9"/>
  <c r="Q877" i="9"/>
  <c r="P877" i="9"/>
  <c r="O877" i="9"/>
  <c r="M877" i="9"/>
  <c r="L877" i="9"/>
  <c r="K877" i="9"/>
  <c r="J877" i="9"/>
  <c r="I877" i="9"/>
  <c r="H877" i="9"/>
  <c r="G877" i="9"/>
  <c r="F877" i="9"/>
  <c r="E877" i="9"/>
  <c r="D877" i="9"/>
  <c r="C877" i="9"/>
  <c r="B877" i="9"/>
  <c r="AJ876" i="9"/>
  <c r="AI876" i="9"/>
  <c r="AH876" i="9"/>
  <c r="AG876" i="9"/>
  <c r="AF876" i="9"/>
  <c r="AE876" i="9"/>
  <c r="AD876" i="9"/>
  <c r="AC876" i="9"/>
  <c r="AB876" i="9"/>
  <c r="AA876" i="9"/>
  <c r="Z876" i="9"/>
  <c r="Y876" i="9"/>
  <c r="X876" i="9"/>
  <c r="W876" i="9"/>
  <c r="V876" i="9"/>
  <c r="U876" i="9"/>
  <c r="T876" i="9"/>
  <c r="S876" i="9"/>
  <c r="R876" i="9"/>
  <c r="Q876" i="9"/>
  <c r="P876" i="9"/>
  <c r="O876" i="9"/>
  <c r="M876" i="9"/>
  <c r="L876" i="9"/>
  <c r="K876" i="9"/>
  <c r="J876" i="9"/>
  <c r="I876" i="9"/>
  <c r="H876" i="9"/>
  <c r="G876" i="9"/>
  <c r="F876" i="9"/>
  <c r="E876" i="9"/>
  <c r="D876" i="9"/>
  <c r="C876" i="9"/>
  <c r="B876" i="9"/>
  <c r="AJ875" i="9"/>
  <c r="AI875" i="9"/>
  <c r="AH875" i="9"/>
  <c r="AG875" i="9"/>
  <c r="AF875" i="9"/>
  <c r="AE875" i="9"/>
  <c r="AD875" i="9"/>
  <c r="AC875" i="9"/>
  <c r="AB875" i="9"/>
  <c r="AA875" i="9"/>
  <c r="Z875" i="9"/>
  <c r="Y875" i="9"/>
  <c r="X875" i="9"/>
  <c r="W875" i="9"/>
  <c r="V875" i="9"/>
  <c r="U875" i="9"/>
  <c r="T875" i="9"/>
  <c r="S875" i="9"/>
  <c r="R875" i="9"/>
  <c r="Q875" i="9"/>
  <c r="P875" i="9"/>
  <c r="O875" i="9"/>
  <c r="M875" i="9"/>
  <c r="L875" i="9"/>
  <c r="K875" i="9"/>
  <c r="J875" i="9"/>
  <c r="I875" i="9"/>
  <c r="H875" i="9"/>
  <c r="G875" i="9"/>
  <c r="F875" i="9"/>
  <c r="E875" i="9"/>
  <c r="D875" i="9"/>
  <c r="C875" i="9"/>
  <c r="B875" i="9"/>
  <c r="AJ874" i="9"/>
  <c r="AI874" i="9"/>
  <c r="AH874" i="9"/>
  <c r="AG874" i="9"/>
  <c r="AF874" i="9"/>
  <c r="AE874" i="9"/>
  <c r="AD874" i="9"/>
  <c r="AC874" i="9"/>
  <c r="AB874" i="9"/>
  <c r="AA874" i="9"/>
  <c r="Z874" i="9"/>
  <c r="Y874" i="9"/>
  <c r="X874" i="9"/>
  <c r="W874" i="9"/>
  <c r="V874" i="9"/>
  <c r="U874" i="9"/>
  <c r="T874" i="9"/>
  <c r="S874" i="9"/>
  <c r="R874" i="9"/>
  <c r="Q874" i="9"/>
  <c r="P874" i="9"/>
  <c r="O874" i="9"/>
  <c r="M874" i="9"/>
  <c r="L874" i="9"/>
  <c r="K874" i="9"/>
  <c r="J874" i="9"/>
  <c r="I874" i="9"/>
  <c r="H874" i="9"/>
  <c r="G874" i="9"/>
  <c r="F874" i="9"/>
  <c r="E874" i="9"/>
  <c r="D874" i="9"/>
  <c r="C874" i="9"/>
  <c r="B874" i="9"/>
  <c r="AJ873" i="9"/>
  <c r="AI873" i="9"/>
  <c r="AH873" i="9"/>
  <c r="AG873" i="9"/>
  <c r="AF873" i="9"/>
  <c r="AE873" i="9"/>
  <c r="AD873" i="9"/>
  <c r="AC873" i="9"/>
  <c r="AB873" i="9"/>
  <c r="AA873" i="9"/>
  <c r="Z873" i="9"/>
  <c r="Y873" i="9"/>
  <c r="X873" i="9"/>
  <c r="W873" i="9"/>
  <c r="V873" i="9"/>
  <c r="U873" i="9"/>
  <c r="T873" i="9"/>
  <c r="S873" i="9"/>
  <c r="R873" i="9"/>
  <c r="Q873" i="9"/>
  <c r="P873" i="9"/>
  <c r="O873" i="9"/>
  <c r="M873" i="9"/>
  <c r="L873" i="9"/>
  <c r="K873" i="9"/>
  <c r="J873" i="9"/>
  <c r="I873" i="9"/>
  <c r="H873" i="9"/>
  <c r="G873" i="9"/>
  <c r="F873" i="9"/>
  <c r="E873" i="9"/>
  <c r="D873" i="9"/>
  <c r="C873" i="9"/>
  <c r="B873" i="9"/>
  <c r="AJ872" i="9"/>
  <c r="AI872" i="9"/>
  <c r="AH872" i="9"/>
  <c r="AG872" i="9"/>
  <c r="AF872" i="9"/>
  <c r="AE872" i="9"/>
  <c r="AD872" i="9"/>
  <c r="AC872" i="9"/>
  <c r="AB872" i="9"/>
  <c r="AA872" i="9"/>
  <c r="Z872" i="9"/>
  <c r="Y872" i="9"/>
  <c r="X872" i="9"/>
  <c r="W872" i="9"/>
  <c r="V872" i="9"/>
  <c r="U872" i="9"/>
  <c r="T872" i="9"/>
  <c r="S872" i="9"/>
  <c r="R872" i="9"/>
  <c r="Q872" i="9"/>
  <c r="P872" i="9"/>
  <c r="O872" i="9"/>
  <c r="M872" i="9"/>
  <c r="L872" i="9"/>
  <c r="K872" i="9"/>
  <c r="J872" i="9"/>
  <c r="I872" i="9"/>
  <c r="H872" i="9"/>
  <c r="G872" i="9"/>
  <c r="F872" i="9"/>
  <c r="E872" i="9"/>
  <c r="D872" i="9"/>
  <c r="C872" i="9"/>
  <c r="B872" i="9"/>
  <c r="AJ871" i="9"/>
  <c r="AI871" i="9"/>
  <c r="AH871" i="9"/>
  <c r="AG871" i="9"/>
  <c r="AF871" i="9"/>
  <c r="AE871" i="9"/>
  <c r="AD871" i="9"/>
  <c r="AC871" i="9"/>
  <c r="AB871" i="9"/>
  <c r="AA871" i="9"/>
  <c r="Z871" i="9"/>
  <c r="Y871" i="9"/>
  <c r="X871" i="9"/>
  <c r="W871" i="9"/>
  <c r="V871" i="9"/>
  <c r="U871" i="9"/>
  <c r="T871" i="9"/>
  <c r="S871" i="9"/>
  <c r="R871" i="9"/>
  <c r="Q871" i="9"/>
  <c r="P871" i="9"/>
  <c r="O871" i="9"/>
  <c r="M871" i="9"/>
  <c r="L871" i="9"/>
  <c r="K871" i="9"/>
  <c r="J871" i="9"/>
  <c r="I871" i="9"/>
  <c r="H871" i="9"/>
  <c r="G871" i="9"/>
  <c r="F871" i="9"/>
  <c r="E871" i="9"/>
  <c r="D871" i="9"/>
  <c r="C871" i="9"/>
  <c r="B871" i="9"/>
  <c r="AJ870" i="9"/>
  <c r="AI870" i="9"/>
  <c r="AH870" i="9"/>
  <c r="AG870" i="9"/>
  <c r="AF870" i="9"/>
  <c r="AE870" i="9"/>
  <c r="AD870" i="9"/>
  <c r="AC870" i="9"/>
  <c r="AB870" i="9"/>
  <c r="AA870" i="9"/>
  <c r="Z870" i="9"/>
  <c r="Y870" i="9"/>
  <c r="X870" i="9"/>
  <c r="W870" i="9"/>
  <c r="V870" i="9"/>
  <c r="U870" i="9"/>
  <c r="T870" i="9"/>
  <c r="S870" i="9"/>
  <c r="R870" i="9"/>
  <c r="Q870" i="9"/>
  <c r="P870" i="9"/>
  <c r="O870" i="9"/>
  <c r="M870" i="9"/>
  <c r="L870" i="9"/>
  <c r="K870" i="9"/>
  <c r="J870" i="9"/>
  <c r="I870" i="9"/>
  <c r="H870" i="9"/>
  <c r="G870" i="9"/>
  <c r="F870" i="9"/>
  <c r="E870" i="9"/>
  <c r="D870" i="9"/>
  <c r="C870" i="9"/>
  <c r="B870" i="9"/>
  <c r="AJ869" i="9"/>
  <c r="AI869" i="9"/>
  <c r="AH869" i="9"/>
  <c r="AG869" i="9"/>
  <c r="AF869" i="9"/>
  <c r="AE869" i="9"/>
  <c r="AD869" i="9"/>
  <c r="AC869" i="9"/>
  <c r="AB869" i="9"/>
  <c r="AA869" i="9"/>
  <c r="Z869" i="9"/>
  <c r="Y869" i="9"/>
  <c r="X869" i="9"/>
  <c r="W869" i="9"/>
  <c r="V869" i="9"/>
  <c r="U869" i="9"/>
  <c r="T869" i="9"/>
  <c r="S869" i="9"/>
  <c r="R869" i="9"/>
  <c r="Q869" i="9"/>
  <c r="P869" i="9"/>
  <c r="O869" i="9"/>
  <c r="M869" i="9"/>
  <c r="L869" i="9"/>
  <c r="K869" i="9"/>
  <c r="J869" i="9"/>
  <c r="I869" i="9"/>
  <c r="H869" i="9"/>
  <c r="G869" i="9"/>
  <c r="F869" i="9"/>
  <c r="E869" i="9"/>
  <c r="D869" i="9"/>
  <c r="C869" i="9"/>
  <c r="B869" i="9"/>
  <c r="AJ868" i="9"/>
  <c r="AI868" i="9"/>
  <c r="AH868" i="9"/>
  <c r="AG868" i="9"/>
  <c r="AF868" i="9"/>
  <c r="AE868" i="9"/>
  <c r="AD868" i="9"/>
  <c r="AC868" i="9"/>
  <c r="AB868" i="9"/>
  <c r="AA868" i="9"/>
  <c r="Z868" i="9"/>
  <c r="Y868" i="9"/>
  <c r="X868" i="9"/>
  <c r="W868" i="9"/>
  <c r="V868" i="9"/>
  <c r="U868" i="9"/>
  <c r="T868" i="9"/>
  <c r="S868" i="9"/>
  <c r="R868" i="9"/>
  <c r="Q868" i="9"/>
  <c r="P868" i="9"/>
  <c r="O868" i="9"/>
  <c r="M868" i="9"/>
  <c r="L868" i="9"/>
  <c r="K868" i="9"/>
  <c r="J868" i="9"/>
  <c r="I868" i="9"/>
  <c r="H868" i="9"/>
  <c r="G868" i="9"/>
  <c r="F868" i="9"/>
  <c r="E868" i="9"/>
  <c r="D868" i="9"/>
  <c r="C868" i="9"/>
  <c r="B868" i="9"/>
  <c r="AJ867" i="9"/>
  <c r="AI867" i="9"/>
  <c r="AH867" i="9"/>
  <c r="AG867" i="9"/>
  <c r="AF867" i="9"/>
  <c r="AE867" i="9"/>
  <c r="AD867" i="9"/>
  <c r="AC867" i="9"/>
  <c r="AB867" i="9"/>
  <c r="AA867" i="9"/>
  <c r="Z867" i="9"/>
  <c r="Y867" i="9"/>
  <c r="X867" i="9"/>
  <c r="W867" i="9"/>
  <c r="V867" i="9"/>
  <c r="U867" i="9"/>
  <c r="T867" i="9"/>
  <c r="S867" i="9"/>
  <c r="R867" i="9"/>
  <c r="Q867" i="9"/>
  <c r="P867" i="9"/>
  <c r="O867" i="9"/>
  <c r="M867" i="9"/>
  <c r="L867" i="9"/>
  <c r="K867" i="9"/>
  <c r="J867" i="9"/>
  <c r="I867" i="9"/>
  <c r="H867" i="9"/>
  <c r="G867" i="9"/>
  <c r="F867" i="9"/>
  <c r="E867" i="9"/>
  <c r="D867" i="9"/>
  <c r="C867" i="9"/>
  <c r="B867" i="9"/>
  <c r="AJ866" i="9"/>
  <c r="AI866" i="9"/>
  <c r="AH866" i="9"/>
  <c r="AG866" i="9"/>
  <c r="AF866" i="9"/>
  <c r="AE866" i="9"/>
  <c r="AD866" i="9"/>
  <c r="AC866" i="9"/>
  <c r="AB866" i="9"/>
  <c r="AA866" i="9"/>
  <c r="Z866" i="9"/>
  <c r="Y866" i="9"/>
  <c r="X866" i="9"/>
  <c r="W866" i="9"/>
  <c r="V866" i="9"/>
  <c r="U866" i="9"/>
  <c r="T866" i="9"/>
  <c r="S866" i="9"/>
  <c r="R866" i="9"/>
  <c r="Q866" i="9"/>
  <c r="P866" i="9"/>
  <c r="O866" i="9"/>
  <c r="M866" i="9"/>
  <c r="L866" i="9"/>
  <c r="K866" i="9"/>
  <c r="J866" i="9"/>
  <c r="I866" i="9"/>
  <c r="H866" i="9"/>
  <c r="G866" i="9"/>
  <c r="F866" i="9"/>
  <c r="E866" i="9"/>
  <c r="D866" i="9"/>
  <c r="C866" i="9"/>
  <c r="B866" i="9"/>
  <c r="AJ865" i="9"/>
  <c r="AI865" i="9"/>
  <c r="AH865" i="9"/>
  <c r="AG865" i="9"/>
  <c r="AF865" i="9"/>
  <c r="AE865" i="9"/>
  <c r="AD865" i="9"/>
  <c r="AC865" i="9"/>
  <c r="AB865" i="9"/>
  <c r="AA865" i="9"/>
  <c r="Z865" i="9"/>
  <c r="Y865" i="9"/>
  <c r="X865" i="9"/>
  <c r="W865" i="9"/>
  <c r="V865" i="9"/>
  <c r="U865" i="9"/>
  <c r="T865" i="9"/>
  <c r="S865" i="9"/>
  <c r="R865" i="9"/>
  <c r="Q865" i="9"/>
  <c r="P865" i="9"/>
  <c r="O865" i="9"/>
  <c r="M865" i="9"/>
  <c r="L865" i="9"/>
  <c r="K865" i="9"/>
  <c r="J865" i="9"/>
  <c r="I865" i="9"/>
  <c r="H865" i="9"/>
  <c r="G865" i="9"/>
  <c r="F865" i="9"/>
  <c r="E865" i="9"/>
  <c r="D865" i="9"/>
  <c r="C865" i="9"/>
  <c r="B865" i="9"/>
  <c r="AJ864" i="9"/>
  <c r="AI864" i="9"/>
  <c r="AH864" i="9"/>
  <c r="AG864" i="9"/>
  <c r="AF864" i="9"/>
  <c r="AE864" i="9"/>
  <c r="AD864" i="9"/>
  <c r="AC864" i="9"/>
  <c r="AB864" i="9"/>
  <c r="AA864" i="9"/>
  <c r="Z864" i="9"/>
  <c r="Y864" i="9"/>
  <c r="X864" i="9"/>
  <c r="W864" i="9"/>
  <c r="V864" i="9"/>
  <c r="U864" i="9"/>
  <c r="T864" i="9"/>
  <c r="S864" i="9"/>
  <c r="R864" i="9"/>
  <c r="Q864" i="9"/>
  <c r="P864" i="9"/>
  <c r="O864" i="9"/>
  <c r="M864" i="9"/>
  <c r="L864" i="9"/>
  <c r="K864" i="9"/>
  <c r="J864" i="9"/>
  <c r="I864" i="9"/>
  <c r="H864" i="9"/>
  <c r="G864" i="9"/>
  <c r="F864" i="9"/>
  <c r="E864" i="9"/>
  <c r="D864" i="9"/>
  <c r="C864" i="9"/>
  <c r="B864" i="9"/>
  <c r="AJ863" i="9"/>
  <c r="AI863" i="9"/>
  <c r="AH863" i="9"/>
  <c r="AG863" i="9"/>
  <c r="AF863" i="9"/>
  <c r="AE863" i="9"/>
  <c r="AD863" i="9"/>
  <c r="AC863" i="9"/>
  <c r="AB863" i="9"/>
  <c r="AA863" i="9"/>
  <c r="Z863" i="9"/>
  <c r="Y863" i="9"/>
  <c r="X863" i="9"/>
  <c r="W863" i="9"/>
  <c r="V863" i="9"/>
  <c r="U863" i="9"/>
  <c r="T863" i="9"/>
  <c r="S863" i="9"/>
  <c r="R863" i="9"/>
  <c r="Q863" i="9"/>
  <c r="P863" i="9"/>
  <c r="O863" i="9"/>
  <c r="M863" i="9"/>
  <c r="L863" i="9"/>
  <c r="K863" i="9"/>
  <c r="J863" i="9"/>
  <c r="I863" i="9"/>
  <c r="H863" i="9"/>
  <c r="G863" i="9"/>
  <c r="F863" i="9"/>
  <c r="E863" i="9"/>
  <c r="D863" i="9"/>
  <c r="C863" i="9"/>
  <c r="B863" i="9"/>
  <c r="AJ862" i="9"/>
  <c r="AI862" i="9"/>
  <c r="AH862" i="9"/>
  <c r="AG862" i="9"/>
  <c r="AF862" i="9"/>
  <c r="AE862" i="9"/>
  <c r="AD862" i="9"/>
  <c r="AC862" i="9"/>
  <c r="AB862" i="9"/>
  <c r="AA862" i="9"/>
  <c r="Z862" i="9"/>
  <c r="Y862" i="9"/>
  <c r="X862" i="9"/>
  <c r="W862" i="9"/>
  <c r="V862" i="9"/>
  <c r="U862" i="9"/>
  <c r="T862" i="9"/>
  <c r="S862" i="9"/>
  <c r="R862" i="9"/>
  <c r="Q862" i="9"/>
  <c r="P862" i="9"/>
  <c r="O862" i="9"/>
  <c r="M862" i="9"/>
  <c r="L862" i="9"/>
  <c r="K862" i="9"/>
  <c r="J862" i="9"/>
  <c r="I862" i="9"/>
  <c r="H862" i="9"/>
  <c r="G862" i="9"/>
  <c r="F862" i="9"/>
  <c r="E862" i="9"/>
  <c r="D862" i="9"/>
  <c r="C862" i="9"/>
  <c r="B862" i="9"/>
  <c r="AJ861" i="9"/>
  <c r="AI861" i="9"/>
  <c r="AH861" i="9"/>
  <c r="AG861" i="9"/>
  <c r="AF861" i="9"/>
  <c r="AE861" i="9"/>
  <c r="AD861" i="9"/>
  <c r="AC861" i="9"/>
  <c r="AB861" i="9"/>
  <c r="AA861" i="9"/>
  <c r="Z861" i="9"/>
  <c r="Y861" i="9"/>
  <c r="X861" i="9"/>
  <c r="W861" i="9"/>
  <c r="V861" i="9"/>
  <c r="U861" i="9"/>
  <c r="T861" i="9"/>
  <c r="S861" i="9"/>
  <c r="R861" i="9"/>
  <c r="Q861" i="9"/>
  <c r="P861" i="9"/>
  <c r="O861" i="9"/>
  <c r="M861" i="9"/>
  <c r="L861" i="9"/>
  <c r="K861" i="9"/>
  <c r="J861" i="9"/>
  <c r="I861" i="9"/>
  <c r="H861" i="9"/>
  <c r="G861" i="9"/>
  <c r="F861" i="9"/>
  <c r="E861" i="9"/>
  <c r="D861" i="9"/>
  <c r="C861" i="9"/>
  <c r="B861" i="9"/>
  <c r="AJ860" i="9"/>
  <c r="AI860" i="9"/>
  <c r="AH860" i="9"/>
  <c r="AG860" i="9"/>
  <c r="AF860" i="9"/>
  <c r="AE860" i="9"/>
  <c r="AD860" i="9"/>
  <c r="AC860" i="9"/>
  <c r="AB860" i="9"/>
  <c r="AA860" i="9"/>
  <c r="Z860" i="9"/>
  <c r="Y860" i="9"/>
  <c r="X860" i="9"/>
  <c r="W860" i="9"/>
  <c r="V860" i="9"/>
  <c r="U860" i="9"/>
  <c r="T860" i="9"/>
  <c r="S860" i="9"/>
  <c r="R860" i="9"/>
  <c r="Q860" i="9"/>
  <c r="P860" i="9"/>
  <c r="O860" i="9"/>
  <c r="M860" i="9"/>
  <c r="L860" i="9"/>
  <c r="K860" i="9"/>
  <c r="J860" i="9"/>
  <c r="I860" i="9"/>
  <c r="H860" i="9"/>
  <c r="G860" i="9"/>
  <c r="F860" i="9"/>
  <c r="E860" i="9"/>
  <c r="D860" i="9"/>
  <c r="C860" i="9"/>
  <c r="B860" i="9"/>
  <c r="AJ859" i="9"/>
  <c r="AI859" i="9"/>
  <c r="AH859" i="9"/>
  <c r="AG859" i="9"/>
  <c r="AF859" i="9"/>
  <c r="AE859" i="9"/>
  <c r="AD859" i="9"/>
  <c r="AC859" i="9"/>
  <c r="AB859" i="9"/>
  <c r="AA859" i="9"/>
  <c r="Z859" i="9"/>
  <c r="Y859" i="9"/>
  <c r="X859" i="9"/>
  <c r="W859" i="9"/>
  <c r="V859" i="9"/>
  <c r="U859" i="9"/>
  <c r="T859" i="9"/>
  <c r="S859" i="9"/>
  <c r="R859" i="9"/>
  <c r="Q859" i="9"/>
  <c r="P859" i="9"/>
  <c r="O859" i="9"/>
  <c r="M859" i="9"/>
  <c r="L859" i="9"/>
  <c r="K859" i="9"/>
  <c r="J859" i="9"/>
  <c r="I859" i="9"/>
  <c r="H859" i="9"/>
  <c r="G859" i="9"/>
  <c r="F859" i="9"/>
  <c r="E859" i="9"/>
  <c r="D859" i="9"/>
  <c r="C859" i="9"/>
  <c r="B859" i="9"/>
  <c r="AJ858" i="9"/>
  <c r="AI858" i="9"/>
  <c r="AH858" i="9"/>
  <c r="AG858" i="9"/>
  <c r="AF858" i="9"/>
  <c r="AE858" i="9"/>
  <c r="AD858" i="9"/>
  <c r="AC858" i="9"/>
  <c r="AB858" i="9"/>
  <c r="AA858" i="9"/>
  <c r="Z858" i="9"/>
  <c r="Y858" i="9"/>
  <c r="X858" i="9"/>
  <c r="W858" i="9"/>
  <c r="V858" i="9"/>
  <c r="U858" i="9"/>
  <c r="T858" i="9"/>
  <c r="S858" i="9"/>
  <c r="R858" i="9"/>
  <c r="Q858" i="9"/>
  <c r="P858" i="9"/>
  <c r="O858" i="9"/>
  <c r="M858" i="9"/>
  <c r="L858" i="9"/>
  <c r="K858" i="9"/>
  <c r="J858" i="9"/>
  <c r="I858" i="9"/>
  <c r="H858" i="9"/>
  <c r="G858" i="9"/>
  <c r="F858" i="9"/>
  <c r="E858" i="9"/>
  <c r="D858" i="9"/>
  <c r="C858" i="9"/>
  <c r="B858" i="9"/>
  <c r="AJ857" i="9"/>
  <c r="AI857" i="9"/>
  <c r="AH857" i="9"/>
  <c r="AG857" i="9"/>
  <c r="AF857" i="9"/>
  <c r="AE857" i="9"/>
  <c r="AD857" i="9"/>
  <c r="AC857" i="9"/>
  <c r="AB857" i="9"/>
  <c r="AA857" i="9"/>
  <c r="Z857" i="9"/>
  <c r="Y857" i="9"/>
  <c r="X857" i="9"/>
  <c r="W857" i="9"/>
  <c r="V857" i="9"/>
  <c r="U857" i="9"/>
  <c r="T857" i="9"/>
  <c r="S857" i="9"/>
  <c r="R857" i="9"/>
  <c r="Q857" i="9"/>
  <c r="P857" i="9"/>
  <c r="O857" i="9"/>
  <c r="M857" i="9"/>
  <c r="L857" i="9"/>
  <c r="K857" i="9"/>
  <c r="J857" i="9"/>
  <c r="I857" i="9"/>
  <c r="H857" i="9"/>
  <c r="G857" i="9"/>
  <c r="F857" i="9"/>
  <c r="E857" i="9"/>
  <c r="D857" i="9"/>
  <c r="C857" i="9"/>
  <c r="B857" i="9"/>
  <c r="AJ856" i="9"/>
  <c r="AI856" i="9"/>
  <c r="AH856" i="9"/>
  <c r="AG856" i="9"/>
  <c r="AF856" i="9"/>
  <c r="AE856" i="9"/>
  <c r="AD856" i="9"/>
  <c r="AC856" i="9"/>
  <c r="AB856" i="9"/>
  <c r="AA856" i="9"/>
  <c r="Z856" i="9"/>
  <c r="Y856" i="9"/>
  <c r="X856" i="9"/>
  <c r="W856" i="9"/>
  <c r="V856" i="9"/>
  <c r="U856" i="9"/>
  <c r="T856" i="9"/>
  <c r="S856" i="9"/>
  <c r="R856" i="9"/>
  <c r="Q856" i="9"/>
  <c r="P856" i="9"/>
  <c r="O856" i="9"/>
  <c r="M856" i="9"/>
  <c r="L856" i="9"/>
  <c r="K856" i="9"/>
  <c r="J856" i="9"/>
  <c r="I856" i="9"/>
  <c r="H856" i="9"/>
  <c r="G856" i="9"/>
  <c r="F856" i="9"/>
  <c r="E856" i="9"/>
  <c r="D856" i="9"/>
  <c r="C856" i="9"/>
  <c r="B856" i="9"/>
  <c r="AJ855" i="9"/>
  <c r="AI855" i="9"/>
  <c r="AH855" i="9"/>
  <c r="AG855" i="9"/>
  <c r="AF855" i="9"/>
  <c r="AE855" i="9"/>
  <c r="AD855" i="9"/>
  <c r="AC855" i="9"/>
  <c r="AB855" i="9"/>
  <c r="AA855" i="9"/>
  <c r="Z855" i="9"/>
  <c r="Y855" i="9"/>
  <c r="X855" i="9"/>
  <c r="W855" i="9"/>
  <c r="V855" i="9"/>
  <c r="U855" i="9"/>
  <c r="T855" i="9"/>
  <c r="S855" i="9"/>
  <c r="R855" i="9"/>
  <c r="Q855" i="9"/>
  <c r="P855" i="9"/>
  <c r="O855" i="9"/>
  <c r="M855" i="9"/>
  <c r="L855" i="9"/>
  <c r="K855" i="9"/>
  <c r="J855" i="9"/>
  <c r="I855" i="9"/>
  <c r="H855" i="9"/>
  <c r="G855" i="9"/>
  <c r="F855" i="9"/>
  <c r="E855" i="9"/>
  <c r="D855" i="9"/>
  <c r="C855" i="9"/>
  <c r="B855" i="9"/>
  <c r="AJ854" i="9"/>
  <c r="AI854" i="9"/>
  <c r="AH854" i="9"/>
  <c r="AG854" i="9"/>
  <c r="AF854" i="9"/>
  <c r="AE854" i="9"/>
  <c r="AD854" i="9"/>
  <c r="AC854" i="9"/>
  <c r="AB854" i="9"/>
  <c r="AA854" i="9"/>
  <c r="Z854" i="9"/>
  <c r="Y854" i="9"/>
  <c r="X854" i="9"/>
  <c r="W854" i="9"/>
  <c r="V854" i="9"/>
  <c r="U854" i="9"/>
  <c r="T854" i="9"/>
  <c r="S854" i="9"/>
  <c r="R854" i="9"/>
  <c r="Q854" i="9"/>
  <c r="P854" i="9"/>
  <c r="O854" i="9"/>
  <c r="M854" i="9"/>
  <c r="L854" i="9"/>
  <c r="K854" i="9"/>
  <c r="J854" i="9"/>
  <c r="I854" i="9"/>
  <c r="H854" i="9"/>
  <c r="G854" i="9"/>
  <c r="F854" i="9"/>
  <c r="E854" i="9"/>
  <c r="D854" i="9"/>
  <c r="C854" i="9"/>
  <c r="B854" i="9"/>
  <c r="AJ853" i="9"/>
  <c r="AI853" i="9"/>
  <c r="AH853" i="9"/>
  <c r="AG853" i="9"/>
  <c r="AF853" i="9"/>
  <c r="AE853" i="9"/>
  <c r="AD853" i="9"/>
  <c r="AC853" i="9"/>
  <c r="AB853" i="9"/>
  <c r="AA853" i="9"/>
  <c r="Z853" i="9"/>
  <c r="Y853" i="9"/>
  <c r="X853" i="9"/>
  <c r="W853" i="9"/>
  <c r="V853" i="9"/>
  <c r="U853" i="9"/>
  <c r="T853" i="9"/>
  <c r="S853" i="9"/>
  <c r="R853" i="9"/>
  <c r="Q853" i="9"/>
  <c r="P853" i="9"/>
  <c r="O853" i="9"/>
  <c r="M853" i="9"/>
  <c r="L853" i="9"/>
  <c r="K853" i="9"/>
  <c r="J853" i="9"/>
  <c r="I853" i="9"/>
  <c r="H853" i="9"/>
  <c r="G853" i="9"/>
  <c r="F853" i="9"/>
  <c r="E853" i="9"/>
  <c r="D853" i="9"/>
  <c r="C853" i="9"/>
  <c r="B853" i="9"/>
  <c r="AJ852" i="9"/>
  <c r="AI852" i="9"/>
  <c r="AH852" i="9"/>
  <c r="AG852" i="9"/>
  <c r="AF852" i="9"/>
  <c r="AE852" i="9"/>
  <c r="AD852" i="9"/>
  <c r="AC852" i="9"/>
  <c r="AB852" i="9"/>
  <c r="AA852" i="9"/>
  <c r="Z852" i="9"/>
  <c r="Y852" i="9"/>
  <c r="X852" i="9"/>
  <c r="W852" i="9"/>
  <c r="V852" i="9"/>
  <c r="U852" i="9"/>
  <c r="T852" i="9"/>
  <c r="S852" i="9"/>
  <c r="R852" i="9"/>
  <c r="Q852" i="9"/>
  <c r="P852" i="9"/>
  <c r="O852" i="9"/>
  <c r="M852" i="9"/>
  <c r="L852" i="9"/>
  <c r="K852" i="9"/>
  <c r="J852" i="9"/>
  <c r="I852" i="9"/>
  <c r="H852" i="9"/>
  <c r="G852" i="9"/>
  <c r="F852" i="9"/>
  <c r="E852" i="9"/>
  <c r="D852" i="9"/>
  <c r="C852" i="9"/>
  <c r="B852" i="9"/>
  <c r="AJ851" i="9"/>
  <c r="AI851" i="9"/>
  <c r="AH851" i="9"/>
  <c r="AG851" i="9"/>
  <c r="AF851" i="9"/>
  <c r="AE851" i="9"/>
  <c r="AD851" i="9"/>
  <c r="AC851" i="9"/>
  <c r="AB851" i="9"/>
  <c r="AA851" i="9"/>
  <c r="Z851" i="9"/>
  <c r="Y851" i="9"/>
  <c r="X851" i="9"/>
  <c r="W851" i="9"/>
  <c r="V851" i="9"/>
  <c r="U851" i="9"/>
  <c r="T851" i="9"/>
  <c r="S851" i="9"/>
  <c r="R851" i="9"/>
  <c r="Q851" i="9"/>
  <c r="P851" i="9"/>
  <c r="O851" i="9"/>
  <c r="M851" i="9"/>
  <c r="L851" i="9"/>
  <c r="K851" i="9"/>
  <c r="J851" i="9"/>
  <c r="I851" i="9"/>
  <c r="H851" i="9"/>
  <c r="G851" i="9"/>
  <c r="F851" i="9"/>
  <c r="E851" i="9"/>
  <c r="D851" i="9"/>
  <c r="C851" i="9"/>
  <c r="B851" i="9"/>
  <c r="AJ850" i="9"/>
  <c r="AI850" i="9"/>
  <c r="AH850" i="9"/>
  <c r="AG850" i="9"/>
  <c r="AF850" i="9"/>
  <c r="AE850" i="9"/>
  <c r="AD850" i="9"/>
  <c r="AC850" i="9"/>
  <c r="AB850" i="9"/>
  <c r="AA850" i="9"/>
  <c r="Z850" i="9"/>
  <c r="Y850" i="9"/>
  <c r="X850" i="9"/>
  <c r="W850" i="9"/>
  <c r="V850" i="9"/>
  <c r="U850" i="9"/>
  <c r="T850" i="9"/>
  <c r="S850" i="9"/>
  <c r="R850" i="9"/>
  <c r="Q850" i="9"/>
  <c r="P850" i="9"/>
  <c r="O850" i="9"/>
  <c r="M850" i="9"/>
  <c r="L850" i="9"/>
  <c r="K850" i="9"/>
  <c r="J850" i="9"/>
  <c r="I850" i="9"/>
  <c r="H850" i="9"/>
  <c r="G850" i="9"/>
  <c r="F850" i="9"/>
  <c r="E850" i="9"/>
  <c r="D850" i="9"/>
  <c r="C850" i="9"/>
  <c r="B850" i="9"/>
  <c r="AJ849" i="9"/>
  <c r="AI849" i="9"/>
  <c r="AH849" i="9"/>
  <c r="AG849" i="9"/>
  <c r="AF849" i="9"/>
  <c r="AE849" i="9"/>
  <c r="AD849" i="9"/>
  <c r="AC849" i="9"/>
  <c r="AB849" i="9"/>
  <c r="AA849" i="9"/>
  <c r="Z849" i="9"/>
  <c r="Y849" i="9"/>
  <c r="X849" i="9"/>
  <c r="W849" i="9"/>
  <c r="V849" i="9"/>
  <c r="U849" i="9"/>
  <c r="T849" i="9"/>
  <c r="S849" i="9"/>
  <c r="R849" i="9"/>
  <c r="Q849" i="9"/>
  <c r="P849" i="9"/>
  <c r="O849" i="9"/>
  <c r="M849" i="9"/>
  <c r="L849" i="9"/>
  <c r="K849" i="9"/>
  <c r="J849" i="9"/>
  <c r="I849" i="9"/>
  <c r="H849" i="9"/>
  <c r="G849" i="9"/>
  <c r="F849" i="9"/>
  <c r="E849" i="9"/>
  <c r="D849" i="9"/>
  <c r="C849" i="9"/>
  <c r="B849" i="9"/>
  <c r="AJ848" i="9"/>
  <c r="AI848" i="9"/>
  <c r="AH848" i="9"/>
  <c r="AG848" i="9"/>
  <c r="AF848" i="9"/>
  <c r="AE848" i="9"/>
  <c r="AD848" i="9"/>
  <c r="AC848" i="9"/>
  <c r="AB848" i="9"/>
  <c r="AA848" i="9"/>
  <c r="Z848" i="9"/>
  <c r="Y848" i="9"/>
  <c r="X848" i="9"/>
  <c r="W848" i="9"/>
  <c r="V848" i="9"/>
  <c r="U848" i="9"/>
  <c r="T848" i="9"/>
  <c r="S848" i="9"/>
  <c r="R848" i="9"/>
  <c r="Q848" i="9"/>
  <c r="P848" i="9"/>
  <c r="O848" i="9"/>
  <c r="M848" i="9"/>
  <c r="L848" i="9"/>
  <c r="K848" i="9"/>
  <c r="J848" i="9"/>
  <c r="I848" i="9"/>
  <c r="H848" i="9"/>
  <c r="G848" i="9"/>
  <c r="F848" i="9"/>
  <c r="E848" i="9"/>
  <c r="D848" i="9"/>
  <c r="C848" i="9"/>
  <c r="B848" i="9"/>
  <c r="AJ847" i="9"/>
  <c r="AI847" i="9"/>
  <c r="AH847" i="9"/>
  <c r="AG847" i="9"/>
  <c r="AF847" i="9"/>
  <c r="AE847" i="9"/>
  <c r="AD847" i="9"/>
  <c r="AC847" i="9"/>
  <c r="AB847" i="9"/>
  <c r="AA847" i="9"/>
  <c r="Z847" i="9"/>
  <c r="Y847" i="9"/>
  <c r="X847" i="9"/>
  <c r="W847" i="9"/>
  <c r="V847" i="9"/>
  <c r="U847" i="9"/>
  <c r="T847" i="9"/>
  <c r="S847" i="9"/>
  <c r="R847" i="9"/>
  <c r="Q847" i="9"/>
  <c r="P847" i="9"/>
  <c r="O847" i="9"/>
  <c r="M847" i="9"/>
  <c r="L847" i="9"/>
  <c r="K847" i="9"/>
  <c r="J847" i="9"/>
  <c r="I847" i="9"/>
  <c r="H847" i="9"/>
  <c r="G847" i="9"/>
  <c r="F847" i="9"/>
  <c r="E847" i="9"/>
  <c r="D847" i="9"/>
  <c r="C847" i="9"/>
  <c r="B847" i="9"/>
  <c r="AJ846" i="9"/>
  <c r="AI846" i="9"/>
  <c r="AH846" i="9"/>
  <c r="AG846" i="9"/>
  <c r="AF846" i="9"/>
  <c r="AE846" i="9"/>
  <c r="AD846" i="9"/>
  <c r="AC846" i="9"/>
  <c r="AB846" i="9"/>
  <c r="AA846" i="9"/>
  <c r="Z846" i="9"/>
  <c r="Y846" i="9"/>
  <c r="X846" i="9"/>
  <c r="W846" i="9"/>
  <c r="V846" i="9"/>
  <c r="U846" i="9"/>
  <c r="T846" i="9"/>
  <c r="S846" i="9"/>
  <c r="R846" i="9"/>
  <c r="Q846" i="9"/>
  <c r="P846" i="9"/>
  <c r="O846" i="9"/>
  <c r="M846" i="9"/>
  <c r="L846" i="9"/>
  <c r="K846" i="9"/>
  <c r="J846" i="9"/>
  <c r="I846" i="9"/>
  <c r="H846" i="9"/>
  <c r="G846" i="9"/>
  <c r="F846" i="9"/>
  <c r="E846" i="9"/>
  <c r="D846" i="9"/>
  <c r="C846" i="9"/>
  <c r="B846" i="9"/>
  <c r="AJ845" i="9"/>
  <c r="AI845" i="9"/>
  <c r="AH845" i="9"/>
  <c r="AG845" i="9"/>
  <c r="AF845" i="9"/>
  <c r="AE845" i="9"/>
  <c r="AD845" i="9"/>
  <c r="AC845" i="9"/>
  <c r="AB845" i="9"/>
  <c r="AA845" i="9"/>
  <c r="Z845" i="9"/>
  <c r="Y845" i="9"/>
  <c r="X845" i="9"/>
  <c r="W845" i="9"/>
  <c r="V845" i="9"/>
  <c r="U845" i="9"/>
  <c r="T845" i="9"/>
  <c r="S845" i="9"/>
  <c r="R845" i="9"/>
  <c r="Q845" i="9"/>
  <c r="P845" i="9"/>
  <c r="O845" i="9"/>
  <c r="M845" i="9"/>
  <c r="L845" i="9"/>
  <c r="K845" i="9"/>
  <c r="J845" i="9"/>
  <c r="I845" i="9"/>
  <c r="H845" i="9"/>
  <c r="G845" i="9"/>
  <c r="F845" i="9"/>
  <c r="E845" i="9"/>
  <c r="D845" i="9"/>
  <c r="C845" i="9"/>
  <c r="B845" i="9"/>
  <c r="AJ844" i="9"/>
  <c r="AI844" i="9"/>
  <c r="AH844" i="9"/>
  <c r="AG844" i="9"/>
  <c r="AF844" i="9"/>
  <c r="AE844" i="9"/>
  <c r="AD844" i="9"/>
  <c r="AC844" i="9"/>
  <c r="AB844" i="9"/>
  <c r="AA844" i="9"/>
  <c r="Z844" i="9"/>
  <c r="Y844" i="9"/>
  <c r="X844" i="9"/>
  <c r="W844" i="9"/>
  <c r="V844" i="9"/>
  <c r="U844" i="9"/>
  <c r="T844" i="9"/>
  <c r="S844" i="9"/>
  <c r="R844" i="9"/>
  <c r="Q844" i="9"/>
  <c r="P844" i="9"/>
  <c r="O844" i="9"/>
  <c r="M844" i="9"/>
  <c r="L844" i="9"/>
  <c r="K844" i="9"/>
  <c r="J844" i="9"/>
  <c r="I844" i="9"/>
  <c r="H844" i="9"/>
  <c r="G844" i="9"/>
  <c r="F844" i="9"/>
  <c r="E844" i="9"/>
  <c r="D844" i="9"/>
  <c r="C844" i="9"/>
  <c r="B844" i="9"/>
  <c r="AJ843" i="9"/>
  <c r="AI843" i="9"/>
  <c r="AH843" i="9"/>
  <c r="AG843" i="9"/>
  <c r="AF843" i="9"/>
  <c r="AE843" i="9"/>
  <c r="AD843" i="9"/>
  <c r="AC843" i="9"/>
  <c r="AB843" i="9"/>
  <c r="AA843" i="9"/>
  <c r="Z843" i="9"/>
  <c r="Y843" i="9"/>
  <c r="X843" i="9"/>
  <c r="W843" i="9"/>
  <c r="V843" i="9"/>
  <c r="U843" i="9"/>
  <c r="T843" i="9"/>
  <c r="S843" i="9"/>
  <c r="R843" i="9"/>
  <c r="Q843" i="9"/>
  <c r="P843" i="9"/>
  <c r="O843" i="9"/>
  <c r="M843" i="9"/>
  <c r="L843" i="9"/>
  <c r="K843" i="9"/>
  <c r="J843" i="9"/>
  <c r="I843" i="9"/>
  <c r="H843" i="9"/>
  <c r="G843" i="9"/>
  <c r="F843" i="9"/>
  <c r="E843" i="9"/>
  <c r="D843" i="9"/>
  <c r="C843" i="9"/>
  <c r="B843" i="9"/>
  <c r="AJ842" i="9"/>
  <c r="AI842" i="9"/>
  <c r="AH842" i="9"/>
  <c r="AG842" i="9"/>
  <c r="AF842" i="9"/>
  <c r="AE842" i="9"/>
  <c r="AD842" i="9"/>
  <c r="AC842" i="9"/>
  <c r="AB842" i="9"/>
  <c r="AA842" i="9"/>
  <c r="Z842" i="9"/>
  <c r="Y842" i="9"/>
  <c r="X842" i="9"/>
  <c r="W842" i="9"/>
  <c r="V842" i="9"/>
  <c r="U842" i="9"/>
  <c r="T842" i="9"/>
  <c r="S842" i="9"/>
  <c r="R842" i="9"/>
  <c r="Q842" i="9"/>
  <c r="P842" i="9"/>
  <c r="O842" i="9"/>
  <c r="M842" i="9"/>
  <c r="L842" i="9"/>
  <c r="K842" i="9"/>
  <c r="J842" i="9"/>
  <c r="I842" i="9"/>
  <c r="H842" i="9"/>
  <c r="G842" i="9"/>
  <c r="F842" i="9"/>
  <c r="E842" i="9"/>
  <c r="D842" i="9"/>
  <c r="C842" i="9"/>
  <c r="B842" i="9"/>
  <c r="AJ841" i="9"/>
  <c r="AI841" i="9"/>
  <c r="AH841" i="9"/>
  <c r="AG841" i="9"/>
  <c r="AF841" i="9"/>
  <c r="AE841" i="9"/>
  <c r="AD841" i="9"/>
  <c r="AC841" i="9"/>
  <c r="AB841" i="9"/>
  <c r="AA841" i="9"/>
  <c r="Z841" i="9"/>
  <c r="Y841" i="9"/>
  <c r="X841" i="9"/>
  <c r="W841" i="9"/>
  <c r="V841" i="9"/>
  <c r="U841" i="9"/>
  <c r="T841" i="9"/>
  <c r="S841" i="9"/>
  <c r="R841" i="9"/>
  <c r="Q841" i="9"/>
  <c r="P841" i="9"/>
  <c r="O841" i="9"/>
  <c r="M841" i="9"/>
  <c r="L841" i="9"/>
  <c r="K841" i="9"/>
  <c r="J841" i="9"/>
  <c r="I841" i="9"/>
  <c r="H841" i="9"/>
  <c r="G841" i="9"/>
  <c r="F841" i="9"/>
  <c r="E841" i="9"/>
  <c r="D841" i="9"/>
  <c r="C841" i="9"/>
  <c r="B841" i="9"/>
  <c r="AJ840" i="9"/>
  <c r="AI840" i="9"/>
  <c r="AH840" i="9"/>
  <c r="AG840" i="9"/>
  <c r="AF840" i="9"/>
  <c r="AE840" i="9"/>
  <c r="AD840" i="9"/>
  <c r="AC840" i="9"/>
  <c r="AB840" i="9"/>
  <c r="AA840" i="9"/>
  <c r="Z840" i="9"/>
  <c r="Y840" i="9"/>
  <c r="X840" i="9"/>
  <c r="W840" i="9"/>
  <c r="V840" i="9"/>
  <c r="U840" i="9"/>
  <c r="T840" i="9"/>
  <c r="S840" i="9"/>
  <c r="R840" i="9"/>
  <c r="Q840" i="9"/>
  <c r="P840" i="9"/>
  <c r="O840" i="9"/>
  <c r="M840" i="9"/>
  <c r="L840" i="9"/>
  <c r="K840" i="9"/>
  <c r="J840" i="9"/>
  <c r="I840" i="9"/>
  <c r="H840" i="9"/>
  <c r="G840" i="9"/>
  <c r="F840" i="9"/>
  <c r="E840" i="9"/>
  <c r="D840" i="9"/>
  <c r="C840" i="9"/>
  <c r="B840" i="9"/>
  <c r="AJ839" i="9"/>
  <c r="AI839" i="9"/>
  <c r="AH839" i="9"/>
  <c r="AG839" i="9"/>
  <c r="AF839" i="9"/>
  <c r="AE839" i="9"/>
  <c r="AD839" i="9"/>
  <c r="AC839" i="9"/>
  <c r="AB839" i="9"/>
  <c r="AA839" i="9"/>
  <c r="Z839" i="9"/>
  <c r="Y839" i="9"/>
  <c r="X839" i="9"/>
  <c r="W839" i="9"/>
  <c r="V839" i="9"/>
  <c r="U839" i="9"/>
  <c r="T839" i="9"/>
  <c r="S839" i="9"/>
  <c r="R839" i="9"/>
  <c r="Q839" i="9"/>
  <c r="P839" i="9"/>
  <c r="O839" i="9"/>
  <c r="M839" i="9"/>
  <c r="L839" i="9"/>
  <c r="K839" i="9"/>
  <c r="J839" i="9"/>
  <c r="I839" i="9"/>
  <c r="H839" i="9"/>
  <c r="G839" i="9"/>
  <c r="F839" i="9"/>
  <c r="E839" i="9"/>
  <c r="D839" i="9"/>
  <c r="C839" i="9"/>
  <c r="B839" i="9"/>
  <c r="AJ838" i="9"/>
  <c r="AI838" i="9"/>
  <c r="AH838" i="9"/>
  <c r="AG838" i="9"/>
  <c r="AF838" i="9"/>
  <c r="AE838" i="9"/>
  <c r="AD838" i="9"/>
  <c r="AC838" i="9"/>
  <c r="AB838" i="9"/>
  <c r="AA838" i="9"/>
  <c r="Z838" i="9"/>
  <c r="Y838" i="9"/>
  <c r="X838" i="9"/>
  <c r="W838" i="9"/>
  <c r="V838" i="9"/>
  <c r="U838" i="9"/>
  <c r="T838" i="9"/>
  <c r="S838" i="9"/>
  <c r="R838" i="9"/>
  <c r="Q838" i="9"/>
  <c r="P838" i="9"/>
  <c r="O838" i="9"/>
  <c r="M838" i="9"/>
  <c r="L838" i="9"/>
  <c r="K838" i="9"/>
  <c r="J838" i="9"/>
  <c r="I838" i="9"/>
  <c r="H838" i="9"/>
  <c r="G838" i="9"/>
  <c r="F838" i="9"/>
  <c r="E838" i="9"/>
  <c r="D838" i="9"/>
  <c r="C838" i="9"/>
  <c r="B838" i="9"/>
  <c r="AJ837" i="9"/>
  <c r="AI837" i="9"/>
  <c r="AH837" i="9"/>
  <c r="AG837" i="9"/>
  <c r="AF837" i="9"/>
  <c r="AE837" i="9"/>
  <c r="AD837" i="9"/>
  <c r="AC837" i="9"/>
  <c r="AB837" i="9"/>
  <c r="AA837" i="9"/>
  <c r="Z837" i="9"/>
  <c r="Y837" i="9"/>
  <c r="X837" i="9"/>
  <c r="W837" i="9"/>
  <c r="V837" i="9"/>
  <c r="U837" i="9"/>
  <c r="T837" i="9"/>
  <c r="S837" i="9"/>
  <c r="R837" i="9"/>
  <c r="Q837" i="9"/>
  <c r="P837" i="9"/>
  <c r="O837" i="9"/>
  <c r="M837" i="9"/>
  <c r="L837" i="9"/>
  <c r="K837" i="9"/>
  <c r="J837" i="9"/>
  <c r="I837" i="9"/>
  <c r="H837" i="9"/>
  <c r="G837" i="9"/>
  <c r="F837" i="9"/>
  <c r="E837" i="9"/>
  <c r="D837" i="9"/>
  <c r="C837" i="9"/>
  <c r="B837" i="9"/>
  <c r="AJ836" i="9"/>
  <c r="AI836" i="9"/>
  <c r="AH836" i="9"/>
  <c r="AG836" i="9"/>
  <c r="AF836" i="9"/>
  <c r="AE836" i="9"/>
  <c r="AD836" i="9"/>
  <c r="AC836" i="9"/>
  <c r="AB836" i="9"/>
  <c r="AA836" i="9"/>
  <c r="Z836" i="9"/>
  <c r="Y836" i="9"/>
  <c r="X836" i="9"/>
  <c r="W836" i="9"/>
  <c r="V836" i="9"/>
  <c r="U836" i="9"/>
  <c r="T836" i="9"/>
  <c r="S836" i="9"/>
  <c r="R836" i="9"/>
  <c r="Q836" i="9"/>
  <c r="P836" i="9"/>
  <c r="O836" i="9"/>
  <c r="M836" i="9"/>
  <c r="L836" i="9"/>
  <c r="K836" i="9"/>
  <c r="J836" i="9"/>
  <c r="I836" i="9"/>
  <c r="H836" i="9"/>
  <c r="G836" i="9"/>
  <c r="F836" i="9"/>
  <c r="E836" i="9"/>
  <c r="D836" i="9"/>
  <c r="C836" i="9"/>
  <c r="B836" i="9"/>
  <c r="AJ835" i="9"/>
  <c r="AI835" i="9"/>
  <c r="AH835" i="9"/>
  <c r="AG835" i="9"/>
  <c r="AF835" i="9"/>
  <c r="AE835" i="9"/>
  <c r="AD835" i="9"/>
  <c r="AC835" i="9"/>
  <c r="AB835" i="9"/>
  <c r="AA835" i="9"/>
  <c r="Z835" i="9"/>
  <c r="Y835" i="9"/>
  <c r="X835" i="9"/>
  <c r="W835" i="9"/>
  <c r="V835" i="9"/>
  <c r="U835" i="9"/>
  <c r="T835" i="9"/>
  <c r="S835" i="9"/>
  <c r="R835" i="9"/>
  <c r="Q835" i="9"/>
  <c r="P835" i="9"/>
  <c r="O835" i="9"/>
  <c r="M835" i="9"/>
  <c r="L835" i="9"/>
  <c r="K835" i="9"/>
  <c r="J835" i="9"/>
  <c r="I835" i="9"/>
  <c r="H835" i="9"/>
  <c r="G835" i="9"/>
  <c r="F835" i="9"/>
  <c r="E835" i="9"/>
  <c r="D835" i="9"/>
  <c r="C835" i="9"/>
  <c r="B835" i="9"/>
  <c r="AJ834" i="9"/>
  <c r="AI834" i="9"/>
  <c r="AH834" i="9"/>
  <c r="AG834" i="9"/>
  <c r="AF834" i="9"/>
  <c r="AE834" i="9"/>
  <c r="AD834" i="9"/>
  <c r="AC834" i="9"/>
  <c r="AB834" i="9"/>
  <c r="AA834" i="9"/>
  <c r="Z834" i="9"/>
  <c r="Y834" i="9"/>
  <c r="X834" i="9"/>
  <c r="W834" i="9"/>
  <c r="V834" i="9"/>
  <c r="U834" i="9"/>
  <c r="T834" i="9"/>
  <c r="S834" i="9"/>
  <c r="R834" i="9"/>
  <c r="Q834" i="9"/>
  <c r="P834" i="9"/>
  <c r="O834" i="9"/>
  <c r="M834" i="9"/>
  <c r="L834" i="9"/>
  <c r="K834" i="9"/>
  <c r="J834" i="9"/>
  <c r="I834" i="9"/>
  <c r="H834" i="9"/>
  <c r="G834" i="9"/>
  <c r="F834" i="9"/>
  <c r="E834" i="9"/>
  <c r="D834" i="9"/>
  <c r="C834" i="9"/>
  <c r="B834" i="9"/>
  <c r="AJ833" i="9"/>
  <c r="AI833" i="9"/>
  <c r="AH833" i="9"/>
  <c r="AG833" i="9"/>
  <c r="AF833" i="9"/>
  <c r="AE833" i="9"/>
  <c r="AD833" i="9"/>
  <c r="AC833" i="9"/>
  <c r="AB833" i="9"/>
  <c r="AA833" i="9"/>
  <c r="Z833" i="9"/>
  <c r="Y833" i="9"/>
  <c r="X833" i="9"/>
  <c r="W833" i="9"/>
  <c r="V833" i="9"/>
  <c r="U833" i="9"/>
  <c r="T833" i="9"/>
  <c r="S833" i="9"/>
  <c r="R833" i="9"/>
  <c r="Q833" i="9"/>
  <c r="P833" i="9"/>
  <c r="O833" i="9"/>
  <c r="M833" i="9"/>
  <c r="L833" i="9"/>
  <c r="K833" i="9"/>
  <c r="J833" i="9"/>
  <c r="I833" i="9"/>
  <c r="H833" i="9"/>
  <c r="G833" i="9"/>
  <c r="F833" i="9"/>
  <c r="E833" i="9"/>
  <c r="D833" i="9"/>
  <c r="C833" i="9"/>
  <c r="B833" i="9"/>
  <c r="AJ832" i="9"/>
  <c r="AI832" i="9"/>
  <c r="AH832" i="9"/>
  <c r="AG832" i="9"/>
  <c r="AF832" i="9"/>
  <c r="AE832" i="9"/>
  <c r="AD832" i="9"/>
  <c r="AC832" i="9"/>
  <c r="AB832" i="9"/>
  <c r="AA832" i="9"/>
  <c r="Z832" i="9"/>
  <c r="Y832" i="9"/>
  <c r="X832" i="9"/>
  <c r="W832" i="9"/>
  <c r="V832" i="9"/>
  <c r="U832" i="9"/>
  <c r="T832" i="9"/>
  <c r="S832" i="9"/>
  <c r="R832" i="9"/>
  <c r="Q832" i="9"/>
  <c r="P832" i="9"/>
  <c r="O832" i="9"/>
  <c r="M832" i="9"/>
  <c r="L832" i="9"/>
  <c r="K832" i="9"/>
  <c r="J832" i="9"/>
  <c r="I832" i="9"/>
  <c r="H832" i="9"/>
  <c r="G832" i="9"/>
  <c r="F832" i="9"/>
  <c r="E832" i="9"/>
  <c r="D832" i="9"/>
  <c r="C832" i="9"/>
  <c r="B832" i="9"/>
  <c r="AJ831" i="9"/>
  <c r="AI831" i="9"/>
  <c r="AH831" i="9"/>
  <c r="AG831" i="9"/>
  <c r="AF831" i="9"/>
  <c r="AE831" i="9"/>
  <c r="AD831" i="9"/>
  <c r="AC831" i="9"/>
  <c r="AB831" i="9"/>
  <c r="AA831" i="9"/>
  <c r="Z831" i="9"/>
  <c r="Y831" i="9"/>
  <c r="X831" i="9"/>
  <c r="W831" i="9"/>
  <c r="V831" i="9"/>
  <c r="U831" i="9"/>
  <c r="T831" i="9"/>
  <c r="S831" i="9"/>
  <c r="R831" i="9"/>
  <c r="Q831" i="9"/>
  <c r="P831" i="9"/>
  <c r="O831" i="9"/>
  <c r="M831" i="9"/>
  <c r="L831" i="9"/>
  <c r="K831" i="9"/>
  <c r="J831" i="9"/>
  <c r="I831" i="9"/>
  <c r="H831" i="9"/>
  <c r="G831" i="9"/>
  <c r="F831" i="9"/>
  <c r="E831" i="9"/>
  <c r="D831" i="9"/>
  <c r="C831" i="9"/>
  <c r="B831" i="9"/>
  <c r="AJ830" i="9"/>
  <c r="AI830" i="9"/>
  <c r="AH830" i="9"/>
  <c r="AG830" i="9"/>
  <c r="AF830" i="9"/>
  <c r="AE830" i="9"/>
  <c r="AD830" i="9"/>
  <c r="AC830" i="9"/>
  <c r="AB830" i="9"/>
  <c r="AA830" i="9"/>
  <c r="Z830" i="9"/>
  <c r="Y830" i="9"/>
  <c r="X830" i="9"/>
  <c r="W830" i="9"/>
  <c r="V830" i="9"/>
  <c r="U830" i="9"/>
  <c r="T830" i="9"/>
  <c r="S830" i="9"/>
  <c r="R830" i="9"/>
  <c r="Q830" i="9"/>
  <c r="P830" i="9"/>
  <c r="O830" i="9"/>
  <c r="M830" i="9"/>
  <c r="L830" i="9"/>
  <c r="K830" i="9"/>
  <c r="J830" i="9"/>
  <c r="I830" i="9"/>
  <c r="H830" i="9"/>
  <c r="G830" i="9"/>
  <c r="F830" i="9"/>
  <c r="E830" i="9"/>
  <c r="D830" i="9"/>
  <c r="C830" i="9"/>
  <c r="B830" i="9"/>
  <c r="AJ829" i="9"/>
  <c r="AI829" i="9"/>
  <c r="AH829" i="9"/>
  <c r="AG829" i="9"/>
  <c r="AF829" i="9"/>
  <c r="AE829" i="9"/>
  <c r="AD829" i="9"/>
  <c r="AC829" i="9"/>
  <c r="AB829" i="9"/>
  <c r="AA829" i="9"/>
  <c r="Z829" i="9"/>
  <c r="Y829" i="9"/>
  <c r="X829" i="9"/>
  <c r="W829" i="9"/>
  <c r="V829" i="9"/>
  <c r="U829" i="9"/>
  <c r="T829" i="9"/>
  <c r="S829" i="9"/>
  <c r="R829" i="9"/>
  <c r="Q829" i="9"/>
  <c r="P829" i="9"/>
  <c r="O829" i="9"/>
  <c r="M829" i="9"/>
  <c r="L829" i="9"/>
  <c r="K829" i="9"/>
  <c r="J829" i="9"/>
  <c r="I829" i="9"/>
  <c r="H829" i="9"/>
  <c r="G829" i="9"/>
  <c r="F829" i="9"/>
  <c r="E829" i="9"/>
  <c r="D829" i="9"/>
  <c r="C829" i="9"/>
  <c r="B829" i="9"/>
  <c r="AJ828" i="9"/>
  <c r="AI828" i="9"/>
  <c r="AH828" i="9"/>
  <c r="AG828" i="9"/>
  <c r="AF828" i="9"/>
  <c r="AE828" i="9"/>
  <c r="AD828" i="9"/>
  <c r="AC828" i="9"/>
  <c r="AB828" i="9"/>
  <c r="AA828" i="9"/>
  <c r="Z828" i="9"/>
  <c r="Y828" i="9"/>
  <c r="X828" i="9"/>
  <c r="W828" i="9"/>
  <c r="V828" i="9"/>
  <c r="U828" i="9"/>
  <c r="T828" i="9"/>
  <c r="S828" i="9"/>
  <c r="R828" i="9"/>
  <c r="Q828" i="9"/>
  <c r="P828" i="9"/>
  <c r="O828" i="9"/>
  <c r="M828" i="9"/>
  <c r="L828" i="9"/>
  <c r="K828" i="9"/>
  <c r="J828" i="9"/>
  <c r="I828" i="9"/>
  <c r="H828" i="9"/>
  <c r="G828" i="9"/>
  <c r="F828" i="9"/>
  <c r="E828" i="9"/>
  <c r="D828" i="9"/>
  <c r="C828" i="9"/>
  <c r="B828" i="9"/>
  <c r="AJ827" i="9"/>
  <c r="AI827" i="9"/>
  <c r="AH827" i="9"/>
  <c r="AG827" i="9"/>
  <c r="AF827" i="9"/>
  <c r="AE827" i="9"/>
  <c r="AD827" i="9"/>
  <c r="AC827" i="9"/>
  <c r="AB827" i="9"/>
  <c r="AA827" i="9"/>
  <c r="Z827" i="9"/>
  <c r="Y827" i="9"/>
  <c r="X827" i="9"/>
  <c r="W827" i="9"/>
  <c r="V827" i="9"/>
  <c r="U827" i="9"/>
  <c r="T827" i="9"/>
  <c r="S827" i="9"/>
  <c r="R827" i="9"/>
  <c r="Q827" i="9"/>
  <c r="P827" i="9"/>
  <c r="O827" i="9"/>
  <c r="M827" i="9"/>
  <c r="L827" i="9"/>
  <c r="K827" i="9"/>
  <c r="J827" i="9"/>
  <c r="I827" i="9"/>
  <c r="H827" i="9"/>
  <c r="G827" i="9"/>
  <c r="F827" i="9"/>
  <c r="E827" i="9"/>
  <c r="D827" i="9"/>
  <c r="C827" i="9"/>
  <c r="B827" i="9"/>
  <c r="AJ826" i="9"/>
  <c r="AI826" i="9"/>
  <c r="AH826" i="9"/>
  <c r="AG826" i="9"/>
  <c r="AF826" i="9"/>
  <c r="AE826" i="9"/>
  <c r="AD826" i="9"/>
  <c r="AC826" i="9"/>
  <c r="AB826" i="9"/>
  <c r="AA826" i="9"/>
  <c r="Z826" i="9"/>
  <c r="Y826" i="9"/>
  <c r="X826" i="9"/>
  <c r="W826" i="9"/>
  <c r="V826" i="9"/>
  <c r="U826" i="9"/>
  <c r="T826" i="9"/>
  <c r="S826" i="9"/>
  <c r="R826" i="9"/>
  <c r="Q826" i="9"/>
  <c r="P826" i="9"/>
  <c r="O826" i="9"/>
  <c r="M826" i="9"/>
  <c r="L826" i="9"/>
  <c r="K826" i="9"/>
  <c r="J826" i="9"/>
  <c r="I826" i="9"/>
  <c r="H826" i="9"/>
  <c r="G826" i="9"/>
  <c r="F826" i="9"/>
  <c r="E826" i="9"/>
  <c r="D826" i="9"/>
  <c r="C826" i="9"/>
  <c r="B826" i="9"/>
  <c r="AJ825" i="9"/>
  <c r="AI825" i="9"/>
  <c r="AH825" i="9"/>
  <c r="AG825" i="9"/>
  <c r="AF825" i="9"/>
  <c r="AE825" i="9"/>
  <c r="AD825" i="9"/>
  <c r="AC825" i="9"/>
  <c r="AB825" i="9"/>
  <c r="AA825" i="9"/>
  <c r="Z825" i="9"/>
  <c r="Y825" i="9"/>
  <c r="X825" i="9"/>
  <c r="W825" i="9"/>
  <c r="V825" i="9"/>
  <c r="U825" i="9"/>
  <c r="T825" i="9"/>
  <c r="S825" i="9"/>
  <c r="R825" i="9"/>
  <c r="Q825" i="9"/>
  <c r="P825" i="9"/>
  <c r="O825" i="9"/>
  <c r="M825" i="9"/>
  <c r="L825" i="9"/>
  <c r="K825" i="9"/>
  <c r="J825" i="9"/>
  <c r="I825" i="9"/>
  <c r="H825" i="9"/>
  <c r="G825" i="9"/>
  <c r="F825" i="9"/>
  <c r="E825" i="9"/>
  <c r="D825" i="9"/>
  <c r="C825" i="9"/>
  <c r="B825" i="9"/>
  <c r="AJ824" i="9"/>
  <c r="AI824" i="9"/>
  <c r="AH824" i="9"/>
  <c r="AG824" i="9"/>
  <c r="AF824" i="9"/>
  <c r="AE824" i="9"/>
  <c r="AD824" i="9"/>
  <c r="AC824" i="9"/>
  <c r="AB824" i="9"/>
  <c r="AA824" i="9"/>
  <c r="Z824" i="9"/>
  <c r="Y824" i="9"/>
  <c r="X824" i="9"/>
  <c r="W824" i="9"/>
  <c r="V824" i="9"/>
  <c r="U824" i="9"/>
  <c r="T824" i="9"/>
  <c r="S824" i="9"/>
  <c r="R824" i="9"/>
  <c r="Q824" i="9"/>
  <c r="P824" i="9"/>
  <c r="O824" i="9"/>
  <c r="M824" i="9"/>
  <c r="L824" i="9"/>
  <c r="K824" i="9"/>
  <c r="J824" i="9"/>
  <c r="I824" i="9"/>
  <c r="H824" i="9"/>
  <c r="G824" i="9"/>
  <c r="F824" i="9"/>
  <c r="E824" i="9"/>
  <c r="D824" i="9"/>
  <c r="C824" i="9"/>
  <c r="B824" i="9"/>
  <c r="AJ823" i="9"/>
  <c r="AI823" i="9"/>
  <c r="AH823" i="9"/>
  <c r="AG823" i="9"/>
  <c r="AF823" i="9"/>
  <c r="AE823" i="9"/>
  <c r="AD823" i="9"/>
  <c r="AC823" i="9"/>
  <c r="AB823" i="9"/>
  <c r="AA823" i="9"/>
  <c r="Z823" i="9"/>
  <c r="Y823" i="9"/>
  <c r="X823" i="9"/>
  <c r="W823" i="9"/>
  <c r="V823" i="9"/>
  <c r="U823" i="9"/>
  <c r="T823" i="9"/>
  <c r="S823" i="9"/>
  <c r="R823" i="9"/>
  <c r="Q823" i="9"/>
  <c r="P823" i="9"/>
  <c r="O823" i="9"/>
  <c r="M823" i="9"/>
  <c r="L823" i="9"/>
  <c r="K823" i="9"/>
  <c r="J823" i="9"/>
  <c r="I823" i="9"/>
  <c r="H823" i="9"/>
  <c r="G823" i="9"/>
  <c r="F823" i="9"/>
  <c r="E823" i="9"/>
  <c r="D823" i="9"/>
  <c r="C823" i="9"/>
  <c r="B823" i="9"/>
  <c r="AJ822" i="9"/>
  <c r="AI822" i="9"/>
  <c r="AH822" i="9"/>
  <c r="AG822" i="9"/>
  <c r="AF822" i="9"/>
  <c r="AE822" i="9"/>
  <c r="AD822" i="9"/>
  <c r="AC822" i="9"/>
  <c r="AB822" i="9"/>
  <c r="AA822" i="9"/>
  <c r="Z822" i="9"/>
  <c r="Y822" i="9"/>
  <c r="X822" i="9"/>
  <c r="W822" i="9"/>
  <c r="V822" i="9"/>
  <c r="U822" i="9"/>
  <c r="T822" i="9"/>
  <c r="S822" i="9"/>
  <c r="R822" i="9"/>
  <c r="Q822" i="9"/>
  <c r="P822" i="9"/>
  <c r="O822" i="9"/>
  <c r="M822" i="9"/>
  <c r="L822" i="9"/>
  <c r="K822" i="9"/>
  <c r="J822" i="9"/>
  <c r="I822" i="9"/>
  <c r="H822" i="9"/>
  <c r="G822" i="9"/>
  <c r="F822" i="9"/>
  <c r="E822" i="9"/>
  <c r="D822" i="9"/>
  <c r="C822" i="9"/>
  <c r="B822" i="9"/>
  <c r="AJ821" i="9"/>
  <c r="AI821" i="9"/>
  <c r="AH821" i="9"/>
  <c r="AG821" i="9"/>
  <c r="AF821" i="9"/>
  <c r="AE821" i="9"/>
  <c r="AD821" i="9"/>
  <c r="AC821" i="9"/>
  <c r="AB821" i="9"/>
  <c r="AA821" i="9"/>
  <c r="Z821" i="9"/>
  <c r="Y821" i="9"/>
  <c r="X821" i="9"/>
  <c r="W821" i="9"/>
  <c r="V821" i="9"/>
  <c r="U821" i="9"/>
  <c r="T821" i="9"/>
  <c r="S821" i="9"/>
  <c r="R821" i="9"/>
  <c r="Q821" i="9"/>
  <c r="P821" i="9"/>
  <c r="O821" i="9"/>
  <c r="M821" i="9"/>
  <c r="L821" i="9"/>
  <c r="K821" i="9"/>
  <c r="J821" i="9"/>
  <c r="I821" i="9"/>
  <c r="H821" i="9"/>
  <c r="G821" i="9"/>
  <c r="F821" i="9"/>
  <c r="E821" i="9"/>
  <c r="D821" i="9"/>
  <c r="C821" i="9"/>
  <c r="B821" i="9"/>
  <c r="AJ820" i="9"/>
  <c r="AI820" i="9"/>
  <c r="AH820" i="9"/>
  <c r="AG820" i="9"/>
  <c r="AF820" i="9"/>
  <c r="AE820" i="9"/>
  <c r="AD820" i="9"/>
  <c r="AC820" i="9"/>
  <c r="AB820" i="9"/>
  <c r="AA820" i="9"/>
  <c r="Z820" i="9"/>
  <c r="Y820" i="9"/>
  <c r="X820" i="9"/>
  <c r="W820" i="9"/>
  <c r="V820" i="9"/>
  <c r="U820" i="9"/>
  <c r="T820" i="9"/>
  <c r="S820" i="9"/>
  <c r="R820" i="9"/>
  <c r="Q820" i="9"/>
  <c r="P820" i="9"/>
  <c r="O820" i="9"/>
  <c r="M820" i="9"/>
  <c r="L820" i="9"/>
  <c r="K820" i="9"/>
  <c r="J820" i="9"/>
  <c r="I820" i="9"/>
  <c r="H820" i="9"/>
  <c r="G820" i="9"/>
  <c r="F820" i="9"/>
  <c r="E820" i="9"/>
  <c r="D820" i="9"/>
  <c r="C820" i="9"/>
  <c r="B820" i="9"/>
  <c r="AJ819" i="9"/>
  <c r="AI819" i="9"/>
  <c r="AH819" i="9"/>
  <c r="AG819" i="9"/>
  <c r="AF819" i="9"/>
  <c r="AE819" i="9"/>
  <c r="AD819" i="9"/>
  <c r="AC819" i="9"/>
  <c r="AB819" i="9"/>
  <c r="AA819" i="9"/>
  <c r="Z819" i="9"/>
  <c r="Y819" i="9"/>
  <c r="X819" i="9"/>
  <c r="W819" i="9"/>
  <c r="V819" i="9"/>
  <c r="U819" i="9"/>
  <c r="T819" i="9"/>
  <c r="S819" i="9"/>
  <c r="R819" i="9"/>
  <c r="Q819" i="9"/>
  <c r="P819" i="9"/>
  <c r="O819" i="9"/>
  <c r="M819" i="9"/>
  <c r="L819" i="9"/>
  <c r="K819" i="9"/>
  <c r="J819" i="9"/>
  <c r="I819" i="9"/>
  <c r="H819" i="9"/>
  <c r="G819" i="9"/>
  <c r="F819" i="9"/>
  <c r="E819" i="9"/>
  <c r="D819" i="9"/>
  <c r="C819" i="9"/>
  <c r="B819" i="9"/>
  <c r="AJ818" i="9"/>
  <c r="AI818" i="9"/>
  <c r="AH818" i="9"/>
  <c r="AG818" i="9"/>
  <c r="AF818" i="9"/>
  <c r="AE818" i="9"/>
  <c r="AD818" i="9"/>
  <c r="AC818" i="9"/>
  <c r="AB818" i="9"/>
  <c r="AA818" i="9"/>
  <c r="Z818" i="9"/>
  <c r="Y818" i="9"/>
  <c r="X818" i="9"/>
  <c r="W818" i="9"/>
  <c r="V818" i="9"/>
  <c r="U818" i="9"/>
  <c r="T818" i="9"/>
  <c r="S818" i="9"/>
  <c r="R818" i="9"/>
  <c r="Q818" i="9"/>
  <c r="P818" i="9"/>
  <c r="O818" i="9"/>
  <c r="M818" i="9"/>
  <c r="L818" i="9"/>
  <c r="K818" i="9"/>
  <c r="J818" i="9"/>
  <c r="I818" i="9"/>
  <c r="H818" i="9"/>
  <c r="G818" i="9"/>
  <c r="F818" i="9"/>
  <c r="E818" i="9"/>
  <c r="D818" i="9"/>
  <c r="C818" i="9"/>
  <c r="B818" i="9"/>
  <c r="AJ817" i="9"/>
  <c r="AI817" i="9"/>
  <c r="AH817" i="9"/>
  <c r="AG817" i="9"/>
  <c r="AF817" i="9"/>
  <c r="AE817" i="9"/>
  <c r="AD817" i="9"/>
  <c r="AC817" i="9"/>
  <c r="AB817" i="9"/>
  <c r="AA817" i="9"/>
  <c r="Z817" i="9"/>
  <c r="Y817" i="9"/>
  <c r="X817" i="9"/>
  <c r="W817" i="9"/>
  <c r="V817" i="9"/>
  <c r="U817" i="9"/>
  <c r="T817" i="9"/>
  <c r="S817" i="9"/>
  <c r="R817" i="9"/>
  <c r="Q817" i="9"/>
  <c r="P817" i="9"/>
  <c r="O817" i="9"/>
  <c r="M817" i="9"/>
  <c r="L817" i="9"/>
  <c r="K817" i="9"/>
  <c r="J817" i="9"/>
  <c r="I817" i="9"/>
  <c r="H817" i="9"/>
  <c r="G817" i="9"/>
  <c r="F817" i="9"/>
  <c r="E817" i="9"/>
  <c r="D817" i="9"/>
  <c r="C817" i="9"/>
  <c r="B817" i="9"/>
  <c r="AJ816" i="9"/>
  <c r="AI816" i="9"/>
  <c r="AH816" i="9"/>
  <c r="AG816" i="9"/>
  <c r="AF816" i="9"/>
  <c r="AE816" i="9"/>
  <c r="AD816" i="9"/>
  <c r="AC816" i="9"/>
  <c r="AB816" i="9"/>
  <c r="AA816" i="9"/>
  <c r="Z816" i="9"/>
  <c r="Y816" i="9"/>
  <c r="X816" i="9"/>
  <c r="W816" i="9"/>
  <c r="V816" i="9"/>
  <c r="U816" i="9"/>
  <c r="T816" i="9"/>
  <c r="S816" i="9"/>
  <c r="R816" i="9"/>
  <c r="Q816" i="9"/>
  <c r="P816" i="9"/>
  <c r="O816" i="9"/>
  <c r="M816" i="9"/>
  <c r="L816" i="9"/>
  <c r="K816" i="9"/>
  <c r="J816" i="9"/>
  <c r="I816" i="9"/>
  <c r="H816" i="9"/>
  <c r="G816" i="9"/>
  <c r="F816" i="9"/>
  <c r="E816" i="9"/>
  <c r="D816" i="9"/>
  <c r="C816" i="9"/>
  <c r="B816" i="9"/>
  <c r="AJ815" i="9"/>
  <c r="AI815" i="9"/>
  <c r="AH815" i="9"/>
  <c r="AG815" i="9"/>
  <c r="AF815" i="9"/>
  <c r="AE815" i="9"/>
  <c r="AD815" i="9"/>
  <c r="AC815" i="9"/>
  <c r="AB815" i="9"/>
  <c r="AA815" i="9"/>
  <c r="Z815" i="9"/>
  <c r="Y815" i="9"/>
  <c r="X815" i="9"/>
  <c r="W815" i="9"/>
  <c r="V815" i="9"/>
  <c r="U815" i="9"/>
  <c r="T815" i="9"/>
  <c r="S815" i="9"/>
  <c r="R815" i="9"/>
  <c r="Q815" i="9"/>
  <c r="P815" i="9"/>
  <c r="O815" i="9"/>
  <c r="M815" i="9"/>
  <c r="L815" i="9"/>
  <c r="K815" i="9"/>
  <c r="J815" i="9"/>
  <c r="I815" i="9"/>
  <c r="H815" i="9"/>
  <c r="G815" i="9"/>
  <c r="F815" i="9"/>
  <c r="E815" i="9"/>
  <c r="D815" i="9"/>
  <c r="C815" i="9"/>
  <c r="B815" i="9"/>
  <c r="AJ814" i="9"/>
  <c r="AI814" i="9"/>
  <c r="AH814" i="9"/>
  <c r="AG814" i="9"/>
  <c r="AF814" i="9"/>
  <c r="AE814" i="9"/>
  <c r="AD814" i="9"/>
  <c r="AC814" i="9"/>
  <c r="AB814" i="9"/>
  <c r="AA814" i="9"/>
  <c r="Z814" i="9"/>
  <c r="Y814" i="9"/>
  <c r="X814" i="9"/>
  <c r="W814" i="9"/>
  <c r="V814" i="9"/>
  <c r="U814" i="9"/>
  <c r="T814" i="9"/>
  <c r="S814" i="9"/>
  <c r="R814" i="9"/>
  <c r="Q814" i="9"/>
  <c r="P814" i="9"/>
  <c r="O814" i="9"/>
  <c r="M814" i="9"/>
  <c r="L814" i="9"/>
  <c r="K814" i="9"/>
  <c r="J814" i="9"/>
  <c r="I814" i="9"/>
  <c r="H814" i="9"/>
  <c r="G814" i="9"/>
  <c r="F814" i="9"/>
  <c r="E814" i="9"/>
  <c r="D814" i="9"/>
  <c r="C814" i="9"/>
  <c r="B814" i="9"/>
  <c r="AJ813" i="9"/>
  <c r="AI813" i="9"/>
  <c r="AH813" i="9"/>
  <c r="AG813" i="9"/>
  <c r="AF813" i="9"/>
  <c r="AE813" i="9"/>
  <c r="AD813" i="9"/>
  <c r="AC813" i="9"/>
  <c r="AB813" i="9"/>
  <c r="AA813" i="9"/>
  <c r="Z813" i="9"/>
  <c r="Y813" i="9"/>
  <c r="X813" i="9"/>
  <c r="W813" i="9"/>
  <c r="V813" i="9"/>
  <c r="U813" i="9"/>
  <c r="T813" i="9"/>
  <c r="S813" i="9"/>
  <c r="R813" i="9"/>
  <c r="Q813" i="9"/>
  <c r="P813" i="9"/>
  <c r="O813" i="9"/>
  <c r="M813" i="9"/>
  <c r="L813" i="9"/>
  <c r="K813" i="9"/>
  <c r="J813" i="9"/>
  <c r="I813" i="9"/>
  <c r="H813" i="9"/>
  <c r="G813" i="9"/>
  <c r="F813" i="9"/>
  <c r="E813" i="9"/>
  <c r="D813" i="9"/>
  <c r="C813" i="9"/>
  <c r="B813" i="9"/>
  <c r="AJ812" i="9"/>
  <c r="AI812" i="9"/>
  <c r="AH812" i="9"/>
  <c r="AG812" i="9"/>
  <c r="AF812" i="9"/>
  <c r="AE812" i="9"/>
  <c r="AD812" i="9"/>
  <c r="AC812" i="9"/>
  <c r="AB812" i="9"/>
  <c r="AA812" i="9"/>
  <c r="Z812" i="9"/>
  <c r="Y812" i="9"/>
  <c r="X812" i="9"/>
  <c r="W812" i="9"/>
  <c r="V812" i="9"/>
  <c r="U812" i="9"/>
  <c r="T812" i="9"/>
  <c r="S812" i="9"/>
  <c r="R812" i="9"/>
  <c r="Q812" i="9"/>
  <c r="P812" i="9"/>
  <c r="O812" i="9"/>
  <c r="M812" i="9"/>
  <c r="L812" i="9"/>
  <c r="K812" i="9"/>
  <c r="J812" i="9"/>
  <c r="I812" i="9"/>
  <c r="H812" i="9"/>
  <c r="G812" i="9"/>
  <c r="F812" i="9"/>
  <c r="E812" i="9"/>
  <c r="D812" i="9"/>
  <c r="C812" i="9"/>
  <c r="B812" i="9"/>
  <c r="AJ811" i="9"/>
  <c r="AI811" i="9"/>
  <c r="AH811" i="9"/>
  <c r="AG811" i="9"/>
  <c r="AF811" i="9"/>
  <c r="AE811" i="9"/>
  <c r="AD811" i="9"/>
  <c r="AC811" i="9"/>
  <c r="AB811" i="9"/>
  <c r="AA811" i="9"/>
  <c r="Z811" i="9"/>
  <c r="Y811" i="9"/>
  <c r="X811" i="9"/>
  <c r="W811" i="9"/>
  <c r="V811" i="9"/>
  <c r="U811" i="9"/>
  <c r="T811" i="9"/>
  <c r="S811" i="9"/>
  <c r="R811" i="9"/>
  <c r="Q811" i="9"/>
  <c r="P811" i="9"/>
  <c r="O811" i="9"/>
  <c r="M811" i="9"/>
  <c r="L811" i="9"/>
  <c r="K811" i="9"/>
  <c r="J811" i="9"/>
  <c r="I811" i="9"/>
  <c r="H811" i="9"/>
  <c r="G811" i="9"/>
  <c r="F811" i="9"/>
  <c r="E811" i="9"/>
  <c r="D811" i="9"/>
  <c r="C811" i="9"/>
  <c r="B811" i="9"/>
  <c r="AJ810" i="9"/>
  <c r="AI810" i="9"/>
  <c r="AH810" i="9"/>
  <c r="AG810" i="9"/>
  <c r="AF810" i="9"/>
  <c r="AE810" i="9"/>
  <c r="AD810" i="9"/>
  <c r="AC810" i="9"/>
  <c r="AB810" i="9"/>
  <c r="AA810" i="9"/>
  <c r="Z810" i="9"/>
  <c r="Y810" i="9"/>
  <c r="X810" i="9"/>
  <c r="W810" i="9"/>
  <c r="V810" i="9"/>
  <c r="U810" i="9"/>
  <c r="T810" i="9"/>
  <c r="S810" i="9"/>
  <c r="R810" i="9"/>
  <c r="Q810" i="9"/>
  <c r="P810" i="9"/>
  <c r="O810" i="9"/>
  <c r="M810" i="9"/>
  <c r="L810" i="9"/>
  <c r="K810" i="9"/>
  <c r="J810" i="9"/>
  <c r="I810" i="9"/>
  <c r="H810" i="9"/>
  <c r="G810" i="9"/>
  <c r="F810" i="9"/>
  <c r="E810" i="9"/>
  <c r="D810" i="9"/>
  <c r="C810" i="9"/>
  <c r="B810" i="9"/>
  <c r="AJ809" i="9"/>
  <c r="AI809" i="9"/>
  <c r="AH809" i="9"/>
  <c r="AG809" i="9"/>
  <c r="AF809" i="9"/>
  <c r="AE809" i="9"/>
  <c r="AD809" i="9"/>
  <c r="AC809" i="9"/>
  <c r="AB809" i="9"/>
  <c r="AA809" i="9"/>
  <c r="Z809" i="9"/>
  <c r="Y809" i="9"/>
  <c r="X809" i="9"/>
  <c r="W809" i="9"/>
  <c r="V809" i="9"/>
  <c r="U809" i="9"/>
  <c r="T809" i="9"/>
  <c r="S809" i="9"/>
  <c r="R809" i="9"/>
  <c r="Q809" i="9"/>
  <c r="P809" i="9"/>
  <c r="O809" i="9"/>
  <c r="M809" i="9"/>
  <c r="L809" i="9"/>
  <c r="K809" i="9"/>
  <c r="J809" i="9"/>
  <c r="I809" i="9"/>
  <c r="H809" i="9"/>
  <c r="G809" i="9"/>
  <c r="F809" i="9"/>
  <c r="E809" i="9"/>
  <c r="D809" i="9"/>
  <c r="C809" i="9"/>
  <c r="B809" i="9"/>
  <c r="AJ808" i="9"/>
  <c r="AI808" i="9"/>
  <c r="AH808" i="9"/>
  <c r="AG808" i="9"/>
  <c r="AF808" i="9"/>
  <c r="AE808" i="9"/>
  <c r="AD808" i="9"/>
  <c r="AC808" i="9"/>
  <c r="AB808" i="9"/>
  <c r="AA808" i="9"/>
  <c r="Z808" i="9"/>
  <c r="Y808" i="9"/>
  <c r="X808" i="9"/>
  <c r="W808" i="9"/>
  <c r="V808" i="9"/>
  <c r="U808" i="9"/>
  <c r="T808" i="9"/>
  <c r="S808" i="9"/>
  <c r="R808" i="9"/>
  <c r="Q808" i="9"/>
  <c r="P808" i="9"/>
  <c r="O808" i="9"/>
  <c r="M808" i="9"/>
  <c r="L808" i="9"/>
  <c r="K808" i="9"/>
  <c r="J808" i="9"/>
  <c r="I808" i="9"/>
  <c r="H808" i="9"/>
  <c r="G808" i="9"/>
  <c r="F808" i="9"/>
  <c r="E808" i="9"/>
  <c r="D808" i="9"/>
  <c r="C808" i="9"/>
  <c r="B808" i="9"/>
  <c r="AJ807" i="9"/>
  <c r="AI807" i="9"/>
  <c r="AH807" i="9"/>
  <c r="AG807" i="9"/>
  <c r="AF807" i="9"/>
  <c r="AE807" i="9"/>
  <c r="AD807" i="9"/>
  <c r="AC807" i="9"/>
  <c r="AB807" i="9"/>
  <c r="AA807" i="9"/>
  <c r="Z807" i="9"/>
  <c r="Y807" i="9"/>
  <c r="X807" i="9"/>
  <c r="W807" i="9"/>
  <c r="V807" i="9"/>
  <c r="U807" i="9"/>
  <c r="T807" i="9"/>
  <c r="S807" i="9"/>
  <c r="R807" i="9"/>
  <c r="Q807" i="9"/>
  <c r="P807" i="9"/>
  <c r="O807" i="9"/>
  <c r="M807" i="9"/>
  <c r="L807" i="9"/>
  <c r="K807" i="9"/>
  <c r="J807" i="9"/>
  <c r="I807" i="9"/>
  <c r="H807" i="9"/>
  <c r="G807" i="9"/>
  <c r="F807" i="9"/>
  <c r="E807" i="9"/>
  <c r="D807" i="9"/>
  <c r="C807" i="9"/>
  <c r="B807" i="9"/>
  <c r="AJ806" i="9"/>
  <c r="AI806" i="9"/>
  <c r="AH806" i="9"/>
  <c r="AG806" i="9"/>
  <c r="AF806" i="9"/>
  <c r="AE806" i="9"/>
  <c r="AD806" i="9"/>
  <c r="AC806" i="9"/>
  <c r="AB806" i="9"/>
  <c r="AA806" i="9"/>
  <c r="Z806" i="9"/>
  <c r="Y806" i="9"/>
  <c r="X806" i="9"/>
  <c r="W806" i="9"/>
  <c r="V806" i="9"/>
  <c r="U806" i="9"/>
  <c r="T806" i="9"/>
  <c r="S806" i="9"/>
  <c r="R806" i="9"/>
  <c r="Q806" i="9"/>
  <c r="P806" i="9"/>
  <c r="O806" i="9"/>
  <c r="M806" i="9"/>
  <c r="L806" i="9"/>
  <c r="K806" i="9"/>
  <c r="J806" i="9"/>
  <c r="I806" i="9"/>
  <c r="H806" i="9"/>
  <c r="G806" i="9"/>
  <c r="F806" i="9"/>
  <c r="E806" i="9"/>
  <c r="D806" i="9"/>
  <c r="C806" i="9"/>
  <c r="B806" i="9"/>
  <c r="AJ805" i="9"/>
  <c r="AI805" i="9"/>
  <c r="AH805" i="9"/>
  <c r="AG805" i="9"/>
  <c r="AF805" i="9"/>
  <c r="AE805" i="9"/>
  <c r="AD805" i="9"/>
  <c r="AC805" i="9"/>
  <c r="AB805" i="9"/>
  <c r="AA805" i="9"/>
  <c r="Z805" i="9"/>
  <c r="Y805" i="9"/>
  <c r="X805" i="9"/>
  <c r="W805" i="9"/>
  <c r="V805" i="9"/>
  <c r="U805" i="9"/>
  <c r="T805" i="9"/>
  <c r="S805" i="9"/>
  <c r="R805" i="9"/>
  <c r="Q805" i="9"/>
  <c r="P805" i="9"/>
  <c r="O805" i="9"/>
  <c r="M805" i="9"/>
  <c r="L805" i="9"/>
  <c r="K805" i="9"/>
  <c r="J805" i="9"/>
  <c r="I805" i="9"/>
  <c r="H805" i="9"/>
  <c r="G805" i="9"/>
  <c r="F805" i="9"/>
  <c r="E805" i="9"/>
  <c r="D805" i="9"/>
  <c r="C805" i="9"/>
  <c r="B805" i="9"/>
  <c r="AJ804" i="9"/>
  <c r="AI804" i="9"/>
  <c r="AH804" i="9"/>
  <c r="AG804" i="9"/>
  <c r="AF804" i="9"/>
  <c r="AE804" i="9"/>
  <c r="AD804" i="9"/>
  <c r="AC804" i="9"/>
  <c r="AB804" i="9"/>
  <c r="AA804" i="9"/>
  <c r="Z804" i="9"/>
  <c r="Y804" i="9"/>
  <c r="X804" i="9"/>
  <c r="W804" i="9"/>
  <c r="V804" i="9"/>
  <c r="U804" i="9"/>
  <c r="T804" i="9"/>
  <c r="S804" i="9"/>
  <c r="R804" i="9"/>
  <c r="Q804" i="9"/>
  <c r="P804" i="9"/>
  <c r="O804" i="9"/>
  <c r="M804" i="9"/>
  <c r="L804" i="9"/>
  <c r="K804" i="9"/>
  <c r="J804" i="9"/>
  <c r="I804" i="9"/>
  <c r="H804" i="9"/>
  <c r="G804" i="9"/>
  <c r="F804" i="9"/>
  <c r="E804" i="9"/>
  <c r="D804" i="9"/>
  <c r="C804" i="9"/>
  <c r="B804" i="9"/>
  <c r="AJ803" i="9"/>
  <c r="AI803" i="9"/>
  <c r="AH803" i="9"/>
  <c r="AG803" i="9"/>
  <c r="AF803" i="9"/>
  <c r="AE803" i="9"/>
  <c r="AD803" i="9"/>
  <c r="AC803" i="9"/>
  <c r="AB803" i="9"/>
  <c r="AA803" i="9"/>
  <c r="Z803" i="9"/>
  <c r="Y803" i="9"/>
  <c r="X803" i="9"/>
  <c r="W803" i="9"/>
  <c r="V803" i="9"/>
  <c r="U803" i="9"/>
  <c r="T803" i="9"/>
  <c r="S803" i="9"/>
  <c r="R803" i="9"/>
  <c r="Q803" i="9"/>
  <c r="P803" i="9"/>
  <c r="O803" i="9"/>
  <c r="M803" i="9"/>
  <c r="L803" i="9"/>
  <c r="K803" i="9"/>
  <c r="J803" i="9"/>
  <c r="I803" i="9"/>
  <c r="H803" i="9"/>
  <c r="G803" i="9"/>
  <c r="F803" i="9"/>
  <c r="E803" i="9"/>
  <c r="D803" i="9"/>
  <c r="C803" i="9"/>
  <c r="B803" i="9"/>
  <c r="AJ802" i="9"/>
  <c r="AI802" i="9"/>
  <c r="AH802" i="9"/>
  <c r="AG802" i="9"/>
  <c r="AF802" i="9"/>
  <c r="AE802" i="9"/>
  <c r="AD802" i="9"/>
  <c r="AC802" i="9"/>
  <c r="AB802" i="9"/>
  <c r="AA802" i="9"/>
  <c r="Z802" i="9"/>
  <c r="Y802" i="9"/>
  <c r="X802" i="9"/>
  <c r="W802" i="9"/>
  <c r="V802" i="9"/>
  <c r="U802" i="9"/>
  <c r="T802" i="9"/>
  <c r="S802" i="9"/>
  <c r="R802" i="9"/>
  <c r="Q802" i="9"/>
  <c r="P802" i="9"/>
  <c r="O802" i="9"/>
  <c r="M802" i="9"/>
  <c r="L802" i="9"/>
  <c r="K802" i="9"/>
  <c r="J802" i="9"/>
  <c r="I802" i="9"/>
  <c r="H802" i="9"/>
  <c r="G802" i="9"/>
  <c r="F802" i="9"/>
  <c r="E802" i="9"/>
  <c r="D802" i="9"/>
  <c r="C802" i="9"/>
  <c r="B802" i="9"/>
  <c r="AJ801" i="9"/>
  <c r="AI801" i="9"/>
  <c r="AH801" i="9"/>
  <c r="AG801" i="9"/>
  <c r="AF801" i="9"/>
  <c r="AE801" i="9"/>
  <c r="AD801" i="9"/>
  <c r="AC801" i="9"/>
  <c r="AB801" i="9"/>
  <c r="AA801" i="9"/>
  <c r="Z801" i="9"/>
  <c r="Y801" i="9"/>
  <c r="X801" i="9"/>
  <c r="W801" i="9"/>
  <c r="V801" i="9"/>
  <c r="U801" i="9"/>
  <c r="T801" i="9"/>
  <c r="S801" i="9"/>
  <c r="R801" i="9"/>
  <c r="Q801" i="9"/>
  <c r="P801" i="9"/>
  <c r="O801" i="9"/>
  <c r="M801" i="9"/>
  <c r="L801" i="9"/>
  <c r="K801" i="9"/>
  <c r="J801" i="9"/>
  <c r="I801" i="9"/>
  <c r="H801" i="9"/>
  <c r="G801" i="9"/>
  <c r="F801" i="9"/>
  <c r="E801" i="9"/>
  <c r="D801" i="9"/>
  <c r="C801" i="9"/>
  <c r="B801" i="9"/>
  <c r="AJ800" i="9"/>
  <c r="AI800" i="9"/>
  <c r="AH800" i="9"/>
  <c r="AG800" i="9"/>
  <c r="AF800" i="9"/>
  <c r="AE800" i="9"/>
  <c r="AD800" i="9"/>
  <c r="AC800" i="9"/>
  <c r="AB800" i="9"/>
  <c r="AA800" i="9"/>
  <c r="Z800" i="9"/>
  <c r="Y800" i="9"/>
  <c r="X800" i="9"/>
  <c r="W800" i="9"/>
  <c r="V800" i="9"/>
  <c r="U800" i="9"/>
  <c r="T800" i="9"/>
  <c r="S800" i="9"/>
  <c r="R800" i="9"/>
  <c r="Q800" i="9"/>
  <c r="P800" i="9"/>
  <c r="O800" i="9"/>
  <c r="M800" i="9"/>
  <c r="L800" i="9"/>
  <c r="K800" i="9"/>
  <c r="J800" i="9"/>
  <c r="I800" i="9"/>
  <c r="H800" i="9"/>
  <c r="G800" i="9"/>
  <c r="F800" i="9"/>
  <c r="E800" i="9"/>
  <c r="D800" i="9"/>
  <c r="C800" i="9"/>
  <c r="B800" i="9"/>
  <c r="AJ799" i="9"/>
  <c r="AI799" i="9"/>
  <c r="AH799" i="9"/>
  <c r="AG799" i="9"/>
  <c r="AF799" i="9"/>
  <c r="AE799" i="9"/>
  <c r="AD799" i="9"/>
  <c r="AC799" i="9"/>
  <c r="AB799" i="9"/>
  <c r="AA799" i="9"/>
  <c r="Z799" i="9"/>
  <c r="Y799" i="9"/>
  <c r="X799" i="9"/>
  <c r="W799" i="9"/>
  <c r="V799" i="9"/>
  <c r="U799" i="9"/>
  <c r="T799" i="9"/>
  <c r="S799" i="9"/>
  <c r="R799" i="9"/>
  <c r="Q799" i="9"/>
  <c r="P799" i="9"/>
  <c r="O799" i="9"/>
  <c r="M799" i="9"/>
  <c r="L799" i="9"/>
  <c r="K799" i="9"/>
  <c r="J799" i="9"/>
  <c r="I799" i="9"/>
  <c r="H799" i="9"/>
  <c r="G799" i="9"/>
  <c r="F799" i="9"/>
  <c r="E799" i="9"/>
  <c r="D799" i="9"/>
  <c r="C799" i="9"/>
  <c r="B799" i="9"/>
  <c r="AJ798" i="9"/>
  <c r="AI798" i="9"/>
  <c r="AH798" i="9"/>
  <c r="AG798" i="9"/>
  <c r="AF798" i="9"/>
  <c r="AE798" i="9"/>
  <c r="AD798" i="9"/>
  <c r="AC798" i="9"/>
  <c r="AB798" i="9"/>
  <c r="AA798" i="9"/>
  <c r="Z798" i="9"/>
  <c r="Y798" i="9"/>
  <c r="X798" i="9"/>
  <c r="W798" i="9"/>
  <c r="V798" i="9"/>
  <c r="U798" i="9"/>
  <c r="T798" i="9"/>
  <c r="S798" i="9"/>
  <c r="R798" i="9"/>
  <c r="Q798" i="9"/>
  <c r="P798" i="9"/>
  <c r="O798" i="9"/>
  <c r="M798" i="9"/>
  <c r="L798" i="9"/>
  <c r="K798" i="9"/>
  <c r="J798" i="9"/>
  <c r="I798" i="9"/>
  <c r="H798" i="9"/>
  <c r="G798" i="9"/>
  <c r="F798" i="9"/>
  <c r="E798" i="9"/>
  <c r="D798" i="9"/>
  <c r="C798" i="9"/>
  <c r="B798" i="9"/>
  <c r="AJ797" i="9"/>
  <c r="AI797" i="9"/>
  <c r="AH797" i="9"/>
  <c r="AG797" i="9"/>
  <c r="AF797" i="9"/>
  <c r="AE797" i="9"/>
  <c r="AD797" i="9"/>
  <c r="AC797" i="9"/>
  <c r="AB797" i="9"/>
  <c r="AA797" i="9"/>
  <c r="Z797" i="9"/>
  <c r="Y797" i="9"/>
  <c r="X797" i="9"/>
  <c r="W797" i="9"/>
  <c r="V797" i="9"/>
  <c r="U797" i="9"/>
  <c r="T797" i="9"/>
  <c r="S797" i="9"/>
  <c r="R797" i="9"/>
  <c r="Q797" i="9"/>
  <c r="P797" i="9"/>
  <c r="O797" i="9"/>
  <c r="M797" i="9"/>
  <c r="L797" i="9"/>
  <c r="K797" i="9"/>
  <c r="J797" i="9"/>
  <c r="I797" i="9"/>
  <c r="H797" i="9"/>
  <c r="G797" i="9"/>
  <c r="F797" i="9"/>
  <c r="E797" i="9"/>
  <c r="D797" i="9"/>
  <c r="C797" i="9"/>
  <c r="B797" i="9"/>
  <c r="AJ796" i="9"/>
  <c r="AI796" i="9"/>
  <c r="AH796" i="9"/>
  <c r="AG796" i="9"/>
  <c r="AF796" i="9"/>
  <c r="AE796" i="9"/>
  <c r="AD796" i="9"/>
  <c r="AC796" i="9"/>
  <c r="AB796" i="9"/>
  <c r="AA796" i="9"/>
  <c r="Z796" i="9"/>
  <c r="Y796" i="9"/>
  <c r="X796" i="9"/>
  <c r="W796" i="9"/>
  <c r="V796" i="9"/>
  <c r="U796" i="9"/>
  <c r="T796" i="9"/>
  <c r="S796" i="9"/>
  <c r="R796" i="9"/>
  <c r="Q796" i="9"/>
  <c r="P796" i="9"/>
  <c r="O796" i="9"/>
  <c r="M796" i="9"/>
  <c r="L796" i="9"/>
  <c r="K796" i="9"/>
  <c r="J796" i="9"/>
  <c r="I796" i="9"/>
  <c r="H796" i="9"/>
  <c r="G796" i="9"/>
  <c r="F796" i="9"/>
  <c r="E796" i="9"/>
  <c r="D796" i="9"/>
  <c r="C796" i="9"/>
  <c r="B796" i="9"/>
  <c r="AJ795" i="9"/>
  <c r="AI795" i="9"/>
  <c r="AH795" i="9"/>
  <c r="AG795" i="9"/>
  <c r="AF795" i="9"/>
  <c r="AE795" i="9"/>
  <c r="AD795" i="9"/>
  <c r="AC795" i="9"/>
  <c r="AB795" i="9"/>
  <c r="AA795" i="9"/>
  <c r="Z795" i="9"/>
  <c r="Y795" i="9"/>
  <c r="X795" i="9"/>
  <c r="W795" i="9"/>
  <c r="V795" i="9"/>
  <c r="U795" i="9"/>
  <c r="T795" i="9"/>
  <c r="S795" i="9"/>
  <c r="R795" i="9"/>
  <c r="Q795" i="9"/>
  <c r="P795" i="9"/>
  <c r="O795" i="9"/>
  <c r="M795" i="9"/>
  <c r="L795" i="9"/>
  <c r="K795" i="9"/>
  <c r="J795" i="9"/>
  <c r="I795" i="9"/>
  <c r="H795" i="9"/>
  <c r="G795" i="9"/>
  <c r="F795" i="9"/>
  <c r="E795" i="9"/>
  <c r="D795" i="9"/>
  <c r="C795" i="9"/>
  <c r="B795" i="9"/>
  <c r="AJ794" i="9"/>
  <c r="AI794" i="9"/>
  <c r="AH794" i="9"/>
  <c r="AG794" i="9"/>
  <c r="AF794" i="9"/>
  <c r="AE794" i="9"/>
  <c r="AD794" i="9"/>
  <c r="AC794" i="9"/>
  <c r="AB794" i="9"/>
  <c r="AA794" i="9"/>
  <c r="Z794" i="9"/>
  <c r="Y794" i="9"/>
  <c r="X794" i="9"/>
  <c r="W794" i="9"/>
  <c r="V794" i="9"/>
  <c r="U794" i="9"/>
  <c r="T794" i="9"/>
  <c r="S794" i="9"/>
  <c r="R794" i="9"/>
  <c r="Q794" i="9"/>
  <c r="P794" i="9"/>
  <c r="O794" i="9"/>
  <c r="M794" i="9"/>
  <c r="L794" i="9"/>
  <c r="K794" i="9"/>
  <c r="J794" i="9"/>
  <c r="I794" i="9"/>
  <c r="H794" i="9"/>
  <c r="G794" i="9"/>
  <c r="F794" i="9"/>
  <c r="E794" i="9"/>
  <c r="D794" i="9"/>
  <c r="C794" i="9"/>
  <c r="B794" i="9"/>
  <c r="AJ793" i="9"/>
  <c r="AI793" i="9"/>
  <c r="AH793" i="9"/>
  <c r="AG793" i="9"/>
  <c r="AF793" i="9"/>
  <c r="AE793" i="9"/>
  <c r="AD793" i="9"/>
  <c r="AC793" i="9"/>
  <c r="AB793" i="9"/>
  <c r="AA793" i="9"/>
  <c r="Z793" i="9"/>
  <c r="Y793" i="9"/>
  <c r="X793" i="9"/>
  <c r="W793" i="9"/>
  <c r="V793" i="9"/>
  <c r="U793" i="9"/>
  <c r="T793" i="9"/>
  <c r="S793" i="9"/>
  <c r="R793" i="9"/>
  <c r="Q793" i="9"/>
  <c r="P793" i="9"/>
  <c r="O793" i="9"/>
  <c r="M793" i="9"/>
  <c r="L793" i="9"/>
  <c r="K793" i="9"/>
  <c r="J793" i="9"/>
  <c r="I793" i="9"/>
  <c r="H793" i="9"/>
  <c r="G793" i="9"/>
  <c r="F793" i="9"/>
  <c r="E793" i="9"/>
  <c r="D793" i="9"/>
  <c r="C793" i="9"/>
  <c r="B793" i="9"/>
  <c r="AJ792" i="9"/>
  <c r="AI792" i="9"/>
  <c r="AH792" i="9"/>
  <c r="AG792" i="9"/>
  <c r="AF792" i="9"/>
  <c r="AE792" i="9"/>
  <c r="AD792" i="9"/>
  <c r="AC792" i="9"/>
  <c r="AB792" i="9"/>
  <c r="AA792" i="9"/>
  <c r="Z792" i="9"/>
  <c r="Y792" i="9"/>
  <c r="X792" i="9"/>
  <c r="W792" i="9"/>
  <c r="V792" i="9"/>
  <c r="U792" i="9"/>
  <c r="T792" i="9"/>
  <c r="S792" i="9"/>
  <c r="R792" i="9"/>
  <c r="Q792" i="9"/>
  <c r="P792" i="9"/>
  <c r="O792" i="9"/>
  <c r="M792" i="9"/>
  <c r="L792" i="9"/>
  <c r="K792" i="9"/>
  <c r="J792" i="9"/>
  <c r="I792" i="9"/>
  <c r="H792" i="9"/>
  <c r="G792" i="9"/>
  <c r="F792" i="9"/>
  <c r="E792" i="9"/>
  <c r="D792" i="9"/>
  <c r="C792" i="9"/>
  <c r="B792" i="9"/>
  <c r="AJ791" i="9"/>
  <c r="AI791" i="9"/>
  <c r="AH791" i="9"/>
  <c r="AG791" i="9"/>
  <c r="AF791" i="9"/>
  <c r="AE791" i="9"/>
  <c r="AD791" i="9"/>
  <c r="AC791" i="9"/>
  <c r="AB791" i="9"/>
  <c r="AA791" i="9"/>
  <c r="Z791" i="9"/>
  <c r="Y791" i="9"/>
  <c r="X791" i="9"/>
  <c r="W791" i="9"/>
  <c r="V791" i="9"/>
  <c r="U791" i="9"/>
  <c r="T791" i="9"/>
  <c r="S791" i="9"/>
  <c r="R791" i="9"/>
  <c r="Q791" i="9"/>
  <c r="P791" i="9"/>
  <c r="O791" i="9"/>
  <c r="M791" i="9"/>
  <c r="L791" i="9"/>
  <c r="K791" i="9"/>
  <c r="J791" i="9"/>
  <c r="I791" i="9"/>
  <c r="H791" i="9"/>
  <c r="G791" i="9"/>
  <c r="F791" i="9"/>
  <c r="E791" i="9"/>
  <c r="D791" i="9"/>
  <c r="C791" i="9"/>
  <c r="B791" i="9"/>
  <c r="AJ790" i="9"/>
  <c r="AI790" i="9"/>
  <c r="AH790" i="9"/>
  <c r="AG790" i="9"/>
  <c r="AF790" i="9"/>
  <c r="AE790" i="9"/>
  <c r="AD790" i="9"/>
  <c r="AC790" i="9"/>
  <c r="AB790" i="9"/>
  <c r="AA790" i="9"/>
  <c r="Z790" i="9"/>
  <c r="Y790" i="9"/>
  <c r="X790" i="9"/>
  <c r="W790" i="9"/>
  <c r="V790" i="9"/>
  <c r="U790" i="9"/>
  <c r="T790" i="9"/>
  <c r="S790" i="9"/>
  <c r="R790" i="9"/>
  <c r="Q790" i="9"/>
  <c r="P790" i="9"/>
  <c r="O790" i="9"/>
  <c r="M790" i="9"/>
  <c r="L790" i="9"/>
  <c r="K790" i="9"/>
  <c r="J790" i="9"/>
  <c r="I790" i="9"/>
  <c r="H790" i="9"/>
  <c r="G790" i="9"/>
  <c r="F790" i="9"/>
  <c r="E790" i="9"/>
  <c r="D790" i="9"/>
  <c r="C790" i="9"/>
  <c r="B790" i="9"/>
  <c r="AJ789" i="9"/>
  <c r="AI789" i="9"/>
  <c r="AH789" i="9"/>
  <c r="AG789" i="9"/>
  <c r="AF789" i="9"/>
  <c r="AE789" i="9"/>
  <c r="AD789" i="9"/>
  <c r="AC789" i="9"/>
  <c r="AB789" i="9"/>
  <c r="AA789" i="9"/>
  <c r="Z789" i="9"/>
  <c r="Y789" i="9"/>
  <c r="X789" i="9"/>
  <c r="W789" i="9"/>
  <c r="V789" i="9"/>
  <c r="U789" i="9"/>
  <c r="T789" i="9"/>
  <c r="S789" i="9"/>
  <c r="R789" i="9"/>
  <c r="Q789" i="9"/>
  <c r="P789" i="9"/>
  <c r="O789" i="9"/>
  <c r="M789" i="9"/>
  <c r="L789" i="9"/>
  <c r="K789" i="9"/>
  <c r="J789" i="9"/>
  <c r="I789" i="9"/>
  <c r="H789" i="9"/>
  <c r="G789" i="9"/>
  <c r="F789" i="9"/>
  <c r="E789" i="9"/>
  <c r="D789" i="9"/>
  <c r="C789" i="9"/>
  <c r="B789" i="9"/>
  <c r="AJ788" i="9"/>
  <c r="AI788" i="9"/>
  <c r="AH788" i="9"/>
  <c r="AG788" i="9"/>
  <c r="AF788" i="9"/>
  <c r="AE788" i="9"/>
  <c r="AD788" i="9"/>
  <c r="AC788" i="9"/>
  <c r="AB788" i="9"/>
  <c r="AA788" i="9"/>
  <c r="Z788" i="9"/>
  <c r="Y788" i="9"/>
  <c r="X788" i="9"/>
  <c r="W788" i="9"/>
  <c r="V788" i="9"/>
  <c r="U788" i="9"/>
  <c r="T788" i="9"/>
  <c r="S788" i="9"/>
  <c r="R788" i="9"/>
  <c r="Q788" i="9"/>
  <c r="P788" i="9"/>
  <c r="O788" i="9"/>
  <c r="M788" i="9"/>
  <c r="L788" i="9"/>
  <c r="K788" i="9"/>
  <c r="J788" i="9"/>
  <c r="I788" i="9"/>
  <c r="H788" i="9"/>
  <c r="G788" i="9"/>
  <c r="F788" i="9"/>
  <c r="E788" i="9"/>
  <c r="D788" i="9"/>
  <c r="C788" i="9"/>
  <c r="B788" i="9"/>
  <c r="AJ787" i="9"/>
  <c r="AI787" i="9"/>
  <c r="AH787" i="9"/>
  <c r="AG787" i="9"/>
  <c r="AF787" i="9"/>
  <c r="AE787" i="9"/>
  <c r="AD787" i="9"/>
  <c r="AC787" i="9"/>
  <c r="AB787" i="9"/>
  <c r="AA787" i="9"/>
  <c r="Z787" i="9"/>
  <c r="Y787" i="9"/>
  <c r="X787" i="9"/>
  <c r="W787" i="9"/>
  <c r="V787" i="9"/>
  <c r="U787" i="9"/>
  <c r="T787" i="9"/>
  <c r="S787" i="9"/>
  <c r="R787" i="9"/>
  <c r="Q787" i="9"/>
  <c r="P787" i="9"/>
  <c r="O787" i="9"/>
  <c r="M787" i="9"/>
  <c r="L787" i="9"/>
  <c r="K787" i="9"/>
  <c r="J787" i="9"/>
  <c r="I787" i="9"/>
  <c r="H787" i="9"/>
  <c r="G787" i="9"/>
  <c r="F787" i="9"/>
  <c r="E787" i="9"/>
  <c r="D787" i="9"/>
  <c r="C787" i="9"/>
  <c r="B787" i="9"/>
  <c r="AJ786" i="9"/>
  <c r="AI786" i="9"/>
  <c r="AH786" i="9"/>
  <c r="AG786" i="9"/>
  <c r="AF786" i="9"/>
  <c r="AE786" i="9"/>
  <c r="AD786" i="9"/>
  <c r="AC786" i="9"/>
  <c r="AB786" i="9"/>
  <c r="AA786" i="9"/>
  <c r="Z786" i="9"/>
  <c r="Y786" i="9"/>
  <c r="X786" i="9"/>
  <c r="W786" i="9"/>
  <c r="V786" i="9"/>
  <c r="U786" i="9"/>
  <c r="T786" i="9"/>
  <c r="S786" i="9"/>
  <c r="R786" i="9"/>
  <c r="Q786" i="9"/>
  <c r="P786" i="9"/>
  <c r="O786" i="9"/>
  <c r="M786" i="9"/>
  <c r="L786" i="9"/>
  <c r="K786" i="9"/>
  <c r="J786" i="9"/>
  <c r="I786" i="9"/>
  <c r="H786" i="9"/>
  <c r="G786" i="9"/>
  <c r="F786" i="9"/>
  <c r="E786" i="9"/>
  <c r="D786" i="9"/>
  <c r="C786" i="9"/>
  <c r="B786" i="9"/>
  <c r="AJ785" i="9"/>
  <c r="AI785" i="9"/>
  <c r="AH785" i="9"/>
  <c r="AG785" i="9"/>
  <c r="AF785" i="9"/>
  <c r="AE785" i="9"/>
  <c r="AD785" i="9"/>
  <c r="AC785" i="9"/>
  <c r="AB785" i="9"/>
  <c r="AA785" i="9"/>
  <c r="Z785" i="9"/>
  <c r="Y785" i="9"/>
  <c r="X785" i="9"/>
  <c r="W785" i="9"/>
  <c r="V785" i="9"/>
  <c r="U785" i="9"/>
  <c r="T785" i="9"/>
  <c r="S785" i="9"/>
  <c r="R785" i="9"/>
  <c r="Q785" i="9"/>
  <c r="P785" i="9"/>
  <c r="O785" i="9"/>
  <c r="M785" i="9"/>
  <c r="L785" i="9"/>
  <c r="K785" i="9"/>
  <c r="J785" i="9"/>
  <c r="I785" i="9"/>
  <c r="H785" i="9"/>
  <c r="G785" i="9"/>
  <c r="F785" i="9"/>
  <c r="E785" i="9"/>
  <c r="D785" i="9"/>
  <c r="C785" i="9"/>
  <c r="B785" i="9"/>
  <c r="AJ784" i="9"/>
  <c r="AI784" i="9"/>
  <c r="AH784" i="9"/>
  <c r="AG784" i="9"/>
  <c r="AF784" i="9"/>
  <c r="AE784" i="9"/>
  <c r="AD784" i="9"/>
  <c r="AC784" i="9"/>
  <c r="AB784" i="9"/>
  <c r="AA784" i="9"/>
  <c r="Z784" i="9"/>
  <c r="Y784" i="9"/>
  <c r="X784" i="9"/>
  <c r="W784" i="9"/>
  <c r="V784" i="9"/>
  <c r="U784" i="9"/>
  <c r="T784" i="9"/>
  <c r="S784" i="9"/>
  <c r="R784" i="9"/>
  <c r="Q784" i="9"/>
  <c r="P784" i="9"/>
  <c r="O784" i="9"/>
  <c r="M784" i="9"/>
  <c r="L784" i="9"/>
  <c r="K784" i="9"/>
  <c r="J784" i="9"/>
  <c r="I784" i="9"/>
  <c r="H784" i="9"/>
  <c r="G784" i="9"/>
  <c r="F784" i="9"/>
  <c r="E784" i="9"/>
  <c r="D784" i="9"/>
  <c r="C784" i="9"/>
  <c r="B784" i="9"/>
  <c r="AJ783" i="9"/>
  <c r="AI783" i="9"/>
  <c r="AH783" i="9"/>
  <c r="AG783" i="9"/>
  <c r="AF783" i="9"/>
  <c r="AE783" i="9"/>
  <c r="AD783" i="9"/>
  <c r="AC783" i="9"/>
  <c r="AB783" i="9"/>
  <c r="AA783" i="9"/>
  <c r="Z783" i="9"/>
  <c r="Y783" i="9"/>
  <c r="X783" i="9"/>
  <c r="W783" i="9"/>
  <c r="V783" i="9"/>
  <c r="U783" i="9"/>
  <c r="T783" i="9"/>
  <c r="S783" i="9"/>
  <c r="R783" i="9"/>
  <c r="Q783" i="9"/>
  <c r="P783" i="9"/>
  <c r="O783" i="9"/>
  <c r="M783" i="9"/>
  <c r="L783" i="9"/>
  <c r="K783" i="9"/>
  <c r="J783" i="9"/>
  <c r="I783" i="9"/>
  <c r="H783" i="9"/>
  <c r="G783" i="9"/>
  <c r="F783" i="9"/>
  <c r="E783" i="9"/>
  <c r="D783" i="9"/>
  <c r="C783" i="9"/>
  <c r="B783" i="9"/>
  <c r="AJ782" i="9"/>
  <c r="AI782" i="9"/>
  <c r="AH782" i="9"/>
  <c r="AG782" i="9"/>
  <c r="AF782" i="9"/>
  <c r="AE782" i="9"/>
  <c r="AD782" i="9"/>
  <c r="AC782" i="9"/>
  <c r="AB782" i="9"/>
  <c r="AA782" i="9"/>
  <c r="Z782" i="9"/>
  <c r="Y782" i="9"/>
  <c r="X782" i="9"/>
  <c r="W782" i="9"/>
  <c r="V782" i="9"/>
  <c r="U782" i="9"/>
  <c r="T782" i="9"/>
  <c r="S782" i="9"/>
  <c r="R782" i="9"/>
  <c r="Q782" i="9"/>
  <c r="P782" i="9"/>
  <c r="O782" i="9"/>
  <c r="M782" i="9"/>
  <c r="L782" i="9"/>
  <c r="K782" i="9"/>
  <c r="J782" i="9"/>
  <c r="I782" i="9"/>
  <c r="H782" i="9"/>
  <c r="G782" i="9"/>
  <c r="F782" i="9"/>
  <c r="E782" i="9"/>
  <c r="D782" i="9"/>
  <c r="C782" i="9"/>
  <c r="B782" i="9"/>
  <c r="AJ781" i="9"/>
  <c r="AI781" i="9"/>
  <c r="AH781" i="9"/>
  <c r="AG781" i="9"/>
  <c r="AF781" i="9"/>
  <c r="AE781" i="9"/>
  <c r="AD781" i="9"/>
  <c r="AC781" i="9"/>
  <c r="AB781" i="9"/>
  <c r="AA781" i="9"/>
  <c r="Z781" i="9"/>
  <c r="Y781" i="9"/>
  <c r="X781" i="9"/>
  <c r="W781" i="9"/>
  <c r="V781" i="9"/>
  <c r="U781" i="9"/>
  <c r="T781" i="9"/>
  <c r="S781" i="9"/>
  <c r="R781" i="9"/>
  <c r="Q781" i="9"/>
  <c r="P781" i="9"/>
  <c r="O781" i="9"/>
  <c r="M781" i="9"/>
  <c r="L781" i="9"/>
  <c r="K781" i="9"/>
  <c r="J781" i="9"/>
  <c r="I781" i="9"/>
  <c r="H781" i="9"/>
  <c r="G781" i="9"/>
  <c r="F781" i="9"/>
  <c r="E781" i="9"/>
  <c r="D781" i="9"/>
  <c r="C781" i="9"/>
  <c r="B781" i="9"/>
  <c r="AJ780" i="9"/>
  <c r="AI780" i="9"/>
  <c r="AH780" i="9"/>
  <c r="AG780" i="9"/>
  <c r="AF780" i="9"/>
  <c r="AE780" i="9"/>
  <c r="AD780" i="9"/>
  <c r="AC780" i="9"/>
  <c r="AB780" i="9"/>
  <c r="AA780" i="9"/>
  <c r="Z780" i="9"/>
  <c r="Y780" i="9"/>
  <c r="X780" i="9"/>
  <c r="W780" i="9"/>
  <c r="V780" i="9"/>
  <c r="U780" i="9"/>
  <c r="T780" i="9"/>
  <c r="S780" i="9"/>
  <c r="R780" i="9"/>
  <c r="Q780" i="9"/>
  <c r="P780" i="9"/>
  <c r="O780" i="9"/>
  <c r="M780" i="9"/>
  <c r="L780" i="9"/>
  <c r="K780" i="9"/>
  <c r="J780" i="9"/>
  <c r="I780" i="9"/>
  <c r="H780" i="9"/>
  <c r="G780" i="9"/>
  <c r="F780" i="9"/>
  <c r="E780" i="9"/>
  <c r="D780" i="9"/>
  <c r="C780" i="9"/>
  <c r="B780" i="9"/>
  <c r="AJ779" i="9"/>
  <c r="AI779" i="9"/>
  <c r="AH779" i="9"/>
  <c r="AG779" i="9"/>
  <c r="AF779" i="9"/>
  <c r="AE779" i="9"/>
  <c r="AD779" i="9"/>
  <c r="AC779" i="9"/>
  <c r="AB779" i="9"/>
  <c r="AA779" i="9"/>
  <c r="Z779" i="9"/>
  <c r="Y779" i="9"/>
  <c r="X779" i="9"/>
  <c r="W779" i="9"/>
  <c r="V779" i="9"/>
  <c r="U779" i="9"/>
  <c r="T779" i="9"/>
  <c r="S779" i="9"/>
  <c r="R779" i="9"/>
  <c r="Q779" i="9"/>
  <c r="P779" i="9"/>
  <c r="O779" i="9"/>
  <c r="M779" i="9"/>
  <c r="L779" i="9"/>
  <c r="K779" i="9"/>
  <c r="J779" i="9"/>
  <c r="I779" i="9"/>
  <c r="H779" i="9"/>
  <c r="G779" i="9"/>
  <c r="F779" i="9"/>
  <c r="E779" i="9"/>
  <c r="D779" i="9"/>
  <c r="C779" i="9"/>
  <c r="B779" i="9"/>
  <c r="AJ778" i="9"/>
  <c r="AI778" i="9"/>
  <c r="AH778" i="9"/>
  <c r="AG778" i="9"/>
  <c r="AF778" i="9"/>
  <c r="AE778" i="9"/>
  <c r="AD778" i="9"/>
  <c r="AC778" i="9"/>
  <c r="AB778" i="9"/>
  <c r="AA778" i="9"/>
  <c r="Z778" i="9"/>
  <c r="Y778" i="9"/>
  <c r="X778" i="9"/>
  <c r="W778" i="9"/>
  <c r="V778" i="9"/>
  <c r="U778" i="9"/>
  <c r="T778" i="9"/>
  <c r="S778" i="9"/>
  <c r="R778" i="9"/>
  <c r="Q778" i="9"/>
  <c r="P778" i="9"/>
  <c r="O778" i="9"/>
  <c r="M778" i="9"/>
  <c r="L778" i="9"/>
  <c r="K778" i="9"/>
  <c r="J778" i="9"/>
  <c r="I778" i="9"/>
  <c r="H778" i="9"/>
  <c r="G778" i="9"/>
  <c r="F778" i="9"/>
  <c r="E778" i="9"/>
  <c r="D778" i="9"/>
  <c r="C778" i="9"/>
  <c r="B778" i="9"/>
  <c r="AJ777" i="9"/>
  <c r="AI777" i="9"/>
  <c r="AH777" i="9"/>
  <c r="AG777" i="9"/>
  <c r="AF777" i="9"/>
  <c r="AE777" i="9"/>
  <c r="AD777" i="9"/>
  <c r="AC777" i="9"/>
  <c r="AB777" i="9"/>
  <c r="AA777" i="9"/>
  <c r="Z777" i="9"/>
  <c r="Y777" i="9"/>
  <c r="X777" i="9"/>
  <c r="W777" i="9"/>
  <c r="V777" i="9"/>
  <c r="U777" i="9"/>
  <c r="T777" i="9"/>
  <c r="S777" i="9"/>
  <c r="R777" i="9"/>
  <c r="Q777" i="9"/>
  <c r="P777" i="9"/>
  <c r="O777" i="9"/>
  <c r="M777" i="9"/>
  <c r="L777" i="9"/>
  <c r="K777" i="9"/>
  <c r="J777" i="9"/>
  <c r="I777" i="9"/>
  <c r="H777" i="9"/>
  <c r="G777" i="9"/>
  <c r="F777" i="9"/>
  <c r="E777" i="9"/>
  <c r="D777" i="9"/>
  <c r="C777" i="9"/>
  <c r="B777" i="9"/>
  <c r="AJ776" i="9"/>
  <c r="AI776" i="9"/>
  <c r="AH776" i="9"/>
  <c r="AG776" i="9"/>
  <c r="AF776" i="9"/>
  <c r="AE776" i="9"/>
  <c r="AD776" i="9"/>
  <c r="AC776" i="9"/>
  <c r="AB776" i="9"/>
  <c r="AA776" i="9"/>
  <c r="Z776" i="9"/>
  <c r="Y776" i="9"/>
  <c r="X776" i="9"/>
  <c r="W776" i="9"/>
  <c r="V776" i="9"/>
  <c r="U776" i="9"/>
  <c r="T776" i="9"/>
  <c r="S776" i="9"/>
  <c r="R776" i="9"/>
  <c r="Q776" i="9"/>
  <c r="P776" i="9"/>
  <c r="O776" i="9"/>
  <c r="M776" i="9"/>
  <c r="L776" i="9"/>
  <c r="K776" i="9"/>
  <c r="J776" i="9"/>
  <c r="I776" i="9"/>
  <c r="H776" i="9"/>
  <c r="G776" i="9"/>
  <c r="F776" i="9"/>
  <c r="E776" i="9"/>
  <c r="D776" i="9"/>
  <c r="C776" i="9"/>
  <c r="B776" i="9"/>
  <c r="AJ775" i="9"/>
  <c r="AI775" i="9"/>
  <c r="AH775" i="9"/>
  <c r="AG775" i="9"/>
  <c r="AF775" i="9"/>
  <c r="AE775" i="9"/>
  <c r="AD775" i="9"/>
  <c r="AC775" i="9"/>
  <c r="AB775" i="9"/>
  <c r="AA775" i="9"/>
  <c r="Z775" i="9"/>
  <c r="Y775" i="9"/>
  <c r="X775" i="9"/>
  <c r="W775" i="9"/>
  <c r="V775" i="9"/>
  <c r="U775" i="9"/>
  <c r="T775" i="9"/>
  <c r="S775" i="9"/>
  <c r="R775" i="9"/>
  <c r="Q775" i="9"/>
  <c r="P775" i="9"/>
  <c r="O775" i="9"/>
  <c r="M775" i="9"/>
  <c r="L775" i="9"/>
  <c r="K775" i="9"/>
  <c r="J775" i="9"/>
  <c r="I775" i="9"/>
  <c r="H775" i="9"/>
  <c r="G775" i="9"/>
  <c r="F775" i="9"/>
  <c r="E775" i="9"/>
  <c r="D775" i="9"/>
  <c r="C775" i="9"/>
  <c r="B775" i="9"/>
  <c r="AJ774" i="9"/>
  <c r="AI774" i="9"/>
  <c r="AH774" i="9"/>
  <c r="AG774" i="9"/>
  <c r="AF774" i="9"/>
  <c r="AE774" i="9"/>
  <c r="AD774" i="9"/>
  <c r="AC774" i="9"/>
  <c r="AB774" i="9"/>
  <c r="AA774" i="9"/>
  <c r="Z774" i="9"/>
  <c r="Y774" i="9"/>
  <c r="X774" i="9"/>
  <c r="W774" i="9"/>
  <c r="V774" i="9"/>
  <c r="U774" i="9"/>
  <c r="T774" i="9"/>
  <c r="S774" i="9"/>
  <c r="R774" i="9"/>
  <c r="Q774" i="9"/>
  <c r="P774" i="9"/>
  <c r="O774" i="9"/>
  <c r="M774" i="9"/>
  <c r="L774" i="9"/>
  <c r="K774" i="9"/>
  <c r="J774" i="9"/>
  <c r="I774" i="9"/>
  <c r="H774" i="9"/>
  <c r="G774" i="9"/>
  <c r="F774" i="9"/>
  <c r="E774" i="9"/>
  <c r="D774" i="9"/>
  <c r="C774" i="9"/>
  <c r="B774" i="9"/>
  <c r="AJ773" i="9"/>
  <c r="AI773" i="9"/>
  <c r="AH773" i="9"/>
  <c r="AG773" i="9"/>
  <c r="AF773" i="9"/>
  <c r="AE773" i="9"/>
  <c r="AD773" i="9"/>
  <c r="AC773" i="9"/>
  <c r="AB773" i="9"/>
  <c r="AA773" i="9"/>
  <c r="Z773" i="9"/>
  <c r="Y773" i="9"/>
  <c r="X773" i="9"/>
  <c r="W773" i="9"/>
  <c r="V773" i="9"/>
  <c r="U773" i="9"/>
  <c r="T773" i="9"/>
  <c r="S773" i="9"/>
  <c r="R773" i="9"/>
  <c r="Q773" i="9"/>
  <c r="P773" i="9"/>
  <c r="O773" i="9"/>
  <c r="M773" i="9"/>
  <c r="L773" i="9"/>
  <c r="K773" i="9"/>
  <c r="J773" i="9"/>
  <c r="I773" i="9"/>
  <c r="H773" i="9"/>
  <c r="G773" i="9"/>
  <c r="F773" i="9"/>
  <c r="E773" i="9"/>
  <c r="D773" i="9"/>
  <c r="C773" i="9"/>
  <c r="B773" i="9"/>
  <c r="AJ772" i="9"/>
  <c r="AI772" i="9"/>
  <c r="AH772" i="9"/>
  <c r="AG772" i="9"/>
  <c r="AF772" i="9"/>
  <c r="AE772" i="9"/>
  <c r="AD772" i="9"/>
  <c r="AC772" i="9"/>
  <c r="AB772" i="9"/>
  <c r="AA772" i="9"/>
  <c r="Z772" i="9"/>
  <c r="Y772" i="9"/>
  <c r="X772" i="9"/>
  <c r="W772" i="9"/>
  <c r="V772" i="9"/>
  <c r="U772" i="9"/>
  <c r="T772" i="9"/>
  <c r="S772" i="9"/>
  <c r="R772" i="9"/>
  <c r="Q772" i="9"/>
  <c r="P772" i="9"/>
  <c r="O772" i="9"/>
  <c r="M772" i="9"/>
  <c r="L772" i="9"/>
  <c r="K772" i="9"/>
  <c r="J772" i="9"/>
  <c r="I772" i="9"/>
  <c r="H772" i="9"/>
  <c r="G772" i="9"/>
  <c r="F772" i="9"/>
  <c r="E772" i="9"/>
  <c r="D772" i="9"/>
  <c r="C772" i="9"/>
  <c r="B772" i="9"/>
  <c r="AJ771" i="9"/>
  <c r="AI771" i="9"/>
  <c r="AH771" i="9"/>
  <c r="AG771" i="9"/>
  <c r="AF771" i="9"/>
  <c r="AE771" i="9"/>
  <c r="AD771" i="9"/>
  <c r="AC771" i="9"/>
  <c r="AB771" i="9"/>
  <c r="AA771" i="9"/>
  <c r="Z771" i="9"/>
  <c r="Y771" i="9"/>
  <c r="X771" i="9"/>
  <c r="W771" i="9"/>
  <c r="V771" i="9"/>
  <c r="U771" i="9"/>
  <c r="T771" i="9"/>
  <c r="S771" i="9"/>
  <c r="R771" i="9"/>
  <c r="Q771" i="9"/>
  <c r="P771" i="9"/>
  <c r="O771" i="9"/>
  <c r="M771" i="9"/>
  <c r="L771" i="9"/>
  <c r="K771" i="9"/>
  <c r="J771" i="9"/>
  <c r="I771" i="9"/>
  <c r="H771" i="9"/>
  <c r="G771" i="9"/>
  <c r="F771" i="9"/>
  <c r="E771" i="9"/>
  <c r="D771" i="9"/>
  <c r="C771" i="9"/>
  <c r="B771" i="9"/>
  <c r="AJ770" i="9"/>
  <c r="AI770" i="9"/>
  <c r="AH770" i="9"/>
  <c r="AG770" i="9"/>
  <c r="AF770" i="9"/>
  <c r="AE770" i="9"/>
  <c r="AD770" i="9"/>
  <c r="AC770" i="9"/>
  <c r="AB770" i="9"/>
  <c r="AA770" i="9"/>
  <c r="Z770" i="9"/>
  <c r="Y770" i="9"/>
  <c r="X770" i="9"/>
  <c r="W770" i="9"/>
  <c r="V770" i="9"/>
  <c r="U770" i="9"/>
  <c r="T770" i="9"/>
  <c r="S770" i="9"/>
  <c r="R770" i="9"/>
  <c r="Q770" i="9"/>
  <c r="P770" i="9"/>
  <c r="O770" i="9"/>
  <c r="M770" i="9"/>
  <c r="L770" i="9"/>
  <c r="K770" i="9"/>
  <c r="J770" i="9"/>
  <c r="I770" i="9"/>
  <c r="H770" i="9"/>
  <c r="G770" i="9"/>
  <c r="F770" i="9"/>
  <c r="E770" i="9"/>
  <c r="D770" i="9"/>
  <c r="C770" i="9"/>
  <c r="B770" i="9"/>
  <c r="AJ769" i="9"/>
  <c r="AI769" i="9"/>
  <c r="AH769" i="9"/>
  <c r="AG769" i="9"/>
  <c r="AF769" i="9"/>
  <c r="AE769" i="9"/>
  <c r="AD769" i="9"/>
  <c r="AC769" i="9"/>
  <c r="AB769" i="9"/>
  <c r="AA769" i="9"/>
  <c r="Z769" i="9"/>
  <c r="Y769" i="9"/>
  <c r="X769" i="9"/>
  <c r="W769" i="9"/>
  <c r="V769" i="9"/>
  <c r="U769" i="9"/>
  <c r="T769" i="9"/>
  <c r="S769" i="9"/>
  <c r="R769" i="9"/>
  <c r="Q769" i="9"/>
  <c r="P769" i="9"/>
  <c r="O769" i="9"/>
  <c r="M769" i="9"/>
  <c r="L769" i="9"/>
  <c r="K769" i="9"/>
  <c r="J769" i="9"/>
  <c r="I769" i="9"/>
  <c r="H769" i="9"/>
  <c r="G769" i="9"/>
  <c r="F769" i="9"/>
  <c r="E769" i="9"/>
  <c r="D769" i="9"/>
  <c r="C769" i="9"/>
  <c r="B769" i="9"/>
  <c r="AJ768" i="9"/>
  <c r="AI768" i="9"/>
  <c r="AH768" i="9"/>
  <c r="AG768" i="9"/>
  <c r="AF768" i="9"/>
  <c r="AE768" i="9"/>
  <c r="AD768" i="9"/>
  <c r="AC768" i="9"/>
  <c r="AB768" i="9"/>
  <c r="AA768" i="9"/>
  <c r="Z768" i="9"/>
  <c r="Y768" i="9"/>
  <c r="X768" i="9"/>
  <c r="W768" i="9"/>
  <c r="V768" i="9"/>
  <c r="U768" i="9"/>
  <c r="T768" i="9"/>
  <c r="S768" i="9"/>
  <c r="R768" i="9"/>
  <c r="Q768" i="9"/>
  <c r="P768" i="9"/>
  <c r="O768" i="9"/>
  <c r="M768" i="9"/>
  <c r="L768" i="9"/>
  <c r="K768" i="9"/>
  <c r="J768" i="9"/>
  <c r="I768" i="9"/>
  <c r="H768" i="9"/>
  <c r="G768" i="9"/>
  <c r="F768" i="9"/>
  <c r="E768" i="9"/>
  <c r="D768" i="9"/>
  <c r="C768" i="9"/>
  <c r="B768" i="9"/>
  <c r="AJ767" i="9"/>
  <c r="AI767" i="9"/>
  <c r="AH767" i="9"/>
  <c r="AG767" i="9"/>
  <c r="AF767" i="9"/>
  <c r="AE767" i="9"/>
  <c r="AD767" i="9"/>
  <c r="AC767" i="9"/>
  <c r="AB767" i="9"/>
  <c r="AA767" i="9"/>
  <c r="Z767" i="9"/>
  <c r="Y767" i="9"/>
  <c r="X767" i="9"/>
  <c r="W767" i="9"/>
  <c r="V767" i="9"/>
  <c r="U767" i="9"/>
  <c r="T767" i="9"/>
  <c r="S767" i="9"/>
  <c r="R767" i="9"/>
  <c r="Q767" i="9"/>
  <c r="P767" i="9"/>
  <c r="O767" i="9"/>
  <c r="M767" i="9"/>
  <c r="L767" i="9"/>
  <c r="K767" i="9"/>
  <c r="J767" i="9"/>
  <c r="I767" i="9"/>
  <c r="H767" i="9"/>
  <c r="G767" i="9"/>
  <c r="F767" i="9"/>
  <c r="E767" i="9"/>
  <c r="D767" i="9"/>
  <c r="C767" i="9"/>
  <c r="B767" i="9"/>
  <c r="AJ766" i="9"/>
  <c r="AI766" i="9"/>
  <c r="AH766" i="9"/>
  <c r="AG766" i="9"/>
  <c r="AF766" i="9"/>
  <c r="AE766" i="9"/>
  <c r="AD766" i="9"/>
  <c r="AC766" i="9"/>
  <c r="AB766" i="9"/>
  <c r="AA766" i="9"/>
  <c r="Z766" i="9"/>
  <c r="Y766" i="9"/>
  <c r="X766" i="9"/>
  <c r="W766" i="9"/>
  <c r="V766" i="9"/>
  <c r="U766" i="9"/>
  <c r="T766" i="9"/>
  <c r="S766" i="9"/>
  <c r="R766" i="9"/>
  <c r="Q766" i="9"/>
  <c r="P766" i="9"/>
  <c r="O766" i="9"/>
  <c r="M766" i="9"/>
  <c r="L766" i="9"/>
  <c r="K766" i="9"/>
  <c r="J766" i="9"/>
  <c r="I766" i="9"/>
  <c r="H766" i="9"/>
  <c r="G766" i="9"/>
  <c r="F766" i="9"/>
  <c r="E766" i="9"/>
  <c r="D766" i="9"/>
  <c r="C766" i="9"/>
  <c r="B766" i="9"/>
  <c r="AJ765" i="9"/>
  <c r="AI765" i="9"/>
  <c r="AH765" i="9"/>
  <c r="AG765" i="9"/>
  <c r="AF765" i="9"/>
  <c r="AE765" i="9"/>
  <c r="AD765" i="9"/>
  <c r="AC765" i="9"/>
  <c r="AB765" i="9"/>
  <c r="AA765" i="9"/>
  <c r="Z765" i="9"/>
  <c r="Y765" i="9"/>
  <c r="X765" i="9"/>
  <c r="W765" i="9"/>
  <c r="V765" i="9"/>
  <c r="U765" i="9"/>
  <c r="T765" i="9"/>
  <c r="S765" i="9"/>
  <c r="R765" i="9"/>
  <c r="Q765" i="9"/>
  <c r="P765" i="9"/>
  <c r="O765" i="9"/>
  <c r="M765" i="9"/>
  <c r="L765" i="9"/>
  <c r="K765" i="9"/>
  <c r="J765" i="9"/>
  <c r="I765" i="9"/>
  <c r="H765" i="9"/>
  <c r="G765" i="9"/>
  <c r="F765" i="9"/>
  <c r="E765" i="9"/>
  <c r="D765" i="9"/>
  <c r="C765" i="9"/>
  <c r="B765" i="9"/>
  <c r="AJ764" i="9"/>
  <c r="AI764" i="9"/>
  <c r="AH764" i="9"/>
  <c r="AG764" i="9"/>
  <c r="AF764" i="9"/>
  <c r="AE764" i="9"/>
  <c r="AD764" i="9"/>
  <c r="AC764" i="9"/>
  <c r="AB764" i="9"/>
  <c r="AA764" i="9"/>
  <c r="Z764" i="9"/>
  <c r="Y764" i="9"/>
  <c r="X764" i="9"/>
  <c r="W764" i="9"/>
  <c r="V764" i="9"/>
  <c r="U764" i="9"/>
  <c r="T764" i="9"/>
  <c r="S764" i="9"/>
  <c r="R764" i="9"/>
  <c r="Q764" i="9"/>
  <c r="P764" i="9"/>
  <c r="O764" i="9"/>
  <c r="M764" i="9"/>
  <c r="L764" i="9"/>
  <c r="K764" i="9"/>
  <c r="J764" i="9"/>
  <c r="I764" i="9"/>
  <c r="H764" i="9"/>
  <c r="G764" i="9"/>
  <c r="F764" i="9"/>
  <c r="E764" i="9"/>
  <c r="D764" i="9"/>
  <c r="C764" i="9"/>
  <c r="B764" i="9"/>
  <c r="AJ763" i="9"/>
  <c r="AI763" i="9"/>
  <c r="AH763" i="9"/>
  <c r="AG763" i="9"/>
  <c r="AF763" i="9"/>
  <c r="AE763" i="9"/>
  <c r="AD763" i="9"/>
  <c r="AC763" i="9"/>
  <c r="AB763" i="9"/>
  <c r="AA763" i="9"/>
  <c r="Z763" i="9"/>
  <c r="Y763" i="9"/>
  <c r="X763" i="9"/>
  <c r="W763" i="9"/>
  <c r="V763" i="9"/>
  <c r="U763" i="9"/>
  <c r="T763" i="9"/>
  <c r="S763" i="9"/>
  <c r="R763" i="9"/>
  <c r="Q763" i="9"/>
  <c r="P763" i="9"/>
  <c r="O763" i="9"/>
  <c r="M763" i="9"/>
  <c r="L763" i="9"/>
  <c r="K763" i="9"/>
  <c r="J763" i="9"/>
  <c r="I763" i="9"/>
  <c r="H763" i="9"/>
  <c r="G763" i="9"/>
  <c r="F763" i="9"/>
  <c r="E763" i="9"/>
  <c r="D763" i="9"/>
  <c r="C763" i="9"/>
  <c r="B763" i="9"/>
  <c r="AJ762" i="9"/>
  <c r="AI762" i="9"/>
  <c r="AH762" i="9"/>
  <c r="AG762" i="9"/>
  <c r="AF762" i="9"/>
  <c r="AE762" i="9"/>
  <c r="AD762" i="9"/>
  <c r="AC762" i="9"/>
  <c r="AB762" i="9"/>
  <c r="AA762" i="9"/>
  <c r="Z762" i="9"/>
  <c r="Y762" i="9"/>
  <c r="X762" i="9"/>
  <c r="W762" i="9"/>
  <c r="V762" i="9"/>
  <c r="U762" i="9"/>
  <c r="T762" i="9"/>
  <c r="S762" i="9"/>
  <c r="R762" i="9"/>
  <c r="Q762" i="9"/>
  <c r="P762" i="9"/>
  <c r="O762" i="9"/>
  <c r="M762" i="9"/>
  <c r="L762" i="9"/>
  <c r="K762" i="9"/>
  <c r="J762" i="9"/>
  <c r="I762" i="9"/>
  <c r="H762" i="9"/>
  <c r="G762" i="9"/>
  <c r="F762" i="9"/>
  <c r="E762" i="9"/>
  <c r="D762" i="9"/>
  <c r="C762" i="9"/>
  <c r="B762" i="9"/>
  <c r="AJ761" i="9"/>
  <c r="AI761" i="9"/>
  <c r="AH761" i="9"/>
  <c r="AG761" i="9"/>
  <c r="AF761" i="9"/>
  <c r="AE761" i="9"/>
  <c r="AD761" i="9"/>
  <c r="AC761" i="9"/>
  <c r="AB761" i="9"/>
  <c r="AA761" i="9"/>
  <c r="Z761" i="9"/>
  <c r="Y761" i="9"/>
  <c r="X761" i="9"/>
  <c r="W761" i="9"/>
  <c r="V761" i="9"/>
  <c r="U761" i="9"/>
  <c r="T761" i="9"/>
  <c r="S761" i="9"/>
  <c r="R761" i="9"/>
  <c r="Q761" i="9"/>
  <c r="P761" i="9"/>
  <c r="O761" i="9"/>
  <c r="M761" i="9"/>
  <c r="L761" i="9"/>
  <c r="K761" i="9"/>
  <c r="J761" i="9"/>
  <c r="I761" i="9"/>
  <c r="H761" i="9"/>
  <c r="G761" i="9"/>
  <c r="F761" i="9"/>
  <c r="E761" i="9"/>
  <c r="D761" i="9"/>
  <c r="C761" i="9"/>
  <c r="B761" i="9"/>
  <c r="AJ760" i="9"/>
  <c r="AI760" i="9"/>
  <c r="AH760" i="9"/>
  <c r="AG760" i="9"/>
  <c r="AF760" i="9"/>
  <c r="AE760" i="9"/>
  <c r="AD760" i="9"/>
  <c r="AC760" i="9"/>
  <c r="AB760" i="9"/>
  <c r="AA760" i="9"/>
  <c r="Z760" i="9"/>
  <c r="Y760" i="9"/>
  <c r="X760" i="9"/>
  <c r="W760" i="9"/>
  <c r="V760" i="9"/>
  <c r="U760" i="9"/>
  <c r="T760" i="9"/>
  <c r="S760" i="9"/>
  <c r="R760" i="9"/>
  <c r="Q760" i="9"/>
  <c r="P760" i="9"/>
  <c r="O760" i="9"/>
  <c r="M760" i="9"/>
  <c r="L760" i="9"/>
  <c r="K760" i="9"/>
  <c r="J760" i="9"/>
  <c r="I760" i="9"/>
  <c r="H760" i="9"/>
  <c r="G760" i="9"/>
  <c r="F760" i="9"/>
  <c r="E760" i="9"/>
  <c r="D760" i="9"/>
  <c r="C760" i="9"/>
  <c r="B760" i="9"/>
  <c r="AJ759" i="9"/>
  <c r="AI759" i="9"/>
  <c r="AH759" i="9"/>
  <c r="AG759" i="9"/>
  <c r="AF759" i="9"/>
  <c r="AE759" i="9"/>
  <c r="AD759" i="9"/>
  <c r="AC759" i="9"/>
  <c r="AB759" i="9"/>
  <c r="AA759" i="9"/>
  <c r="Z759" i="9"/>
  <c r="Y759" i="9"/>
  <c r="X759" i="9"/>
  <c r="W759" i="9"/>
  <c r="V759" i="9"/>
  <c r="U759" i="9"/>
  <c r="T759" i="9"/>
  <c r="S759" i="9"/>
  <c r="R759" i="9"/>
  <c r="Q759" i="9"/>
  <c r="P759" i="9"/>
  <c r="O759" i="9"/>
  <c r="M759" i="9"/>
  <c r="L759" i="9"/>
  <c r="K759" i="9"/>
  <c r="J759" i="9"/>
  <c r="I759" i="9"/>
  <c r="H759" i="9"/>
  <c r="G759" i="9"/>
  <c r="F759" i="9"/>
  <c r="E759" i="9"/>
  <c r="D759" i="9"/>
  <c r="C759" i="9"/>
  <c r="B759" i="9"/>
  <c r="AJ758" i="9"/>
  <c r="AI758" i="9"/>
  <c r="AH758" i="9"/>
  <c r="AG758" i="9"/>
  <c r="AF758" i="9"/>
  <c r="AE758" i="9"/>
  <c r="AD758" i="9"/>
  <c r="AC758" i="9"/>
  <c r="AB758" i="9"/>
  <c r="AA758" i="9"/>
  <c r="Z758" i="9"/>
  <c r="Y758" i="9"/>
  <c r="X758" i="9"/>
  <c r="W758" i="9"/>
  <c r="V758" i="9"/>
  <c r="U758" i="9"/>
  <c r="T758" i="9"/>
  <c r="S758" i="9"/>
  <c r="R758" i="9"/>
  <c r="Q758" i="9"/>
  <c r="P758" i="9"/>
  <c r="O758" i="9"/>
  <c r="M758" i="9"/>
  <c r="L758" i="9"/>
  <c r="K758" i="9"/>
  <c r="J758" i="9"/>
  <c r="I758" i="9"/>
  <c r="H758" i="9"/>
  <c r="G758" i="9"/>
  <c r="F758" i="9"/>
  <c r="E758" i="9"/>
  <c r="D758" i="9"/>
  <c r="C758" i="9"/>
  <c r="B758" i="9"/>
  <c r="AJ757" i="9"/>
  <c r="AI757" i="9"/>
  <c r="AH757" i="9"/>
  <c r="AG757" i="9"/>
  <c r="AF757" i="9"/>
  <c r="AE757" i="9"/>
  <c r="AD757" i="9"/>
  <c r="AC757" i="9"/>
  <c r="AB757" i="9"/>
  <c r="AA757" i="9"/>
  <c r="Z757" i="9"/>
  <c r="Y757" i="9"/>
  <c r="X757" i="9"/>
  <c r="W757" i="9"/>
  <c r="V757" i="9"/>
  <c r="U757" i="9"/>
  <c r="T757" i="9"/>
  <c r="S757" i="9"/>
  <c r="R757" i="9"/>
  <c r="Q757" i="9"/>
  <c r="P757" i="9"/>
  <c r="O757" i="9"/>
  <c r="M757" i="9"/>
  <c r="L757" i="9"/>
  <c r="K757" i="9"/>
  <c r="J757" i="9"/>
  <c r="I757" i="9"/>
  <c r="H757" i="9"/>
  <c r="G757" i="9"/>
  <c r="F757" i="9"/>
  <c r="E757" i="9"/>
  <c r="D757" i="9"/>
  <c r="C757" i="9"/>
  <c r="B757" i="9"/>
  <c r="AJ756" i="9"/>
  <c r="AI756" i="9"/>
  <c r="AH756" i="9"/>
  <c r="AG756" i="9"/>
  <c r="AF756" i="9"/>
  <c r="AE756" i="9"/>
  <c r="AD756" i="9"/>
  <c r="AC756" i="9"/>
  <c r="AB756" i="9"/>
  <c r="AA756" i="9"/>
  <c r="Z756" i="9"/>
  <c r="Y756" i="9"/>
  <c r="X756" i="9"/>
  <c r="W756" i="9"/>
  <c r="V756" i="9"/>
  <c r="U756" i="9"/>
  <c r="T756" i="9"/>
  <c r="S756" i="9"/>
  <c r="R756" i="9"/>
  <c r="Q756" i="9"/>
  <c r="P756" i="9"/>
  <c r="O756" i="9"/>
  <c r="M756" i="9"/>
  <c r="L756" i="9"/>
  <c r="K756" i="9"/>
  <c r="J756" i="9"/>
  <c r="I756" i="9"/>
  <c r="H756" i="9"/>
  <c r="G756" i="9"/>
  <c r="F756" i="9"/>
  <c r="E756" i="9"/>
  <c r="D756" i="9"/>
  <c r="C756" i="9"/>
  <c r="B756" i="9"/>
  <c r="AJ755" i="9"/>
  <c r="AI755" i="9"/>
  <c r="AH755" i="9"/>
  <c r="AG755" i="9"/>
  <c r="AF755" i="9"/>
  <c r="AE755" i="9"/>
  <c r="AD755" i="9"/>
  <c r="AC755" i="9"/>
  <c r="AB755" i="9"/>
  <c r="AA755" i="9"/>
  <c r="Z755" i="9"/>
  <c r="Y755" i="9"/>
  <c r="X755" i="9"/>
  <c r="W755" i="9"/>
  <c r="V755" i="9"/>
  <c r="U755" i="9"/>
  <c r="T755" i="9"/>
  <c r="S755" i="9"/>
  <c r="R755" i="9"/>
  <c r="Q755" i="9"/>
  <c r="P755" i="9"/>
  <c r="O755" i="9"/>
  <c r="M755" i="9"/>
  <c r="L755" i="9"/>
  <c r="K755" i="9"/>
  <c r="J755" i="9"/>
  <c r="I755" i="9"/>
  <c r="H755" i="9"/>
  <c r="G755" i="9"/>
  <c r="F755" i="9"/>
  <c r="E755" i="9"/>
  <c r="D755" i="9"/>
  <c r="C755" i="9"/>
  <c r="B755" i="9"/>
  <c r="AJ754" i="9"/>
  <c r="AI754" i="9"/>
  <c r="AH754" i="9"/>
  <c r="AG754" i="9"/>
  <c r="AF754" i="9"/>
  <c r="AE754" i="9"/>
  <c r="AD754" i="9"/>
  <c r="AC754" i="9"/>
  <c r="AB754" i="9"/>
  <c r="AA754" i="9"/>
  <c r="Z754" i="9"/>
  <c r="Y754" i="9"/>
  <c r="X754" i="9"/>
  <c r="W754" i="9"/>
  <c r="V754" i="9"/>
  <c r="U754" i="9"/>
  <c r="T754" i="9"/>
  <c r="S754" i="9"/>
  <c r="R754" i="9"/>
  <c r="Q754" i="9"/>
  <c r="P754" i="9"/>
  <c r="O754" i="9"/>
  <c r="M754" i="9"/>
  <c r="L754" i="9"/>
  <c r="K754" i="9"/>
  <c r="J754" i="9"/>
  <c r="I754" i="9"/>
  <c r="H754" i="9"/>
  <c r="G754" i="9"/>
  <c r="F754" i="9"/>
  <c r="E754" i="9"/>
  <c r="D754" i="9"/>
  <c r="C754" i="9"/>
  <c r="B754" i="9"/>
  <c r="AJ753" i="9"/>
  <c r="AI753" i="9"/>
  <c r="AH753" i="9"/>
  <c r="AG753" i="9"/>
  <c r="AF753" i="9"/>
  <c r="AE753" i="9"/>
  <c r="AD753" i="9"/>
  <c r="AC753" i="9"/>
  <c r="AB753" i="9"/>
  <c r="AA753" i="9"/>
  <c r="Z753" i="9"/>
  <c r="Y753" i="9"/>
  <c r="X753" i="9"/>
  <c r="W753" i="9"/>
  <c r="V753" i="9"/>
  <c r="U753" i="9"/>
  <c r="T753" i="9"/>
  <c r="S753" i="9"/>
  <c r="R753" i="9"/>
  <c r="Q753" i="9"/>
  <c r="P753" i="9"/>
  <c r="O753" i="9"/>
  <c r="M753" i="9"/>
  <c r="L753" i="9"/>
  <c r="K753" i="9"/>
  <c r="J753" i="9"/>
  <c r="I753" i="9"/>
  <c r="H753" i="9"/>
  <c r="G753" i="9"/>
  <c r="F753" i="9"/>
  <c r="E753" i="9"/>
  <c r="D753" i="9"/>
  <c r="C753" i="9"/>
  <c r="B753" i="9"/>
  <c r="AJ752" i="9"/>
  <c r="AI752" i="9"/>
  <c r="AH752" i="9"/>
  <c r="AG752" i="9"/>
  <c r="AF752" i="9"/>
  <c r="AE752" i="9"/>
  <c r="AD752" i="9"/>
  <c r="AC752" i="9"/>
  <c r="AB752" i="9"/>
  <c r="AA752" i="9"/>
  <c r="Z752" i="9"/>
  <c r="Y752" i="9"/>
  <c r="X752" i="9"/>
  <c r="W752" i="9"/>
  <c r="V752" i="9"/>
  <c r="U752" i="9"/>
  <c r="T752" i="9"/>
  <c r="S752" i="9"/>
  <c r="R752" i="9"/>
  <c r="Q752" i="9"/>
  <c r="P752" i="9"/>
  <c r="O752" i="9"/>
  <c r="M752" i="9"/>
  <c r="L752" i="9"/>
  <c r="K752" i="9"/>
  <c r="J752" i="9"/>
  <c r="I752" i="9"/>
  <c r="H752" i="9"/>
  <c r="G752" i="9"/>
  <c r="F752" i="9"/>
  <c r="E752" i="9"/>
  <c r="D752" i="9"/>
  <c r="C752" i="9"/>
  <c r="B752" i="9"/>
  <c r="AJ751" i="9"/>
  <c r="AI751" i="9"/>
  <c r="AH751" i="9"/>
  <c r="AG751" i="9"/>
  <c r="AF751" i="9"/>
  <c r="AE751" i="9"/>
  <c r="AD751" i="9"/>
  <c r="AC751" i="9"/>
  <c r="AB751" i="9"/>
  <c r="AA751" i="9"/>
  <c r="Z751" i="9"/>
  <c r="Y751" i="9"/>
  <c r="X751" i="9"/>
  <c r="W751" i="9"/>
  <c r="V751" i="9"/>
  <c r="U751" i="9"/>
  <c r="T751" i="9"/>
  <c r="S751" i="9"/>
  <c r="R751" i="9"/>
  <c r="Q751" i="9"/>
  <c r="P751" i="9"/>
  <c r="O751" i="9"/>
  <c r="M751" i="9"/>
  <c r="L751" i="9"/>
  <c r="K751" i="9"/>
  <c r="J751" i="9"/>
  <c r="I751" i="9"/>
  <c r="H751" i="9"/>
  <c r="G751" i="9"/>
  <c r="F751" i="9"/>
  <c r="E751" i="9"/>
  <c r="D751" i="9"/>
  <c r="C751" i="9"/>
  <c r="B751" i="9"/>
  <c r="AJ750" i="9"/>
  <c r="AI750" i="9"/>
  <c r="AH750" i="9"/>
  <c r="AG750" i="9"/>
  <c r="AF750" i="9"/>
  <c r="AE750" i="9"/>
  <c r="AD750" i="9"/>
  <c r="AC750" i="9"/>
  <c r="AB750" i="9"/>
  <c r="AA750" i="9"/>
  <c r="Z750" i="9"/>
  <c r="Y750" i="9"/>
  <c r="X750" i="9"/>
  <c r="W750" i="9"/>
  <c r="V750" i="9"/>
  <c r="U750" i="9"/>
  <c r="T750" i="9"/>
  <c r="S750" i="9"/>
  <c r="R750" i="9"/>
  <c r="Q750" i="9"/>
  <c r="P750" i="9"/>
  <c r="O750" i="9"/>
  <c r="M750" i="9"/>
  <c r="L750" i="9"/>
  <c r="K750" i="9"/>
  <c r="J750" i="9"/>
  <c r="I750" i="9"/>
  <c r="H750" i="9"/>
  <c r="G750" i="9"/>
  <c r="F750" i="9"/>
  <c r="E750" i="9"/>
  <c r="D750" i="9"/>
  <c r="C750" i="9"/>
  <c r="B750" i="9"/>
  <c r="AJ749" i="9"/>
  <c r="AI749" i="9"/>
  <c r="AH749" i="9"/>
  <c r="AG749" i="9"/>
  <c r="AF749" i="9"/>
  <c r="AE749" i="9"/>
  <c r="AD749" i="9"/>
  <c r="AC749" i="9"/>
  <c r="AB749" i="9"/>
  <c r="AA749" i="9"/>
  <c r="Z749" i="9"/>
  <c r="Y749" i="9"/>
  <c r="X749" i="9"/>
  <c r="W749" i="9"/>
  <c r="V749" i="9"/>
  <c r="U749" i="9"/>
  <c r="T749" i="9"/>
  <c r="S749" i="9"/>
  <c r="R749" i="9"/>
  <c r="Q749" i="9"/>
  <c r="P749" i="9"/>
  <c r="O749" i="9"/>
  <c r="M749" i="9"/>
  <c r="L749" i="9"/>
  <c r="K749" i="9"/>
  <c r="J749" i="9"/>
  <c r="I749" i="9"/>
  <c r="H749" i="9"/>
  <c r="G749" i="9"/>
  <c r="F749" i="9"/>
  <c r="E749" i="9"/>
  <c r="D749" i="9"/>
  <c r="C749" i="9"/>
  <c r="B749" i="9"/>
  <c r="AJ748" i="9"/>
  <c r="AI748" i="9"/>
  <c r="AH748" i="9"/>
  <c r="AG748" i="9"/>
  <c r="AF748" i="9"/>
  <c r="AE748" i="9"/>
  <c r="AD748" i="9"/>
  <c r="AC748" i="9"/>
  <c r="AB748" i="9"/>
  <c r="AA748" i="9"/>
  <c r="Z748" i="9"/>
  <c r="Y748" i="9"/>
  <c r="X748" i="9"/>
  <c r="W748" i="9"/>
  <c r="V748" i="9"/>
  <c r="U748" i="9"/>
  <c r="T748" i="9"/>
  <c r="S748" i="9"/>
  <c r="R748" i="9"/>
  <c r="Q748" i="9"/>
  <c r="P748" i="9"/>
  <c r="O748" i="9"/>
  <c r="M748" i="9"/>
  <c r="L748" i="9"/>
  <c r="K748" i="9"/>
  <c r="J748" i="9"/>
  <c r="I748" i="9"/>
  <c r="H748" i="9"/>
  <c r="G748" i="9"/>
  <c r="F748" i="9"/>
  <c r="E748" i="9"/>
  <c r="D748" i="9"/>
  <c r="C748" i="9"/>
  <c r="B748" i="9"/>
  <c r="AJ747" i="9"/>
  <c r="AI747" i="9"/>
  <c r="AH747" i="9"/>
  <c r="AG747" i="9"/>
  <c r="AF747" i="9"/>
  <c r="AE747" i="9"/>
  <c r="AD747" i="9"/>
  <c r="AC747" i="9"/>
  <c r="AB747" i="9"/>
  <c r="AA747" i="9"/>
  <c r="Z747" i="9"/>
  <c r="Y747" i="9"/>
  <c r="X747" i="9"/>
  <c r="W747" i="9"/>
  <c r="V747" i="9"/>
  <c r="U747" i="9"/>
  <c r="T747" i="9"/>
  <c r="S747" i="9"/>
  <c r="R747" i="9"/>
  <c r="Q747" i="9"/>
  <c r="P747" i="9"/>
  <c r="O747" i="9"/>
  <c r="M747" i="9"/>
  <c r="L747" i="9"/>
  <c r="K747" i="9"/>
  <c r="J747" i="9"/>
  <c r="I747" i="9"/>
  <c r="H747" i="9"/>
  <c r="G747" i="9"/>
  <c r="F747" i="9"/>
  <c r="E747" i="9"/>
  <c r="D747" i="9"/>
  <c r="C747" i="9"/>
  <c r="B747" i="9"/>
  <c r="AJ746" i="9"/>
  <c r="AI746" i="9"/>
  <c r="AH746" i="9"/>
  <c r="AG746" i="9"/>
  <c r="AF746" i="9"/>
  <c r="AE746" i="9"/>
  <c r="AD746" i="9"/>
  <c r="AC746" i="9"/>
  <c r="AB746" i="9"/>
  <c r="AA746" i="9"/>
  <c r="Z746" i="9"/>
  <c r="Y746" i="9"/>
  <c r="X746" i="9"/>
  <c r="W746" i="9"/>
  <c r="V746" i="9"/>
  <c r="U746" i="9"/>
  <c r="T746" i="9"/>
  <c r="S746" i="9"/>
  <c r="R746" i="9"/>
  <c r="Q746" i="9"/>
  <c r="P746" i="9"/>
  <c r="O746" i="9"/>
  <c r="M746" i="9"/>
  <c r="L746" i="9"/>
  <c r="K746" i="9"/>
  <c r="J746" i="9"/>
  <c r="I746" i="9"/>
  <c r="H746" i="9"/>
  <c r="G746" i="9"/>
  <c r="F746" i="9"/>
  <c r="E746" i="9"/>
  <c r="D746" i="9"/>
  <c r="C746" i="9"/>
  <c r="B746" i="9"/>
  <c r="AJ745" i="9"/>
  <c r="AI745" i="9"/>
  <c r="AH745" i="9"/>
  <c r="AG745" i="9"/>
  <c r="AF745" i="9"/>
  <c r="AE745" i="9"/>
  <c r="AD745" i="9"/>
  <c r="AC745" i="9"/>
  <c r="AB745" i="9"/>
  <c r="AA745" i="9"/>
  <c r="Z745" i="9"/>
  <c r="Y745" i="9"/>
  <c r="X745" i="9"/>
  <c r="W745" i="9"/>
  <c r="V745" i="9"/>
  <c r="U745" i="9"/>
  <c r="T745" i="9"/>
  <c r="S745" i="9"/>
  <c r="R745" i="9"/>
  <c r="Q745" i="9"/>
  <c r="P745" i="9"/>
  <c r="O745" i="9"/>
  <c r="M745" i="9"/>
  <c r="L745" i="9"/>
  <c r="K745" i="9"/>
  <c r="J745" i="9"/>
  <c r="I745" i="9"/>
  <c r="H745" i="9"/>
  <c r="G745" i="9"/>
  <c r="F745" i="9"/>
  <c r="E745" i="9"/>
  <c r="D745" i="9"/>
  <c r="C745" i="9"/>
  <c r="B745" i="9"/>
  <c r="AJ744" i="9"/>
  <c r="AI744" i="9"/>
  <c r="AH744" i="9"/>
  <c r="AG744" i="9"/>
  <c r="AF744" i="9"/>
  <c r="AE744" i="9"/>
  <c r="AD744" i="9"/>
  <c r="AC744" i="9"/>
  <c r="AB744" i="9"/>
  <c r="AA744" i="9"/>
  <c r="Z744" i="9"/>
  <c r="Y744" i="9"/>
  <c r="X744" i="9"/>
  <c r="W744" i="9"/>
  <c r="V744" i="9"/>
  <c r="U744" i="9"/>
  <c r="T744" i="9"/>
  <c r="S744" i="9"/>
  <c r="R744" i="9"/>
  <c r="Q744" i="9"/>
  <c r="P744" i="9"/>
  <c r="O744" i="9"/>
  <c r="M744" i="9"/>
  <c r="L744" i="9"/>
  <c r="K744" i="9"/>
  <c r="J744" i="9"/>
  <c r="I744" i="9"/>
  <c r="H744" i="9"/>
  <c r="G744" i="9"/>
  <c r="F744" i="9"/>
  <c r="E744" i="9"/>
  <c r="D744" i="9"/>
  <c r="C744" i="9"/>
  <c r="B744" i="9"/>
  <c r="AJ743" i="9"/>
  <c r="AI743" i="9"/>
  <c r="AH743" i="9"/>
  <c r="AG743" i="9"/>
  <c r="AF743" i="9"/>
  <c r="AE743" i="9"/>
  <c r="AD743" i="9"/>
  <c r="AC743" i="9"/>
  <c r="AB743" i="9"/>
  <c r="AA743" i="9"/>
  <c r="Z743" i="9"/>
  <c r="Y743" i="9"/>
  <c r="X743" i="9"/>
  <c r="W743" i="9"/>
  <c r="V743" i="9"/>
  <c r="U743" i="9"/>
  <c r="T743" i="9"/>
  <c r="S743" i="9"/>
  <c r="R743" i="9"/>
  <c r="Q743" i="9"/>
  <c r="P743" i="9"/>
  <c r="O743" i="9"/>
  <c r="M743" i="9"/>
  <c r="L743" i="9"/>
  <c r="K743" i="9"/>
  <c r="J743" i="9"/>
  <c r="I743" i="9"/>
  <c r="H743" i="9"/>
  <c r="G743" i="9"/>
  <c r="F743" i="9"/>
  <c r="E743" i="9"/>
  <c r="D743" i="9"/>
  <c r="C743" i="9"/>
  <c r="B743" i="9"/>
  <c r="AJ742" i="9"/>
  <c r="AI742" i="9"/>
  <c r="AH742" i="9"/>
  <c r="AG742" i="9"/>
  <c r="AF742" i="9"/>
  <c r="AE742" i="9"/>
  <c r="AD742" i="9"/>
  <c r="AC742" i="9"/>
  <c r="AB742" i="9"/>
  <c r="AA742" i="9"/>
  <c r="Z742" i="9"/>
  <c r="Y742" i="9"/>
  <c r="X742" i="9"/>
  <c r="W742" i="9"/>
  <c r="V742" i="9"/>
  <c r="U742" i="9"/>
  <c r="T742" i="9"/>
  <c r="S742" i="9"/>
  <c r="R742" i="9"/>
  <c r="Q742" i="9"/>
  <c r="P742" i="9"/>
  <c r="O742" i="9"/>
  <c r="M742" i="9"/>
  <c r="L742" i="9"/>
  <c r="K742" i="9"/>
  <c r="J742" i="9"/>
  <c r="I742" i="9"/>
  <c r="H742" i="9"/>
  <c r="G742" i="9"/>
  <c r="F742" i="9"/>
  <c r="E742" i="9"/>
  <c r="D742" i="9"/>
  <c r="C742" i="9"/>
  <c r="B742" i="9"/>
  <c r="AJ741" i="9"/>
  <c r="AI741" i="9"/>
  <c r="AH741" i="9"/>
  <c r="AG741" i="9"/>
  <c r="AF741" i="9"/>
  <c r="AE741" i="9"/>
  <c r="AD741" i="9"/>
  <c r="AC741" i="9"/>
  <c r="AB741" i="9"/>
  <c r="AA741" i="9"/>
  <c r="Z741" i="9"/>
  <c r="Y741" i="9"/>
  <c r="X741" i="9"/>
  <c r="W741" i="9"/>
  <c r="V741" i="9"/>
  <c r="U741" i="9"/>
  <c r="T741" i="9"/>
  <c r="S741" i="9"/>
  <c r="R741" i="9"/>
  <c r="Q741" i="9"/>
  <c r="P741" i="9"/>
  <c r="O741" i="9"/>
  <c r="M741" i="9"/>
  <c r="L741" i="9"/>
  <c r="K741" i="9"/>
  <c r="J741" i="9"/>
  <c r="I741" i="9"/>
  <c r="H741" i="9"/>
  <c r="G741" i="9"/>
  <c r="F741" i="9"/>
  <c r="E741" i="9"/>
  <c r="D741" i="9"/>
  <c r="C741" i="9"/>
  <c r="B741" i="9"/>
  <c r="AJ740" i="9"/>
  <c r="AI740" i="9"/>
  <c r="AH740" i="9"/>
  <c r="AG740" i="9"/>
  <c r="AF740" i="9"/>
  <c r="AE740" i="9"/>
  <c r="AD740" i="9"/>
  <c r="AC740" i="9"/>
  <c r="AB740" i="9"/>
  <c r="AA740" i="9"/>
  <c r="Z740" i="9"/>
  <c r="Y740" i="9"/>
  <c r="X740" i="9"/>
  <c r="W740" i="9"/>
  <c r="V740" i="9"/>
  <c r="U740" i="9"/>
  <c r="T740" i="9"/>
  <c r="S740" i="9"/>
  <c r="R740" i="9"/>
  <c r="Q740" i="9"/>
  <c r="P740" i="9"/>
  <c r="O740" i="9"/>
  <c r="M740" i="9"/>
  <c r="L740" i="9"/>
  <c r="K740" i="9"/>
  <c r="J740" i="9"/>
  <c r="I740" i="9"/>
  <c r="H740" i="9"/>
  <c r="G740" i="9"/>
  <c r="F740" i="9"/>
  <c r="E740" i="9"/>
  <c r="D740" i="9"/>
  <c r="C740" i="9"/>
  <c r="B740" i="9"/>
  <c r="AJ739" i="9"/>
  <c r="AI739" i="9"/>
  <c r="AH739" i="9"/>
  <c r="AG739" i="9"/>
  <c r="AF739" i="9"/>
  <c r="AE739" i="9"/>
  <c r="AD739" i="9"/>
  <c r="AC739" i="9"/>
  <c r="AB739" i="9"/>
  <c r="AA739" i="9"/>
  <c r="Z739" i="9"/>
  <c r="Y739" i="9"/>
  <c r="X739" i="9"/>
  <c r="W739" i="9"/>
  <c r="V739" i="9"/>
  <c r="U739" i="9"/>
  <c r="T739" i="9"/>
  <c r="S739" i="9"/>
  <c r="R739" i="9"/>
  <c r="Q739" i="9"/>
  <c r="P739" i="9"/>
  <c r="O739" i="9"/>
  <c r="M739" i="9"/>
  <c r="L739" i="9"/>
  <c r="K739" i="9"/>
  <c r="J739" i="9"/>
  <c r="I739" i="9"/>
  <c r="H739" i="9"/>
  <c r="G739" i="9"/>
  <c r="F739" i="9"/>
  <c r="E739" i="9"/>
  <c r="D739" i="9"/>
  <c r="C739" i="9"/>
  <c r="B739" i="9"/>
  <c r="AJ738" i="9"/>
  <c r="AI738" i="9"/>
  <c r="AH738" i="9"/>
  <c r="AG738" i="9"/>
  <c r="AF738" i="9"/>
  <c r="AE738" i="9"/>
  <c r="AD738" i="9"/>
  <c r="AC738" i="9"/>
  <c r="AB738" i="9"/>
  <c r="AA738" i="9"/>
  <c r="Z738" i="9"/>
  <c r="Y738" i="9"/>
  <c r="X738" i="9"/>
  <c r="W738" i="9"/>
  <c r="V738" i="9"/>
  <c r="U738" i="9"/>
  <c r="T738" i="9"/>
  <c r="S738" i="9"/>
  <c r="R738" i="9"/>
  <c r="Q738" i="9"/>
  <c r="P738" i="9"/>
  <c r="O738" i="9"/>
  <c r="M738" i="9"/>
  <c r="L738" i="9"/>
  <c r="K738" i="9"/>
  <c r="J738" i="9"/>
  <c r="I738" i="9"/>
  <c r="H738" i="9"/>
  <c r="G738" i="9"/>
  <c r="F738" i="9"/>
  <c r="E738" i="9"/>
  <c r="D738" i="9"/>
  <c r="C738" i="9"/>
  <c r="B738" i="9"/>
  <c r="AJ737" i="9"/>
  <c r="AI737" i="9"/>
  <c r="AH737" i="9"/>
  <c r="AG737" i="9"/>
  <c r="AF737" i="9"/>
  <c r="AE737" i="9"/>
  <c r="AD737" i="9"/>
  <c r="AC737" i="9"/>
  <c r="AB737" i="9"/>
  <c r="AA737" i="9"/>
  <c r="Z737" i="9"/>
  <c r="Y737" i="9"/>
  <c r="X737" i="9"/>
  <c r="W737" i="9"/>
  <c r="V737" i="9"/>
  <c r="U737" i="9"/>
  <c r="T737" i="9"/>
  <c r="S737" i="9"/>
  <c r="R737" i="9"/>
  <c r="Q737" i="9"/>
  <c r="P737" i="9"/>
  <c r="O737" i="9"/>
  <c r="M737" i="9"/>
  <c r="L737" i="9"/>
  <c r="K737" i="9"/>
  <c r="J737" i="9"/>
  <c r="I737" i="9"/>
  <c r="H737" i="9"/>
  <c r="G737" i="9"/>
  <c r="F737" i="9"/>
  <c r="E737" i="9"/>
  <c r="D737" i="9"/>
  <c r="C737" i="9"/>
  <c r="B737" i="9"/>
  <c r="AJ736" i="9"/>
  <c r="AI736" i="9"/>
  <c r="AH736" i="9"/>
  <c r="AG736" i="9"/>
  <c r="AF736" i="9"/>
  <c r="AE736" i="9"/>
  <c r="AD736" i="9"/>
  <c r="AC736" i="9"/>
  <c r="AB736" i="9"/>
  <c r="AA736" i="9"/>
  <c r="Z736" i="9"/>
  <c r="Y736" i="9"/>
  <c r="X736" i="9"/>
  <c r="W736" i="9"/>
  <c r="V736" i="9"/>
  <c r="U736" i="9"/>
  <c r="T736" i="9"/>
  <c r="S736" i="9"/>
  <c r="R736" i="9"/>
  <c r="Q736" i="9"/>
  <c r="P736" i="9"/>
  <c r="O736" i="9"/>
  <c r="M736" i="9"/>
  <c r="L736" i="9"/>
  <c r="K736" i="9"/>
  <c r="J736" i="9"/>
  <c r="I736" i="9"/>
  <c r="H736" i="9"/>
  <c r="G736" i="9"/>
  <c r="F736" i="9"/>
  <c r="E736" i="9"/>
  <c r="D736" i="9"/>
  <c r="C736" i="9"/>
  <c r="B736" i="9"/>
  <c r="AJ735" i="9"/>
  <c r="AI735" i="9"/>
  <c r="AH735" i="9"/>
  <c r="AG735" i="9"/>
  <c r="AF735" i="9"/>
  <c r="AE735" i="9"/>
  <c r="AD735" i="9"/>
  <c r="AC735" i="9"/>
  <c r="AB735" i="9"/>
  <c r="AA735" i="9"/>
  <c r="Z735" i="9"/>
  <c r="Y735" i="9"/>
  <c r="X735" i="9"/>
  <c r="W735" i="9"/>
  <c r="V735" i="9"/>
  <c r="U735" i="9"/>
  <c r="T735" i="9"/>
  <c r="S735" i="9"/>
  <c r="R735" i="9"/>
  <c r="Q735" i="9"/>
  <c r="P735" i="9"/>
  <c r="O735" i="9"/>
  <c r="M735" i="9"/>
  <c r="L735" i="9"/>
  <c r="K735" i="9"/>
  <c r="J735" i="9"/>
  <c r="I735" i="9"/>
  <c r="H735" i="9"/>
  <c r="G735" i="9"/>
  <c r="F735" i="9"/>
  <c r="E735" i="9"/>
  <c r="D735" i="9"/>
  <c r="C735" i="9"/>
  <c r="B735" i="9"/>
  <c r="AJ734" i="9"/>
  <c r="AI734" i="9"/>
  <c r="AH734" i="9"/>
  <c r="AG734" i="9"/>
  <c r="AF734" i="9"/>
  <c r="AE734" i="9"/>
  <c r="AD734" i="9"/>
  <c r="AC734" i="9"/>
  <c r="AB734" i="9"/>
  <c r="AA734" i="9"/>
  <c r="Z734" i="9"/>
  <c r="Y734" i="9"/>
  <c r="X734" i="9"/>
  <c r="W734" i="9"/>
  <c r="V734" i="9"/>
  <c r="U734" i="9"/>
  <c r="T734" i="9"/>
  <c r="S734" i="9"/>
  <c r="R734" i="9"/>
  <c r="Q734" i="9"/>
  <c r="P734" i="9"/>
  <c r="O734" i="9"/>
  <c r="M734" i="9"/>
  <c r="L734" i="9"/>
  <c r="K734" i="9"/>
  <c r="J734" i="9"/>
  <c r="I734" i="9"/>
  <c r="H734" i="9"/>
  <c r="G734" i="9"/>
  <c r="F734" i="9"/>
  <c r="E734" i="9"/>
  <c r="D734" i="9"/>
  <c r="C734" i="9"/>
  <c r="B734" i="9"/>
  <c r="AJ733" i="9"/>
  <c r="AI733" i="9"/>
  <c r="AH733" i="9"/>
  <c r="AG733" i="9"/>
  <c r="AF733" i="9"/>
  <c r="AE733" i="9"/>
  <c r="AD733" i="9"/>
  <c r="AC733" i="9"/>
  <c r="AB733" i="9"/>
  <c r="AA733" i="9"/>
  <c r="Z733" i="9"/>
  <c r="Y733" i="9"/>
  <c r="X733" i="9"/>
  <c r="W733" i="9"/>
  <c r="V733" i="9"/>
  <c r="U733" i="9"/>
  <c r="T733" i="9"/>
  <c r="S733" i="9"/>
  <c r="R733" i="9"/>
  <c r="Q733" i="9"/>
  <c r="P733" i="9"/>
  <c r="O733" i="9"/>
  <c r="M733" i="9"/>
  <c r="L733" i="9"/>
  <c r="K733" i="9"/>
  <c r="J733" i="9"/>
  <c r="I733" i="9"/>
  <c r="H733" i="9"/>
  <c r="G733" i="9"/>
  <c r="F733" i="9"/>
  <c r="E733" i="9"/>
  <c r="D733" i="9"/>
  <c r="C733" i="9"/>
  <c r="B733" i="9"/>
  <c r="AJ732" i="9"/>
  <c r="AI732" i="9"/>
  <c r="AH732" i="9"/>
  <c r="AG732" i="9"/>
  <c r="AF732" i="9"/>
  <c r="AE732" i="9"/>
  <c r="AD732" i="9"/>
  <c r="AC732" i="9"/>
  <c r="AB732" i="9"/>
  <c r="AA732" i="9"/>
  <c r="Z732" i="9"/>
  <c r="Y732" i="9"/>
  <c r="X732" i="9"/>
  <c r="W732" i="9"/>
  <c r="V732" i="9"/>
  <c r="U732" i="9"/>
  <c r="T732" i="9"/>
  <c r="S732" i="9"/>
  <c r="R732" i="9"/>
  <c r="Q732" i="9"/>
  <c r="P732" i="9"/>
  <c r="O732" i="9"/>
  <c r="M732" i="9"/>
  <c r="L732" i="9"/>
  <c r="K732" i="9"/>
  <c r="J732" i="9"/>
  <c r="I732" i="9"/>
  <c r="H732" i="9"/>
  <c r="G732" i="9"/>
  <c r="F732" i="9"/>
  <c r="E732" i="9"/>
  <c r="D732" i="9"/>
  <c r="C732" i="9"/>
  <c r="B732" i="9"/>
  <c r="AJ731" i="9"/>
  <c r="AI731" i="9"/>
  <c r="AH731" i="9"/>
  <c r="AG731" i="9"/>
  <c r="AF731" i="9"/>
  <c r="AE731" i="9"/>
  <c r="AD731" i="9"/>
  <c r="AC731" i="9"/>
  <c r="AB731" i="9"/>
  <c r="AA731" i="9"/>
  <c r="Z731" i="9"/>
  <c r="Y731" i="9"/>
  <c r="X731" i="9"/>
  <c r="W731" i="9"/>
  <c r="V731" i="9"/>
  <c r="U731" i="9"/>
  <c r="T731" i="9"/>
  <c r="S731" i="9"/>
  <c r="R731" i="9"/>
  <c r="Q731" i="9"/>
  <c r="P731" i="9"/>
  <c r="O731" i="9"/>
  <c r="M731" i="9"/>
  <c r="L731" i="9"/>
  <c r="K731" i="9"/>
  <c r="J731" i="9"/>
  <c r="I731" i="9"/>
  <c r="H731" i="9"/>
  <c r="G731" i="9"/>
  <c r="F731" i="9"/>
  <c r="E731" i="9"/>
  <c r="D731" i="9"/>
  <c r="C731" i="9"/>
  <c r="B731" i="9"/>
  <c r="AJ730" i="9"/>
  <c r="AI730" i="9"/>
  <c r="AH730" i="9"/>
  <c r="AG730" i="9"/>
  <c r="AF730" i="9"/>
  <c r="AE730" i="9"/>
  <c r="AD730" i="9"/>
  <c r="AC730" i="9"/>
  <c r="AB730" i="9"/>
  <c r="AA730" i="9"/>
  <c r="Z730" i="9"/>
  <c r="Y730" i="9"/>
  <c r="X730" i="9"/>
  <c r="W730" i="9"/>
  <c r="V730" i="9"/>
  <c r="U730" i="9"/>
  <c r="T730" i="9"/>
  <c r="S730" i="9"/>
  <c r="R730" i="9"/>
  <c r="Q730" i="9"/>
  <c r="P730" i="9"/>
  <c r="O730" i="9"/>
  <c r="M730" i="9"/>
  <c r="L730" i="9"/>
  <c r="K730" i="9"/>
  <c r="J730" i="9"/>
  <c r="I730" i="9"/>
  <c r="H730" i="9"/>
  <c r="G730" i="9"/>
  <c r="F730" i="9"/>
  <c r="E730" i="9"/>
  <c r="D730" i="9"/>
  <c r="C730" i="9"/>
  <c r="B730" i="9"/>
  <c r="AJ729" i="9"/>
  <c r="AI729" i="9"/>
  <c r="AH729" i="9"/>
  <c r="AG729" i="9"/>
  <c r="AF729" i="9"/>
  <c r="AE729" i="9"/>
  <c r="AD729" i="9"/>
  <c r="AC729" i="9"/>
  <c r="AB729" i="9"/>
  <c r="AA729" i="9"/>
  <c r="Z729" i="9"/>
  <c r="Y729" i="9"/>
  <c r="X729" i="9"/>
  <c r="W729" i="9"/>
  <c r="V729" i="9"/>
  <c r="U729" i="9"/>
  <c r="T729" i="9"/>
  <c r="S729" i="9"/>
  <c r="R729" i="9"/>
  <c r="Q729" i="9"/>
  <c r="P729" i="9"/>
  <c r="O729" i="9"/>
  <c r="M729" i="9"/>
  <c r="L729" i="9"/>
  <c r="K729" i="9"/>
  <c r="J729" i="9"/>
  <c r="I729" i="9"/>
  <c r="H729" i="9"/>
  <c r="G729" i="9"/>
  <c r="F729" i="9"/>
  <c r="E729" i="9"/>
  <c r="D729" i="9"/>
  <c r="C729" i="9"/>
  <c r="B729" i="9"/>
  <c r="AJ728" i="9"/>
  <c r="AI728" i="9"/>
  <c r="AH728" i="9"/>
  <c r="AG728" i="9"/>
  <c r="AF728" i="9"/>
  <c r="AE728" i="9"/>
  <c r="AD728" i="9"/>
  <c r="AC728" i="9"/>
  <c r="AB728" i="9"/>
  <c r="AA728" i="9"/>
  <c r="Z728" i="9"/>
  <c r="Y728" i="9"/>
  <c r="X728" i="9"/>
  <c r="W728" i="9"/>
  <c r="V728" i="9"/>
  <c r="U728" i="9"/>
  <c r="T728" i="9"/>
  <c r="S728" i="9"/>
  <c r="R728" i="9"/>
  <c r="Q728" i="9"/>
  <c r="P728" i="9"/>
  <c r="O728" i="9"/>
  <c r="M728" i="9"/>
  <c r="L728" i="9"/>
  <c r="K728" i="9"/>
  <c r="J728" i="9"/>
  <c r="I728" i="9"/>
  <c r="H728" i="9"/>
  <c r="G728" i="9"/>
  <c r="F728" i="9"/>
  <c r="E728" i="9"/>
  <c r="D728" i="9"/>
  <c r="C728" i="9"/>
  <c r="B728" i="9"/>
  <c r="AJ727" i="9"/>
  <c r="AI727" i="9"/>
  <c r="AH727" i="9"/>
  <c r="AG727" i="9"/>
  <c r="AF727" i="9"/>
  <c r="AE727" i="9"/>
  <c r="AD727" i="9"/>
  <c r="AC727" i="9"/>
  <c r="AB727" i="9"/>
  <c r="AA727" i="9"/>
  <c r="Z727" i="9"/>
  <c r="Y727" i="9"/>
  <c r="X727" i="9"/>
  <c r="W727" i="9"/>
  <c r="V727" i="9"/>
  <c r="U727" i="9"/>
  <c r="T727" i="9"/>
  <c r="S727" i="9"/>
  <c r="R727" i="9"/>
  <c r="Q727" i="9"/>
  <c r="P727" i="9"/>
  <c r="O727" i="9"/>
  <c r="M727" i="9"/>
  <c r="L727" i="9"/>
  <c r="K727" i="9"/>
  <c r="J727" i="9"/>
  <c r="I727" i="9"/>
  <c r="H727" i="9"/>
  <c r="G727" i="9"/>
  <c r="F727" i="9"/>
  <c r="E727" i="9"/>
  <c r="D727" i="9"/>
  <c r="C727" i="9"/>
  <c r="B727" i="9"/>
  <c r="AJ726" i="9"/>
  <c r="AI726" i="9"/>
  <c r="AH726" i="9"/>
  <c r="AG726" i="9"/>
  <c r="AF726" i="9"/>
  <c r="AE726" i="9"/>
  <c r="AD726" i="9"/>
  <c r="AC726" i="9"/>
  <c r="AB726" i="9"/>
  <c r="AA726" i="9"/>
  <c r="Z726" i="9"/>
  <c r="Y726" i="9"/>
  <c r="X726" i="9"/>
  <c r="W726" i="9"/>
  <c r="V726" i="9"/>
  <c r="U726" i="9"/>
  <c r="T726" i="9"/>
  <c r="S726" i="9"/>
  <c r="R726" i="9"/>
  <c r="Q726" i="9"/>
  <c r="P726" i="9"/>
  <c r="O726" i="9"/>
  <c r="M726" i="9"/>
  <c r="L726" i="9"/>
  <c r="K726" i="9"/>
  <c r="J726" i="9"/>
  <c r="I726" i="9"/>
  <c r="H726" i="9"/>
  <c r="G726" i="9"/>
  <c r="F726" i="9"/>
  <c r="E726" i="9"/>
  <c r="D726" i="9"/>
  <c r="C726" i="9"/>
  <c r="B726" i="9"/>
  <c r="AJ725" i="9"/>
  <c r="AI725" i="9"/>
  <c r="AH725" i="9"/>
  <c r="AG725" i="9"/>
  <c r="AF725" i="9"/>
  <c r="AE725" i="9"/>
  <c r="AD725" i="9"/>
  <c r="AC725" i="9"/>
  <c r="AB725" i="9"/>
  <c r="AA725" i="9"/>
  <c r="Z725" i="9"/>
  <c r="Y725" i="9"/>
  <c r="X725" i="9"/>
  <c r="W725" i="9"/>
  <c r="V725" i="9"/>
  <c r="U725" i="9"/>
  <c r="T725" i="9"/>
  <c r="S725" i="9"/>
  <c r="R725" i="9"/>
  <c r="Q725" i="9"/>
  <c r="P725" i="9"/>
  <c r="O725" i="9"/>
  <c r="M725" i="9"/>
  <c r="L725" i="9"/>
  <c r="K725" i="9"/>
  <c r="J725" i="9"/>
  <c r="I725" i="9"/>
  <c r="H725" i="9"/>
  <c r="G725" i="9"/>
  <c r="F725" i="9"/>
  <c r="E725" i="9"/>
  <c r="D725" i="9"/>
  <c r="C725" i="9"/>
  <c r="B725" i="9"/>
  <c r="AJ724" i="9"/>
  <c r="AI724" i="9"/>
  <c r="AH724" i="9"/>
  <c r="AG724" i="9"/>
  <c r="AF724" i="9"/>
  <c r="AE724" i="9"/>
  <c r="AD724" i="9"/>
  <c r="AC724" i="9"/>
  <c r="AB724" i="9"/>
  <c r="AA724" i="9"/>
  <c r="Z724" i="9"/>
  <c r="Y724" i="9"/>
  <c r="X724" i="9"/>
  <c r="W724" i="9"/>
  <c r="V724" i="9"/>
  <c r="U724" i="9"/>
  <c r="T724" i="9"/>
  <c r="S724" i="9"/>
  <c r="R724" i="9"/>
  <c r="Q724" i="9"/>
  <c r="P724" i="9"/>
  <c r="O724" i="9"/>
  <c r="M724" i="9"/>
  <c r="L724" i="9"/>
  <c r="K724" i="9"/>
  <c r="J724" i="9"/>
  <c r="I724" i="9"/>
  <c r="H724" i="9"/>
  <c r="G724" i="9"/>
  <c r="F724" i="9"/>
  <c r="E724" i="9"/>
  <c r="D724" i="9"/>
  <c r="C724" i="9"/>
  <c r="B724" i="9"/>
  <c r="AJ723" i="9"/>
  <c r="AI723" i="9"/>
  <c r="AH723" i="9"/>
  <c r="AG723" i="9"/>
  <c r="AF723" i="9"/>
  <c r="AE723" i="9"/>
  <c r="AD723" i="9"/>
  <c r="AC723" i="9"/>
  <c r="AB723" i="9"/>
  <c r="AA723" i="9"/>
  <c r="Z723" i="9"/>
  <c r="Y723" i="9"/>
  <c r="X723" i="9"/>
  <c r="W723" i="9"/>
  <c r="V723" i="9"/>
  <c r="U723" i="9"/>
  <c r="T723" i="9"/>
  <c r="S723" i="9"/>
  <c r="R723" i="9"/>
  <c r="Q723" i="9"/>
  <c r="P723" i="9"/>
  <c r="O723" i="9"/>
  <c r="M723" i="9"/>
  <c r="L723" i="9"/>
  <c r="K723" i="9"/>
  <c r="J723" i="9"/>
  <c r="I723" i="9"/>
  <c r="H723" i="9"/>
  <c r="G723" i="9"/>
  <c r="F723" i="9"/>
  <c r="E723" i="9"/>
  <c r="D723" i="9"/>
  <c r="C723" i="9"/>
  <c r="B723" i="9"/>
  <c r="AJ722" i="9"/>
  <c r="AI722" i="9"/>
  <c r="AH722" i="9"/>
  <c r="AG722" i="9"/>
  <c r="AF722" i="9"/>
  <c r="AE722" i="9"/>
  <c r="AD722" i="9"/>
  <c r="AC722" i="9"/>
  <c r="AB722" i="9"/>
  <c r="AA722" i="9"/>
  <c r="Z722" i="9"/>
  <c r="Y722" i="9"/>
  <c r="X722" i="9"/>
  <c r="W722" i="9"/>
  <c r="V722" i="9"/>
  <c r="U722" i="9"/>
  <c r="T722" i="9"/>
  <c r="S722" i="9"/>
  <c r="R722" i="9"/>
  <c r="Q722" i="9"/>
  <c r="P722" i="9"/>
  <c r="O722" i="9"/>
  <c r="M722" i="9"/>
  <c r="L722" i="9"/>
  <c r="K722" i="9"/>
  <c r="J722" i="9"/>
  <c r="I722" i="9"/>
  <c r="H722" i="9"/>
  <c r="G722" i="9"/>
  <c r="F722" i="9"/>
  <c r="E722" i="9"/>
  <c r="D722" i="9"/>
  <c r="C722" i="9"/>
  <c r="B722" i="9"/>
  <c r="AJ721" i="9"/>
  <c r="AI721" i="9"/>
  <c r="AH721" i="9"/>
  <c r="AG721" i="9"/>
  <c r="AF721" i="9"/>
  <c r="AE721" i="9"/>
  <c r="AD721" i="9"/>
  <c r="AC721" i="9"/>
  <c r="AB721" i="9"/>
  <c r="AA721" i="9"/>
  <c r="Z721" i="9"/>
  <c r="Y721" i="9"/>
  <c r="X721" i="9"/>
  <c r="W721" i="9"/>
  <c r="V721" i="9"/>
  <c r="U721" i="9"/>
  <c r="T721" i="9"/>
  <c r="S721" i="9"/>
  <c r="R721" i="9"/>
  <c r="Q721" i="9"/>
  <c r="P721" i="9"/>
  <c r="O721" i="9"/>
  <c r="M721" i="9"/>
  <c r="L721" i="9"/>
  <c r="K721" i="9"/>
  <c r="J721" i="9"/>
  <c r="I721" i="9"/>
  <c r="H721" i="9"/>
  <c r="G721" i="9"/>
  <c r="F721" i="9"/>
  <c r="E721" i="9"/>
  <c r="D721" i="9"/>
  <c r="C721" i="9"/>
  <c r="B721" i="9"/>
  <c r="AJ720" i="9"/>
  <c r="AI720" i="9"/>
  <c r="AH720" i="9"/>
  <c r="AG720" i="9"/>
  <c r="AF720" i="9"/>
  <c r="AE720" i="9"/>
  <c r="AD720" i="9"/>
  <c r="AC720" i="9"/>
  <c r="AB720" i="9"/>
  <c r="AA720" i="9"/>
  <c r="Z720" i="9"/>
  <c r="Y720" i="9"/>
  <c r="X720" i="9"/>
  <c r="W720" i="9"/>
  <c r="V720" i="9"/>
  <c r="U720" i="9"/>
  <c r="T720" i="9"/>
  <c r="S720" i="9"/>
  <c r="R720" i="9"/>
  <c r="Q720" i="9"/>
  <c r="P720" i="9"/>
  <c r="O720" i="9"/>
  <c r="M720" i="9"/>
  <c r="L720" i="9"/>
  <c r="K720" i="9"/>
  <c r="J720" i="9"/>
  <c r="I720" i="9"/>
  <c r="H720" i="9"/>
  <c r="G720" i="9"/>
  <c r="F720" i="9"/>
  <c r="E720" i="9"/>
  <c r="D720" i="9"/>
  <c r="C720" i="9"/>
  <c r="B720" i="9"/>
  <c r="AJ719" i="9"/>
  <c r="AI719" i="9"/>
  <c r="AH719" i="9"/>
  <c r="AG719" i="9"/>
  <c r="AF719" i="9"/>
  <c r="AE719" i="9"/>
  <c r="AD719" i="9"/>
  <c r="AC719" i="9"/>
  <c r="AB719" i="9"/>
  <c r="AA719" i="9"/>
  <c r="Z719" i="9"/>
  <c r="Y719" i="9"/>
  <c r="X719" i="9"/>
  <c r="W719" i="9"/>
  <c r="V719" i="9"/>
  <c r="U719" i="9"/>
  <c r="T719" i="9"/>
  <c r="S719" i="9"/>
  <c r="R719" i="9"/>
  <c r="Q719" i="9"/>
  <c r="P719" i="9"/>
  <c r="O719" i="9"/>
  <c r="M719" i="9"/>
  <c r="L719" i="9"/>
  <c r="K719" i="9"/>
  <c r="J719" i="9"/>
  <c r="I719" i="9"/>
  <c r="H719" i="9"/>
  <c r="G719" i="9"/>
  <c r="F719" i="9"/>
  <c r="E719" i="9"/>
  <c r="D719" i="9"/>
  <c r="C719" i="9"/>
  <c r="B719" i="9"/>
  <c r="AJ718" i="9"/>
  <c r="AI718" i="9"/>
  <c r="AH718" i="9"/>
  <c r="AG718" i="9"/>
  <c r="AF718" i="9"/>
  <c r="AE718" i="9"/>
  <c r="AD718" i="9"/>
  <c r="AC718" i="9"/>
  <c r="AB718" i="9"/>
  <c r="AA718" i="9"/>
  <c r="Z718" i="9"/>
  <c r="Y718" i="9"/>
  <c r="X718" i="9"/>
  <c r="W718" i="9"/>
  <c r="V718" i="9"/>
  <c r="U718" i="9"/>
  <c r="T718" i="9"/>
  <c r="S718" i="9"/>
  <c r="R718" i="9"/>
  <c r="Q718" i="9"/>
  <c r="P718" i="9"/>
  <c r="O718" i="9"/>
  <c r="M718" i="9"/>
  <c r="L718" i="9"/>
  <c r="K718" i="9"/>
  <c r="J718" i="9"/>
  <c r="I718" i="9"/>
  <c r="H718" i="9"/>
  <c r="G718" i="9"/>
  <c r="F718" i="9"/>
  <c r="E718" i="9"/>
  <c r="D718" i="9"/>
  <c r="C718" i="9"/>
  <c r="B718" i="9"/>
  <c r="AJ717" i="9"/>
  <c r="AI717" i="9"/>
  <c r="AH717" i="9"/>
  <c r="AG717" i="9"/>
  <c r="AF717" i="9"/>
  <c r="AE717" i="9"/>
  <c r="AD717" i="9"/>
  <c r="AC717" i="9"/>
  <c r="AB717" i="9"/>
  <c r="AA717" i="9"/>
  <c r="Z717" i="9"/>
  <c r="Y717" i="9"/>
  <c r="X717" i="9"/>
  <c r="W717" i="9"/>
  <c r="V717" i="9"/>
  <c r="U717" i="9"/>
  <c r="T717" i="9"/>
  <c r="S717" i="9"/>
  <c r="R717" i="9"/>
  <c r="Q717" i="9"/>
  <c r="P717" i="9"/>
  <c r="O717" i="9"/>
  <c r="M717" i="9"/>
  <c r="L717" i="9"/>
  <c r="K717" i="9"/>
  <c r="J717" i="9"/>
  <c r="I717" i="9"/>
  <c r="H717" i="9"/>
  <c r="G717" i="9"/>
  <c r="F717" i="9"/>
  <c r="E717" i="9"/>
  <c r="D717" i="9"/>
  <c r="C717" i="9"/>
  <c r="B717" i="9"/>
  <c r="AJ716" i="9"/>
  <c r="AI716" i="9"/>
  <c r="AH716" i="9"/>
  <c r="AG716" i="9"/>
  <c r="AF716" i="9"/>
  <c r="AE716" i="9"/>
  <c r="AD716" i="9"/>
  <c r="AC716" i="9"/>
  <c r="AB716" i="9"/>
  <c r="AA716" i="9"/>
  <c r="Z716" i="9"/>
  <c r="Y716" i="9"/>
  <c r="X716" i="9"/>
  <c r="W716" i="9"/>
  <c r="V716" i="9"/>
  <c r="U716" i="9"/>
  <c r="T716" i="9"/>
  <c r="S716" i="9"/>
  <c r="R716" i="9"/>
  <c r="Q716" i="9"/>
  <c r="P716" i="9"/>
  <c r="O716" i="9"/>
  <c r="M716" i="9"/>
  <c r="L716" i="9"/>
  <c r="K716" i="9"/>
  <c r="J716" i="9"/>
  <c r="I716" i="9"/>
  <c r="H716" i="9"/>
  <c r="G716" i="9"/>
  <c r="F716" i="9"/>
  <c r="E716" i="9"/>
  <c r="D716" i="9"/>
  <c r="C716" i="9"/>
  <c r="B716" i="9"/>
  <c r="AJ715" i="9"/>
  <c r="AI715" i="9"/>
  <c r="AH715" i="9"/>
  <c r="AG715" i="9"/>
  <c r="AF715" i="9"/>
  <c r="AE715" i="9"/>
  <c r="AD715" i="9"/>
  <c r="AC715" i="9"/>
  <c r="AB715" i="9"/>
  <c r="AA715" i="9"/>
  <c r="Z715" i="9"/>
  <c r="Y715" i="9"/>
  <c r="X715" i="9"/>
  <c r="W715" i="9"/>
  <c r="V715" i="9"/>
  <c r="U715" i="9"/>
  <c r="T715" i="9"/>
  <c r="S715" i="9"/>
  <c r="R715" i="9"/>
  <c r="Q715" i="9"/>
  <c r="P715" i="9"/>
  <c r="O715" i="9"/>
  <c r="M715" i="9"/>
  <c r="L715" i="9"/>
  <c r="K715" i="9"/>
  <c r="J715" i="9"/>
  <c r="I715" i="9"/>
  <c r="H715" i="9"/>
  <c r="G715" i="9"/>
  <c r="F715" i="9"/>
  <c r="E715" i="9"/>
  <c r="D715" i="9"/>
  <c r="C715" i="9"/>
  <c r="B715" i="9"/>
  <c r="AJ714" i="9"/>
  <c r="AI714" i="9"/>
  <c r="AH714" i="9"/>
  <c r="AG714" i="9"/>
  <c r="AF714" i="9"/>
  <c r="AE714" i="9"/>
  <c r="AD714" i="9"/>
  <c r="AC714" i="9"/>
  <c r="AB714" i="9"/>
  <c r="AA714" i="9"/>
  <c r="Z714" i="9"/>
  <c r="Y714" i="9"/>
  <c r="X714" i="9"/>
  <c r="W714" i="9"/>
  <c r="V714" i="9"/>
  <c r="U714" i="9"/>
  <c r="T714" i="9"/>
  <c r="S714" i="9"/>
  <c r="R714" i="9"/>
  <c r="Q714" i="9"/>
  <c r="P714" i="9"/>
  <c r="O714" i="9"/>
  <c r="M714" i="9"/>
  <c r="L714" i="9"/>
  <c r="K714" i="9"/>
  <c r="J714" i="9"/>
  <c r="I714" i="9"/>
  <c r="H714" i="9"/>
  <c r="G714" i="9"/>
  <c r="F714" i="9"/>
  <c r="E714" i="9"/>
  <c r="D714" i="9"/>
  <c r="C714" i="9"/>
  <c r="B714" i="9"/>
  <c r="AJ713" i="9"/>
  <c r="AI713" i="9"/>
  <c r="AH713" i="9"/>
  <c r="AG713" i="9"/>
  <c r="AF713" i="9"/>
  <c r="AE713" i="9"/>
  <c r="AD713" i="9"/>
  <c r="AC713" i="9"/>
  <c r="AB713" i="9"/>
  <c r="AA713" i="9"/>
  <c r="Z713" i="9"/>
  <c r="Y713" i="9"/>
  <c r="X713" i="9"/>
  <c r="W713" i="9"/>
  <c r="V713" i="9"/>
  <c r="U713" i="9"/>
  <c r="T713" i="9"/>
  <c r="S713" i="9"/>
  <c r="R713" i="9"/>
  <c r="Q713" i="9"/>
  <c r="P713" i="9"/>
  <c r="O713" i="9"/>
  <c r="M713" i="9"/>
  <c r="L713" i="9"/>
  <c r="K713" i="9"/>
  <c r="J713" i="9"/>
  <c r="I713" i="9"/>
  <c r="H713" i="9"/>
  <c r="G713" i="9"/>
  <c r="F713" i="9"/>
  <c r="E713" i="9"/>
  <c r="D713" i="9"/>
  <c r="C713" i="9"/>
  <c r="B713" i="9"/>
  <c r="AJ712" i="9"/>
  <c r="AI712" i="9"/>
  <c r="AH712" i="9"/>
  <c r="AG712" i="9"/>
  <c r="AF712" i="9"/>
  <c r="AE712" i="9"/>
  <c r="AD712" i="9"/>
  <c r="AC712" i="9"/>
  <c r="AB712" i="9"/>
  <c r="AA712" i="9"/>
  <c r="Z712" i="9"/>
  <c r="Y712" i="9"/>
  <c r="X712" i="9"/>
  <c r="W712" i="9"/>
  <c r="V712" i="9"/>
  <c r="U712" i="9"/>
  <c r="T712" i="9"/>
  <c r="S712" i="9"/>
  <c r="R712" i="9"/>
  <c r="Q712" i="9"/>
  <c r="P712" i="9"/>
  <c r="O712" i="9"/>
  <c r="M712" i="9"/>
  <c r="L712" i="9"/>
  <c r="K712" i="9"/>
  <c r="J712" i="9"/>
  <c r="I712" i="9"/>
  <c r="H712" i="9"/>
  <c r="G712" i="9"/>
  <c r="F712" i="9"/>
  <c r="E712" i="9"/>
  <c r="D712" i="9"/>
  <c r="C712" i="9"/>
  <c r="B712" i="9"/>
  <c r="AJ711" i="9"/>
  <c r="AI711" i="9"/>
  <c r="AH711" i="9"/>
  <c r="AG711" i="9"/>
  <c r="AF711" i="9"/>
  <c r="AE711" i="9"/>
  <c r="AD711" i="9"/>
  <c r="AC711" i="9"/>
  <c r="AB711" i="9"/>
  <c r="AA711" i="9"/>
  <c r="Z711" i="9"/>
  <c r="Y711" i="9"/>
  <c r="X711" i="9"/>
  <c r="W711" i="9"/>
  <c r="V711" i="9"/>
  <c r="U711" i="9"/>
  <c r="T711" i="9"/>
  <c r="S711" i="9"/>
  <c r="R711" i="9"/>
  <c r="Q711" i="9"/>
  <c r="P711" i="9"/>
  <c r="O711" i="9"/>
  <c r="M711" i="9"/>
  <c r="L711" i="9"/>
  <c r="K711" i="9"/>
  <c r="J711" i="9"/>
  <c r="I711" i="9"/>
  <c r="H711" i="9"/>
  <c r="G711" i="9"/>
  <c r="F711" i="9"/>
  <c r="E711" i="9"/>
  <c r="D711" i="9"/>
  <c r="C711" i="9"/>
  <c r="B711" i="9"/>
  <c r="AJ710" i="9"/>
  <c r="AI710" i="9"/>
  <c r="AH710" i="9"/>
  <c r="AG710" i="9"/>
  <c r="AF710" i="9"/>
  <c r="AE710" i="9"/>
  <c r="AD710" i="9"/>
  <c r="AC710" i="9"/>
  <c r="AB710" i="9"/>
  <c r="AA710" i="9"/>
  <c r="Z710" i="9"/>
  <c r="Y710" i="9"/>
  <c r="X710" i="9"/>
  <c r="W710" i="9"/>
  <c r="V710" i="9"/>
  <c r="U710" i="9"/>
  <c r="T710" i="9"/>
  <c r="S710" i="9"/>
  <c r="R710" i="9"/>
  <c r="Q710" i="9"/>
  <c r="P710" i="9"/>
  <c r="O710" i="9"/>
  <c r="M710" i="9"/>
  <c r="L710" i="9"/>
  <c r="K710" i="9"/>
  <c r="J710" i="9"/>
  <c r="I710" i="9"/>
  <c r="H710" i="9"/>
  <c r="G710" i="9"/>
  <c r="F710" i="9"/>
  <c r="E710" i="9"/>
  <c r="D710" i="9"/>
  <c r="C710" i="9"/>
  <c r="B710" i="9"/>
  <c r="AJ709" i="9"/>
  <c r="AI709" i="9"/>
  <c r="AH709" i="9"/>
  <c r="AG709" i="9"/>
  <c r="AF709" i="9"/>
  <c r="AE709" i="9"/>
  <c r="AD709" i="9"/>
  <c r="AC709" i="9"/>
  <c r="AB709" i="9"/>
  <c r="AA709" i="9"/>
  <c r="Z709" i="9"/>
  <c r="Y709" i="9"/>
  <c r="X709" i="9"/>
  <c r="W709" i="9"/>
  <c r="V709" i="9"/>
  <c r="U709" i="9"/>
  <c r="T709" i="9"/>
  <c r="S709" i="9"/>
  <c r="R709" i="9"/>
  <c r="Q709" i="9"/>
  <c r="P709" i="9"/>
  <c r="O709" i="9"/>
  <c r="M709" i="9"/>
  <c r="L709" i="9"/>
  <c r="K709" i="9"/>
  <c r="J709" i="9"/>
  <c r="I709" i="9"/>
  <c r="H709" i="9"/>
  <c r="G709" i="9"/>
  <c r="F709" i="9"/>
  <c r="E709" i="9"/>
  <c r="D709" i="9"/>
  <c r="C709" i="9"/>
  <c r="B709" i="9"/>
  <c r="AJ708" i="9"/>
  <c r="AI708" i="9"/>
  <c r="AH708" i="9"/>
  <c r="AG708" i="9"/>
  <c r="AF708" i="9"/>
  <c r="AE708" i="9"/>
  <c r="AD708" i="9"/>
  <c r="AC708" i="9"/>
  <c r="AB708" i="9"/>
  <c r="AA708" i="9"/>
  <c r="Z708" i="9"/>
  <c r="Y708" i="9"/>
  <c r="X708" i="9"/>
  <c r="W708" i="9"/>
  <c r="V708" i="9"/>
  <c r="U708" i="9"/>
  <c r="T708" i="9"/>
  <c r="S708" i="9"/>
  <c r="R708" i="9"/>
  <c r="Q708" i="9"/>
  <c r="P708" i="9"/>
  <c r="O708" i="9"/>
  <c r="M708" i="9"/>
  <c r="L708" i="9"/>
  <c r="K708" i="9"/>
  <c r="J708" i="9"/>
  <c r="I708" i="9"/>
  <c r="H708" i="9"/>
  <c r="G708" i="9"/>
  <c r="F708" i="9"/>
  <c r="E708" i="9"/>
  <c r="D708" i="9"/>
  <c r="C708" i="9"/>
  <c r="B708" i="9"/>
  <c r="AJ707" i="9"/>
  <c r="AI707" i="9"/>
  <c r="AH707" i="9"/>
  <c r="AG707" i="9"/>
  <c r="AF707" i="9"/>
  <c r="AE707" i="9"/>
  <c r="AD707" i="9"/>
  <c r="AC707" i="9"/>
  <c r="AB707" i="9"/>
  <c r="AA707" i="9"/>
  <c r="Z707" i="9"/>
  <c r="Y707" i="9"/>
  <c r="X707" i="9"/>
  <c r="W707" i="9"/>
  <c r="V707" i="9"/>
  <c r="U707" i="9"/>
  <c r="T707" i="9"/>
  <c r="S707" i="9"/>
  <c r="R707" i="9"/>
  <c r="Q707" i="9"/>
  <c r="P707" i="9"/>
  <c r="O707" i="9"/>
  <c r="M707" i="9"/>
  <c r="L707" i="9"/>
  <c r="K707" i="9"/>
  <c r="J707" i="9"/>
  <c r="I707" i="9"/>
  <c r="H707" i="9"/>
  <c r="G707" i="9"/>
  <c r="F707" i="9"/>
  <c r="E707" i="9"/>
  <c r="D707" i="9"/>
  <c r="C707" i="9"/>
  <c r="B707" i="9"/>
  <c r="AJ706" i="9"/>
  <c r="AI706" i="9"/>
  <c r="AH706" i="9"/>
  <c r="AG706" i="9"/>
  <c r="AF706" i="9"/>
  <c r="AE706" i="9"/>
  <c r="AD706" i="9"/>
  <c r="AC706" i="9"/>
  <c r="AB706" i="9"/>
  <c r="AA706" i="9"/>
  <c r="Z706" i="9"/>
  <c r="Y706" i="9"/>
  <c r="X706" i="9"/>
  <c r="W706" i="9"/>
  <c r="V706" i="9"/>
  <c r="U706" i="9"/>
  <c r="T706" i="9"/>
  <c r="S706" i="9"/>
  <c r="R706" i="9"/>
  <c r="Q706" i="9"/>
  <c r="P706" i="9"/>
  <c r="O706" i="9"/>
  <c r="M706" i="9"/>
  <c r="L706" i="9"/>
  <c r="K706" i="9"/>
  <c r="J706" i="9"/>
  <c r="I706" i="9"/>
  <c r="H706" i="9"/>
  <c r="G706" i="9"/>
  <c r="F706" i="9"/>
  <c r="E706" i="9"/>
  <c r="D706" i="9"/>
  <c r="C706" i="9"/>
  <c r="B706" i="9"/>
  <c r="AJ705" i="9"/>
  <c r="AI705" i="9"/>
  <c r="AH705" i="9"/>
  <c r="AG705" i="9"/>
  <c r="AF705" i="9"/>
  <c r="AE705" i="9"/>
  <c r="AD705" i="9"/>
  <c r="AC705" i="9"/>
  <c r="AB705" i="9"/>
  <c r="AA705" i="9"/>
  <c r="Z705" i="9"/>
  <c r="Y705" i="9"/>
  <c r="X705" i="9"/>
  <c r="W705" i="9"/>
  <c r="V705" i="9"/>
  <c r="U705" i="9"/>
  <c r="T705" i="9"/>
  <c r="S705" i="9"/>
  <c r="R705" i="9"/>
  <c r="Q705" i="9"/>
  <c r="P705" i="9"/>
  <c r="O705" i="9"/>
  <c r="M705" i="9"/>
  <c r="L705" i="9"/>
  <c r="K705" i="9"/>
  <c r="J705" i="9"/>
  <c r="I705" i="9"/>
  <c r="H705" i="9"/>
  <c r="G705" i="9"/>
  <c r="F705" i="9"/>
  <c r="E705" i="9"/>
  <c r="D705" i="9"/>
  <c r="C705" i="9"/>
  <c r="B705" i="9"/>
  <c r="AJ704" i="9"/>
  <c r="AI704" i="9"/>
  <c r="AH704" i="9"/>
  <c r="AG704" i="9"/>
  <c r="AF704" i="9"/>
  <c r="AE704" i="9"/>
  <c r="AD704" i="9"/>
  <c r="AC704" i="9"/>
  <c r="AB704" i="9"/>
  <c r="AA704" i="9"/>
  <c r="Z704" i="9"/>
  <c r="Y704" i="9"/>
  <c r="X704" i="9"/>
  <c r="W704" i="9"/>
  <c r="V704" i="9"/>
  <c r="U704" i="9"/>
  <c r="T704" i="9"/>
  <c r="S704" i="9"/>
  <c r="R704" i="9"/>
  <c r="Q704" i="9"/>
  <c r="P704" i="9"/>
  <c r="O704" i="9"/>
  <c r="M704" i="9"/>
  <c r="L704" i="9"/>
  <c r="K704" i="9"/>
  <c r="J704" i="9"/>
  <c r="I704" i="9"/>
  <c r="H704" i="9"/>
  <c r="G704" i="9"/>
  <c r="F704" i="9"/>
  <c r="E704" i="9"/>
  <c r="D704" i="9"/>
  <c r="C704" i="9"/>
  <c r="B704" i="9"/>
  <c r="AJ703" i="9"/>
  <c r="AI703" i="9"/>
  <c r="AH703" i="9"/>
  <c r="AG703" i="9"/>
  <c r="AF703" i="9"/>
  <c r="AE703" i="9"/>
  <c r="AD703" i="9"/>
  <c r="AC703" i="9"/>
  <c r="AB703" i="9"/>
  <c r="AA703" i="9"/>
  <c r="Z703" i="9"/>
  <c r="Y703" i="9"/>
  <c r="X703" i="9"/>
  <c r="W703" i="9"/>
  <c r="V703" i="9"/>
  <c r="U703" i="9"/>
  <c r="T703" i="9"/>
  <c r="S703" i="9"/>
  <c r="R703" i="9"/>
  <c r="Q703" i="9"/>
  <c r="P703" i="9"/>
  <c r="O703" i="9"/>
  <c r="M703" i="9"/>
  <c r="L703" i="9"/>
  <c r="K703" i="9"/>
  <c r="J703" i="9"/>
  <c r="I703" i="9"/>
  <c r="H703" i="9"/>
  <c r="G703" i="9"/>
  <c r="F703" i="9"/>
  <c r="E703" i="9"/>
  <c r="D703" i="9"/>
  <c r="C703" i="9"/>
  <c r="B703" i="9"/>
  <c r="AJ702" i="9"/>
  <c r="AI702" i="9"/>
  <c r="AH702" i="9"/>
  <c r="AG702" i="9"/>
  <c r="AF702" i="9"/>
  <c r="AE702" i="9"/>
  <c r="AD702" i="9"/>
  <c r="AC702" i="9"/>
  <c r="AB702" i="9"/>
  <c r="AA702" i="9"/>
  <c r="Z702" i="9"/>
  <c r="Y702" i="9"/>
  <c r="X702" i="9"/>
  <c r="W702" i="9"/>
  <c r="V702" i="9"/>
  <c r="U702" i="9"/>
  <c r="T702" i="9"/>
  <c r="S702" i="9"/>
  <c r="R702" i="9"/>
  <c r="Q702" i="9"/>
  <c r="P702" i="9"/>
  <c r="O702" i="9"/>
  <c r="M702" i="9"/>
  <c r="L702" i="9"/>
  <c r="K702" i="9"/>
  <c r="J702" i="9"/>
  <c r="I702" i="9"/>
  <c r="H702" i="9"/>
  <c r="G702" i="9"/>
  <c r="F702" i="9"/>
  <c r="E702" i="9"/>
  <c r="D702" i="9"/>
  <c r="C702" i="9"/>
  <c r="B702" i="9"/>
  <c r="AJ701" i="9"/>
  <c r="AI701" i="9"/>
  <c r="AH701" i="9"/>
  <c r="AG701" i="9"/>
  <c r="AF701" i="9"/>
  <c r="AE701" i="9"/>
  <c r="AD701" i="9"/>
  <c r="AC701" i="9"/>
  <c r="AB701" i="9"/>
  <c r="AA701" i="9"/>
  <c r="Z701" i="9"/>
  <c r="Y701" i="9"/>
  <c r="X701" i="9"/>
  <c r="W701" i="9"/>
  <c r="V701" i="9"/>
  <c r="U701" i="9"/>
  <c r="T701" i="9"/>
  <c r="S701" i="9"/>
  <c r="R701" i="9"/>
  <c r="Q701" i="9"/>
  <c r="P701" i="9"/>
  <c r="O701" i="9"/>
  <c r="M701" i="9"/>
  <c r="L701" i="9"/>
  <c r="K701" i="9"/>
  <c r="J701" i="9"/>
  <c r="I701" i="9"/>
  <c r="H701" i="9"/>
  <c r="G701" i="9"/>
  <c r="F701" i="9"/>
  <c r="E701" i="9"/>
  <c r="D701" i="9"/>
  <c r="C701" i="9"/>
  <c r="B701" i="9"/>
  <c r="AJ700" i="9"/>
  <c r="AI700" i="9"/>
  <c r="AH700" i="9"/>
  <c r="AG700" i="9"/>
  <c r="AF700" i="9"/>
  <c r="AE700" i="9"/>
  <c r="AD700" i="9"/>
  <c r="AC700" i="9"/>
  <c r="AB700" i="9"/>
  <c r="AA700" i="9"/>
  <c r="Z700" i="9"/>
  <c r="Y700" i="9"/>
  <c r="X700" i="9"/>
  <c r="W700" i="9"/>
  <c r="V700" i="9"/>
  <c r="U700" i="9"/>
  <c r="T700" i="9"/>
  <c r="S700" i="9"/>
  <c r="R700" i="9"/>
  <c r="Q700" i="9"/>
  <c r="P700" i="9"/>
  <c r="O700" i="9"/>
  <c r="M700" i="9"/>
  <c r="L700" i="9"/>
  <c r="K700" i="9"/>
  <c r="J700" i="9"/>
  <c r="I700" i="9"/>
  <c r="H700" i="9"/>
  <c r="G700" i="9"/>
  <c r="F700" i="9"/>
  <c r="E700" i="9"/>
  <c r="D700" i="9"/>
  <c r="C700" i="9"/>
  <c r="B700" i="9"/>
  <c r="AJ699" i="9"/>
  <c r="AI699" i="9"/>
  <c r="AH699" i="9"/>
  <c r="AG699" i="9"/>
  <c r="AF699" i="9"/>
  <c r="AE699" i="9"/>
  <c r="AD699" i="9"/>
  <c r="AC699" i="9"/>
  <c r="AB699" i="9"/>
  <c r="AA699" i="9"/>
  <c r="Z699" i="9"/>
  <c r="Y699" i="9"/>
  <c r="X699" i="9"/>
  <c r="W699" i="9"/>
  <c r="V699" i="9"/>
  <c r="U699" i="9"/>
  <c r="T699" i="9"/>
  <c r="S699" i="9"/>
  <c r="R699" i="9"/>
  <c r="Q699" i="9"/>
  <c r="P699" i="9"/>
  <c r="O699" i="9"/>
  <c r="M699" i="9"/>
  <c r="L699" i="9"/>
  <c r="K699" i="9"/>
  <c r="J699" i="9"/>
  <c r="I699" i="9"/>
  <c r="H699" i="9"/>
  <c r="G699" i="9"/>
  <c r="F699" i="9"/>
  <c r="E699" i="9"/>
  <c r="D699" i="9"/>
  <c r="C699" i="9"/>
  <c r="B699" i="9"/>
  <c r="AJ698" i="9"/>
  <c r="AI698" i="9"/>
  <c r="AH698" i="9"/>
  <c r="AG698" i="9"/>
  <c r="AF698" i="9"/>
  <c r="AE698" i="9"/>
  <c r="AD698" i="9"/>
  <c r="AC698" i="9"/>
  <c r="AB698" i="9"/>
  <c r="AA698" i="9"/>
  <c r="Z698" i="9"/>
  <c r="Y698" i="9"/>
  <c r="X698" i="9"/>
  <c r="W698" i="9"/>
  <c r="V698" i="9"/>
  <c r="U698" i="9"/>
  <c r="T698" i="9"/>
  <c r="S698" i="9"/>
  <c r="R698" i="9"/>
  <c r="Q698" i="9"/>
  <c r="P698" i="9"/>
  <c r="O698" i="9"/>
  <c r="M698" i="9"/>
  <c r="L698" i="9"/>
  <c r="K698" i="9"/>
  <c r="J698" i="9"/>
  <c r="I698" i="9"/>
  <c r="H698" i="9"/>
  <c r="G698" i="9"/>
  <c r="F698" i="9"/>
  <c r="E698" i="9"/>
  <c r="D698" i="9"/>
  <c r="C698" i="9"/>
  <c r="B698" i="9"/>
  <c r="AJ697" i="9"/>
  <c r="AI697" i="9"/>
  <c r="AH697" i="9"/>
  <c r="AG697" i="9"/>
  <c r="AF697" i="9"/>
  <c r="AE697" i="9"/>
  <c r="AD697" i="9"/>
  <c r="AC697" i="9"/>
  <c r="AB697" i="9"/>
  <c r="AA697" i="9"/>
  <c r="Z697" i="9"/>
  <c r="Y697" i="9"/>
  <c r="X697" i="9"/>
  <c r="W697" i="9"/>
  <c r="V697" i="9"/>
  <c r="U697" i="9"/>
  <c r="T697" i="9"/>
  <c r="S697" i="9"/>
  <c r="R697" i="9"/>
  <c r="Q697" i="9"/>
  <c r="P697" i="9"/>
  <c r="O697" i="9"/>
  <c r="M697" i="9"/>
  <c r="L697" i="9"/>
  <c r="K697" i="9"/>
  <c r="J697" i="9"/>
  <c r="I697" i="9"/>
  <c r="H697" i="9"/>
  <c r="G697" i="9"/>
  <c r="F697" i="9"/>
  <c r="E697" i="9"/>
  <c r="D697" i="9"/>
  <c r="C697" i="9"/>
  <c r="B697" i="9"/>
  <c r="AJ696" i="9"/>
  <c r="AI696" i="9"/>
  <c r="AH696" i="9"/>
  <c r="AG696" i="9"/>
  <c r="AF696" i="9"/>
  <c r="AE696" i="9"/>
  <c r="AD696" i="9"/>
  <c r="AC696" i="9"/>
  <c r="AB696" i="9"/>
  <c r="AA696" i="9"/>
  <c r="Z696" i="9"/>
  <c r="Y696" i="9"/>
  <c r="X696" i="9"/>
  <c r="W696" i="9"/>
  <c r="V696" i="9"/>
  <c r="U696" i="9"/>
  <c r="T696" i="9"/>
  <c r="S696" i="9"/>
  <c r="R696" i="9"/>
  <c r="Q696" i="9"/>
  <c r="P696" i="9"/>
  <c r="O696" i="9"/>
  <c r="M696" i="9"/>
  <c r="L696" i="9"/>
  <c r="K696" i="9"/>
  <c r="J696" i="9"/>
  <c r="I696" i="9"/>
  <c r="H696" i="9"/>
  <c r="G696" i="9"/>
  <c r="F696" i="9"/>
  <c r="E696" i="9"/>
  <c r="D696" i="9"/>
  <c r="C696" i="9"/>
  <c r="B696" i="9"/>
  <c r="AJ695" i="9"/>
  <c r="AI695" i="9"/>
  <c r="AH695" i="9"/>
  <c r="AG695" i="9"/>
  <c r="AF695" i="9"/>
  <c r="AE695" i="9"/>
  <c r="AD695" i="9"/>
  <c r="AC695" i="9"/>
  <c r="AB695" i="9"/>
  <c r="AA695" i="9"/>
  <c r="Z695" i="9"/>
  <c r="Y695" i="9"/>
  <c r="X695" i="9"/>
  <c r="W695" i="9"/>
  <c r="V695" i="9"/>
  <c r="U695" i="9"/>
  <c r="T695" i="9"/>
  <c r="S695" i="9"/>
  <c r="R695" i="9"/>
  <c r="Q695" i="9"/>
  <c r="P695" i="9"/>
  <c r="O695" i="9"/>
  <c r="M695" i="9"/>
  <c r="L695" i="9"/>
  <c r="K695" i="9"/>
  <c r="J695" i="9"/>
  <c r="I695" i="9"/>
  <c r="H695" i="9"/>
  <c r="G695" i="9"/>
  <c r="F695" i="9"/>
  <c r="E695" i="9"/>
  <c r="D695" i="9"/>
  <c r="C695" i="9"/>
  <c r="B695" i="9"/>
  <c r="AJ694" i="9"/>
  <c r="AI694" i="9"/>
  <c r="AH694" i="9"/>
  <c r="AG694" i="9"/>
  <c r="AF694" i="9"/>
  <c r="AE694" i="9"/>
  <c r="AD694" i="9"/>
  <c r="AC694" i="9"/>
  <c r="AB694" i="9"/>
  <c r="AA694" i="9"/>
  <c r="Z694" i="9"/>
  <c r="Y694" i="9"/>
  <c r="X694" i="9"/>
  <c r="W694" i="9"/>
  <c r="V694" i="9"/>
  <c r="U694" i="9"/>
  <c r="T694" i="9"/>
  <c r="S694" i="9"/>
  <c r="R694" i="9"/>
  <c r="Q694" i="9"/>
  <c r="P694" i="9"/>
  <c r="O694" i="9"/>
  <c r="M694" i="9"/>
  <c r="L694" i="9"/>
  <c r="K694" i="9"/>
  <c r="J694" i="9"/>
  <c r="I694" i="9"/>
  <c r="H694" i="9"/>
  <c r="G694" i="9"/>
  <c r="F694" i="9"/>
  <c r="E694" i="9"/>
  <c r="D694" i="9"/>
  <c r="C694" i="9"/>
  <c r="B694" i="9"/>
  <c r="AJ693" i="9"/>
  <c r="AI693" i="9"/>
  <c r="AH693" i="9"/>
  <c r="AG693" i="9"/>
  <c r="AF693" i="9"/>
  <c r="AE693" i="9"/>
  <c r="AD693" i="9"/>
  <c r="AC693" i="9"/>
  <c r="AB693" i="9"/>
  <c r="AA693" i="9"/>
  <c r="Z693" i="9"/>
  <c r="Y693" i="9"/>
  <c r="X693" i="9"/>
  <c r="W693" i="9"/>
  <c r="V693" i="9"/>
  <c r="U693" i="9"/>
  <c r="T693" i="9"/>
  <c r="S693" i="9"/>
  <c r="R693" i="9"/>
  <c r="Q693" i="9"/>
  <c r="P693" i="9"/>
  <c r="O693" i="9"/>
  <c r="M693" i="9"/>
  <c r="L693" i="9"/>
  <c r="K693" i="9"/>
  <c r="J693" i="9"/>
  <c r="I693" i="9"/>
  <c r="H693" i="9"/>
  <c r="G693" i="9"/>
  <c r="F693" i="9"/>
  <c r="E693" i="9"/>
  <c r="D693" i="9"/>
  <c r="C693" i="9"/>
  <c r="B693" i="9"/>
  <c r="AJ692" i="9"/>
  <c r="AI692" i="9"/>
  <c r="AH692" i="9"/>
  <c r="AG692" i="9"/>
  <c r="AF692" i="9"/>
  <c r="AE692" i="9"/>
  <c r="AD692" i="9"/>
  <c r="AC692" i="9"/>
  <c r="AB692" i="9"/>
  <c r="AA692" i="9"/>
  <c r="Z692" i="9"/>
  <c r="Y692" i="9"/>
  <c r="X692" i="9"/>
  <c r="W692" i="9"/>
  <c r="V692" i="9"/>
  <c r="U692" i="9"/>
  <c r="T692" i="9"/>
  <c r="S692" i="9"/>
  <c r="R692" i="9"/>
  <c r="Q692" i="9"/>
  <c r="P692" i="9"/>
  <c r="O692" i="9"/>
  <c r="M692" i="9"/>
  <c r="L692" i="9"/>
  <c r="K692" i="9"/>
  <c r="J692" i="9"/>
  <c r="I692" i="9"/>
  <c r="H692" i="9"/>
  <c r="G692" i="9"/>
  <c r="F692" i="9"/>
  <c r="E692" i="9"/>
  <c r="D692" i="9"/>
  <c r="C692" i="9"/>
  <c r="B692" i="9"/>
  <c r="AJ691" i="9"/>
  <c r="AI691" i="9"/>
  <c r="AH691" i="9"/>
  <c r="AG691" i="9"/>
  <c r="AF691" i="9"/>
  <c r="AE691" i="9"/>
  <c r="AD691" i="9"/>
  <c r="AC691" i="9"/>
  <c r="AB691" i="9"/>
  <c r="AA691" i="9"/>
  <c r="Z691" i="9"/>
  <c r="Y691" i="9"/>
  <c r="X691" i="9"/>
  <c r="W691" i="9"/>
  <c r="V691" i="9"/>
  <c r="U691" i="9"/>
  <c r="T691" i="9"/>
  <c r="S691" i="9"/>
  <c r="R691" i="9"/>
  <c r="Q691" i="9"/>
  <c r="P691" i="9"/>
  <c r="O691" i="9"/>
  <c r="M691" i="9"/>
  <c r="L691" i="9"/>
  <c r="K691" i="9"/>
  <c r="J691" i="9"/>
  <c r="I691" i="9"/>
  <c r="H691" i="9"/>
  <c r="G691" i="9"/>
  <c r="F691" i="9"/>
  <c r="E691" i="9"/>
  <c r="D691" i="9"/>
  <c r="C691" i="9"/>
  <c r="B691" i="9"/>
  <c r="AJ690" i="9"/>
  <c r="AI690" i="9"/>
  <c r="AH690" i="9"/>
  <c r="AG690" i="9"/>
  <c r="AF690" i="9"/>
  <c r="AE690" i="9"/>
  <c r="AD690" i="9"/>
  <c r="AC690" i="9"/>
  <c r="AB690" i="9"/>
  <c r="AA690" i="9"/>
  <c r="Z690" i="9"/>
  <c r="Y690" i="9"/>
  <c r="X690" i="9"/>
  <c r="W690" i="9"/>
  <c r="V690" i="9"/>
  <c r="U690" i="9"/>
  <c r="T690" i="9"/>
  <c r="S690" i="9"/>
  <c r="R690" i="9"/>
  <c r="Q690" i="9"/>
  <c r="P690" i="9"/>
  <c r="O690" i="9"/>
  <c r="M690" i="9"/>
  <c r="L690" i="9"/>
  <c r="K690" i="9"/>
  <c r="J690" i="9"/>
  <c r="I690" i="9"/>
  <c r="H690" i="9"/>
  <c r="G690" i="9"/>
  <c r="F690" i="9"/>
  <c r="E690" i="9"/>
  <c r="D690" i="9"/>
  <c r="C690" i="9"/>
  <c r="B690" i="9"/>
  <c r="AJ689" i="9"/>
  <c r="AI689" i="9"/>
  <c r="AH689" i="9"/>
  <c r="AG689" i="9"/>
  <c r="AF689" i="9"/>
  <c r="AE689" i="9"/>
  <c r="AD689" i="9"/>
  <c r="AC689" i="9"/>
  <c r="AB689" i="9"/>
  <c r="AA689" i="9"/>
  <c r="Z689" i="9"/>
  <c r="Y689" i="9"/>
  <c r="X689" i="9"/>
  <c r="W689" i="9"/>
  <c r="V689" i="9"/>
  <c r="U689" i="9"/>
  <c r="T689" i="9"/>
  <c r="S689" i="9"/>
  <c r="R689" i="9"/>
  <c r="Q689" i="9"/>
  <c r="P689" i="9"/>
  <c r="O689" i="9"/>
  <c r="M689" i="9"/>
  <c r="L689" i="9"/>
  <c r="K689" i="9"/>
  <c r="J689" i="9"/>
  <c r="I689" i="9"/>
  <c r="H689" i="9"/>
  <c r="G689" i="9"/>
  <c r="F689" i="9"/>
  <c r="E689" i="9"/>
  <c r="D689" i="9"/>
  <c r="C689" i="9"/>
  <c r="B689" i="9"/>
  <c r="AJ688" i="9"/>
  <c r="AI688" i="9"/>
  <c r="AH688" i="9"/>
  <c r="AG688" i="9"/>
  <c r="AF688" i="9"/>
  <c r="AE688" i="9"/>
  <c r="AD688" i="9"/>
  <c r="AC688" i="9"/>
  <c r="AB688" i="9"/>
  <c r="AA688" i="9"/>
  <c r="Z688" i="9"/>
  <c r="Y688" i="9"/>
  <c r="X688" i="9"/>
  <c r="W688" i="9"/>
  <c r="V688" i="9"/>
  <c r="U688" i="9"/>
  <c r="T688" i="9"/>
  <c r="S688" i="9"/>
  <c r="R688" i="9"/>
  <c r="Q688" i="9"/>
  <c r="P688" i="9"/>
  <c r="O688" i="9"/>
  <c r="M688" i="9"/>
  <c r="L688" i="9"/>
  <c r="K688" i="9"/>
  <c r="J688" i="9"/>
  <c r="I688" i="9"/>
  <c r="H688" i="9"/>
  <c r="G688" i="9"/>
  <c r="F688" i="9"/>
  <c r="E688" i="9"/>
  <c r="D688" i="9"/>
  <c r="C688" i="9"/>
  <c r="B688" i="9"/>
  <c r="AJ687" i="9"/>
  <c r="AI687" i="9"/>
  <c r="AH687" i="9"/>
  <c r="AG687" i="9"/>
  <c r="AF687" i="9"/>
  <c r="AE687" i="9"/>
  <c r="AD687" i="9"/>
  <c r="AC687" i="9"/>
  <c r="AB687" i="9"/>
  <c r="AA687" i="9"/>
  <c r="Z687" i="9"/>
  <c r="Y687" i="9"/>
  <c r="X687" i="9"/>
  <c r="W687" i="9"/>
  <c r="V687" i="9"/>
  <c r="U687" i="9"/>
  <c r="T687" i="9"/>
  <c r="S687" i="9"/>
  <c r="R687" i="9"/>
  <c r="Q687" i="9"/>
  <c r="P687" i="9"/>
  <c r="O687" i="9"/>
  <c r="M687" i="9"/>
  <c r="L687" i="9"/>
  <c r="K687" i="9"/>
  <c r="J687" i="9"/>
  <c r="I687" i="9"/>
  <c r="H687" i="9"/>
  <c r="G687" i="9"/>
  <c r="F687" i="9"/>
  <c r="E687" i="9"/>
  <c r="D687" i="9"/>
  <c r="C687" i="9"/>
  <c r="B687" i="9"/>
  <c r="AJ686" i="9"/>
  <c r="AI686" i="9"/>
  <c r="AH686" i="9"/>
  <c r="AG686" i="9"/>
  <c r="AF686" i="9"/>
  <c r="AE686" i="9"/>
  <c r="AD686" i="9"/>
  <c r="AC686" i="9"/>
  <c r="AB686" i="9"/>
  <c r="AA686" i="9"/>
  <c r="Z686" i="9"/>
  <c r="Y686" i="9"/>
  <c r="X686" i="9"/>
  <c r="W686" i="9"/>
  <c r="V686" i="9"/>
  <c r="U686" i="9"/>
  <c r="T686" i="9"/>
  <c r="S686" i="9"/>
  <c r="R686" i="9"/>
  <c r="Q686" i="9"/>
  <c r="P686" i="9"/>
  <c r="O686" i="9"/>
  <c r="M686" i="9"/>
  <c r="L686" i="9"/>
  <c r="K686" i="9"/>
  <c r="J686" i="9"/>
  <c r="I686" i="9"/>
  <c r="H686" i="9"/>
  <c r="G686" i="9"/>
  <c r="F686" i="9"/>
  <c r="E686" i="9"/>
  <c r="D686" i="9"/>
  <c r="C686" i="9"/>
  <c r="B686" i="9"/>
  <c r="AJ685" i="9"/>
  <c r="AI685" i="9"/>
  <c r="AH685" i="9"/>
  <c r="AG685" i="9"/>
  <c r="AF685" i="9"/>
  <c r="AE685" i="9"/>
  <c r="AD685" i="9"/>
  <c r="AC685" i="9"/>
  <c r="AB685" i="9"/>
  <c r="AA685" i="9"/>
  <c r="Z685" i="9"/>
  <c r="Y685" i="9"/>
  <c r="X685" i="9"/>
  <c r="W685" i="9"/>
  <c r="V685" i="9"/>
  <c r="U685" i="9"/>
  <c r="T685" i="9"/>
  <c r="S685" i="9"/>
  <c r="R685" i="9"/>
  <c r="Q685" i="9"/>
  <c r="P685" i="9"/>
  <c r="O685" i="9"/>
  <c r="M685" i="9"/>
  <c r="L685" i="9"/>
  <c r="K685" i="9"/>
  <c r="J685" i="9"/>
  <c r="I685" i="9"/>
  <c r="H685" i="9"/>
  <c r="G685" i="9"/>
  <c r="F685" i="9"/>
  <c r="E685" i="9"/>
  <c r="D685" i="9"/>
  <c r="C685" i="9"/>
  <c r="B685" i="9"/>
  <c r="AJ684" i="9"/>
  <c r="AI684" i="9"/>
  <c r="AH684" i="9"/>
  <c r="AG684" i="9"/>
  <c r="AF684" i="9"/>
  <c r="AE684" i="9"/>
  <c r="AD684" i="9"/>
  <c r="AC684" i="9"/>
  <c r="AB684" i="9"/>
  <c r="AA684" i="9"/>
  <c r="Z684" i="9"/>
  <c r="Y684" i="9"/>
  <c r="X684" i="9"/>
  <c r="W684" i="9"/>
  <c r="V684" i="9"/>
  <c r="U684" i="9"/>
  <c r="T684" i="9"/>
  <c r="S684" i="9"/>
  <c r="R684" i="9"/>
  <c r="Q684" i="9"/>
  <c r="P684" i="9"/>
  <c r="O684" i="9"/>
  <c r="M684" i="9"/>
  <c r="L684" i="9"/>
  <c r="K684" i="9"/>
  <c r="J684" i="9"/>
  <c r="I684" i="9"/>
  <c r="H684" i="9"/>
  <c r="G684" i="9"/>
  <c r="F684" i="9"/>
  <c r="E684" i="9"/>
  <c r="D684" i="9"/>
  <c r="C684" i="9"/>
  <c r="B684" i="9"/>
  <c r="AJ683" i="9"/>
  <c r="AI683" i="9"/>
  <c r="AH683" i="9"/>
  <c r="AG683" i="9"/>
  <c r="AF683" i="9"/>
  <c r="AE683" i="9"/>
  <c r="AD683" i="9"/>
  <c r="AC683" i="9"/>
  <c r="AB683" i="9"/>
  <c r="AA683" i="9"/>
  <c r="Z683" i="9"/>
  <c r="Y683" i="9"/>
  <c r="X683" i="9"/>
  <c r="W683" i="9"/>
  <c r="V683" i="9"/>
  <c r="U683" i="9"/>
  <c r="T683" i="9"/>
  <c r="S683" i="9"/>
  <c r="R683" i="9"/>
  <c r="Q683" i="9"/>
  <c r="P683" i="9"/>
  <c r="O683" i="9"/>
  <c r="M683" i="9"/>
  <c r="L683" i="9"/>
  <c r="K683" i="9"/>
  <c r="J683" i="9"/>
  <c r="I683" i="9"/>
  <c r="H683" i="9"/>
  <c r="G683" i="9"/>
  <c r="F683" i="9"/>
  <c r="E683" i="9"/>
  <c r="D683" i="9"/>
  <c r="C683" i="9"/>
  <c r="B683" i="9"/>
  <c r="AJ682" i="9"/>
  <c r="AI682" i="9"/>
  <c r="AH682" i="9"/>
  <c r="AG682" i="9"/>
  <c r="AF682" i="9"/>
  <c r="AE682" i="9"/>
  <c r="AD682" i="9"/>
  <c r="AC682" i="9"/>
  <c r="AB682" i="9"/>
  <c r="AA682" i="9"/>
  <c r="Z682" i="9"/>
  <c r="Y682" i="9"/>
  <c r="X682" i="9"/>
  <c r="W682" i="9"/>
  <c r="V682" i="9"/>
  <c r="U682" i="9"/>
  <c r="T682" i="9"/>
  <c r="S682" i="9"/>
  <c r="R682" i="9"/>
  <c r="Q682" i="9"/>
  <c r="P682" i="9"/>
  <c r="O682" i="9"/>
  <c r="M682" i="9"/>
  <c r="L682" i="9"/>
  <c r="K682" i="9"/>
  <c r="J682" i="9"/>
  <c r="I682" i="9"/>
  <c r="H682" i="9"/>
  <c r="G682" i="9"/>
  <c r="F682" i="9"/>
  <c r="E682" i="9"/>
  <c r="D682" i="9"/>
  <c r="C682" i="9"/>
  <c r="B682" i="9"/>
  <c r="AJ681" i="9"/>
  <c r="AI681" i="9"/>
  <c r="AH681" i="9"/>
  <c r="AG681" i="9"/>
  <c r="AF681" i="9"/>
  <c r="AE681" i="9"/>
  <c r="AD681" i="9"/>
  <c r="AC681" i="9"/>
  <c r="AB681" i="9"/>
  <c r="AA681" i="9"/>
  <c r="Z681" i="9"/>
  <c r="Y681" i="9"/>
  <c r="X681" i="9"/>
  <c r="W681" i="9"/>
  <c r="V681" i="9"/>
  <c r="U681" i="9"/>
  <c r="T681" i="9"/>
  <c r="S681" i="9"/>
  <c r="R681" i="9"/>
  <c r="Q681" i="9"/>
  <c r="P681" i="9"/>
  <c r="O681" i="9"/>
  <c r="M681" i="9"/>
  <c r="L681" i="9"/>
  <c r="K681" i="9"/>
  <c r="J681" i="9"/>
  <c r="I681" i="9"/>
  <c r="H681" i="9"/>
  <c r="G681" i="9"/>
  <c r="F681" i="9"/>
  <c r="E681" i="9"/>
  <c r="D681" i="9"/>
  <c r="C681" i="9"/>
  <c r="B681" i="9"/>
  <c r="AJ680" i="9"/>
  <c r="AI680" i="9"/>
  <c r="AH680" i="9"/>
  <c r="AG680" i="9"/>
  <c r="AF680" i="9"/>
  <c r="AE680" i="9"/>
  <c r="AD680" i="9"/>
  <c r="AC680" i="9"/>
  <c r="AB680" i="9"/>
  <c r="AA680" i="9"/>
  <c r="Z680" i="9"/>
  <c r="Y680" i="9"/>
  <c r="X680" i="9"/>
  <c r="W680" i="9"/>
  <c r="V680" i="9"/>
  <c r="U680" i="9"/>
  <c r="T680" i="9"/>
  <c r="S680" i="9"/>
  <c r="R680" i="9"/>
  <c r="Q680" i="9"/>
  <c r="P680" i="9"/>
  <c r="O680" i="9"/>
  <c r="M680" i="9"/>
  <c r="L680" i="9"/>
  <c r="K680" i="9"/>
  <c r="J680" i="9"/>
  <c r="I680" i="9"/>
  <c r="H680" i="9"/>
  <c r="G680" i="9"/>
  <c r="F680" i="9"/>
  <c r="E680" i="9"/>
  <c r="D680" i="9"/>
  <c r="C680" i="9"/>
  <c r="B680" i="9"/>
  <c r="AJ679" i="9"/>
  <c r="AI679" i="9"/>
  <c r="AH679" i="9"/>
  <c r="AG679" i="9"/>
  <c r="AF679" i="9"/>
  <c r="AE679" i="9"/>
  <c r="AD679" i="9"/>
  <c r="AC679" i="9"/>
  <c r="AB679" i="9"/>
  <c r="AA679" i="9"/>
  <c r="Z679" i="9"/>
  <c r="Y679" i="9"/>
  <c r="X679" i="9"/>
  <c r="W679" i="9"/>
  <c r="V679" i="9"/>
  <c r="U679" i="9"/>
  <c r="T679" i="9"/>
  <c r="S679" i="9"/>
  <c r="R679" i="9"/>
  <c r="Q679" i="9"/>
  <c r="P679" i="9"/>
  <c r="O679" i="9"/>
  <c r="M679" i="9"/>
  <c r="L679" i="9"/>
  <c r="K679" i="9"/>
  <c r="J679" i="9"/>
  <c r="I679" i="9"/>
  <c r="H679" i="9"/>
  <c r="G679" i="9"/>
  <c r="F679" i="9"/>
  <c r="E679" i="9"/>
  <c r="D679" i="9"/>
  <c r="C679" i="9"/>
  <c r="B679" i="9"/>
  <c r="AJ678" i="9"/>
  <c r="AI678" i="9"/>
  <c r="AH678" i="9"/>
  <c r="AG678" i="9"/>
  <c r="AF678" i="9"/>
  <c r="AE678" i="9"/>
  <c r="AD678" i="9"/>
  <c r="AC678" i="9"/>
  <c r="AB678" i="9"/>
  <c r="AA678" i="9"/>
  <c r="Z678" i="9"/>
  <c r="Y678" i="9"/>
  <c r="X678" i="9"/>
  <c r="W678" i="9"/>
  <c r="V678" i="9"/>
  <c r="U678" i="9"/>
  <c r="T678" i="9"/>
  <c r="S678" i="9"/>
  <c r="R678" i="9"/>
  <c r="Q678" i="9"/>
  <c r="P678" i="9"/>
  <c r="O678" i="9"/>
  <c r="M678" i="9"/>
  <c r="L678" i="9"/>
  <c r="K678" i="9"/>
  <c r="J678" i="9"/>
  <c r="I678" i="9"/>
  <c r="H678" i="9"/>
  <c r="G678" i="9"/>
  <c r="F678" i="9"/>
  <c r="E678" i="9"/>
  <c r="D678" i="9"/>
  <c r="C678" i="9"/>
  <c r="B678" i="9"/>
  <c r="AJ677" i="9"/>
  <c r="AI677" i="9"/>
  <c r="AH677" i="9"/>
  <c r="AG677" i="9"/>
  <c r="AF677" i="9"/>
  <c r="AE677" i="9"/>
  <c r="AD677" i="9"/>
  <c r="AC677" i="9"/>
  <c r="AB677" i="9"/>
  <c r="AA677" i="9"/>
  <c r="Z677" i="9"/>
  <c r="Y677" i="9"/>
  <c r="X677" i="9"/>
  <c r="W677" i="9"/>
  <c r="V677" i="9"/>
  <c r="U677" i="9"/>
  <c r="T677" i="9"/>
  <c r="S677" i="9"/>
  <c r="R677" i="9"/>
  <c r="Q677" i="9"/>
  <c r="P677" i="9"/>
  <c r="O677" i="9"/>
  <c r="M677" i="9"/>
  <c r="L677" i="9"/>
  <c r="K677" i="9"/>
  <c r="J677" i="9"/>
  <c r="I677" i="9"/>
  <c r="H677" i="9"/>
  <c r="G677" i="9"/>
  <c r="F677" i="9"/>
  <c r="E677" i="9"/>
  <c r="D677" i="9"/>
  <c r="C677" i="9"/>
  <c r="B677" i="9"/>
  <c r="AJ676" i="9"/>
  <c r="AI676" i="9"/>
  <c r="AH676" i="9"/>
  <c r="AG676" i="9"/>
  <c r="AF676" i="9"/>
  <c r="AE676" i="9"/>
  <c r="AD676" i="9"/>
  <c r="AC676" i="9"/>
  <c r="AB676" i="9"/>
  <c r="AA676" i="9"/>
  <c r="Z676" i="9"/>
  <c r="Y676" i="9"/>
  <c r="X676" i="9"/>
  <c r="W676" i="9"/>
  <c r="V676" i="9"/>
  <c r="U676" i="9"/>
  <c r="T676" i="9"/>
  <c r="S676" i="9"/>
  <c r="R676" i="9"/>
  <c r="Q676" i="9"/>
  <c r="P676" i="9"/>
  <c r="O676" i="9"/>
  <c r="M676" i="9"/>
  <c r="L676" i="9"/>
  <c r="K676" i="9"/>
  <c r="J676" i="9"/>
  <c r="I676" i="9"/>
  <c r="H676" i="9"/>
  <c r="G676" i="9"/>
  <c r="F676" i="9"/>
  <c r="E676" i="9"/>
  <c r="D676" i="9"/>
  <c r="C676" i="9"/>
  <c r="B676" i="9"/>
  <c r="AJ675" i="9"/>
  <c r="AI675" i="9"/>
  <c r="AH675" i="9"/>
  <c r="AG675" i="9"/>
  <c r="AF675" i="9"/>
  <c r="AE675" i="9"/>
  <c r="AD675" i="9"/>
  <c r="AC675" i="9"/>
  <c r="AB675" i="9"/>
  <c r="AA675" i="9"/>
  <c r="Z675" i="9"/>
  <c r="Y675" i="9"/>
  <c r="X675" i="9"/>
  <c r="W675" i="9"/>
  <c r="V675" i="9"/>
  <c r="U675" i="9"/>
  <c r="T675" i="9"/>
  <c r="S675" i="9"/>
  <c r="R675" i="9"/>
  <c r="Q675" i="9"/>
  <c r="P675" i="9"/>
  <c r="O675" i="9"/>
  <c r="M675" i="9"/>
  <c r="L675" i="9"/>
  <c r="K675" i="9"/>
  <c r="J675" i="9"/>
  <c r="I675" i="9"/>
  <c r="H675" i="9"/>
  <c r="G675" i="9"/>
  <c r="F675" i="9"/>
  <c r="E675" i="9"/>
  <c r="D675" i="9"/>
  <c r="C675" i="9"/>
  <c r="B675" i="9"/>
  <c r="AJ674" i="9"/>
  <c r="AI674" i="9"/>
  <c r="AH674" i="9"/>
  <c r="AG674" i="9"/>
  <c r="AF674" i="9"/>
  <c r="AE674" i="9"/>
  <c r="AD674" i="9"/>
  <c r="AC674" i="9"/>
  <c r="AB674" i="9"/>
  <c r="AA674" i="9"/>
  <c r="Z674" i="9"/>
  <c r="Y674" i="9"/>
  <c r="X674" i="9"/>
  <c r="W674" i="9"/>
  <c r="V674" i="9"/>
  <c r="U674" i="9"/>
  <c r="T674" i="9"/>
  <c r="S674" i="9"/>
  <c r="R674" i="9"/>
  <c r="Q674" i="9"/>
  <c r="P674" i="9"/>
  <c r="O674" i="9"/>
  <c r="M674" i="9"/>
  <c r="L674" i="9"/>
  <c r="K674" i="9"/>
  <c r="J674" i="9"/>
  <c r="I674" i="9"/>
  <c r="H674" i="9"/>
  <c r="G674" i="9"/>
  <c r="F674" i="9"/>
  <c r="E674" i="9"/>
  <c r="D674" i="9"/>
  <c r="C674" i="9"/>
  <c r="B674" i="9"/>
  <c r="AJ673" i="9"/>
  <c r="AI673" i="9"/>
  <c r="AH673" i="9"/>
  <c r="AG673" i="9"/>
  <c r="AF673" i="9"/>
  <c r="AE673" i="9"/>
  <c r="AD673" i="9"/>
  <c r="AC673" i="9"/>
  <c r="AB673" i="9"/>
  <c r="AA673" i="9"/>
  <c r="Z673" i="9"/>
  <c r="Y673" i="9"/>
  <c r="X673" i="9"/>
  <c r="W673" i="9"/>
  <c r="V673" i="9"/>
  <c r="U673" i="9"/>
  <c r="T673" i="9"/>
  <c r="S673" i="9"/>
  <c r="R673" i="9"/>
  <c r="Q673" i="9"/>
  <c r="P673" i="9"/>
  <c r="O673" i="9"/>
  <c r="M673" i="9"/>
  <c r="L673" i="9"/>
  <c r="K673" i="9"/>
  <c r="J673" i="9"/>
  <c r="I673" i="9"/>
  <c r="H673" i="9"/>
  <c r="G673" i="9"/>
  <c r="F673" i="9"/>
  <c r="E673" i="9"/>
  <c r="D673" i="9"/>
  <c r="C673" i="9"/>
  <c r="B673" i="9"/>
  <c r="AJ672" i="9"/>
  <c r="AI672" i="9"/>
  <c r="AH672" i="9"/>
  <c r="AG672" i="9"/>
  <c r="AF672" i="9"/>
  <c r="AE672" i="9"/>
  <c r="AD672" i="9"/>
  <c r="AC672" i="9"/>
  <c r="AB672" i="9"/>
  <c r="AA672" i="9"/>
  <c r="Z672" i="9"/>
  <c r="Y672" i="9"/>
  <c r="X672" i="9"/>
  <c r="W672" i="9"/>
  <c r="V672" i="9"/>
  <c r="U672" i="9"/>
  <c r="T672" i="9"/>
  <c r="S672" i="9"/>
  <c r="R672" i="9"/>
  <c r="Q672" i="9"/>
  <c r="P672" i="9"/>
  <c r="O672" i="9"/>
  <c r="M672" i="9"/>
  <c r="L672" i="9"/>
  <c r="K672" i="9"/>
  <c r="J672" i="9"/>
  <c r="I672" i="9"/>
  <c r="H672" i="9"/>
  <c r="G672" i="9"/>
  <c r="F672" i="9"/>
  <c r="E672" i="9"/>
  <c r="D672" i="9"/>
  <c r="C672" i="9"/>
  <c r="B672" i="9"/>
  <c r="AJ671" i="9"/>
  <c r="AI671" i="9"/>
  <c r="AH671" i="9"/>
  <c r="AG671" i="9"/>
  <c r="AF671" i="9"/>
  <c r="AE671" i="9"/>
  <c r="AD671" i="9"/>
  <c r="AC671" i="9"/>
  <c r="AB671" i="9"/>
  <c r="AA671" i="9"/>
  <c r="Z671" i="9"/>
  <c r="Y671" i="9"/>
  <c r="X671" i="9"/>
  <c r="W671" i="9"/>
  <c r="V671" i="9"/>
  <c r="U671" i="9"/>
  <c r="T671" i="9"/>
  <c r="S671" i="9"/>
  <c r="R671" i="9"/>
  <c r="Q671" i="9"/>
  <c r="P671" i="9"/>
  <c r="O671" i="9"/>
  <c r="M671" i="9"/>
  <c r="L671" i="9"/>
  <c r="K671" i="9"/>
  <c r="J671" i="9"/>
  <c r="I671" i="9"/>
  <c r="H671" i="9"/>
  <c r="G671" i="9"/>
  <c r="F671" i="9"/>
  <c r="E671" i="9"/>
  <c r="D671" i="9"/>
  <c r="C671" i="9"/>
  <c r="B671" i="9"/>
  <c r="AJ670" i="9"/>
  <c r="AI670" i="9"/>
  <c r="AH670" i="9"/>
  <c r="AG670" i="9"/>
  <c r="AF670" i="9"/>
  <c r="AE670" i="9"/>
  <c r="AD670" i="9"/>
  <c r="AC670" i="9"/>
  <c r="AB670" i="9"/>
  <c r="AA670" i="9"/>
  <c r="Z670" i="9"/>
  <c r="Y670" i="9"/>
  <c r="X670" i="9"/>
  <c r="W670" i="9"/>
  <c r="V670" i="9"/>
  <c r="U670" i="9"/>
  <c r="T670" i="9"/>
  <c r="S670" i="9"/>
  <c r="R670" i="9"/>
  <c r="Q670" i="9"/>
  <c r="P670" i="9"/>
  <c r="O670" i="9"/>
  <c r="M670" i="9"/>
  <c r="L670" i="9"/>
  <c r="K670" i="9"/>
  <c r="J670" i="9"/>
  <c r="I670" i="9"/>
  <c r="H670" i="9"/>
  <c r="G670" i="9"/>
  <c r="F670" i="9"/>
  <c r="E670" i="9"/>
  <c r="D670" i="9"/>
  <c r="C670" i="9"/>
  <c r="B670" i="9"/>
  <c r="AJ669" i="9"/>
  <c r="AI669" i="9"/>
  <c r="AH669" i="9"/>
  <c r="AG669" i="9"/>
  <c r="AF669" i="9"/>
  <c r="AE669" i="9"/>
  <c r="AD669" i="9"/>
  <c r="AC669" i="9"/>
  <c r="AB669" i="9"/>
  <c r="AA669" i="9"/>
  <c r="Z669" i="9"/>
  <c r="Y669" i="9"/>
  <c r="X669" i="9"/>
  <c r="W669" i="9"/>
  <c r="V669" i="9"/>
  <c r="U669" i="9"/>
  <c r="T669" i="9"/>
  <c r="S669" i="9"/>
  <c r="R669" i="9"/>
  <c r="Q669" i="9"/>
  <c r="P669" i="9"/>
  <c r="O669" i="9"/>
  <c r="M669" i="9"/>
  <c r="L669" i="9"/>
  <c r="K669" i="9"/>
  <c r="J669" i="9"/>
  <c r="I669" i="9"/>
  <c r="H669" i="9"/>
  <c r="G669" i="9"/>
  <c r="F669" i="9"/>
  <c r="E669" i="9"/>
  <c r="D669" i="9"/>
  <c r="C669" i="9"/>
  <c r="B669" i="9"/>
  <c r="AJ668" i="9"/>
  <c r="AI668" i="9"/>
  <c r="AH668" i="9"/>
  <c r="AG668" i="9"/>
  <c r="AF668" i="9"/>
  <c r="AE668" i="9"/>
  <c r="AD668" i="9"/>
  <c r="AC668" i="9"/>
  <c r="AB668" i="9"/>
  <c r="AA668" i="9"/>
  <c r="Z668" i="9"/>
  <c r="Y668" i="9"/>
  <c r="X668" i="9"/>
  <c r="W668" i="9"/>
  <c r="V668" i="9"/>
  <c r="U668" i="9"/>
  <c r="T668" i="9"/>
  <c r="S668" i="9"/>
  <c r="R668" i="9"/>
  <c r="Q668" i="9"/>
  <c r="P668" i="9"/>
  <c r="O668" i="9"/>
  <c r="M668" i="9"/>
  <c r="L668" i="9"/>
  <c r="K668" i="9"/>
  <c r="J668" i="9"/>
  <c r="I668" i="9"/>
  <c r="H668" i="9"/>
  <c r="G668" i="9"/>
  <c r="F668" i="9"/>
  <c r="E668" i="9"/>
  <c r="D668" i="9"/>
  <c r="C668" i="9"/>
  <c r="B668" i="9"/>
  <c r="AJ667" i="9"/>
  <c r="AI667" i="9"/>
  <c r="AH667" i="9"/>
  <c r="AG667" i="9"/>
  <c r="AF667" i="9"/>
  <c r="AE667" i="9"/>
  <c r="AD667" i="9"/>
  <c r="AC667" i="9"/>
  <c r="AB667" i="9"/>
  <c r="AA667" i="9"/>
  <c r="Z667" i="9"/>
  <c r="Y667" i="9"/>
  <c r="X667" i="9"/>
  <c r="W667" i="9"/>
  <c r="V667" i="9"/>
  <c r="U667" i="9"/>
  <c r="T667" i="9"/>
  <c r="S667" i="9"/>
  <c r="R667" i="9"/>
  <c r="Q667" i="9"/>
  <c r="P667" i="9"/>
  <c r="O667" i="9"/>
  <c r="M667" i="9"/>
  <c r="L667" i="9"/>
  <c r="K667" i="9"/>
  <c r="J667" i="9"/>
  <c r="I667" i="9"/>
  <c r="H667" i="9"/>
  <c r="G667" i="9"/>
  <c r="F667" i="9"/>
  <c r="E667" i="9"/>
  <c r="D667" i="9"/>
  <c r="C667" i="9"/>
  <c r="B667" i="9"/>
  <c r="AJ666" i="9"/>
  <c r="AI666" i="9"/>
  <c r="AH666" i="9"/>
  <c r="AG666" i="9"/>
  <c r="AF666" i="9"/>
  <c r="AE666" i="9"/>
  <c r="AD666" i="9"/>
  <c r="AC666" i="9"/>
  <c r="AB666" i="9"/>
  <c r="AA666" i="9"/>
  <c r="Z666" i="9"/>
  <c r="Y666" i="9"/>
  <c r="X666" i="9"/>
  <c r="W666" i="9"/>
  <c r="V666" i="9"/>
  <c r="U666" i="9"/>
  <c r="T666" i="9"/>
  <c r="S666" i="9"/>
  <c r="R666" i="9"/>
  <c r="Q666" i="9"/>
  <c r="P666" i="9"/>
  <c r="O666" i="9"/>
  <c r="M666" i="9"/>
  <c r="L666" i="9"/>
  <c r="K666" i="9"/>
  <c r="J666" i="9"/>
  <c r="I666" i="9"/>
  <c r="H666" i="9"/>
  <c r="G666" i="9"/>
  <c r="F666" i="9"/>
  <c r="E666" i="9"/>
  <c r="D666" i="9"/>
  <c r="C666" i="9"/>
  <c r="B666" i="9"/>
  <c r="AJ665" i="9"/>
  <c r="AI665" i="9"/>
  <c r="AH665" i="9"/>
  <c r="AG665" i="9"/>
  <c r="AF665" i="9"/>
  <c r="AE665" i="9"/>
  <c r="AD665" i="9"/>
  <c r="AC665" i="9"/>
  <c r="AB665" i="9"/>
  <c r="AA665" i="9"/>
  <c r="Z665" i="9"/>
  <c r="Y665" i="9"/>
  <c r="X665" i="9"/>
  <c r="W665" i="9"/>
  <c r="V665" i="9"/>
  <c r="U665" i="9"/>
  <c r="T665" i="9"/>
  <c r="S665" i="9"/>
  <c r="R665" i="9"/>
  <c r="Q665" i="9"/>
  <c r="P665" i="9"/>
  <c r="O665" i="9"/>
  <c r="M665" i="9"/>
  <c r="L665" i="9"/>
  <c r="K665" i="9"/>
  <c r="J665" i="9"/>
  <c r="I665" i="9"/>
  <c r="H665" i="9"/>
  <c r="G665" i="9"/>
  <c r="F665" i="9"/>
  <c r="E665" i="9"/>
  <c r="D665" i="9"/>
  <c r="C665" i="9"/>
  <c r="B665" i="9"/>
  <c r="AJ664" i="9"/>
  <c r="AI664" i="9"/>
  <c r="AH664" i="9"/>
  <c r="AG664" i="9"/>
  <c r="AF664" i="9"/>
  <c r="AE664" i="9"/>
  <c r="AD664" i="9"/>
  <c r="AC664" i="9"/>
  <c r="AB664" i="9"/>
  <c r="AA664" i="9"/>
  <c r="Z664" i="9"/>
  <c r="Y664" i="9"/>
  <c r="X664" i="9"/>
  <c r="W664" i="9"/>
  <c r="V664" i="9"/>
  <c r="U664" i="9"/>
  <c r="T664" i="9"/>
  <c r="S664" i="9"/>
  <c r="R664" i="9"/>
  <c r="Q664" i="9"/>
  <c r="P664" i="9"/>
  <c r="O664" i="9"/>
  <c r="M664" i="9"/>
  <c r="L664" i="9"/>
  <c r="K664" i="9"/>
  <c r="J664" i="9"/>
  <c r="I664" i="9"/>
  <c r="H664" i="9"/>
  <c r="G664" i="9"/>
  <c r="F664" i="9"/>
  <c r="E664" i="9"/>
  <c r="D664" i="9"/>
  <c r="C664" i="9"/>
  <c r="B664" i="9"/>
  <c r="AJ663" i="9"/>
  <c r="AI663" i="9"/>
  <c r="AH663" i="9"/>
  <c r="AG663" i="9"/>
  <c r="AF663" i="9"/>
  <c r="AE663" i="9"/>
  <c r="AD663" i="9"/>
  <c r="AC663" i="9"/>
  <c r="AB663" i="9"/>
  <c r="AA663" i="9"/>
  <c r="Z663" i="9"/>
  <c r="Y663" i="9"/>
  <c r="X663" i="9"/>
  <c r="W663" i="9"/>
  <c r="V663" i="9"/>
  <c r="U663" i="9"/>
  <c r="T663" i="9"/>
  <c r="S663" i="9"/>
  <c r="R663" i="9"/>
  <c r="Q663" i="9"/>
  <c r="P663" i="9"/>
  <c r="O663" i="9"/>
  <c r="M663" i="9"/>
  <c r="L663" i="9"/>
  <c r="K663" i="9"/>
  <c r="J663" i="9"/>
  <c r="I663" i="9"/>
  <c r="H663" i="9"/>
  <c r="G663" i="9"/>
  <c r="F663" i="9"/>
  <c r="E663" i="9"/>
  <c r="D663" i="9"/>
  <c r="C663" i="9"/>
  <c r="B663" i="9"/>
  <c r="AJ662" i="9"/>
  <c r="AI662" i="9"/>
  <c r="AH662" i="9"/>
  <c r="AG662" i="9"/>
  <c r="AF662" i="9"/>
  <c r="AE662" i="9"/>
  <c r="AD662" i="9"/>
  <c r="AC662" i="9"/>
  <c r="AB662" i="9"/>
  <c r="AA662" i="9"/>
  <c r="Z662" i="9"/>
  <c r="Y662" i="9"/>
  <c r="X662" i="9"/>
  <c r="W662" i="9"/>
  <c r="V662" i="9"/>
  <c r="U662" i="9"/>
  <c r="T662" i="9"/>
  <c r="S662" i="9"/>
  <c r="R662" i="9"/>
  <c r="Q662" i="9"/>
  <c r="P662" i="9"/>
  <c r="O662" i="9"/>
  <c r="M662" i="9"/>
  <c r="L662" i="9"/>
  <c r="K662" i="9"/>
  <c r="J662" i="9"/>
  <c r="I662" i="9"/>
  <c r="H662" i="9"/>
  <c r="G662" i="9"/>
  <c r="F662" i="9"/>
  <c r="E662" i="9"/>
  <c r="D662" i="9"/>
  <c r="C662" i="9"/>
  <c r="B662" i="9"/>
  <c r="AJ661" i="9"/>
  <c r="AI661" i="9"/>
  <c r="AH661" i="9"/>
  <c r="AG661" i="9"/>
  <c r="AF661" i="9"/>
  <c r="AE661" i="9"/>
  <c r="AD661" i="9"/>
  <c r="AC661" i="9"/>
  <c r="AB661" i="9"/>
  <c r="AA661" i="9"/>
  <c r="Z661" i="9"/>
  <c r="Y661" i="9"/>
  <c r="X661" i="9"/>
  <c r="W661" i="9"/>
  <c r="V661" i="9"/>
  <c r="U661" i="9"/>
  <c r="T661" i="9"/>
  <c r="S661" i="9"/>
  <c r="R661" i="9"/>
  <c r="Q661" i="9"/>
  <c r="P661" i="9"/>
  <c r="O661" i="9"/>
  <c r="M661" i="9"/>
  <c r="L661" i="9"/>
  <c r="K661" i="9"/>
  <c r="J661" i="9"/>
  <c r="I661" i="9"/>
  <c r="H661" i="9"/>
  <c r="G661" i="9"/>
  <c r="F661" i="9"/>
  <c r="E661" i="9"/>
  <c r="D661" i="9"/>
  <c r="C661" i="9"/>
  <c r="B661" i="9"/>
  <c r="AJ660" i="9"/>
  <c r="AI660" i="9"/>
  <c r="AH660" i="9"/>
  <c r="AG660" i="9"/>
  <c r="AF660" i="9"/>
  <c r="AE660" i="9"/>
  <c r="AD660" i="9"/>
  <c r="AC660" i="9"/>
  <c r="AB660" i="9"/>
  <c r="AA660" i="9"/>
  <c r="Z660" i="9"/>
  <c r="Y660" i="9"/>
  <c r="X660" i="9"/>
  <c r="W660" i="9"/>
  <c r="V660" i="9"/>
  <c r="U660" i="9"/>
  <c r="T660" i="9"/>
  <c r="S660" i="9"/>
  <c r="R660" i="9"/>
  <c r="Q660" i="9"/>
  <c r="P660" i="9"/>
  <c r="O660" i="9"/>
  <c r="M660" i="9"/>
  <c r="L660" i="9"/>
  <c r="K660" i="9"/>
  <c r="J660" i="9"/>
  <c r="I660" i="9"/>
  <c r="H660" i="9"/>
  <c r="G660" i="9"/>
  <c r="F660" i="9"/>
  <c r="E660" i="9"/>
  <c r="D660" i="9"/>
  <c r="C660" i="9"/>
  <c r="B660" i="9"/>
  <c r="AJ659" i="9"/>
  <c r="AI659" i="9"/>
  <c r="AH659" i="9"/>
  <c r="AG659" i="9"/>
  <c r="AF659" i="9"/>
  <c r="AE659" i="9"/>
  <c r="AD659" i="9"/>
  <c r="AC659" i="9"/>
  <c r="AB659" i="9"/>
  <c r="AA659" i="9"/>
  <c r="Z659" i="9"/>
  <c r="Y659" i="9"/>
  <c r="X659" i="9"/>
  <c r="W659" i="9"/>
  <c r="V659" i="9"/>
  <c r="U659" i="9"/>
  <c r="T659" i="9"/>
  <c r="S659" i="9"/>
  <c r="R659" i="9"/>
  <c r="Q659" i="9"/>
  <c r="P659" i="9"/>
  <c r="O659" i="9"/>
  <c r="M659" i="9"/>
  <c r="L659" i="9"/>
  <c r="K659" i="9"/>
  <c r="J659" i="9"/>
  <c r="I659" i="9"/>
  <c r="H659" i="9"/>
  <c r="G659" i="9"/>
  <c r="F659" i="9"/>
  <c r="E659" i="9"/>
  <c r="D659" i="9"/>
  <c r="C659" i="9"/>
  <c r="B659" i="9"/>
  <c r="AJ658" i="9"/>
  <c r="AI658" i="9"/>
  <c r="AH658" i="9"/>
  <c r="AG658" i="9"/>
  <c r="AF658" i="9"/>
  <c r="AE658" i="9"/>
  <c r="AD658" i="9"/>
  <c r="AC658" i="9"/>
  <c r="AB658" i="9"/>
  <c r="AA658" i="9"/>
  <c r="Z658" i="9"/>
  <c r="Y658" i="9"/>
  <c r="X658" i="9"/>
  <c r="W658" i="9"/>
  <c r="V658" i="9"/>
  <c r="U658" i="9"/>
  <c r="T658" i="9"/>
  <c r="S658" i="9"/>
  <c r="R658" i="9"/>
  <c r="Q658" i="9"/>
  <c r="P658" i="9"/>
  <c r="O658" i="9"/>
  <c r="M658" i="9"/>
  <c r="L658" i="9"/>
  <c r="K658" i="9"/>
  <c r="J658" i="9"/>
  <c r="I658" i="9"/>
  <c r="H658" i="9"/>
  <c r="G658" i="9"/>
  <c r="F658" i="9"/>
  <c r="E658" i="9"/>
  <c r="D658" i="9"/>
  <c r="C658" i="9"/>
  <c r="B658" i="9"/>
  <c r="AJ657" i="9"/>
  <c r="AI657" i="9"/>
  <c r="AH657" i="9"/>
  <c r="AG657" i="9"/>
  <c r="AF657" i="9"/>
  <c r="AE657" i="9"/>
  <c r="AD657" i="9"/>
  <c r="AC657" i="9"/>
  <c r="AB657" i="9"/>
  <c r="AA657" i="9"/>
  <c r="Z657" i="9"/>
  <c r="Y657" i="9"/>
  <c r="X657" i="9"/>
  <c r="W657" i="9"/>
  <c r="V657" i="9"/>
  <c r="U657" i="9"/>
  <c r="T657" i="9"/>
  <c r="S657" i="9"/>
  <c r="R657" i="9"/>
  <c r="Q657" i="9"/>
  <c r="P657" i="9"/>
  <c r="O657" i="9"/>
  <c r="M657" i="9"/>
  <c r="L657" i="9"/>
  <c r="K657" i="9"/>
  <c r="J657" i="9"/>
  <c r="I657" i="9"/>
  <c r="H657" i="9"/>
  <c r="G657" i="9"/>
  <c r="F657" i="9"/>
  <c r="E657" i="9"/>
  <c r="D657" i="9"/>
  <c r="C657" i="9"/>
  <c r="B657" i="9"/>
  <c r="AJ656" i="9"/>
  <c r="AI656" i="9"/>
  <c r="AH656" i="9"/>
  <c r="AG656" i="9"/>
  <c r="AF656" i="9"/>
  <c r="AE656" i="9"/>
  <c r="AD656" i="9"/>
  <c r="AC656" i="9"/>
  <c r="AB656" i="9"/>
  <c r="AA656" i="9"/>
  <c r="Z656" i="9"/>
  <c r="Y656" i="9"/>
  <c r="X656" i="9"/>
  <c r="W656" i="9"/>
  <c r="V656" i="9"/>
  <c r="U656" i="9"/>
  <c r="T656" i="9"/>
  <c r="S656" i="9"/>
  <c r="R656" i="9"/>
  <c r="Q656" i="9"/>
  <c r="P656" i="9"/>
  <c r="O656" i="9"/>
  <c r="M656" i="9"/>
  <c r="L656" i="9"/>
  <c r="K656" i="9"/>
  <c r="J656" i="9"/>
  <c r="I656" i="9"/>
  <c r="H656" i="9"/>
  <c r="G656" i="9"/>
  <c r="F656" i="9"/>
  <c r="E656" i="9"/>
  <c r="D656" i="9"/>
  <c r="C656" i="9"/>
  <c r="B656" i="9"/>
  <c r="AJ655" i="9"/>
  <c r="AI655" i="9"/>
  <c r="AH655" i="9"/>
  <c r="AG655" i="9"/>
  <c r="AF655" i="9"/>
  <c r="AE655" i="9"/>
  <c r="AD655" i="9"/>
  <c r="AC655" i="9"/>
  <c r="AB655" i="9"/>
  <c r="AA655" i="9"/>
  <c r="Z655" i="9"/>
  <c r="Y655" i="9"/>
  <c r="X655" i="9"/>
  <c r="W655" i="9"/>
  <c r="V655" i="9"/>
  <c r="U655" i="9"/>
  <c r="T655" i="9"/>
  <c r="S655" i="9"/>
  <c r="R655" i="9"/>
  <c r="Q655" i="9"/>
  <c r="P655" i="9"/>
  <c r="O655" i="9"/>
  <c r="M655" i="9"/>
  <c r="L655" i="9"/>
  <c r="K655" i="9"/>
  <c r="J655" i="9"/>
  <c r="I655" i="9"/>
  <c r="H655" i="9"/>
  <c r="G655" i="9"/>
  <c r="F655" i="9"/>
  <c r="E655" i="9"/>
  <c r="D655" i="9"/>
  <c r="C655" i="9"/>
  <c r="B655" i="9"/>
  <c r="AJ654" i="9"/>
  <c r="AI654" i="9"/>
  <c r="AH654" i="9"/>
  <c r="AG654" i="9"/>
  <c r="AF654" i="9"/>
  <c r="AE654" i="9"/>
  <c r="AD654" i="9"/>
  <c r="AC654" i="9"/>
  <c r="AB654" i="9"/>
  <c r="AA654" i="9"/>
  <c r="Z654" i="9"/>
  <c r="Y654" i="9"/>
  <c r="X654" i="9"/>
  <c r="W654" i="9"/>
  <c r="V654" i="9"/>
  <c r="U654" i="9"/>
  <c r="T654" i="9"/>
  <c r="S654" i="9"/>
  <c r="R654" i="9"/>
  <c r="Q654" i="9"/>
  <c r="P654" i="9"/>
  <c r="O654" i="9"/>
  <c r="M654" i="9"/>
  <c r="L654" i="9"/>
  <c r="K654" i="9"/>
  <c r="J654" i="9"/>
  <c r="I654" i="9"/>
  <c r="H654" i="9"/>
  <c r="G654" i="9"/>
  <c r="F654" i="9"/>
  <c r="E654" i="9"/>
  <c r="D654" i="9"/>
  <c r="C654" i="9"/>
  <c r="B654" i="9"/>
  <c r="AJ653" i="9"/>
  <c r="AI653" i="9"/>
  <c r="AH653" i="9"/>
  <c r="AG653" i="9"/>
  <c r="AF653" i="9"/>
  <c r="AE653" i="9"/>
  <c r="AD653" i="9"/>
  <c r="AC653" i="9"/>
  <c r="AB653" i="9"/>
  <c r="AA653" i="9"/>
  <c r="Z653" i="9"/>
  <c r="Y653" i="9"/>
  <c r="X653" i="9"/>
  <c r="W653" i="9"/>
  <c r="V653" i="9"/>
  <c r="U653" i="9"/>
  <c r="T653" i="9"/>
  <c r="S653" i="9"/>
  <c r="R653" i="9"/>
  <c r="Q653" i="9"/>
  <c r="P653" i="9"/>
  <c r="O653" i="9"/>
  <c r="M653" i="9"/>
  <c r="L653" i="9"/>
  <c r="K653" i="9"/>
  <c r="J653" i="9"/>
  <c r="I653" i="9"/>
  <c r="H653" i="9"/>
  <c r="G653" i="9"/>
  <c r="F653" i="9"/>
  <c r="E653" i="9"/>
  <c r="D653" i="9"/>
  <c r="C653" i="9"/>
  <c r="B653" i="9"/>
  <c r="AJ652" i="9"/>
  <c r="AI652" i="9"/>
  <c r="AH652" i="9"/>
  <c r="AG652" i="9"/>
  <c r="AF652" i="9"/>
  <c r="AE652" i="9"/>
  <c r="AD652" i="9"/>
  <c r="AC652" i="9"/>
  <c r="AB652" i="9"/>
  <c r="AA652" i="9"/>
  <c r="Z652" i="9"/>
  <c r="Y652" i="9"/>
  <c r="X652" i="9"/>
  <c r="W652" i="9"/>
  <c r="V652" i="9"/>
  <c r="U652" i="9"/>
  <c r="T652" i="9"/>
  <c r="S652" i="9"/>
  <c r="R652" i="9"/>
  <c r="Q652" i="9"/>
  <c r="P652" i="9"/>
  <c r="O652" i="9"/>
  <c r="M652" i="9"/>
  <c r="L652" i="9"/>
  <c r="K652" i="9"/>
  <c r="J652" i="9"/>
  <c r="I652" i="9"/>
  <c r="H652" i="9"/>
  <c r="G652" i="9"/>
  <c r="F652" i="9"/>
  <c r="E652" i="9"/>
  <c r="D652" i="9"/>
  <c r="C652" i="9"/>
  <c r="B652" i="9"/>
  <c r="AJ651" i="9"/>
  <c r="AI651" i="9"/>
  <c r="AH651" i="9"/>
  <c r="AG651" i="9"/>
  <c r="AF651" i="9"/>
  <c r="AE651" i="9"/>
  <c r="AD651" i="9"/>
  <c r="AC651" i="9"/>
  <c r="AB651" i="9"/>
  <c r="AA651" i="9"/>
  <c r="Z651" i="9"/>
  <c r="Y651" i="9"/>
  <c r="X651" i="9"/>
  <c r="W651" i="9"/>
  <c r="V651" i="9"/>
  <c r="U651" i="9"/>
  <c r="T651" i="9"/>
  <c r="S651" i="9"/>
  <c r="R651" i="9"/>
  <c r="Q651" i="9"/>
  <c r="P651" i="9"/>
  <c r="O651" i="9"/>
  <c r="M651" i="9"/>
  <c r="L651" i="9"/>
  <c r="K651" i="9"/>
  <c r="J651" i="9"/>
  <c r="I651" i="9"/>
  <c r="H651" i="9"/>
  <c r="G651" i="9"/>
  <c r="F651" i="9"/>
  <c r="E651" i="9"/>
  <c r="D651" i="9"/>
  <c r="C651" i="9"/>
  <c r="B651" i="9"/>
  <c r="AJ650" i="9"/>
  <c r="AI650" i="9"/>
  <c r="AH650" i="9"/>
  <c r="AG650" i="9"/>
  <c r="AF650" i="9"/>
  <c r="AE650" i="9"/>
  <c r="AD650" i="9"/>
  <c r="AC650" i="9"/>
  <c r="AB650" i="9"/>
  <c r="AA650" i="9"/>
  <c r="Z650" i="9"/>
  <c r="Y650" i="9"/>
  <c r="X650" i="9"/>
  <c r="W650" i="9"/>
  <c r="V650" i="9"/>
  <c r="U650" i="9"/>
  <c r="T650" i="9"/>
  <c r="S650" i="9"/>
  <c r="R650" i="9"/>
  <c r="Q650" i="9"/>
  <c r="P650" i="9"/>
  <c r="O650" i="9"/>
  <c r="M650" i="9"/>
  <c r="L650" i="9"/>
  <c r="K650" i="9"/>
  <c r="J650" i="9"/>
  <c r="I650" i="9"/>
  <c r="H650" i="9"/>
  <c r="G650" i="9"/>
  <c r="F650" i="9"/>
  <c r="E650" i="9"/>
  <c r="D650" i="9"/>
  <c r="C650" i="9"/>
  <c r="B650" i="9"/>
  <c r="AJ649" i="9"/>
  <c r="AI649" i="9"/>
  <c r="AH649" i="9"/>
  <c r="AG649" i="9"/>
  <c r="AF649" i="9"/>
  <c r="AE649" i="9"/>
  <c r="AD649" i="9"/>
  <c r="AC649" i="9"/>
  <c r="AB649" i="9"/>
  <c r="AA649" i="9"/>
  <c r="Z649" i="9"/>
  <c r="Y649" i="9"/>
  <c r="X649" i="9"/>
  <c r="W649" i="9"/>
  <c r="V649" i="9"/>
  <c r="U649" i="9"/>
  <c r="T649" i="9"/>
  <c r="S649" i="9"/>
  <c r="R649" i="9"/>
  <c r="Q649" i="9"/>
  <c r="P649" i="9"/>
  <c r="O649" i="9"/>
  <c r="M649" i="9"/>
  <c r="L649" i="9"/>
  <c r="K649" i="9"/>
  <c r="J649" i="9"/>
  <c r="I649" i="9"/>
  <c r="H649" i="9"/>
  <c r="G649" i="9"/>
  <c r="F649" i="9"/>
  <c r="E649" i="9"/>
  <c r="D649" i="9"/>
  <c r="C649" i="9"/>
  <c r="B649" i="9"/>
  <c r="AJ648" i="9"/>
  <c r="AI648" i="9"/>
  <c r="AH648" i="9"/>
  <c r="AG648" i="9"/>
  <c r="AF648" i="9"/>
  <c r="AE648" i="9"/>
  <c r="AD648" i="9"/>
  <c r="AC648" i="9"/>
  <c r="AB648" i="9"/>
  <c r="AA648" i="9"/>
  <c r="Z648" i="9"/>
  <c r="Y648" i="9"/>
  <c r="X648" i="9"/>
  <c r="W648" i="9"/>
  <c r="V648" i="9"/>
  <c r="U648" i="9"/>
  <c r="T648" i="9"/>
  <c r="S648" i="9"/>
  <c r="R648" i="9"/>
  <c r="Q648" i="9"/>
  <c r="P648" i="9"/>
  <c r="O648" i="9"/>
  <c r="M648" i="9"/>
  <c r="L648" i="9"/>
  <c r="K648" i="9"/>
  <c r="J648" i="9"/>
  <c r="I648" i="9"/>
  <c r="H648" i="9"/>
  <c r="G648" i="9"/>
  <c r="F648" i="9"/>
  <c r="E648" i="9"/>
  <c r="D648" i="9"/>
  <c r="C648" i="9"/>
  <c r="B648" i="9"/>
  <c r="AJ647" i="9"/>
  <c r="AI647" i="9"/>
  <c r="AH647" i="9"/>
  <c r="AG647" i="9"/>
  <c r="AF647" i="9"/>
  <c r="AE647" i="9"/>
  <c r="AD647" i="9"/>
  <c r="AC647" i="9"/>
  <c r="AB647" i="9"/>
  <c r="AA647" i="9"/>
  <c r="Z647" i="9"/>
  <c r="Y647" i="9"/>
  <c r="X647" i="9"/>
  <c r="W647" i="9"/>
  <c r="V647" i="9"/>
  <c r="U647" i="9"/>
  <c r="T647" i="9"/>
  <c r="S647" i="9"/>
  <c r="R647" i="9"/>
  <c r="Q647" i="9"/>
  <c r="P647" i="9"/>
  <c r="O647" i="9"/>
  <c r="M647" i="9"/>
  <c r="L647" i="9"/>
  <c r="K647" i="9"/>
  <c r="J647" i="9"/>
  <c r="I647" i="9"/>
  <c r="H647" i="9"/>
  <c r="G647" i="9"/>
  <c r="F647" i="9"/>
  <c r="E647" i="9"/>
  <c r="D647" i="9"/>
  <c r="C647" i="9"/>
  <c r="B647" i="9"/>
  <c r="AJ646" i="9"/>
  <c r="AI646" i="9"/>
  <c r="AH646" i="9"/>
  <c r="AG646" i="9"/>
  <c r="AF646" i="9"/>
  <c r="AE646" i="9"/>
  <c r="AD646" i="9"/>
  <c r="AC646" i="9"/>
  <c r="AB646" i="9"/>
  <c r="AA646" i="9"/>
  <c r="Z646" i="9"/>
  <c r="Y646" i="9"/>
  <c r="X646" i="9"/>
  <c r="W646" i="9"/>
  <c r="V646" i="9"/>
  <c r="U646" i="9"/>
  <c r="T646" i="9"/>
  <c r="S646" i="9"/>
  <c r="R646" i="9"/>
  <c r="Q646" i="9"/>
  <c r="P646" i="9"/>
  <c r="O646" i="9"/>
  <c r="M646" i="9"/>
  <c r="L646" i="9"/>
  <c r="K646" i="9"/>
  <c r="J646" i="9"/>
  <c r="I646" i="9"/>
  <c r="H646" i="9"/>
  <c r="G646" i="9"/>
  <c r="F646" i="9"/>
  <c r="E646" i="9"/>
  <c r="D646" i="9"/>
  <c r="C646" i="9"/>
  <c r="B646" i="9"/>
  <c r="AJ645" i="9"/>
  <c r="AI645" i="9"/>
  <c r="AH645" i="9"/>
  <c r="AG645" i="9"/>
  <c r="AF645" i="9"/>
  <c r="AE645" i="9"/>
  <c r="AD645" i="9"/>
  <c r="AC645" i="9"/>
  <c r="AB645" i="9"/>
  <c r="AA645" i="9"/>
  <c r="Z645" i="9"/>
  <c r="Y645" i="9"/>
  <c r="X645" i="9"/>
  <c r="W645" i="9"/>
  <c r="V645" i="9"/>
  <c r="U645" i="9"/>
  <c r="T645" i="9"/>
  <c r="S645" i="9"/>
  <c r="R645" i="9"/>
  <c r="Q645" i="9"/>
  <c r="P645" i="9"/>
  <c r="O645" i="9"/>
  <c r="M645" i="9"/>
  <c r="L645" i="9"/>
  <c r="K645" i="9"/>
  <c r="J645" i="9"/>
  <c r="I645" i="9"/>
  <c r="H645" i="9"/>
  <c r="G645" i="9"/>
  <c r="F645" i="9"/>
  <c r="E645" i="9"/>
  <c r="D645" i="9"/>
  <c r="C645" i="9"/>
  <c r="B645" i="9"/>
  <c r="AJ644" i="9"/>
  <c r="AI644" i="9"/>
  <c r="AH644" i="9"/>
  <c r="AG644" i="9"/>
  <c r="AF644" i="9"/>
  <c r="AE644" i="9"/>
  <c r="AD644" i="9"/>
  <c r="AC644" i="9"/>
  <c r="AB644" i="9"/>
  <c r="AA644" i="9"/>
  <c r="Z644" i="9"/>
  <c r="Y644" i="9"/>
  <c r="X644" i="9"/>
  <c r="W644" i="9"/>
  <c r="V644" i="9"/>
  <c r="U644" i="9"/>
  <c r="T644" i="9"/>
  <c r="S644" i="9"/>
  <c r="R644" i="9"/>
  <c r="Q644" i="9"/>
  <c r="P644" i="9"/>
  <c r="O644" i="9"/>
  <c r="M644" i="9"/>
  <c r="L644" i="9"/>
  <c r="K644" i="9"/>
  <c r="J644" i="9"/>
  <c r="I644" i="9"/>
  <c r="H644" i="9"/>
  <c r="G644" i="9"/>
  <c r="F644" i="9"/>
  <c r="E644" i="9"/>
  <c r="D644" i="9"/>
  <c r="C644" i="9"/>
  <c r="B644" i="9"/>
  <c r="AJ643" i="9"/>
  <c r="AI643" i="9"/>
  <c r="AH643" i="9"/>
  <c r="AG643" i="9"/>
  <c r="AF643" i="9"/>
  <c r="AE643" i="9"/>
  <c r="AD643" i="9"/>
  <c r="AC643" i="9"/>
  <c r="AB643" i="9"/>
  <c r="AA643" i="9"/>
  <c r="Z643" i="9"/>
  <c r="Y643" i="9"/>
  <c r="X643" i="9"/>
  <c r="W643" i="9"/>
  <c r="V643" i="9"/>
  <c r="U643" i="9"/>
  <c r="T643" i="9"/>
  <c r="S643" i="9"/>
  <c r="R643" i="9"/>
  <c r="Q643" i="9"/>
  <c r="P643" i="9"/>
  <c r="O643" i="9"/>
  <c r="M643" i="9"/>
  <c r="L643" i="9"/>
  <c r="K643" i="9"/>
  <c r="J643" i="9"/>
  <c r="I643" i="9"/>
  <c r="H643" i="9"/>
  <c r="G643" i="9"/>
  <c r="F643" i="9"/>
  <c r="E643" i="9"/>
  <c r="D643" i="9"/>
  <c r="C643" i="9"/>
  <c r="B643" i="9"/>
  <c r="AJ642" i="9"/>
  <c r="AI642" i="9"/>
  <c r="AH642" i="9"/>
  <c r="AG642" i="9"/>
  <c r="AF642" i="9"/>
  <c r="AE642" i="9"/>
  <c r="AD642" i="9"/>
  <c r="AC642" i="9"/>
  <c r="AB642" i="9"/>
  <c r="AA642" i="9"/>
  <c r="Z642" i="9"/>
  <c r="Y642" i="9"/>
  <c r="X642" i="9"/>
  <c r="W642" i="9"/>
  <c r="V642" i="9"/>
  <c r="U642" i="9"/>
  <c r="T642" i="9"/>
  <c r="S642" i="9"/>
  <c r="R642" i="9"/>
  <c r="Q642" i="9"/>
  <c r="P642" i="9"/>
  <c r="O642" i="9"/>
  <c r="M642" i="9"/>
  <c r="L642" i="9"/>
  <c r="K642" i="9"/>
  <c r="J642" i="9"/>
  <c r="I642" i="9"/>
  <c r="H642" i="9"/>
  <c r="G642" i="9"/>
  <c r="F642" i="9"/>
  <c r="E642" i="9"/>
  <c r="D642" i="9"/>
  <c r="C642" i="9"/>
  <c r="B642" i="9"/>
  <c r="AJ641" i="9"/>
  <c r="AI641" i="9"/>
  <c r="AH641" i="9"/>
  <c r="AG641" i="9"/>
  <c r="AF641" i="9"/>
  <c r="AE641" i="9"/>
  <c r="AD641" i="9"/>
  <c r="AC641" i="9"/>
  <c r="AB641" i="9"/>
  <c r="AA641" i="9"/>
  <c r="Z641" i="9"/>
  <c r="Y641" i="9"/>
  <c r="X641" i="9"/>
  <c r="W641" i="9"/>
  <c r="V641" i="9"/>
  <c r="U641" i="9"/>
  <c r="T641" i="9"/>
  <c r="S641" i="9"/>
  <c r="R641" i="9"/>
  <c r="Q641" i="9"/>
  <c r="P641" i="9"/>
  <c r="O641" i="9"/>
  <c r="M641" i="9"/>
  <c r="L641" i="9"/>
  <c r="K641" i="9"/>
  <c r="J641" i="9"/>
  <c r="I641" i="9"/>
  <c r="H641" i="9"/>
  <c r="G641" i="9"/>
  <c r="F641" i="9"/>
  <c r="E641" i="9"/>
  <c r="D641" i="9"/>
  <c r="C641" i="9"/>
  <c r="B641" i="9"/>
  <c r="AJ640" i="9"/>
  <c r="AI640" i="9"/>
  <c r="AH640" i="9"/>
  <c r="AG640" i="9"/>
  <c r="AF640" i="9"/>
  <c r="AE640" i="9"/>
  <c r="AD640" i="9"/>
  <c r="AC640" i="9"/>
  <c r="AB640" i="9"/>
  <c r="AA640" i="9"/>
  <c r="Z640" i="9"/>
  <c r="Y640" i="9"/>
  <c r="X640" i="9"/>
  <c r="W640" i="9"/>
  <c r="V640" i="9"/>
  <c r="U640" i="9"/>
  <c r="T640" i="9"/>
  <c r="S640" i="9"/>
  <c r="R640" i="9"/>
  <c r="Q640" i="9"/>
  <c r="P640" i="9"/>
  <c r="O640" i="9"/>
  <c r="M640" i="9"/>
  <c r="L640" i="9"/>
  <c r="K640" i="9"/>
  <c r="J640" i="9"/>
  <c r="I640" i="9"/>
  <c r="H640" i="9"/>
  <c r="G640" i="9"/>
  <c r="F640" i="9"/>
  <c r="E640" i="9"/>
  <c r="D640" i="9"/>
  <c r="C640" i="9"/>
  <c r="B640" i="9"/>
  <c r="AJ639" i="9"/>
  <c r="AI639" i="9"/>
  <c r="AH639" i="9"/>
  <c r="AG639" i="9"/>
  <c r="AF639" i="9"/>
  <c r="AE639" i="9"/>
  <c r="AD639" i="9"/>
  <c r="AC639" i="9"/>
  <c r="AB639" i="9"/>
  <c r="AA639" i="9"/>
  <c r="Z639" i="9"/>
  <c r="Y639" i="9"/>
  <c r="X639" i="9"/>
  <c r="W639" i="9"/>
  <c r="V639" i="9"/>
  <c r="U639" i="9"/>
  <c r="T639" i="9"/>
  <c r="S639" i="9"/>
  <c r="R639" i="9"/>
  <c r="Q639" i="9"/>
  <c r="P639" i="9"/>
  <c r="O639" i="9"/>
  <c r="M639" i="9"/>
  <c r="L639" i="9"/>
  <c r="K639" i="9"/>
  <c r="J639" i="9"/>
  <c r="I639" i="9"/>
  <c r="H639" i="9"/>
  <c r="G639" i="9"/>
  <c r="F639" i="9"/>
  <c r="E639" i="9"/>
  <c r="D639" i="9"/>
  <c r="C639" i="9"/>
  <c r="B639" i="9"/>
  <c r="AJ638" i="9"/>
  <c r="AI638" i="9"/>
  <c r="AH638" i="9"/>
  <c r="AG638" i="9"/>
  <c r="AF638" i="9"/>
  <c r="AE638" i="9"/>
  <c r="AD638" i="9"/>
  <c r="AC638" i="9"/>
  <c r="AB638" i="9"/>
  <c r="AA638" i="9"/>
  <c r="Z638" i="9"/>
  <c r="Y638" i="9"/>
  <c r="X638" i="9"/>
  <c r="W638" i="9"/>
  <c r="V638" i="9"/>
  <c r="U638" i="9"/>
  <c r="T638" i="9"/>
  <c r="S638" i="9"/>
  <c r="R638" i="9"/>
  <c r="Q638" i="9"/>
  <c r="P638" i="9"/>
  <c r="O638" i="9"/>
  <c r="M638" i="9"/>
  <c r="L638" i="9"/>
  <c r="K638" i="9"/>
  <c r="J638" i="9"/>
  <c r="I638" i="9"/>
  <c r="H638" i="9"/>
  <c r="G638" i="9"/>
  <c r="F638" i="9"/>
  <c r="E638" i="9"/>
  <c r="D638" i="9"/>
  <c r="C638" i="9"/>
  <c r="B638" i="9"/>
  <c r="AJ637" i="9"/>
  <c r="AI637" i="9"/>
  <c r="AH637" i="9"/>
  <c r="AG637" i="9"/>
  <c r="AF637" i="9"/>
  <c r="AE637" i="9"/>
  <c r="AD637" i="9"/>
  <c r="AC637" i="9"/>
  <c r="AB637" i="9"/>
  <c r="AA637" i="9"/>
  <c r="Z637" i="9"/>
  <c r="Y637" i="9"/>
  <c r="X637" i="9"/>
  <c r="W637" i="9"/>
  <c r="V637" i="9"/>
  <c r="U637" i="9"/>
  <c r="T637" i="9"/>
  <c r="S637" i="9"/>
  <c r="R637" i="9"/>
  <c r="Q637" i="9"/>
  <c r="P637" i="9"/>
  <c r="O637" i="9"/>
  <c r="M637" i="9"/>
  <c r="L637" i="9"/>
  <c r="K637" i="9"/>
  <c r="J637" i="9"/>
  <c r="I637" i="9"/>
  <c r="H637" i="9"/>
  <c r="G637" i="9"/>
  <c r="F637" i="9"/>
  <c r="E637" i="9"/>
  <c r="D637" i="9"/>
  <c r="C637" i="9"/>
  <c r="B637" i="9"/>
  <c r="AJ636" i="9"/>
  <c r="AI636" i="9"/>
  <c r="AH636" i="9"/>
  <c r="AG636" i="9"/>
  <c r="AF636" i="9"/>
  <c r="AE636" i="9"/>
  <c r="AD636" i="9"/>
  <c r="AC636" i="9"/>
  <c r="AB636" i="9"/>
  <c r="AA636" i="9"/>
  <c r="Z636" i="9"/>
  <c r="Y636" i="9"/>
  <c r="X636" i="9"/>
  <c r="W636" i="9"/>
  <c r="V636" i="9"/>
  <c r="U636" i="9"/>
  <c r="T636" i="9"/>
  <c r="S636" i="9"/>
  <c r="R636" i="9"/>
  <c r="Q636" i="9"/>
  <c r="P636" i="9"/>
  <c r="O636" i="9"/>
  <c r="M636" i="9"/>
  <c r="L636" i="9"/>
  <c r="K636" i="9"/>
  <c r="J636" i="9"/>
  <c r="I636" i="9"/>
  <c r="H636" i="9"/>
  <c r="G636" i="9"/>
  <c r="F636" i="9"/>
  <c r="E636" i="9"/>
  <c r="D636" i="9"/>
  <c r="C636" i="9"/>
  <c r="B636" i="9"/>
  <c r="AJ635" i="9"/>
  <c r="AI635" i="9"/>
  <c r="AH635" i="9"/>
  <c r="AG635" i="9"/>
  <c r="AF635" i="9"/>
  <c r="AE635" i="9"/>
  <c r="AD635" i="9"/>
  <c r="AC635" i="9"/>
  <c r="AB635" i="9"/>
  <c r="AA635" i="9"/>
  <c r="Z635" i="9"/>
  <c r="Y635" i="9"/>
  <c r="X635" i="9"/>
  <c r="W635" i="9"/>
  <c r="V635" i="9"/>
  <c r="U635" i="9"/>
  <c r="T635" i="9"/>
  <c r="S635" i="9"/>
  <c r="R635" i="9"/>
  <c r="Q635" i="9"/>
  <c r="P635" i="9"/>
  <c r="O635" i="9"/>
  <c r="M635" i="9"/>
  <c r="L635" i="9"/>
  <c r="K635" i="9"/>
  <c r="J635" i="9"/>
  <c r="I635" i="9"/>
  <c r="H635" i="9"/>
  <c r="G635" i="9"/>
  <c r="F635" i="9"/>
  <c r="E635" i="9"/>
  <c r="D635" i="9"/>
  <c r="C635" i="9"/>
  <c r="B635" i="9"/>
  <c r="AJ634" i="9"/>
  <c r="AI634" i="9"/>
  <c r="AH634" i="9"/>
  <c r="AG634" i="9"/>
  <c r="AF634" i="9"/>
  <c r="AE634" i="9"/>
  <c r="AD634" i="9"/>
  <c r="AC634" i="9"/>
  <c r="AB634" i="9"/>
  <c r="AA634" i="9"/>
  <c r="Z634" i="9"/>
  <c r="Y634" i="9"/>
  <c r="X634" i="9"/>
  <c r="W634" i="9"/>
  <c r="V634" i="9"/>
  <c r="U634" i="9"/>
  <c r="T634" i="9"/>
  <c r="S634" i="9"/>
  <c r="R634" i="9"/>
  <c r="Q634" i="9"/>
  <c r="P634" i="9"/>
  <c r="O634" i="9"/>
  <c r="M634" i="9"/>
  <c r="L634" i="9"/>
  <c r="K634" i="9"/>
  <c r="J634" i="9"/>
  <c r="I634" i="9"/>
  <c r="H634" i="9"/>
  <c r="G634" i="9"/>
  <c r="F634" i="9"/>
  <c r="E634" i="9"/>
  <c r="D634" i="9"/>
  <c r="C634" i="9"/>
  <c r="B634" i="9"/>
  <c r="AJ633" i="9"/>
  <c r="AI633" i="9"/>
  <c r="AH633" i="9"/>
  <c r="AG633" i="9"/>
  <c r="AF633" i="9"/>
  <c r="AE633" i="9"/>
  <c r="AD633" i="9"/>
  <c r="AC633" i="9"/>
  <c r="AB633" i="9"/>
  <c r="AA633" i="9"/>
  <c r="Z633" i="9"/>
  <c r="Y633" i="9"/>
  <c r="X633" i="9"/>
  <c r="W633" i="9"/>
  <c r="V633" i="9"/>
  <c r="U633" i="9"/>
  <c r="T633" i="9"/>
  <c r="S633" i="9"/>
  <c r="R633" i="9"/>
  <c r="Q633" i="9"/>
  <c r="P633" i="9"/>
  <c r="O633" i="9"/>
  <c r="M633" i="9"/>
  <c r="L633" i="9"/>
  <c r="K633" i="9"/>
  <c r="J633" i="9"/>
  <c r="I633" i="9"/>
  <c r="H633" i="9"/>
  <c r="G633" i="9"/>
  <c r="F633" i="9"/>
  <c r="E633" i="9"/>
  <c r="D633" i="9"/>
  <c r="C633" i="9"/>
  <c r="B633" i="9"/>
  <c r="AJ632" i="9"/>
  <c r="AI632" i="9"/>
  <c r="AH632" i="9"/>
  <c r="AG632" i="9"/>
  <c r="AF632" i="9"/>
  <c r="AE632" i="9"/>
  <c r="AD632" i="9"/>
  <c r="AC632" i="9"/>
  <c r="AB632" i="9"/>
  <c r="AA632" i="9"/>
  <c r="Z632" i="9"/>
  <c r="Y632" i="9"/>
  <c r="X632" i="9"/>
  <c r="W632" i="9"/>
  <c r="V632" i="9"/>
  <c r="U632" i="9"/>
  <c r="T632" i="9"/>
  <c r="S632" i="9"/>
  <c r="R632" i="9"/>
  <c r="Q632" i="9"/>
  <c r="P632" i="9"/>
  <c r="O632" i="9"/>
  <c r="M632" i="9"/>
  <c r="L632" i="9"/>
  <c r="K632" i="9"/>
  <c r="J632" i="9"/>
  <c r="I632" i="9"/>
  <c r="H632" i="9"/>
  <c r="G632" i="9"/>
  <c r="F632" i="9"/>
  <c r="E632" i="9"/>
  <c r="D632" i="9"/>
  <c r="C632" i="9"/>
  <c r="B632" i="9"/>
  <c r="AJ631" i="9"/>
  <c r="AI631" i="9"/>
  <c r="AH631" i="9"/>
  <c r="AG631" i="9"/>
  <c r="AF631" i="9"/>
  <c r="AE631" i="9"/>
  <c r="AD631" i="9"/>
  <c r="AC631" i="9"/>
  <c r="AB631" i="9"/>
  <c r="AA631" i="9"/>
  <c r="Z631" i="9"/>
  <c r="Y631" i="9"/>
  <c r="X631" i="9"/>
  <c r="W631" i="9"/>
  <c r="V631" i="9"/>
  <c r="U631" i="9"/>
  <c r="T631" i="9"/>
  <c r="S631" i="9"/>
  <c r="R631" i="9"/>
  <c r="Q631" i="9"/>
  <c r="P631" i="9"/>
  <c r="O631" i="9"/>
  <c r="M631" i="9"/>
  <c r="L631" i="9"/>
  <c r="K631" i="9"/>
  <c r="J631" i="9"/>
  <c r="I631" i="9"/>
  <c r="H631" i="9"/>
  <c r="G631" i="9"/>
  <c r="F631" i="9"/>
  <c r="E631" i="9"/>
  <c r="D631" i="9"/>
  <c r="C631" i="9"/>
  <c r="B631" i="9"/>
  <c r="AJ630" i="9"/>
  <c r="AI630" i="9"/>
  <c r="AH630" i="9"/>
  <c r="AG630" i="9"/>
  <c r="AF630" i="9"/>
  <c r="AE630" i="9"/>
  <c r="AD630" i="9"/>
  <c r="AC630" i="9"/>
  <c r="AB630" i="9"/>
  <c r="AA630" i="9"/>
  <c r="Z630" i="9"/>
  <c r="Y630" i="9"/>
  <c r="X630" i="9"/>
  <c r="W630" i="9"/>
  <c r="V630" i="9"/>
  <c r="U630" i="9"/>
  <c r="T630" i="9"/>
  <c r="S630" i="9"/>
  <c r="R630" i="9"/>
  <c r="Q630" i="9"/>
  <c r="P630" i="9"/>
  <c r="O630" i="9"/>
  <c r="M630" i="9"/>
  <c r="L630" i="9"/>
  <c r="K630" i="9"/>
  <c r="J630" i="9"/>
  <c r="I630" i="9"/>
  <c r="H630" i="9"/>
  <c r="G630" i="9"/>
  <c r="F630" i="9"/>
  <c r="E630" i="9"/>
  <c r="D630" i="9"/>
  <c r="C630" i="9"/>
  <c r="B630" i="9"/>
  <c r="AJ629" i="9"/>
  <c r="AI629" i="9"/>
  <c r="AH629" i="9"/>
  <c r="AG629" i="9"/>
  <c r="AF629" i="9"/>
  <c r="AE629" i="9"/>
  <c r="AD629" i="9"/>
  <c r="AC629" i="9"/>
  <c r="AB629" i="9"/>
  <c r="AA629" i="9"/>
  <c r="Z629" i="9"/>
  <c r="Y629" i="9"/>
  <c r="X629" i="9"/>
  <c r="W629" i="9"/>
  <c r="V629" i="9"/>
  <c r="U629" i="9"/>
  <c r="T629" i="9"/>
  <c r="S629" i="9"/>
  <c r="R629" i="9"/>
  <c r="Q629" i="9"/>
  <c r="P629" i="9"/>
  <c r="O629" i="9"/>
  <c r="M629" i="9"/>
  <c r="L629" i="9"/>
  <c r="K629" i="9"/>
  <c r="J629" i="9"/>
  <c r="I629" i="9"/>
  <c r="H629" i="9"/>
  <c r="G629" i="9"/>
  <c r="F629" i="9"/>
  <c r="E629" i="9"/>
  <c r="D629" i="9"/>
  <c r="C629" i="9"/>
  <c r="B629" i="9"/>
  <c r="AJ628" i="9"/>
  <c r="AI628" i="9"/>
  <c r="AH628" i="9"/>
  <c r="AG628" i="9"/>
  <c r="AF628" i="9"/>
  <c r="AE628" i="9"/>
  <c r="AD628" i="9"/>
  <c r="AC628" i="9"/>
  <c r="AB628" i="9"/>
  <c r="AA628" i="9"/>
  <c r="Z628" i="9"/>
  <c r="Y628" i="9"/>
  <c r="X628" i="9"/>
  <c r="W628" i="9"/>
  <c r="V628" i="9"/>
  <c r="U628" i="9"/>
  <c r="T628" i="9"/>
  <c r="S628" i="9"/>
  <c r="R628" i="9"/>
  <c r="Q628" i="9"/>
  <c r="P628" i="9"/>
  <c r="O628" i="9"/>
  <c r="M628" i="9"/>
  <c r="L628" i="9"/>
  <c r="K628" i="9"/>
  <c r="J628" i="9"/>
  <c r="I628" i="9"/>
  <c r="H628" i="9"/>
  <c r="G628" i="9"/>
  <c r="F628" i="9"/>
  <c r="E628" i="9"/>
  <c r="D628" i="9"/>
  <c r="C628" i="9"/>
  <c r="B628" i="9"/>
  <c r="AJ627" i="9"/>
  <c r="AI627" i="9"/>
  <c r="AH627" i="9"/>
  <c r="AG627" i="9"/>
  <c r="AF627" i="9"/>
  <c r="AE627" i="9"/>
  <c r="AD627" i="9"/>
  <c r="AC627" i="9"/>
  <c r="AB627" i="9"/>
  <c r="AA627" i="9"/>
  <c r="Z627" i="9"/>
  <c r="Y627" i="9"/>
  <c r="X627" i="9"/>
  <c r="W627" i="9"/>
  <c r="V627" i="9"/>
  <c r="U627" i="9"/>
  <c r="T627" i="9"/>
  <c r="S627" i="9"/>
  <c r="R627" i="9"/>
  <c r="Q627" i="9"/>
  <c r="P627" i="9"/>
  <c r="O627" i="9"/>
  <c r="M627" i="9"/>
  <c r="L627" i="9"/>
  <c r="K627" i="9"/>
  <c r="J627" i="9"/>
  <c r="I627" i="9"/>
  <c r="H627" i="9"/>
  <c r="G627" i="9"/>
  <c r="F627" i="9"/>
  <c r="E627" i="9"/>
  <c r="D627" i="9"/>
  <c r="C627" i="9"/>
  <c r="B627" i="9"/>
  <c r="AJ626" i="9"/>
  <c r="AI626" i="9"/>
  <c r="AH626" i="9"/>
  <c r="AG626" i="9"/>
  <c r="AF626" i="9"/>
  <c r="AE626" i="9"/>
  <c r="AD626" i="9"/>
  <c r="AC626" i="9"/>
  <c r="AB626" i="9"/>
  <c r="AA626" i="9"/>
  <c r="Z626" i="9"/>
  <c r="Y626" i="9"/>
  <c r="X626" i="9"/>
  <c r="W626" i="9"/>
  <c r="V626" i="9"/>
  <c r="U626" i="9"/>
  <c r="T626" i="9"/>
  <c r="S626" i="9"/>
  <c r="R626" i="9"/>
  <c r="Q626" i="9"/>
  <c r="P626" i="9"/>
  <c r="O626" i="9"/>
  <c r="M626" i="9"/>
  <c r="L626" i="9"/>
  <c r="K626" i="9"/>
  <c r="J626" i="9"/>
  <c r="I626" i="9"/>
  <c r="H626" i="9"/>
  <c r="G626" i="9"/>
  <c r="F626" i="9"/>
  <c r="E626" i="9"/>
  <c r="D626" i="9"/>
  <c r="C626" i="9"/>
  <c r="B626" i="9"/>
  <c r="AJ625" i="9"/>
  <c r="AI625" i="9"/>
  <c r="AH625" i="9"/>
  <c r="AG625" i="9"/>
  <c r="AF625" i="9"/>
  <c r="AE625" i="9"/>
  <c r="AD625" i="9"/>
  <c r="AC625" i="9"/>
  <c r="AB625" i="9"/>
  <c r="AA625" i="9"/>
  <c r="Z625" i="9"/>
  <c r="Y625" i="9"/>
  <c r="X625" i="9"/>
  <c r="W625" i="9"/>
  <c r="V625" i="9"/>
  <c r="U625" i="9"/>
  <c r="T625" i="9"/>
  <c r="S625" i="9"/>
  <c r="R625" i="9"/>
  <c r="Q625" i="9"/>
  <c r="P625" i="9"/>
  <c r="O625" i="9"/>
  <c r="M625" i="9"/>
  <c r="L625" i="9"/>
  <c r="K625" i="9"/>
  <c r="J625" i="9"/>
  <c r="I625" i="9"/>
  <c r="H625" i="9"/>
  <c r="G625" i="9"/>
  <c r="F625" i="9"/>
  <c r="E625" i="9"/>
  <c r="D625" i="9"/>
  <c r="C625" i="9"/>
  <c r="B625" i="9"/>
  <c r="AJ624" i="9"/>
  <c r="AI624" i="9"/>
  <c r="AH624" i="9"/>
  <c r="AG624" i="9"/>
  <c r="AF624" i="9"/>
  <c r="AE624" i="9"/>
  <c r="AD624" i="9"/>
  <c r="AC624" i="9"/>
  <c r="AB624" i="9"/>
  <c r="AA624" i="9"/>
  <c r="Z624" i="9"/>
  <c r="Y624" i="9"/>
  <c r="X624" i="9"/>
  <c r="W624" i="9"/>
  <c r="V624" i="9"/>
  <c r="U624" i="9"/>
  <c r="T624" i="9"/>
  <c r="S624" i="9"/>
  <c r="R624" i="9"/>
  <c r="Q624" i="9"/>
  <c r="P624" i="9"/>
  <c r="O624" i="9"/>
  <c r="M624" i="9"/>
  <c r="L624" i="9"/>
  <c r="K624" i="9"/>
  <c r="J624" i="9"/>
  <c r="I624" i="9"/>
  <c r="H624" i="9"/>
  <c r="G624" i="9"/>
  <c r="F624" i="9"/>
  <c r="E624" i="9"/>
  <c r="D624" i="9"/>
  <c r="C624" i="9"/>
  <c r="B624" i="9"/>
  <c r="AJ623" i="9"/>
  <c r="AI623" i="9"/>
  <c r="AH623" i="9"/>
  <c r="AG623" i="9"/>
  <c r="AF623" i="9"/>
  <c r="AE623" i="9"/>
  <c r="AD623" i="9"/>
  <c r="AC623" i="9"/>
  <c r="AB623" i="9"/>
  <c r="AA623" i="9"/>
  <c r="Z623" i="9"/>
  <c r="Y623" i="9"/>
  <c r="X623" i="9"/>
  <c r="W623" i="9"/>
  <c r="V623" i="9"/>
  <c r="U623" i="9"/>
  <c r="T623" i="9"/>
  <c r="S623" i="9"/>
  <c r="R623" i="9"/>
  <c r="Q623" i="9"/>
  <c r="P623" i="9"/>
  <c r="O623" i="9"/>
  <c r="M623" i="9"/>
  <c r="L623" i="9"/>
  <c r="K623" i="9"/>
  <c r="J623" i="9"/>
  <c r="I623" i="9"/>
  <c r="H623" i="9"/>
  <c r="G623" i="9"/>
  <c r="F623" i="9"/>
  <c r="E623" i="9"/>
  <c r="D623" i="9"/>
  <c r="C623" i="9"/>
  <c r="B623" i="9"/>
  <c r="AJ622" i="9"/>
  <c r="AI622" i="9"/>
  <c r="AH622" i="9"/>
  <c r="AG622" i="9"/>
  <c r="AF622" i="9"/>
  <c r="AE622" i="9"/>
  <c r="AD622" i="9"/>
  <c r="AC622" i="9"/>
  <c r="AB622" i="9"/>
  <c r="AA622" i="9"/>
  <c r="Z622" i="9"/>
  <c r="Y622" i="9"/>
  <c r="X622" i="9"/>
  <c r="W622" i="9"/>
  <c r="V622" i="9"/>
  <c r="U622" i="9"/>
  <c r="T622" i="9"/>
  <c r="S622" i="9"/>
  <c r="R622" i="9"/>
  <c r="Q622" i="9"/>
  <c r="P622" i="9"/>
  <c r="O622" i="9"/>
  <c r="M622" i="9"/>
  <c r="L622" i="9"/>
  <c r="K622" i="9"/>
  <c r="J622" i="9"/>
  <c r="I622" i="9"/>
  <c r="H622" i="9"/>
  <c r="G622" i="9"/>
  <c r="F622" i="9"/>
  <c r="E622" i="9"/>
  <c r="D622" i="9"/>
  <c r="C622" i="9"/>
  <c r="B622" i="9"/>
  <c r="AJ621" i="9"/>
  <c r="AI621" i="9"/>
  <c r="AH621" i="9"/>
  <c r="AG621" i="9"/>
  <c r="AF621" i="9"/>
  <c r="AE621" i="9"/>
  <c r="AD621" i="9"/>
  <c r="AC621" i="9"/>
  <c r="AB621" i="9"/>
  <c r="AA621" i="9"/>
  <c r="Z621" i="9"/>
  <c r="Y621" i="9"/>
  <c r="X621" i="9"/>
  <c r="W621" i="9"/>
  <c r="V621" i="9"/>
  <c r="U621" i="9"/>
  <c r="T621" i="9"/>
  <c r="S621" i="9"/>
  <c r="R621" i="9"/>
  <c r="Q621" i="9"/>
  <c r="P621" i="9"/>
  <c r="O621" i="9"/>
  <c r="M621" i="9"/>
  <c r="L621" i="9"/>
  <c r="K621" i="9"/>
  <c r="J621" i="9"/>
  <c r="I621" i="9"/>
  <c r="H621" i="9"/>
  <c r="G621" i="9"/>
  <c r="F621" i="9"/>
  <c r="E621" i="9"/>
  <c r="D621" i="9"/>
  <c r="C621" i="9"/>
  <c r="B621" i="9"/>
  <c r="AJ620" i="9"/>
  <c r="AI620" i="9"/>
  <c r="AH620" i="9"/>
  <c r="AG620" i="9"/>
  <c r="AF620" i="9"/>
  <c r="AE620" i="9"/>
  <c r="AD620" i="9"/>
  <c r="AC620" i="9"/>
  <c r="AB620" i="9"/>
  <c r="AA620" i="9"/>
  <c r="Z620" i="9"/>
  <c r="Y620" i="9"/>
  <c r="X620" i="9"/>
  <c r="W620" i="9"/>
  <c r="V620" i="9"/>
  <c r="U620" i="9"/>
  <c r="T620" i="9"/>
  <c r="S620" i="9"/>
  <c r="R620" i="9"/>
  <c r="Q620" i="9"/>
  <c r="P620" i="9"/>
  <c r="O620" i="9"/>
  <c r="M620" i="9"/>
  <c r="L620" i="9"/>
  <c r="K620" i="9"/>
  <c r="J620" i="9"/>
  <c r="I620" i="9"/>
  <c r="H620" i="9"/>
  <c r="G620" i="9"/>
  <c r="F620" i="9"/>
  <c r="E620" i="9"/>
  <c r="D620" i="9"/>
  <c r="C620" i="9"/>
  <c r="B620" i="9"/>
  <c r="AJ619" i="9"/>
  <c r="AI619" i="9"/>
  <c r="AH619" i="9"/>
  <c r="AG619" i="9"/>
  <c r="AF619" i="9"/>
  <c r="AE619" i="9"/>
  <c r="AD619" i="9"/>
  <c r="AC619" i="9"/>
  <c r="AB619" i="9"/>
  <c r="AA619" i="9"/>
  <c r="Z619" i="9"/>
  <c r="Y619" i="9"/>
  <c r="X619" i="9"/>
  <c r="W619" i="9"/>
  <c r="V619" i="9"/>
  <c r="U619" i="9"/>
  <c r="T619" i="9"/>
  <c r="S619" i="9"/>
  <c r="R619" i="9"/>
  <c r="Q619" i="9"/>
  <c r="P619" i="9"/>
  <c r="O619" i="9"/>
  <c r="M619" i="9"/>
  <c r="L619" i="9"/>
  <c r="K619" i="9"/>
  <c r="J619" i="9"/>
  <c r="I619" i="9"/>
  <c r="H619" i="9"/>
  <c r="G619" i="9"/>
  <c r="F619" i="9"/>
  <c r="E619" i="9"/>
  <c r="D619" i="9"/>
  <c r="C619" i="9"/>
  <c r="B619" i="9"/>
  <c r="AJ618" i="9"/>
  <c r="AI618" i="9"/>
  <c r="AH618" i="9"/>
  <c r="AG618" i="9"/>
  <c r="AF618" i="9"/>
  <c r="AE618" i="9"/>
  <c r="AD618" i="9"/>
  <c r="AC618" i="9"/>
  <c r="AB618" i="9"/>
  <c r="AA618" i="9"/>
  <c r="Z618" i="9"/>
  <c r="Y618" i="9"/>
  <c r="X618" i="9"/>
  <c r="W618" i="9"/>
  <c r="V618" i="9"/>
  <c r="U618" i="9"/>
  <c r="T618" i="9"/>
  <c r="S618" i="9"/>
  <c r="R618" i="9"/>
  <c r="Q618" i="9"/>
  <c r="P618" i="9"/>
  <c r="O618" i="9"/>
  <c r="M618" i="9"/>
  <c r="L618" i="9"/>
  <c r="K618" i="9"/>
  <c r="J618" i="9"/>
  <c r="I618" i="9"/>
  <c r="H618" i="9"/>
  <c r="G618" i="9"/>
  <c r="F618" i="9"/>
  <c r="E618" i="9"/>
  <c r="D618" i="9"/>
  <c r="C618" i="9"/>
  <c r="B618" i="9"/>
  <c r="AJ617" i="9"/>
  <c r="AI617" i="9"/>
  <c r="AH617" i="9"/>
  <c r="AG617" i="9"/>
  <c r="AF617" i="9"/>
  <c r="AE617" i="9"/>
  <c r="AD617" i="9"/>
  <c r="AC617" i="9"/>
  <c r="AB617" i="9"/>
  <c r="AA617" i="9"/>
  <c r="Z617" i="9"/>
  <c r="Y617" i="9"/>
  <c r="X617" i="9"/>
  <c r="W617" i="9"/>
  <c r="V617" i="9"/>
  <c r="U617" i="9"/>
  <c r="T617" i="9"/>
  <c r="S617" i="9"/>
  <c r="R617" i="9"/>
  <c r="Q617" i="9"/>
  <c r="P617" i="9"/>
  <c r="O617" i="9"/>
  <c r="M617" i="9"/>
  <c r="L617" i="9"/>
  <c r="K617" i="9"/>
  <c r="J617" i="9"/>
  <c r="I617" i="9"/>
  <c r="H617" i="9"/>
  <c r="G617" i="9"/>
  <c r="F617" i="9"/>
  <c r="E617" i="9"/>
  <c r="D617" i="9"/>
  <c r="C617" i="9"/>
  <c r="B617" i="9"/>
  <c r="AJ616" i="9"/>
  <c r="AI616" i="9"/>
  <c r="AH616" i="9"/>
  <c r="AG616" i="9"/>
  <c r="AF616" i="9"/>
  <c r="AE616" i="9"/>
  <c r="AD616" i="9"/>
  <c r="AC616" i="9"/>
  <c r="AB616" i="9"/>
  <c r="AA616" i="9"/>
  <c r="Z616" i="9"/>
  <c r="Y616" i="9"/>
  <c r="X616" i="9"/>
  <c r="W616" i="9"/>
  <c r="V616" i="9"/>
  <c r="U616" i="9"/>
  <c r="T616" i="9"/>
  <c r="S616" i="9"/>
  <c r="R616" i="9"/>
  <c r="Q616" i="9"/>
  <c r="P616" i="9"/>
  <c r="O616" i="9"/>
  <c r="M616" i="9"/>
  <c r="L616" i="9"/>
  <c r="K616" i="9"/>
  <c r="J616" i="9"/>
  <c r="I616" i="9"/>
  <c r="H616" i="9"/>
  <c r="G616" i="9"/>
  <c r="F616" i="9"/>
  <c r="E616" i="9"/>
  <c r="D616" i="9"/>
  <c r="C616" i="9"/>
  <c r="B616" i="9"/>
  <c r="AJ615" i="9"/>
  <c r="AI615" i="9"/>
  <c r="AH615" i="9"/>
  <c r="AG615" i="9"/>
  <c r="AF615" i="9"/>
  <c r="AE615" i="9"/>
  <c r="AD615" i="9"/>
  <c r="AC615" i="9"/>
  <c r="AB615" i="9"/>
  <c r="AA615" i="9"/>
  <c r="Z615" i="9"/>
  <c r="Y615" i="9"/>
  <c r="X615" i="9"/>
  <c r="W615" i="9"/>
  <c r="V615" i="9"/>
  <c r="U615" i="9"/>
  <c r="T615" i="9"/>
  <c r="S615" i="9"/>
  <c r="R615" i="9"/>
  <c r="Q615" i="9"/>
  <c r="P615" i="9"/>
  <c r="O615" i="9"/>
  <c r="M615" i="9"/>
  <c r="L615" i="9"/>
  <c r="K615" i="9"/>
  <c r="J615" i="9"/>
  <c r="I615" i="9"/>
  <c r="H615" i="9"/>
  <c r="G615" i="9"/>
  <c r="F615" i="9"/>
  <c r="E615" i="9"/>
  <c r="D615" i="9"/>
  <c r="C615" i="9"/>
  <c r="B615" i="9"/>
  <c r="AJ614" i="9"/>
  <c r="AI614" i="9"/>
  <c r="AH614" i="9"/>
  <c r="AG614" i="9"/>
  <c r="AF614" i="9"/>
  <c r="AE614" i="9"/>
  <c r="AD614" i="9"/>
  <c r="AC614" i="9"/>
  <c r="AB614" i="9"/>
  <c r="AA614" i="9"/>
  <c r="Z614" i="9"/>
  <c r="Y614" i="9"/>
  <c r="X614" i="9"/>
  <c r="W614" i="9"/>
  <c r="V614" i="9"/>
  <c r="U614" i="9"/>
  <c r="T614" i="9"/>
  <c r="S614" i="9"/>
  <c r="R614" i="9"/>
  <c r="Q614" i="9"/>
  <c r="P614" i="9"/>
  <c r="O614" i="9"/>
  <c r="M614" i="9"/>
  <c r="L614" i="9"/>
  <c r="K614" i="9"/>
  <c r="J614" i="9"/>
  <c r="I614" i="9"/>
  <c r="H614" i="9"/>
  <c r="G614" i="9"/>
  <c r="F614" i="9"/>
  <c r="E614" i="9"/>
  <c r="D614" i="9"/>
  <c r="C614" i="9"/>
  <c r="B614" i="9"/>
  <c r="AJ613" i="9"/>
  <c r="AI613" i="9"/>
  <c r="AH613" i="9"/>
  <c r="AG613" i="9"/>
  <c r="AF613" i="9"/>
  <c r="AE613" i="9"/>
  <c r="AD613" i="9"/>
  <c r="AC613" i="9"/>
  <c r="AB613" i="9"/>
  <c r="AA613" i="9"/>
  <c r="Z613" i="9"/>
  <c r="Y613" i="9"/>
  <c r="X613" i="9"/>
  <c r="W613" i="9"/>
  <c r="V613" i="9"/>
  <c r="U613" i="9"/>
  <c r="T613" i="9"/>
  <c r="S613" i="9"/>
  <c r="R613" i="9"/>
  <c r="Q613" i="9"/>
  <c r="P613" i="9"/>
  <c r="O613" i="9"/>
  <c r="M613" i="9"/>
  <c r="L613" i="9"/>
  <c r="K613" i="9"/>
  <c r="J613" i="9"/>
  <c r="I613" i="9"/>
  <c r="H613" i="9"/>
  <c r="G613" i="9"/>
  <c r="F613" i="9"/>
  <c r="E613" i="9"/>
  <c r="D613" i="9"/>
  <c r="C613" i="9"/>
  <c r="B613" i="9"/>
  <c r="AJ612" i="9"/>
  <c r="AI612" i="9"/>
  <c r="AH612" i="9"/>
  <c r="AG612" i="9"/>
  <c r="AF612" i="9"/>
  <c r="AE612" i="9"/>
  <c r="AD612" i="9"/>
  <c r="AC612" i="9"/>
  <c r="AB612" i="9"/>
  <c r="AA612" i="9"/>
  <c r="Z612" i="9"/>
  <c r="Y612" i="9"/>
  <c r="X612" i="9"/>
  <c r="W612" i="9"/>
  <c r="V612" i="9"/>
  <c r="U612" i="9"/>
  <c r="T612" i="9"/>
  <c r="S612" i="9"/>
  <c r="R612" i="9"/>
  <c r="Q612" i="9"/>
  <c r="P612" i="9"/>
  <c r="O612" i="9"/>
  <c r="M612" i="9"/>
  <c r="L612" i="9"/>
  <c r="K612" i="9"/>
  <c r="J612" i="9"/>
  <c r="I612" i="9"/>
  <c r="H612" i="9"/>
  <c r="G612" i="9"/>
  <c r="F612" i="9"/>
  <c r="E612" i="9"/>
  <c r="D612" i="9"/>
  <c r="C612" i="9"/>
  <c r="B612" i="9"/>
  <c r="AJ611" i="9"/>
  <c r="AI611" i="9"/>
  <c r="AH611" i="9"/>
  <c r="AG611" i="9"/>
  <c r="AF611" i="9"/>
  <c r="AE611" i="9"/>
  <c r="AD611" i="9"/>
  <c r="AC611" i="9"/>
  <c r="AB611" i="9"/>
  <c r="AA611" i="9"/>
  <c r="Z611" i="9"/>
  <c r="Y611" i="9"/>
  <c r="X611" i="9"/>
  <c r="W611" i="9"/>
  <c r="V611" i="9"/>
  <c r="U611" i="9"/>
  <c r="T611" i="9"/>
  <c r="S611" i="9"/>
  <c r="R611" i="9"/>
  <c r="Q611" i="9"/>
  <c r="P611" i="9"/>
  <c r="O611" i="9"/>
  <c r="M611" i="9"/>
  <c r="L611" i="9"/>
  <c r="K611" i="9"/>
  <c r="J611" i="9"/>
  <c r="I611" i="9"/>
  <c r="H611" i="9"/>
  <c r="G611" i="9"/>
  <c r="F611" i="9"/>
  <c r="E611" i="9"/>
  <c r="D611" i="9"/>
  <c r="C611" i="9"/>
  <c r="B611" i="9"/>
  <c r="AJ610" i="9"/>
  <c r="AI610" i="9"/>
  <c r="AH610" i="9"/>
  <c r="AG610" i="9"/>
  <c r="AF610" i="9"/>
  <c r="AE610" i="9"/>
  <c r="AD610" i="9"/>
  <c r="AC610" i="9"/>
  <c r="AB610" i="9"/>
  <c r="AA610" i="9"/>
  <c r="Z610" i="9"/>
  <c r="Y610" i="9"/>
  <c r="X610" i="9"/>
  <c r="W610" i="9"/>
  <c r="V610" i="9"/>
  <c r="U610" i="9"/>
  <c r="T610" i="9"/>
  <c r="S610" i="9"/>
  <c r="R610" i="9"/>
  <c r="Q610" i="9"/>
  <c r="P610" i="9"/>
  <c r="O610" i="9"/>
  <c r="M610" i="9"/>
  <c r="L610" i="9"/>
  <c r="K610" i="9"/>
  <c r="J610" i="9"/>
  <c r="I610" i="9"/>
  <c r="H610" i="9"/>
  <c r="G610" i="9"/>
  <c r="F610" i="9"/>
  <c r="E610" i="9"/>
  <c r="D610" i="9"/>
  <c r="C610" i="9"/>
  <c r="B610" i="9"/>
  <c r="AJ609" i="9"/>
  <c r="AI609" i="9"/>
  <c r="AH609" i="9"/>
  <c r="AG609" i="9"/>
  <c r="AF609" i="9"/>
  <c r="AE609" i="9"/>
  <c r="AD609" i="9"/>
  <c r="AC609" i="9"/>
  <c r="AB609" i="9"/>
  <c r="AA609" i="9"/>
  <c r="Z609" i="9"/>
  <c r="Y609" i="9"/>
  <c r="X609" i="9"/>
  <c r="W609" i="9"/>
  <c r="V609" i="9"/>
  <c r="U609" i="9"/>
  <c r="T609" i="9"/>
  <c r="S609" i="9"/>
  <c r="R609" i="9"/>
  <c r="Q609" i="9"/>
  <c r="P609" i="9"/>
  <c r="O609" i="9"/>
  <c r="M609" i="9"/>
  <c r="L609" i="9"/>
  <c r="K609" i="9"/>
  <c r="J609" i="9"/>
  <c r="I609" i="9"/>
  <c r="H609" i="9"/>
  <c r="G609" i="9"/>
  <c r="F609" i="9"/>
  <c r="E609" i="9"/>
  <c r="D609" i="9"/>
  <c r="C609" i="9"/>
  <c r="B609" i="9"/>
  <c r="AJ608" i="9"/>
  <c r="AI608" i="9"/>
  <c r="AH608" i="9"/>
  <c r="AG608" i="9"/>
  <c r="AF608" i="9"/>
  <c r="AE608" i="9"/>
  <c r="AD608" i="9"/>
  <c r="AC608" i="9"/>
  <c r="AB608" i="9"/>
  <c r="AA608" i="9"/>
  <c r="Z608" i="9"/>
  <c r="Y608" i="9"/>
  <c r="X608" i="9"/>
  <c r="W608" i="9"/>
  <c r="V608" i="9"/>
  <c r="U608" i="9"/>
  <c r="T608" i="9"/>
  <c r="S608" i="9"/>
  <c r="R608" i="9"/>
  <c r="Q608" i="9"/>
  <c r="P608" i="9"/>
  <c r="O608" i="9"/>
  <c r="M608" i="9"/>
  <c r="L608" i="9"/>
  <c r="K608" i="9"/>
  <c r="J608" i="9"/>
  <c r="I608" i="9"/>
  <c r="H608" i="9"/>
  <c r="G608" i="9"/>
  <c r="F608" i="9"/>
  <c r="E608" i="9"/>
  <c r="D608" i="9"/>
  <c r="C608" i="9"/>
  <c r="B608" i="9"/>
  <c r="AJ607" i="9"/>
  <c r="AI607" i="9"/>
  <c r="AH607" i="9"/>
  <c r="AG607" i="9"/>
  <c r="AF607" i="9"/>
  <c r="AE607" i="9"/>
  <c r="AD607" i="9"/>
  <c r="AC607" i="9"/>
  <c r="AB607" i="9"/>
  <c r="AA607" i="9"/>
  <c r="Z607" i="9"/>
  <c r="Y607" i="9"/>
  <c r="X607" i="9"/>
  <c r="W607" i="9"/>
  <c r="V607" i="9"/>
  <c r="U607" i="9"/>
  <c r="T607" i="9"/>
  <c r="S607" i="9"/>
  <c r="R607" i="9"/>
  <c r="Q607" i="9"/>
  <c r="P607" i="9"/>
  <c r="O607" i="9"/>
  <c r="M607" i="9"/>
  <c r="L607" i="9"/>
  <c r="K607" i="9"/>
  <c r="J607" i="9"/>
  <c r="I607" i="9"/>
  <c r="H607" i="9"/>
  <c r="G607" i="9"/>
  <c r="F607" i="9"/>
  <c r="E607" i="9"/>
  <c r="D607" i="9"/>
  <c r="C607" i="9"/>
  <c r="B607" i="9"/>
  <c r="AJ606" i="9"/>
  <c r="AI606" i="9"/>
  <c r="AH606" i="9"/>
  <c r="AG606" i="9"/>
  <c r="AF606" i="9"/>
  <c r="AE606" i="9"/>
  <c r="AD606" i="9"/>
  <c r="AC606" i="9"/>
  <c r="AB606" i="9"/>
  <c r="AA606" i="9"/>
  <c r="Z606" i="9"/>
  <c r="Y606" i="9"/>
  <c r="X606" i="9"/>
  <c r="W606" i="9"/>
  <c r="V606" i="9"/>
  <c r="U606" i="9"/>
  <c r="T606" i="9"/>
  <c r="S606" i="9"/>
  <c r="R606" i="9"/>
  <c r="Q606" i="9"/>
  <c r="P606" i="9"/>
  <c r="O606" i="9"/>
  <c r="M606" i="9"/>
  <c r="L606" i="9"/>
  <c r="K606" i="9"/>
  <c r="J606" i="9"/>
  <c r="I606" i="9"/>
  <c r="H606" i="9"/>
  <c r="G606" i="9"/>
  <c r="F606" i="9"/>
  <c r="E606" i="9"/>
  <c r="D606" i="9"/>
  <c r="C606" i="9"/>
  <c r="B606" i="9"/>
  <c r="AJ605" i="9"/>
  <c r="AI605" i="9"/>
  <c r="AH605" i="9"/>
  <c r="AG605" i="9"/>
  <c r="AF605" i="9"/>
  <c r="AE605" i="9"/>
  <c r="AD605" i="9"/>
  <c r="AC605" i="9"/>
  <c r="AB605" i="9"/>
  <c r="AA605" i="9"/>
  <c r="Z605" i="9"/>
  <c r="Y605" i="9"/>
  <c r="X605" i="9"/>
  <c r="W605" i="9"/>
  <c r="V605" i="9"/>
  <c r="U605" i="9"/>
  <c r="T605" i="9"/>
  <c r="S605" i="9"/>
  <c r="R605" i="9"/>
  <c r="Q605" i="9"/>
  <c r="P605" i="9"/>
  <c r="O605" i="9"/>
  <c r="M605" i="9"/>
  <c r="L605" i="9"/>
  <c r="K605" i="9"/>
  <c r="J605" i="9"/>
  <c r="I605" i="9"/>
  <c r="H605" i="9"/>
  <c r="G605" i="9"/>
  <c r="F605" i="9"/>
  <c r="E605" i="9"/>
  <c r="D605" i="9"/>
  <c r="C605" i="9"/>
  <c r="B605" i="9"/>
  <c r="AJ604" i="9"/>
  <c r="AI604" i="9"/>
  <c r="AH604" i="9"/>
  <c r="AG604" i="9"/>
  <c r="AF604" i="9"/>
  <c r="AE604" i="9"/>
  <c r="AD604" i="9"/>
  <c r="AC604" i="9"/>
  <c r="AB604" i="9"/>
  <c r="AA604" i="9"/>
  <c r="Z604" i="9"/>
  <c r="Y604" i="9"/>
  <c r="X604" i="9"/>
  <c r="W604" i="9"/>
  <c r="V604" i="9"/>
  <c r="U604" i="9"/>
  <c r="T604" i="9"/>
  <c r="S604" i="9"/>
  <c r="R604" i="9"/>
  <c r="Q604" i="9"/>
  <c r="P604" i="9"/>
  <c r="O604" i="9"/>
  <c r="M604" i="9"/>
  <c r="L604" i="9"/>
  <c r="K604" i="9"/>
  <c r="J604" i="9"/>
  <c r="I604" i="9"/>
  <c r="H604" i="9"/>
  <c r="G604" i="9"/>
  <c r="F604" i="9"/>
  <c r="E604" i="9"/>
  <c r="D604" i="9"/>
  <c r="C604" i="9"/>
  <c r="B604" i="9"/>
  <c r="AJ603" i="9"/>
  <c r="AI603" i="9"/>
  <c r="AH603" i="9"/>
  <c r="AG603" i="9"/>
  <c r="AF603" i="9"/>
  <c r="AE603" i="9"/>
  <c r="AD603" i="9"/>
  <c r="AC603" i="9"/>
  <c r="AB603" i="9"/>
  <c r="AA603" i="9"/>
  <c r="Z603" i="9"/>
  <c r="Y603" i="9"/>
  <c r="X603" i="9"/>
  <c r="W603" i="9"/>
  <c r="V603" i="9"/>
  <c r="U603" i="9"/>
  <c r="T603" i="9"/>
  <c r="S603" i="9"/>
  <c r="R603" i="9"/>
  <c r="Q603" i="9"/>
  <c r="P603" i="9"/>
  <c r="O603" i="9"/>
  <c r="M603" i="9"/>
  <c r="L603" i="9"/>
  <c r="K603" i="9"/>
  <c r="J603" i="9"/>
  <c r="I603" i="9"/>
  <c r="H603" i="9"/>
  <c r="G603" i="9"/>
  <c r="F603" i="9"/>
  <c r="E603" i="9"/>
  <c r="D603" i="9"/>
  <c r="C603" i="9"/>
  <c r="B603" i="9"/>
  <c r="AJ602" i="9"/>
  <c r="AI602" i="9"/>
  <c r="AH602" i="9"/>
  <c r="AG602" i="9"/>
  <c r="AF602" i="9"/>
  <c r="AE602" i="9"/>
  <c r="AD602" i="9"/>
  <c r="AC602" i="9"/>
  <c r="AB602" i="9"/>
  <c r="AA602" i="9"/>
  <c r="Z602" i="9"/>
  <c r="Y602" i="9"/>
  <c r="X602" i="9"/>
  <c r="W602" i="9"/>
  <c r="V602" i="9"/>
  <c r="U602" i="9"/>
  <c r="T602" i="9"/>
  <c r="S602" i="9"/>
  <c r="R602" i="9"/>
  <c r="Q602" i="9"/>
  <c r="P602" i="9"/>
  <c r="O602" i="9"/>
  <c r="M602" i="9"/>
  <c r="L602" i="9"/>
  <c r="K602" i="9"/>
  <c r="J602" i="9"/>
  <c r="I602" i="9"/>
  <c r="H602" i="9"/>
  <c r="G602" i="9"/>
  <c r="F602" i="9"/>
  <c r="E602" i="9"/>
  <c r="D602" i="9"/>
  <c r="C602" i="9"/>
  <c r="B602" i="9"/>
  <c r="AJ601" i="9"/>
  <c r="AI601" i="9"/>
  <c r="AH601" i="9"/>
  <c r="AG601" i="9"/>
  <c r="AF601" i="9"/>
  <c r="AE601" i="9"/>
  <c r="AD601" i="9"/>
  <c r="AC601" i="9"/>
  <c r="AB601" i="9"/>
  <c r="AA601" i="9"/>
  <c r="Z601" i="9"/>
  <c r="Y601" i="9"/>
  <c r="X601" i="9"/>
  <c r="W601" i="9"/>
  <c r="V601" i="9"/>
  <c r="U601" i="9"/>
  <c r="T601" i="9"/>
  <c r="S601" i="9"/>
  <c r="R601" i="9"/>
  <c r="Q601" i="9"/>
  <c r="P601" i="9"/>
  <c r="O601" i="9"/>
  <c r="M601" i="9"/>
  <c r="L601" i="9"/>
  <c r="K601" i="9"/>
  <c r="J601" i="9"/>
  <c r="I601" i="9"/>
  <c r="H601" i="9"/>
  <c r="G601" i="9"/>
  <c r="F601" i="9"/>
  <c r="E601" i="9"/>
  <c r="D601" i="9"/>
  <c r="C601" i="9"/>
  <c r="B601" i="9"/>
  <c r="AJ600" i="9"/>
  <c r="AI600" i="9"/>
  <c r="AH600" i="9"/>
  <c r="AG600" i="9"/>
  <c r="AF600" i="9"/>
  <c r="AE600" i="9"/>
  <c r="AD600" i="9"/>
  <c r="AC600" i="9"/>
  <c r="AB600" i="9"/>
  <c r="AA600" i="9"/>
  <c r="Z600" i="9"/>
  <c r="Y600" i="9"/>
  <c r="X600" i="9"/>
  <c r="W600" i="9"/>
  <c r="V600" i="9"/>
  <c r="U600" i="9"/>
  <c r="T600" i="9"/>
  <c r="S600" i="9"/>
  <c r="R600" i="9"/>
  <c r="Q600" i="9"/>
  <c r="P600" i="9"/>
  <c r="O600" i="9"/>
  <c r="M600" i="9"/>
  <c r="L600" i="9"/>
  <c r="K600" i="9"/>
  <c r="J600" i="9"/>
  <c r="I600" i="9"/>
  <c r="H600" i="9"/>
  <c r="G600" i="9"/>
  <c r="F600" i="9"/>
  <c r="E600" i="9"/>
  <c r="D600" i="9"/>
  <c r="C600" i="9"/>
  <c r="B600" i="9"/>
  <c r="AJ599" i="9"/>
  <c r="AI599" i="9"/>
  <c r="AH599" i="9"/>
  <c r="AG599" i="9"/>
  <c r="AF599" i="9"/>
  <c r="AE599" i="9"/>
  <c r="AD599" i="9"/>
  <c r="AC599" i="9"/>
  <c r="AB599" i="9"/>
  <c r="AA599" i="9"/>
  <c r="Z599" i="9"/>
  <c r="Y599" i="9"/>
  <c r="X599" i="9"/>
  <c r="W599" i="9"/>
  <c r="V599" i="9"/>
  <c r="U599" i="9"/>
  <c r="T599" i="9"/>
  <c r="S599" i="9"/>
  <c r="R599" i="9"/>
  <c r="Q599" i="9"/>
  <c r="P599" i="9"/>
  <c r="O599" i="9"/>
  <c r="M599" i="9"/>
  <c r="L599" i="9"/>
  <c r="K599" i="9"/>
  <c r="J599" i="9"/>
  <c r="I599" i="9"/>
  <c r="H599" i="9"/>
  <c r="G599" i="9"/>
  <c r="F599" i="9"/>
  <c r="E599" i="9"/>
  <c r="D599" i="9"/>
  <c r="C599" i="9"/>
  <c r="B599" i="9"/>
  <c r="AJ598" i="9"/>
  <c r="AI598" i="9"/>
  <c r="AH598" i="9"/>
  <c r="AG598" i="9"/>
  <c r="AF598" i="9"/>
  <c r="AE598" i="9"/>
  <c r="AD598" i="9"/>
  <c r="AC598" i="9"/>
  <c r="AB598" i="9"/>
  <c r="AA598" i="9"/>
  <c r="Z598" i="9"/>
  <c r="Y598" i="9"/>
  <c r="X598" i="9"/>
  <c r="W598" i="9"/>
  <c r="V598" i="9"/>
  <c r="U598" i="9"/>
  <c r="T598" i="9"/>
  <c r="S598" i="9"/>
  <c r="R598" i="9"/>
  <c r="Q598" i="9"/>
  <c r="P598" i="9"/>
  <c r="O598" i="9"/>
  <c r="M598" i="9"/>
  <c r="L598" i="9"/>
  <c r="K598" i="9"/>
  <c r="J598" i="9"/>
  <c r="I598" i="9"/>
  <c r="H598" i="9"/>
  <c r="G598" i="9"/>
  <c r="F598" i="9"/>
  <c r="E598" i="9"/>
  <c r="D598" i="9"/>
  <c r="C598" i="9"/>
  <c r="B598" i="9"/>
  <c r="AJ597" i="9"/>
  <c r="AI597" i="9"/>
  <c r="AH597" i="9"/>
  <c r="AG597" i="9"/>
  <c r="AF597" i="9"/>
  <c r="AE597" i="9"/>
  <c r="AD597" i="9"/>
  <c r="AC597" i="9"/>
  <c r="AB597" i="9"/>
  <c r="AA597" i="9"/>
  <c r="Z597" i="9"/>
  <c r="Y597" i="9"/>
  <c r="X597" i="9"/>
  <c r="W597" i="9"/>
  <c r="V597" i="9"/>
  <c r="U597" i="9"/>
  <c r="T597" i="9"/>
  <c r="S597" i="9"/>
  <c r="R597" i="9"/>
  <c r="Q597" i="9"/>
  <c r="P597" i="9"/>
  <c r="O597" i="9"/>
  <c r="M597" i="9"/>
  <c r="L597" i="9"/>
  <c r="K597" i="9"/>
  <c r="J597" i="9"/>
  <c r="I597" i="9"/>
  <c r="H597" i="9"/>
  <c r="G597" i="9"/>
  <c r="F597" i="9"/>
  <c r="E597" i="9"/>
  <c r="D597" i="9"/>
  <c r="C597" i="9"/>
  <c r="B597" i="9"/>
  <c r="AJ596" i="9"/>
  <c r="AI596" i="9"/>
  <c r="AH596" i="9"/>
  <c r="AG596" i="9"/>
  <c r="AF596" i="9"/>
  <c r="AE596" i="9"/>
  <c r="AD596" i="9"/>
  <c r="AC596" i="9"/>
  <c r="AB596" i="9"/>
  <c r="AA596" i="9"/>
  <c r="Z596" i="9"/>
  <c r="Y596" i="9"/>
  <c r="X596" i="9"/>
  <c r="W596" i="9"/>
  <c r="V596" i="9"/>
  <c r="U596" i="9"/>
  <c r="T596" i="9"/>
  <c r="S596" i="9"/>
  <c r="R596" i="9"/>
  <c r="Q596" i="9"/>
  <c r="P596" i="9"/>
  <c r="O596" i="9"/>
  <c r="M596" i="9"/>
  <c r="L596" i="9"/>
  <c r="K596" i="9"/>
  <c r="J596" i="9"/>
  <c r="I596" i="9"/>
  <c r="H596" i="9"/>
  <c r="G596" i="9"/>
  <c r="F596" i="9"/>
  <c r="E596" i="9"/>
  <c r="D596" i="9"/>
  <c r="C596" i="9"/>
  <c r="B596" i="9"/>
  <c r="AJ595" i="9"/>
  <c r="AI595" i="9"/>
  <c r="AH595" i="9"/>
  <c r="AG595" i="9"/>
  <c r="AF595" i="9"/>
  <c r="AE595" i="9"/>
  <c r="AD595" i="9"/>
  <c r="AC595" i="9"/>
  <c r="AB595" i="9"/>
  <c r="AA595" i="9"/>
  <c r="Z595" i="9"/>
  <c r="Y595" i="9"/>
  <c r="X595" i="9"/>
  <c r="W595" i="9"/>
  <c r="V595" i="9"/>
  <c r="U595" i="9"/>
  <c r="T595" i="9"/>
  <c r="S595" i="9"/>
  <c r="R595" i="9"/>
  <c r="Q595" i="9"/>
  <c r="P595" i="9"/>
  <c r="O595" i="9"/>
  <c r="M595" i="9"/>
  <c r="L595" i="9"/>
  <c r="K595" i="9"/>
  <c r="J595" i="9"/>
  <c r="I595" i="9"/>
  <c r="H595" i="9"/>
  <c r="G595" i="9"/>
  <c r="F595" i="9"/>
  <c r="E595" i="9"/>
  <c r="D595" i="9"/>
  <c r="C595" i="9"/>
  <c r="B595" i="9"/>
  <c r="AJ594" i="9"/>
  <c r="AI594" i="9"/>
  <c r="AH594" i="9"/>
  <c r="AG594" i="9"/>
  <c r="AF594" i="9"/>
  <c r="AE594" i="9"/>
  <c r="AD594" i="9"/>
  <c r="AC594" i="9"/>
  <c r="AB594" i="9"/>
  <c r="AA594" i="9"/>
  <c r="Z594" i="9"/>
  <c r="Y594" i="9"/>
  <c r="X594" i="9"/>
  <c r="W594" i="9"/>
  <c r="V594" i="9"/>
  <c r="U594" i="9"/>
  <c r="T594" i="9"/>
  <c r="S594" i="9"/>
  <c r="R594" i="9"/>
  <c r="Q594" i="9"/>
  <c r="P594" i="9"/>
  <c r="O594" i="9"/>
  <c r="M594" i="9"/>
  <c r="L594" i="9"/>
  <c r="K594" i="9"/>
  <c r="J594" i="9"/>
  <c r="I594" i="9"/>
  <c r="H594" i="9"/>
  <c r="G594" i="9"/>
  <c r="F594" i="9"/>
  <c r="E594" i="9"/>
  <c r="D594" i="9"/>
  <c r="C594" i="9"/>
  <c r="B594" i="9"/>
  <c r="AJ593" i="9"/>
  <c r="AI593" i="9"/>
  <c r="AH593" i="9"/>
  <c r="AG593" i="9"/>
  <c r="AF593" i="9"/>
  <c r="AE593" i="9"/>
  <c r="AD593" i="9"/>
  <c r="AC593" i="9"/>
  <c r="AB593" i="9"/>
  <c r="AA593" i="9"/>
  <c r="Z593" i="9"/>
  <c r="Y593" i="9"/>
  <c r="X593" i="9"/>
  <c r="W593" i="9"/>
  <c r="V593" i="9"/>
  <c r="U593" i="9"/>
  <c r="T593" i="9"/>
  <c r="S593" i="9"/>
  <c r="R593" i="9"/>
  <c r="Q593" i="9"/>
  <c r="P593" i="9"/>
  <c r="O593" i="9"/>
  <c r="M593" i="9"/>
  <c r="L593" i="9"/>
  <c r="K593" i="9"/>
  <c r="J593" i="9"/>
  <c r="I593" i="9"/>
  <c r="H593" i="9"/>
  <c r="G593" i="9"/>
  <c r="F593" i="9"/>
  <c r="E593" i="9"/>
  <c r="D593" i="9"/>
  <c r="C593" i="9"/>
  <c r="B593" i="9"/>
  <c r="AJ592" i="9"/>
  <c r="AI592" i="9"/>
  <c r="AH592" i="9"/>
  <c r="AG592" i="9"/>
  <c r="AF592" i="9"/>
  <c r="AE592" i="9"/>
  <c r="AD592" i="9"/>
  <c r="AC592" i="9"/>
  <c r="AB592" i="9"/>
  <c r="AA592" i="9"/>
  <c r="Z592" i="9"/>
  <c r="Y592" i="9"/>
  <c r="X592" i="9"/>
  <c r="W592" i="9"/>
  <c r="V592" i="9"/>
  <c r="U592" i="9"/>
  <c r="T592" i="9"/>
  <c r="S592" i="9"/>
  <c r="R592" i="9"/>
  <c r="Q592" i="9"/>
  <c r="P592" i="9"/>
  <c r="O592" i="9"/>
  <c r="M592" i="9"/>
  <c r="L592" i="9"/>
  <c r="K592" i="9"/>
  <c r="J592" i="9"/>
  <c r="I592" i="9"/>
  <c r="H592" i="9"/>
  <c r="G592" i="9"/>
  <c r="F592" i="9"/>
  <c r="E592" i="9"/>
  <c r="D592" i="9"/>
  <c r="C592" i="9"/>
  <c r="B592" i="9"/>
  <c r="AJ591" i="9"/>
  <c r="AI591" i="9"/>
  <c r="AH591" i="9"/>
  <c r="AG591" i="9"/>
  <c r="AF591" i="9"/>
  <c r="AE591" i="9"/>
  <c r="AD591" i="9"/>
  <c r="AC591" i="9"/>
  <c r="AB591" i="9"/>
  <c r="AA591" i="9"/>
  <c r="Z591" i="9"/>
  <c r="Y591" i="9"/>
  <c r="X591" i="9"/>
  <c r="W591" i="9"/>
  <c r="V591" i="9"/>
  <c r="U591" i="9"/>
  <c r="T591" i="9"/>
  <c r="S591" i="9"/>
  <c r="R591" i="9"/>
  <c r="Q591" i="9"/>
  <c r="P591" i="9"/>
  <c r="O591" i="9"/>
  <c r="M591" i="9"/>
  <c r="L591" i="9"/>
  <c r="K591" i="9"/>
  <c r="J591" i="9"/>
  <c r="I591" i="9"/>
  <c r="H591" i="9"/>
  <c r="G591" i="9"/>
  <c r="F591" i="9"/>
  <c r="E591" i="9"/>
  <c r="D591" i="9"/>
  <c r="C591" i="9"/>
  <c r="B591" i="9"/>
  <c r="AJ590" i="9"/>
  <c r="AI590" i="9"/>
  <c r="AH590" i="9"/>
  <c r="AG590" i="9"/>
  <c r="AF590" i="9"/>
  <c r="AE590" i="9"/>
  <c r="AD590" i="9"/>
  <c r="AC590" i="9"/>
  <c r="AB590" i="9"/>
  <c r="AA590" i="9"/>
  <c r="Z590" i="9"/>
  <c r="Y590" i="9"/>
  <c r="X590" i="9"/>
  <c r="W590" i="9"/>
  <c r="V590" i="9"/>
  <c r="U590" i="9"/>
  <c r="T590" i="9"/>
  <c r="S590" i="9"/>
  <c r="R590" i="9"/>
  <c r="Q590" i="9"/>
  <c r="P590" i="9"/>
  <c r="O590" i="9"/>
  <c r="M590" i="9"/>
  <c r="L590" i="9"/>
  <c r="K590" i="9"/>
  <c r="J590" i="9"/>
  <c r="I590" i="9"/>
  <c r="H590" i="9"/>
  <c r="G590" i="9"/>
  <c r="F590" i="9"/>
  <c r="E590" i="9"/>
  <c r="D590" i="9"/>
  <c r="C590" i="9"/>
  <c r="B590" i="9"/>
  <c r="AJ589" i="9"/>
  <c r="AI589" i="9"/>
  <c r="AH589" i="9"/>
  <c r="AG589" i="9"/>
  <c r="AF589" i="9"/>
  <c r="AE589" i="9"/>
  <c r="AD589" i="9"/>
  <c r="AC589" i="9"/>
  <c r="AB589" i="9"/>
  <c r="AA589" i="9"/>
  <c r="Z589" i="9"/>
  <c r="Y589" i="9"/>
  <c r="X589" i="9"/>
  <c r="W589" i="9"/>
  <c r="V589" i="9"/>
  <c r="U589" i="9"/>
  <c r="T589" i="9"/>
  <c r="S589" i="9"/>
  <c r="R589" i="9"/>
  <c r="Q589" i="9"/>
  <c r="P589" i="9"/>
  <c r="O589" i="9"/>
  <c r="M589" i="9"/>
  <c r="L589" i="9"/>
  <c r="K589" i="9"/>
  <c r="J589" i="9"/>
  <c r="I589" i="9"/>
  <c r="H589" i="9"/>
  <c r="G589" i="9"/>
  <c r="F589" i="9"/>
  <c r="E589" i="9"/>
  <c r="D589" i="9"/>
  <c r="C589" i="9"/>
  <c r="B589" i="9"/>
  <c r="AJ588" i="9"/>
  <c r="AI588" i="9"/>
  <c r="AH588" i="9"/>
  <c r="AG588" i="9"/>
  <c r="AF588" i="9"/>
  <c r="AE588" i="9"/>
  <c r="AD588" i="9"/>
  <c r="AC588" i="9"/>
  <c r="AB588" i="9"/>
  <c r="AA588" i="9"/>
  <c r="Z588" i="9"/>
  <c r="Y588" i="9"/>
  <c r="X588" i="9"/>
  <c r="W588" i="9"/>
  <c r="V588" i="9"/>
  <c r="U588" i="9"/>
  <c r="T588" i="9"/>
  <c r="S588" i="9"/>
  <c r="R588" i="9"/>
  <c r="Q588" i="9"/>
  <c r="P588" i="9"/>
  <c r="O588" i="9"/>
  <c r="M588" i="9"/>
  <c r="L588" i="9"/>
  <c r="K588" i="9"/>
  <c r="J588" i="9"/>
  <c r="I588" i="9"/>
  <c r="H588" i="9"/>
  <c r="G588" i="9"/>
  <c r="F588" i="9"/>
  <c r="E588" i="9"/>
  <c r="D588" i="9"/>
  <c r="C588" i="9"/>
  <c r="B588" i="9"/>
  <c r="AJ587" i="9"/>
  <c r="AI587" i="9"/>
  <c r="AH587" i="9"/>
  <c r="AG587" i="9"/>
  <c r="AF587" i="9"/>
  <c r="AE587" i="9"/>
  <c r="AD587" i="9"/>
  <c r="AC587" i="9"/>
  <c r="AB587" i="9"/>
  <c r="AA587" i="9"/>
  <c r="Z587" i="9"/>
  <c r="Y587" i="9"/>
  <c r="X587" i="9"/>
  <c r="W587" i="9"/>
  <c r="V587" i="9"/>
  <c r="U587" i="9"/>
  <c r="T587" i="9"/>
  <c r="S587" i="9"/>
  <c r="R587" i="9"/>
  <c r="Q587" i="9"/>
  <c r="P587" i="9"/>
  <c r="O587" i="9"/>
  <c r="M587" i="9"/>
  <c r="L587" i="9"/>
  <c r="K587" i="9"/>
  <c r="J587" i="9"/>
  <c r="I587" i="9"/>
  <c r="H587" i="9"/>
  <c r="G587" i="9"/>
  <c r="F587" i="9"/>
  <c r="E587" i="9"/>
  <c r="D587" i="9"/>
  <c r="C587" i="9"/>
  <c r="B587" i="9"/>
  <c r="AJ586" i="9"/>
  <c r="AI586" i="9"/>
  <c r="AH586" i="9"/>
  <c r="AG586" i="9"/>
  <c r="AF586" i="9"/>
  <c r="AE586" i="9"/>
  <c r="AD586" i="9"/>
  <c r="AC586" i="9"/>
  <c r="AB586" i="9"/>
  <c r="AA586" i="9"/>
  <c r="Z586" i="9"/>
  <c r="Y586" i="9"/>
  <c r="X586" i="9"/>
  <c r="W586" i="9"/>
  <c r="V586" i="9"/>
  <c r="U586" i="9"/>
  <c r="T586" i="9"/>
  <c r="S586" i="9"/>
  <c r="R586" i="9"/>
  <c r="Q586" i="9"/>
  <c r="P586" i="9"/>
  <c r="O586" i="9"/>
  <c r="M586" i="9"/>
  <c r="L586" i="9"/>
  <c r="K586" i="9"/>
  <c r="J586" i="9"/>
  <c r="I586" i="9"/>
  <c r="H586" i="9"/>
  <c r="G586" i="9"/>
  <c r="F586" i="9"/>
  <c r="E586" i="9"/>
  <c r="D586" i="9"/>
  <c r="C586" i="9"/>
  <c r="B586" i="9"/>
  <c r="AJ585" i="9"/>
  <c r="AI585" i="9"/>
  <c r="AH585" i="9"/>
  <c r="AG585" i="9"/>
  <c r="AF585" i="9"/>
  <c r="AE585" i="9"/>
  <c r="AD585" i="9"/>
  <c r="AC585" i="9"/>
  <c r="AB585" i="9"/>
  <c r="AA585" i="9"/>
  <c r="Z585" i="9"/>
  <c r="Y585" i="9"/>
  <c r="X585" i="9"/>
  <c r="W585" i="9"/>
  <c r="V585" i="9"/>
  <c r="U585" i="9"/>
  <c r="T585" i="9"/>
  <c r="S585" i="9"/>
  <c r="R585" i="9"/>
  <c r="Q585" i="9"/>
  <c r="P585" i="9"/>
  <c r="O585" i="9"/>
  <c r="M585" i="9"/>
  <c r="L585" i="9"/>
  <c r="K585" i="9"/>
  <c r="J585" i="9"/>
  <c r="I585" i="9"/>
  <c r="H585" i="9"/>
  <c r="G585" i="9"/>
  <c r="F585" i="9"/>
  <c r="E585" i="9"/>
  <c r="D585" i="9"/>
  <c r="C585" i="9"/>
  <c r="B585" i="9"/>
  <c r="AJ584" i="9"/>
  <c r="AI584" i="9"/>
  <c r="AH584" i="9"/>
  <c r="AG584" i="9"/>
  <c r="AF584" i="9"/>
  <c r="AE584" i="9"/>
  <c r="AD584" i="9"/>
  <c r="AC584" i="9"/>
  <c r="AB584" i="9"/>
  <c r="AA584" i="9"/>
  <c r="Z584" i="9"/>
  <c r="Y584" i="9"/>
  <c r="X584" i="9"/>
  <c r="W584" i="9"/>
  <c r="V584" i="9"/>
  <c r="U584" i="9"/>
  <c r="T584" i="9"/>
  <c r="S584" i="9"/>
  <c r="R584" i="9"/>
  <c r="Q584" i="9"/>
  <c r="P584" i="9"/>
  <c r="O584" i="9"/>
  <c r="M584" i="9"/>
  <c r="L584" i="9"/>
  <c r="K584" i="9"/>
  <c r="J584" i="9"/>
  <c r="I584" i="9"/>
  <c r="H584" i="9"/>
  <c r="G584" i="9"/>
  <c r="F584" i="9"/>
  <c r="E584" i="9"/>
  <c r="D584" i="9"/>
  <c r="C584" i="9"/>
  <c r="B584" i="9"/>
  <c r="AJ583" i="9"/>
  <c r="AI583" i="9"/>
  <c r="AH583" i="9"/>
  <c r="AG583" i="9"/>
  <c r="AF583" i="9"/>
  <c r="AE583" i="9"/>
  <c r="AD583" i="9"/>
  <c r="AC583" i="9"/>
  <c r="AB583" i="9"/>
  <c r="AA583" i="9"/>
  <c r="Z583" i="9"/>
  <c r="Y583" i="9"/>
  <c r="X583" i="9"/>
  <c r="W583" i="9"/>
  <c r="V583" i="9"/>
  <c r="U583" i="9"/>
  <c r="T583" i="9"/>
  <c r="S583" i="9"/>
  <c r="R583" i="9"/>
  <c r="Q583" i="9"/>
  <c r="P583" i="9"/>
  <c r="O583" i="9"/>
  <c r="M583" i="9"/>
  <c r="L583" i="9"/>
  <c r="K583" i="9"/>
  <c r="J583" i="9"/>
  <c r="I583" i="9"/>
  <c r="H583" i="9"/>
  <c r="G583" i="9"/>
  <c r="F583" i="9"/>
  <c r="E583" i="9"/>
  <c r="D583" i="9"/>
  <c r="C583" i="9"/>
  <c r="B583" i="9"/>
  <c r="AJ582" i="9"/>
  <c r="AI582" i="9"/>
  <c r="AH582" i="9"/>
  <c r="AG582" i="9"/>
  <c r="AF582" i="9"/>
  <c r="AE582" i="9"/>
  <c r="AD582" i="9"/>
  <c r="AC582" i="9"/>
  <c r="AB582" i="9"/>
  <c r="AA582" i="9"/>
  <c r="Z582" i="9"/>
  <c r="Y582" i="9"/>
  <c r="X582" i="9"/>
  <c r="W582" i="9"/>
  <c r="V582" i="9"/>
  <c r="U582" i="9"/>
  <c r="T582" i="9"/>
  <c r="S582" i="9"/>
  <c r="R582" i="9"/>
  <c r="Q582" i="9"/>
  <c r="P582" i="9"/>
  <c r="O582" i="9"/>
  <c r="M582" i="9"/>
  <c r="L582" i="9"/>
  <c r="K582" i="9"/>
  <c r="J582" i="9"/>
  <c r="I582" i="9"/>
  <c r="H582" i="9"/>
  <c r="G582" i="9"/>
  <c r="F582" i="9"/>
  <c r="E582" i="9"/>
  <c r="D582" i="9"/>
  <c r="C582" i="9"/>
  <c r="B582" i="9"/>
  <c r="AJ581" i="9"/>
  <c r="AI581" i="9"/>
  <c r="AH581" i="9"/>
  <c r="AG581" i="9"/>
  <c r="AF581" i="9"/>
  <c r="AE581" i="9"/>
  <c r="AD581" i="9"/>
  <c r="AC581" i="9"/>
  <c r="AB581" i="9"/>
  <c r="AA581" i="9"/>
  <c r="Z581" i="9"/>
  <c r="Y581" i="9"/>
  <c r="X581" i="9"/>
  <c r="W581" i="9"/>
  <c r="V581" i="9"/>
  <c r="U581" i="9"/>
  <c r="T581" i="9"/>
  <c r="S581" i="9"/>
  <c r="R581" i="9"/>
  <c r="Q581" i="9"/>
  <c r="P581" i="9"/>
  <c r="O581" i="9"/>
  <c r="M581" i="9"/>
  <c r="L581" i="9"/>
  <c r="K581" i="9"/>
  <c r="J581" i="9"/>
  <c r="I581" i="9"/>
  <c r="H581" i="9"/>
  <c r="G581" i="9"/>
  <c r="F581" i="9"/>
  <c r="E581" i="9"/>
  <c r="D581" i="9"/>
  <c r="C581" i="9"/>
  <c r="B581" i="9"/>
  <c r="AJ580" i="9"/>
  <c r="AI580" i="9"/>
  <c r="AH580" i="9"/>
  <c r="AG580" i="9"/>
  <c r="AF580" i="9"/>
  <c r="AE580" i="9"/>
  <c r="AD580" i="9"/>
  <c r="AC580" i="9"/>
  <c r="AB580" i="9"/>
  <c r="AA580" i="9"/>
  <c r="Z580" i="9"/>
  <c r="Y580" i="9"/>
  <c r="X580" i="9"/>
  <c r="W580" i="9"/>
  <c r="V580" i="9"/>
  <c r="U580" i="9"/>
  <c r="T580" i="9"/>
  <c r="S580" i="9"/>
  <c r="R580" i="9"/>
  <c r="Q580" i="9"/>
  <c r="P580" i="9"/>
  <c r="O580" i="9"/>
  <c r="M580" i="9"/>
  <c r="L580" i="9"/>
  <c r="K580" i="9"/>
  <c r="J580" i="9"/>
  <c r="I580" i="9"/>
  <c r="H580" i="9"/>
  <c r="G580" i="9"/>
  <c r="F580" i="9"/>
  <c r="E580" i="9"/>
  <c r="D580" i="9"/>
  <c r="C580" i="9"/>
  <c r="B580" i="9"/>
  <c r="AJ579" i="9"/>
  <c r="AI579" i="9"/>
  <c r="AH579" i="9"/>
  <c r="AG579" i="9"/>
  <c r="AF579" i="9"/>
  <c r="AE579" i="9"/>
  <c r="AD579" i="9"/>
  <c r="AC579" i="9"/>
  <c r="AB579" i="9"/>
  <c r="AA579" i="9"/>
  <c r="Z579" i="9"/>
  <c r="Y579" i="9"/>
  <c r="X579" i="9"/>
  <c r="W579" i="9"/>
  <c r="V579" i="9"/>
  <c r="U579" i="9"/>
  <c r="T579" i="9"/>
  <c r="S579" i="9"/>
  <c r="R579" i="9"/>
  <c r="Q579" i="9"/>
  <c r="P579" i="9"/>
  <c r="O579" i="9"/>
  <c r="M579" i="9"/>
  <c r="L579" i="9"/>
  <c r="K579" i="9"/>
  <c r="J579" i="9"/>
  <c r="I579" i="9"/>
  <c r="H579" i="9"/>
  <c r="G579" i="9"/>
  <c r="F579" i="9"/>
  <c r="E579" i="9"/>
  <c r="D579" i="9"/>
  <c r="C579" i="9"/>
  <c r="B579" i="9"/>
  <c r="AJ578" i="9"/>
  <c r="AI578" i="9"/>
  <c r="AH578" i="9"/>
  <c r="AG578" i="9"/>
  <c r="AF578" i="9"/>
  <c r="AE578" i="9"/>
  <c r="AD578" i="9"/>
  <c r="AC578" i="9"/>
  <c r="AB578" i="9"/>
  <c r="AA578" i="9"/>
  <c r="Z578" i="9"/>
  <c r="Y578" i="9"/>
  <c r="X578" i="9"/>
  <c r="W578" i="9"/>
  <c r="V578" i="9"/>
  <c r="U578" i="9"/>
  <c r="T578" i="9"/>
  <c r="S578" i="9"/>
  <c r="R578" i="9"/>
  <c r="Q578" i="9"/>
  <c r="P578" i="9"/>
  <c r="O578" i="9"/>
  <c r="M578" i="9"/>
  <c r="L578" i="9"/>
  <c r="K578" i="9"/>
  <c r="J578" i="9"/>
  <c r="I578" i="9"/>
  <c r="H578" i="9"/>
  <c r="G578" i="9"/>
  <c r="F578" i="9"/>
  <c r="E578" i="9"/>
  <c r="D578" i="9"/>
  <c r="C578" i="9"/>
  <c r="B578" i="9"/>
  <c r="AJ577" i="9"/>
  <c r="AI577" i="9"/>
  <c r="AH577" i="9"/>
  <c r="AG577" i="9"/>
  <c r="AF577" i="9"/>
  <c r="AE577" i="9"/>
  <c r="AD577" i="9"/>
  <c r="AC577" i="9"/>
  <c r="AB577" i="9"/>
  <c r="AA577" i="9"/>
  <c r="Z577" i="9"/>
  <c r="Y577" i="9"/>
  <c r="X577" i="9"/>
  <c r="W577" i="9"/>
  <c r="V577" i="9"/>
  <c r="U577" i="9"/>
  <c r="T577" i="9"/>
  <c r="S577" i="9"/>
  <c r="R577" i="9"/>
  <c r="Q577" i="9"/>
  <c r="P577" i="9"/>
  <c r="O577" i="9"/>
  <c r="M577" i="9"/>
  <c r="L577" i="9"/>
  <c r="K577" i="9"/>
  <c r="J577" i="9"/>
  <c r="I577" i="9"/>
  <c r="H577" i="9"/>
  <c r="G577" i="9"/>
  <c r="F577" i="9"/>
  <c r="E577" i="9"/>
  <c r="D577" i="9"/>
  <c r="C577" i="9"/>
  <c r="B577" i="9"/>
  <c r="AJ576" i="9"/>
  <c r="AI576" i="9"/>
  <c r="AH576" i="9"/>
  <c r="AG576" i="9"/>
  <c r="AF576" i="9"/>
  <c r="AE576" i="9"/>
  <c r="AD576" i="9"/>
  <c r="AC576" i="9"/>
  <c r="AB576" i="9"/>
  <c r="AA576" i="9"/>
  <c r="Z576" i="9"/>
  <c r="Y576" i="9"/>
  <c r="X576" i="9"/>
  <c r="W576" i="9"/>
  <c r="V576" i="9"/>
  <c r="U576" i="9"/>
  <c r="T576" i="9"/>
  <c r="S576" i="9"/>
  <c r="R576" i="9"/>
  <c r="Q576" i="9"/>
  <c r="P576" i="9"/>
  <c r="O576" i="9"/>
  <c r="M576" i="9"/>
  <c r="L576" i="9"/>
  <c r="K576" i="9"/>
  <c r="J576" i="9"/>
  <c r="I576" i="9"/>
  <c r="H576" i="9"/>
  <c r="G576" i="9"/>
  <c r="F576" i="9"/>
  <c r="E576" i="9"/>
  <c r="D576" i="9"/>
  <c r="C576" i="9"/>
  <c r="B576" i="9"/>
  <c r="AJ575" i="9"/>
  <c r="AI575" i="9"/>
  <c r="AH575" i="9"/>
  <c r="AG575" i="9"/>
  <c r="AF575" i="9"/>
  <c r="AE575" i="9"/>
  <c r="AD575" i="9"/>
  <c r="AC575" i="9"/>
  <c r="AB575" i="9"/>
  <c r="AA575" i="9"/>
  <c r="Z575" i="9"/>
  <c r="Y575" i="9"/>
  <c r="X575" i="9"/>
  <c r="W575" i="9"/>
  <c r="V575" i="9"/>
  <c r="U575" i="9"/>
  <c r="T575" i="9"/>
  <c r="S575" i="9"/>
  <c r="R575" i="9"/>
  <c r="Q575" i="9"/>
  <c r="P575" i="9"/>
  <c r="O575" i="9"/>
  <c r="M575" i="9"/>
  <c r="L575" i="9"/>
  <c r="K575" i="9"/>
  <c r="J575" i="9"/>
  <c r="I575" i="9"/>
  <c r="H575" i="9"/>
  <c r="G575" i="9"/>
  <c r="F575" i="9"/>
  <c r="E575" i="9"/>
  <c r="D575" i="9"/>
  <c r="C575" i="9"/>
  <c r="B575" i="9"/>
  <c r="AJ574" i="9"/>
  <c r="AI574" i="9"/>
  <c r="AH574" i="9"/>
  <c r="AG574" i="9"/>
  <c r="AF574" i="9"/>
  <c r="AE574" i="9"/>
  <c r="AD574" i="9"/>
  <c r="AC574" i="9"/>
  <c r="AB574" i="9"/>
  <c r="AA574" i="9"/>
  <c r="Z574" i="9"/>
  <c r="Y574" i="9"/>
  <c r="X574" i="9"/>
  <c r="W574" i="9"/>
  <c r="V574" i="9"/>
  <c r="U574" i="9"/>
  <c r="T574" i="9"/>
  <c r="S574" i="9"/>
  <c r="R574" i="9"/>
  <c r="Q574" i="9"/>
  <c r="P574" i="9"/>
  <c r="O574" i="9"/>
  <c r="M574" i="9"/>
  <c r="L574" i="9"/>
  <c r="K574" i="9"/>
  <c r="J574" i="9"/>
  <c r="I574" i="9"/>
  <c r="H574" i="9"/>
  <c r="G574" i="9"/>
  <c r="F574" i="9"/>
  <c r="E574" i="9"/>
  <c r="D574" i="9"/>
  <c r="C574" i="9"/>
  <c r="B574" i="9"/>
  <c r="AJ573" i="9"/>
  <c r="AI573" i="9"/>
  <c r="AH573" i="9"/>
  <c r="AG573" i="9"/>
  <c r="AF573" i="9"/>
  <c r="AE573" i="9"/>
  <c r="AD573" i="9"/>
  <c r="AC573" i="9"/>
  <c r="AB573" i="9"/>
  <c r="AA573" i="9"/>
  <c r="Z573" i="9"/>
  <c r="Y573" i="9"/>
  <c r="X573" i="9"/>
  <c r="W573" i="9"/>
  <c r="V573" i="9"/>
  <c r="U573" i="9"/>
  <c r="T573" i="9"/>
  <c r="S573" i="9"/>
  <c r="R573" i="9"/>
  <c r="Q573" i="9"/>
  <c r="P573" i="9"/>
  <c r="O573" i="9"/>
  <c r="M573" i="9"/>
  <c r="L573" i="9"/>
  <c r="K573" i="9"/>
  <c r="J573" i="9"/>
  <c r="I573" i="9"/>
  <c r="H573" i="9"/>
  <c r="G573" i="9"/>
  <c r="F573" i="9"/>
  <c r="E573" i="9"/>
  <c r="D573" i="9"/>
  <c r="C573" i="9"/>
  <c r="B573" i="9"/>
  <c r="AJ572" i="9"/>
  <c r="AI572" i="9"/>
  <c r="AH572" i="9"/>
  <c r="AG572" i="9"/>
  <c r="AF572" i="9"/>
  <c r="AE572" i="9"/>
  <c r="AD572" i="9"/>
  <c r="AC572" i="9"/>
  <c r="AB572" i="9"/>
  <c r="AA572" i="9"/>
  <c r="Z572" i="9"/>
  <c r="Y572" i="9"/>
  <c r="X572" i="9"/>
  <c r="W572" i="9"/>
  <c r="V572" i="9"/>
  <c r="U572" i="9"/>
  <c r="T572" i="9"/>
  <c r="S572" i="9"/>
  <c r="R572" i="9"/>
  <c r="Q572" i="9"/>
  <c r="P572" i="9"/>
  <c r="O572" i="9"/>
  <c r="M572" i="9"/>
  <c r="L572" i="9"/>
  <c r="K572" i="9"/>
  <c r="J572" i="9"/>
  <c r="I572" i="9"/>
  <c r="H572" i="9"/>
  <c r="G572" i="9"/>
  <c r="F572" i="9"/>
  <c r="E572" i="9"/>
  <c r="D572" i="9"/>
  <c r="C572" i="9"/>
  <c r="B572" i="9"/>
  <c r="AJ571" i="9"/>
  <c r="AI571" i="9"/>
  <c r="AH571" i="9"/>
  <c r="AG571" i="9"/>
  <c r="AF571" i="9"/>
  <c r="AE571" i="9"/>
  <c r="AD571" i="9"/>
  <c r="AC571" i="9"/>
  <c r="AB571" i="9"/>
  <c r="AA571" i="9"/>
  <c r="Z571" i="9"/>
  <c r="Y571" i="9"/>
  <c r="X571" i="9"/>
  <c r="W571" i="9"/>
  <c r="V571" i="9"/>
  <c r="U571" i="9"/>
  <c r="T571" i="9"/>
  <c r="S571" i="9"/>
  <c r="R571" i="9"/>
  <c r="Q571" i="9"/>
  <c r="P571" i="9"/>
  <c r="O571" i="9"/>
  <c r="M571" i="9"/>
  <c r="L571" i="9"/>
  <c r="K571" i="9"/>
  <c r="J571" i="9"/>
  <c r="I571" i="9"/>
  <c r="H571" i="9"/>
  <c r="G571" i="9"/>
  <c r="F571" i="9"/>
  <c r="E571" i="9"/>
  <c r="D571" i="9"/>
  <c r="C571" i="9"/>
  <c r="B571" i="9"/>
  <c r="AJ570" i="9"/>
  <c r="AI570" i="9"/>
  <c r="AH570" i="9"/>
  <c r="AG570" i="9"/>
  <c r="AF570" i="9"/>
  <c r="AE570" i="9"/>
  <c r="AD570" i="9"/>
  <c r="AC570" i="9"/>
  <c r="AB570" i="9"/>
  <c r="AA570" i="9"/>
  <c r="Z570" i="9"/>
  <c r="Y570" i="9"/>
  <c r="X570" i="9"/>
  <c r="W570" i="9"/>
  <c r="V570" i="9"/>
  <c r="U570" i="9"/>
  <c r="T570" i="9"/>
  <c r="S570" i="9"/>
  <c r="R570" i="9"/>
  <c r="Q570" i="9"/>
  <c r="P570" i="9"/>
  <c r="O570" i="9"/>
  <c r="M570" i="9"/>
  <c r="L570" i="9"/>
  <c r="K570" i="9"/>
  <c r="J570" i="9"/>
  <c r="I570" i="9"/>
  <c r="H570" i="9"/>
  <c r="G570" i="9"/>
  <c r="F570" i="9"/>
  <c r="E570" i="9"/>
  <c r="D570" i="9"/>
  <c r="C570" i="9"/>
  <c r="B570" i="9"/>
  <c r="AJ569" i="9"/>
  <c r="AI569" i="9"/>
  <c r="AH569" i="9"/>
  <c r="AG569" i="9"/>
  <c r="AF569" i="9"/>
  <c r="AE569" i="9"/>
  <c r="AD569" i="9"/>
  <c r="AC569" i="9"/>
  <c r="AB569" i="9"/>
  <c r="AA569" i="9"/>
  <c r="Z569" i="9"/>
  <c r="Y569" i="9"/>
  <c r="X569" i="9"/>
  <c r="W569" i="9"/>
  <c r="V569" i="9"/>
  <c r="U569" i="9"/>
  <c r="T569" i="9"/>
  <c r="S569" i="9"/>
  <c r="R569" i="9"/>
  <c r="Q569" i="9"/>
  <c r="P569" i="9"/>
  <c r="O569" i="9"/>
  <c r="M569" i="9"/>
  <c r="L569" i="9"/>
  <c r="K569" i="9"/>
  <c r="J569" i="9"/>
  <c r="I569" i="9"/>
  <c r="H569" i="9"/>
  <c r="G569" i="9"/>
  <c r="F569" i="9"/>
  <c r="E569" i="9"/>
  <c r="D569" i="9"/>
  <c r="C569" i="9"/>
  <c r="B569" i="9"/>
  <c r="AJ568" i="9"/>
  <c r="AI568" i="9"/>
  <c r="AH568" i="9"/>
  <c r="AG568" i="9"/>
  <c r="AF568" i="9"/>
  <c r="AE568" i="9"/>
  <c r="AD568" i="9"/>
  <c r="AC568" i="9"/>
  <c r="AB568" i="9"/>
  <c r="AA568" i="9"/>
  <c r="Z568" i="9"/>
  <c r="Y568" i="9"/>
  <c r="X568" i="9"/>
  <c r="W568" i="9"/>
  <c r="V568" i="9"/>
  <c r="U568" i="9"/>
  <c r="T568" i="9"/>
  <c r="S568" i="9"/>
  <c r="R568" i="9"/>
  <c r="Q568" i="9"/>
  <c r="P568" i="9"/>
  <c r="O568" i="9"/>
  <c r="M568" i="9"/>
  <c r="L568" i="9"/>
  <c r="K568" i="9"/>
  <c r="J568" i="9"/>
  <c r="I568" i="9"/>
  <c r="H568" i="9"/>
  <c r="G568" i="9"/>
  <c r="F568" i="9"/>
  <c r="E568" i="9"/>
  <c r="D568" i="9"/>
  <c r="C568" i="9"/>
  <c r="B568" i="9"/>
  <c r="AJ567" i="9"/>
  <c r="AI567" i="9"/>
  <c r="AH567" i="9"/>
  <c r="AG567" i="9"/>
  <c r="AF567" i="9"/>
  <c r="AE567" i="9"/>
  <c r="AD567" i="9"/>
  <c r="AC567" i="9"/>
  <c r="AB567" i="9"/>
  <c r="AA567" i="9"/>
  <c r="Z567" i="9"/>
  <c r="Y567" i="9"/>
  <c r="X567" i="9"/>
  <c r="W567" i="9"/>
  <c r="V567" i="9"/>
  <c r="U567" i="9"/>
  <c r="T567" i="9"/>
  <c r="S567" i="9"/>
  <c r="R567" i="9"/>
  <c r="Q567" i="9"/>
  <c r="P567" i="9"/>
  <c r="O567" i="9"/>
  <c r="M567" i="9"/>
  <c r="L567" i="9"/>
  <c r="K567" i="9"/>
  <c r="J567" i="9"/>
  <c r="I567" i="9"/>
  <c r="H567" i="9"/>
  <c r="G567" i="9"/>
  <c r="F567" i="9"/>
  <c r="E567" i="9"/>
  <c r="D567" i="9"/>
  <c r="C567" i="9"/>
  <c r="B567" i="9"/>
  <c r="AJ566" i="9"/>
  <c r="AI566" i="9"/>
  <c r="AH566" i="9"/>
  <c r="AG566" i="9"/>
  <c r="AF566" i="9"/>
  <c r="AE566" i="9"/>
  <c r="AD566" i="9"/>
  <c r="AC566" i="9"/>
  <c r="AB566" i="9"/>
  <c r="AA566" i="9"/>
  <c r="Z566" i="9"/>
  <c r="Y566" i="9"/>
  <c r="X566" i="9"/>
  <c r="W566" i="9"/>
  <c r="V566" i="9"/>
  <c r="U566" i="9"/>
  <c r="T566" i="9"/>
  <c r="S566" i="9"/>
  <c r="R566" i="9"/>
  <c r="Q566" i="9"/>
  <c r="P566" i="9"/>
  <c r="O566" i="9"/>
  <c r="M566" i="9"/>
  <c r="L566" i="9"/>
  <c r="K566" i="9"/>
  <c r="J566" i="9"/>
  <c r="I566" i="9"/>
  <c r="H566" i="9"/>
  <c r="G566" i="9"/>
  <c r="F566" i="9"/>
  <c r="E566" i="9"/>
  <c r="D566" i="9"/>
  <c r="C566" i="9"/>
  <c r="B566" i="9"/>
  <c r="AJ565" i="9"/>
  <c r="AI565" i="9"/>
  <c r="AH565" i="9"/>
  <c r="AG565" i="9"/>
  <c r="AF565" i="9"/>
  <c r="AE565" i="9"/>
  <c r="AD565" i="9"/>
  <c r="AC565" i="9"/>
  <c r="AB565" i="9"/>
  <c r="AA565" i="9"/>
  <c r="Z565" i="9"/>
  <c r="Y565" i="9"/>
  <c r="X565" i="9"/>
  <c r="W565" i="9"/>
  <c r="V565" i="9"/>
  <c r="U565" i="9"/>
  <c r="T565" i="9"/>
  <c r="S565" i="9"/>
  <c r="R565" i="9"/>
  <c r="Q565" i="9"/>
  <c r="P565" i="9"/>
  <c r="O565" i="9"/>
  <c r="M565" i="9"/>
  <c r="L565" i="9"/>
  <c r="K565" i="9"/>
  <c r="J565" i="9"/>
  <c r="I565" i="9"/>
  <c r="H565" i="9"/>
  <c r="G565" i="9"/>
  <c r="F565" i="9"/>
  <c r="E565" i="9"/>
  <c r="D565" i="9"/>
  <c r="C565" i="9"/>
  <c r="B565" i="9"/>
  <c r="AJ564" i="9"/>
  <c r="AI564" i="9"/>
  <c r="AH564" i="9"/>
  <c r="AG564" i="9"/>
  <c r="AF564" i="9"/>
  <c r="AE564" i="9"/>
  <c r="AD564" i="9"/>
  <c r="AC564" i="9"/>
  <c r="AB564" i="9"/>
  <c r="AA564" i="9"/>
  <c r="Z564" i="9"/>
  <c r="Y564" i="9"/>
  <c r="X564" i="9"/>
  <c r="W564" i="9"/>
  <c r="V564" i="9"/>
  <c r="U564" i="9"/>
  <c r="T564" i="9"/>
  <c r="S564" i="9"/>
  <c r="R564" i="9"/>
  <c r="Q564" i="9"/>
  <c r="P564" i="9"/>
  <c r="O564" i="9"/>
  <c r="M564" i="9"/>
  <c r="L564" i="9"/>
  <c r="K564" i="9"/>
  <c r="J564" i="9"/>
  <c r="I564" i="9"/>
  <c r="H564" i="9"/>
  <c r="G564" i="9"/>
  <c r="F564" i="9"/>
  <c r="E564" i="9"/>
  <c r="D564" i="9"/>
  <c r="C564" i="9"/>
  <c r="B564" i="9"/>
  <c r="AJ563" i="9"/>
  <c r="AI563" i="9"/>
  <c r="AH563" i="9"/>
  <c r="AG563" i="9"/>
  <c r="AF563" i="9"/>
  <c r="AE563" i="9"/>
  <c r="AD563" i="9"/>
  <c r="AC563" i="9"/>
  <c r="AB563" i="9"/>
  <c r="AA563" i="9"/>
  <c r="Z563" i="9"/>
  <c r="Y563" i="9"/>
  <c r="X563" i="9"/>
  <c r="W563" i="9"/>
  <c r="V563" i="9"/>
  <c r="U563" i="9"/>
  <c r="T563" i="9"/>
  <c r="S563" i="9"/>
  <c r="R563" i="9"/>
  <c r="Q563" i="9"/>
  <c r="P563" i="9"/>
  <c r="O563" i="9"/>
  <c r="M563" i="9"/>
  <c r="L563" i="9"/>
  <c r="K563" i="9"/>
  <c r="J563" i="9"/>
  <c r="I563" i="9"/>
  <c r="H563" i="9"/>
  <c r="G563" i="9"/>
  <c r="F563" i="9"/>
  <c r="E563" i="9"/>
  <c r="D563" i="9"/>
  <c r="C563" i="9"/>
  <c r="B563" i="9"/>
  <c r="AJ562" i="9"/>
  <c r="AI562" i="9"/>
  <c r="AH562" i="9"/>
  <c r="AG562" i="9"/>
  <c r="AF562" i="9"/>
  <c r="AE562" i="9"/>
  <c r="AD562" i="9"/>
  <c r="AC562" i="9"/>
  <c r="AB562" i="9"/>
  <c r="AA562" i="9"/>
  <c r="Z562" i="9"/>
  <c r="Y562" i="9"/>
  <c r="X562" i="9"/>
  <c r="W562" i="9"/>
  <c r="V562" i="9"/>
  <c r="U562" i="9"/>
  <c r="T562" i="9"/>
  <c r="S562" i="9"/>
  <c r="R562" i="9"/>
  <c r="Q562" i="9"/>
  <c r="P562" i="9"/>
  <c r="O562" i="9"/>
  <c r="M562" i="9"/>
  <c r="L562" i="9"/>
  <c r="K562" i="9"/>
  <c r="J562" i="9"/>
  <c r="I562" i="9"/>
  <c r="H562" i="9"/>
  <c r="G562" i="9"/>
  <c r="F562" i="9"/>
  <c r="E562" i="9"/>
  <c r="D562" i="9"/>
  <c r="C562" i="9"/>
  <c r="B562" i="9"/>
  <c r="AJ561" i="9"/>
  <c r="AI561" i="9"/>
  <c r="AH561" i="9"/>
  <c r="AG561" i="9"/>
  <c r="AF561" i="9"/>
  <c r="AE561" i="9"/>
  <c r="AD561" i="9"/>
  <c r="AC561" i="9"/>
  <c r="AB561" i="9"/>
  <c r="AA561" i="9"/>
  <c r="Z561" i="9"/>
  <c r="Y561" i="9"/>
  <c r="X561" i="9"/>
  <c r="W561" i="9"/>
  <c r="V561" i="9"/>
  <c r="U561" i="9"/>
  <c r="T561" i="9"/>
  <c r="S561" i="9"/>
  <c r="R561" i="9"/>
  <c r="Q561" i="9"/>
  <c r="P561" i="9"/>
  <c r="O561" i="9"/>
  <c r="M561" i="9"/>
  <c r="L561" i="9"/>
  <c r="K561" i="9"/>
  <c r="J561" i="9"/>
  <c r="I561" i="9"/>
  <c r="H561" i="9"/>
  <c r="G561" i="9"/>
  <c r="F561" i="9"/>
  <c r="E561" i="9"/>
  <c r="D561" i="9"/>
  <c r="C561" i="9"/>
  <c r="B561" i="9"/>
  <c r="AJ560" i="9"/>
  <c r="AI560" i="9"/>
  <c r="AH560" i="9"/>
  <c r="AG560" i="9"/>
  <c r="AF560" i="9"/>
  <c r="AE560" i="9"/>
  <c r="AD560" i="9"/>
  <c r="AC560" i="9"/>
  <c r="AB560" i="9"/>
  <c r="AA560" i="9"/>
  <c r="Z560" i="9"/>
  <c r="Y560" i="9"/>
  <c r="X560" i="9"/>
  <c r="W560" i="9"/>
  <c r="V560" i="9"/>
  <c r="U560" i="9"/>
  <c r="T560" i="9"/>
  <c r="S560" i="9"/>
  <c r="R560" i="9"/>
  <c r="Q560" i="9"/>
  <c r="P560" i="9"/>
  <c r="O560" i="9"/>
  <c r="M560" i="9"/>
  <c r="L560" i="9"/>
  <c r="K560" i="9"/>
  <c r="J560" i="9"/>
  <c r="I560" i="9"/>
  <c r="H560" i="9"/>
  <c r="G560" i="9"/>
  <c r="F560" i="9"/>
  <c r="E560" i="9"/>
  <c r="D560" i="9"/>
  <c r="C560" i="9"/>
  <c r="B560" i="9"/>
  <c r="AJ559" i="9"/>
  <c r="AI559" i="9"/>
  <c r="AH559" i="9"/>
  <c r="AG559" i="9"/>
  <c r="AF559" i="9"/>
  <c r="AE559" i="9"/>
  <c r="AD559" i="9"/>
  <c r="AC559" i="9"/>
  <c r="AB559" i="9"/>
  <c r="AA559" i="9"/>
  <c r="Z559" i="9"/>
  <c r="Y559" i="9"/>
  <c r="X559" i="9"/>
  <c r="W559" i="9"/>
  <c r="V559" i="9"/>
  <c r="U559" i="9"/>
  <c r="T559" i="9"/>
  <c r="S559" i="9"/>
  <c r="R559" i="9"/>
  <c r="Q559" i="9"/>
  <c r="P559" i="9"/>
  <c r="O559" i="9"/>
  <c r="M559" i="9"/>
  <c r="L559" i="9"/>
  <c r="K559" i="9"/>
  <c r="J559" i="9"/>
  <c r="I559" i="9"/>
  <c r="H559" i="9"/>
  <c r="G559" i="9"/>
  <c r="F559" i="9"/>
  <c r="E559" i="9"/>
  <c r="D559" i="9"/>
  <c r="C559" i="9"/>
  <c r="B559" i="9"/>
  <c r="AJ558" i="9"/>
  <c r="AI558" i="9"/>
  <c r="AH558" i="9"/>
  <c r="AG558" i="9"/>
  <c r="AF558" i="9"/>
  <c r="AE558" i="9"/>
  <c r="AD558" i="9"/>
  <c r="AC558" i="9"/>
  <c r="AB558" i="9"/>
  <c r="AA558" i="9"/>
  <c r="Z558" i="9"/>
  <c r="Y558" i="9"/>
  <c r="X558" i="9"/>
  <c r="W558" i="9"/>
  <c r="V558" i="9"/>
  <c r="U558" i="9"/>
  <c r="T558" i="9"/>
  <c r="S558" i="9"/>
  <c r="R558" i="9"/>
  <c r="Q558" i="9"/>
  <c r="P558" i="9"/>
  <c r="O558" i="9"/>
  <c r="M558" i="9"/>
  <c r="L558" i="9"/>
  <c r="K558" i="9"/>
  <c r="J558" i="9"/>
  <c r="I558" i="9"/>
  <c r="H558" i="9"/>
  <c r="G558" i="9"/>
  <c r="F558" i="9"/>
  <c r="E558" i="9"/>
  <c r="D558" i="9"/>
  <c r="C558" i="9"/>
  <c r="B558" i="9"/>
  <c r="AJ557" i="9"/>
  <c r="AI557" i="9"/>
  <c r="AH557" i="9"/>
  <c r="AG557" i="9"/>
  <c r="AF557" i="9"/>
  <c r="AE557" i="9"/>
  <c r="AD557" i="9"/>
  <c r="AC557" i="9"/>
  <c r="AB557" i="9"/>
  <c r="AA557" i="9"/>
  <c r="Z557" i="9"/>
  <c r="Y557" i="9"/>
  <c r="X557" i="9"/>
  <c r="W557" i="9"/>
  <c r="V557" i="9"/>
  <c r="U557" i="9"/>
  <c r="T557" i="9"/>
  <c r="S557" i="9"/>
  <c r="R557" i="9"/>
  <c r="Q557" i="9"/>
  <c r="P557" i="9"/>
  <c r="O557" i="9"/>
  <c r="M557" i="9"/>
  <c r="L557" i="9"/>
  <c r="K557" i="9"/>
  <c r="J557" i="9"/>
  <c r="I557" i="9"/>
  <c r="H557" i="9"/>
  <c r="G557" i="9"/>
  <c r="F557" i="9"/>
  <c r="E557" i="9"/>
  <c r="D557" i="9"/>
  <c r="C557" i="9"/>
  <c r="B557" i="9"/>
  <c r="AJ556" i="9"/>
  <c r="AI556" i="9"/>
  <c r="AH556" i="9"/>
  <c r="AG556" i="9"/>
  <c r="AF556" i="9"/>
  <c r="AE556" i="9"/>
  <c r="AD556" i="9"/>
  <c r="AC556" i="9"/>
  <c r="AB556" i="9"/>
  <c r="AA556" i="9"/>
  <c r="Z556" i="9"/>
  <c r="Y556" i="9"/>
  <c r="X556" i="9"/>
  <c r="W556" i="9"/>
  <c r="V556" i="9"/>
  <c r="U556" i="9"/>
  <c r="T556" i="9"/>
  <c r="S556" i="9"/>
  <c r="R556" i="9"/>
  <c r="Q556" i="9"/>
  <c r="P556" i="9"/>
  <c r="O556" i="9"/>
  <c r="M556" i="9"/>
  <c r="L556" i="9"/>
  <c r="K556" i="9"/>
  <c r="J556" i="9"/>
  <c r="I556" i="9"/>
  <c r="H556" i="9"/>
  <c r="G556" i="9"/>
  <c r="F556" i="9"/>
  <c r="E556" i="9"/>
  <c r="D556" i="9"/>
  <c r="C556" i="9"/>
  <c r="B556" i="9"/>
  <c r="AJ555" i="9"/>
  <c r="AI555" i="9"/>
  <c r="AH555" i="9"/>
  <c r="AG555" i="9"/>
  <c r="AF555" i="9"/>
  <c r="AE555" i="9"/>
  <c r="AD555" i="9"/>
  <c r="AC555" i="9"/>
  <c r="AB555" i="9"/>
  <c r="AA555" i="9"/>
  <c r="Z555" i="9"/>
  <c r="Y555" i="9"/>
  <c r="X555" i="9"/>
  <c r="W555" i="9"/>
  <c r="V555" i="9"/>
  <c r="U555" i="9"/>
  <c r="T555" i="9"/>
  <c r="S555" i="9"/>
  <c r="R555" i="9"/>
  <c r="Q555" i="9"/>
  <c r="P555" i="9"/>
  <c r="O555" i="9"/>
  <c r="M555" i="9"/>
  <c r="L555" i="9"/>
  <c r="K555" i="9"/>
  <c r="J555" i="9"/>
  <c r="I555" i="9"/>
  <c r="H555" i="9"/>
  <c r="G555" i="9"/>
  <c r="F555" i="9"/>
  <c r="E555" i="9"/>
  <c r="D555" i="9"/>
  <c r="C555" i="9"/>
  <c r="B555" i="9"/>
  <c r="AJ554" i="9"/>
  <c r="AI554" i="9"/>
  <c r="AH554" i="9"/>
  <c r="AG554" i="9"/>
  <c r="AF554" i="9"/>
  <c r="AE554" i="9"/>
  <c r="AD554" i="9"/>
  <c r="AC554" i="9"/>
  <c r="AB554" i="9"/>
  <c r="AA554" i="9"/>
  <c r="Z554" i="9"/>
  <c r="Y554" i="9"/>
  <c r="X554" i="9"/>
  <c r="W554" i="9"/>
  <c r="V554" i="9"/>
  <c r="U554" i="9"/>
  <c r="T554" i="9"/>
  <c r="S554" i="9"/>
  <c r="R554" i="9"/>
  <c r="Q554" i="9"/>
  <c r="P554" i="9"/>
  <c r="O554" i="9"/>
  <c r="M554" i="9"/>
  <c r="L554" i="9"/>
  <c r="K554" i="9"/>
  <c r="J554" i="9"/>
  <c r="I554" i="9"/>
  <c r="H554" i="9"/>
  <c r="G554" i="9"/>
  <c r="F554" i="9"/>
  <c r="E554" i="9"/>
  <c r="D554" i="9"/>
  <c r="C554" i="9"/>
  <c r="B554" i="9"/>
  <c r="AJ553" i="9"/>
  <c r="AI553" i="9"/>
  <c r="AH553" i="9"/>
  <c r="AG553" i="9"/>
  <c r="AF553" i="9"/>
  <c r="AE553" i="9"/>
  <c r="AD553" i="9"/>
  <c r="AC553" i="9"/>
  <c r="AB553" i="9"/>
  <c r="AA553" i="9"/>
  <c r="Z553" i="9"/>
  <c r="Y553" i="9"/>
  <c r="X553" i="9"/>
  <c r="W553" i="9"/>
  <c r="V553" i="9"/>
  <c r="U553" i="9"/>
  <c r="T553" i="9"/>
  <c r="S553" i="9"/>
  <c r="R553" i="9"/>
  <c r="Q553" i="9"/>
  <c r="P553" i="9"/>
  <c r="O553" i="9"/>
  <c r="M553" i="9"/>
  <c r="L553" i="9"/>
  <c r="K553" i="9"/>
  <c r="J553" i="9"/>
  <c r="I553" i="9"/>
  <c r="H553" i="9"/>
  <c r="G553" i="9"/>
  <c r="F553" i="9"/>
  <c r="E553" i="9"/>
  <c r="D553" i="9"/>
  <c r="C553" i="9"/>
  <c r="B553" i="9"/>
  <c r="AJ552" i="9"/>
  <c r="AI552" i="9"/>
  <c r="AH552" i="9"/>
  <c r="AG552" i="9"/>
  <c r="AF552" i="9"/>
  <c r="AE552" i="9"/>
  <c r="AD552" i="9"/>
  <c r="AC552" i="9"/>
  <c r="AB552" i="9"/>
  <c r="AA552" i="9"/>
  <c r="Z552" i="9"/>
  <c r="Y552" i="9"/>
  <c r="X552" i="9"/>
  <c r="W552" i="9"/>
  <c r="V552" i="9"/>
  <c r="U552" i="9"/>
  <c r="T552" i="9"/>
  <c r="S552" i="9"/>
  <c r="R552" i="9"/>
  <c r="Q552" i="9"/>
  <c r="P552" i="9"/>
  <c r="O552" i="9"/>
  <c r="M552" i="9"/>
  <c r="L552" i="9"/>
  <c r="K552" i="9"/>
  <c r="J552" i="9"/>
  <c r="I552" i="9"/>
  <c r="H552" i="9"/>
  <c r="G552" i="9"/>
  <c r="F552" i="9"/>
  <c r="E552" i="9"/>
  <c r="D552" i="9"/>
  <c r="C552" i="9"/>
  <c r="B552" i="9"/>
  <c r="AJ551" i="9"/>
  <c r="AI551" i="9"/>
  <c r="AH551" i="9"/>
  <c r="AG551" i="9"/>
  <c r="AF551" i="9"/>
  <c r="AE551" i="9"/>
  <c r="AD551" i="9"/>
  <c r="AC551" i="9"/>
  <c r="AB551" i="9"/>
  <c r="AA551" i="9"/>
  <c r="Z551" i="9"/>
  <c r="Y551" i="9"/>
  <c r="X551" i="9"/>
  <c r="W551" i="9"/>
  <c r="V551" i="9"/>
  <c r="U551" i="9"/>
  <c r="T551" i="9"/>
  <c r="S551" i="9"/>
  <c r="R551" i="9"/>
  <c r="Q551" i="9"/>
  <c r="P551" i="9"/>
  <c r="O551" i="9"/>
  <c r="M551" i="9"/>
  <c r="L551" i="9"/>
  <c r="K551" i="9"/>
  <c r="J551" i="9"/>
  <c r="I551" i="9"/>
  <c r="H551" i="9"/>
  <c r="G551" i="9"/>
  <c r="F551" i="9"/>
  <c r="E551" i="9"/>
  <c r="D551" i="9"/>
  <c r="C551" i="9"/>
  <c r="B551" i="9"/>
  <c r="AJ550" i="9"/>
  <c r="AI550" i="9"/>
  <c r="AH550" i="9"/>
  <c r="AG550" i="9"/>
  <c r="AF550" i="9"/>
  <c r="AE550" i="9"/>
  <c r="AD550" i="9"/>
  <c r="AC550" i="9"/>
  <c r="AB550" i="9"/>
  <c r="AA550" i="9"/>
  <c r="Z550" i="9"/>
  <c r="Y550" i="9"/>
  <c r="X550" i="9"/>
  <c r="W550" i="9"/>
  <c r="V550" i="9"/>
  <c r="U550" i="9"/>
  <c r="T550" i="9"/>
  <c r="S550" i="9"/>
  <c r="R550" i="9"/>
  <c r="Q550" i="9"/>
  <c r="P550" i="9"/>
  <c r="O550" i="9"/>
  <c r="M550" i="9"/>
  <c r="L550" i="9"/>
  <c r="K550" i="9"/>
  <c r="J550" i="9"/>
  <c r="I550" i="9"/>
  <c r="H550" i="9"/>
  <c r="G550" i="9"/>
  <c r="F550" i="9"/>
  <c r="E550" i="9"/>
  <c r="D550" i="9"/>
  <c r="C550" i="9"/>
  <c r="B550" i="9"/>
  <c r="AJ549" i="9"/>
  <c r="AI549" i="9"/>
  <c r="AH549" i="9"/>
  <c r="AG549" i="9"/>
  <c r="AF549" i="9"/>
  <c r="AE549" i="9"/>
  <c r="AD549" i="9"/>
  <c r="AC549" i="9"/>
  <c r="AB549" i="9"/>
  <c r="AA549" i="9"/>
  <c r="Z549" i="9"/>
  <c r="Y549" i="9"/>
  <c r="X549" i="9"/>
  <c r="W549" i="9"/>
  <c r="V549" i="9"/>
  <c r="U549" i="9"/>
  <c r="T549" i="9"/>
  <c r="S549" i="9"/>
  <c r="R549" i="9"/>
  <c r="Q549" i="9"/>
  <c r="P549" i="9"/>
  <c r="O549" i="9"/>
  <c r="M549" i="9"/>
  <c r="L549" i="9"/>
  <c r="K549" i="9"/>
  <c r="J549" i="9"/>
  <c r="I549" i="9"/>
  <c r="H549" i="9"/>
  <c r="G549" i="9"/>
  <c r="F549" i="9"/>
  <c r="E549" i="9"/>
  <c r="D549" i="9"/>
  <c r="C549" i="9"/>
  <c r="B549" i="9"/>
  <c r="AJ548" i="9"/>
  <c r="AI548" i="9"/>
  <c r="AH548" i="9"/>
  <c r="AG548" i="9"/>
  <c r="AF548" i="9"/>
  <c r="AE548" i="9"/>
  <c r="AD548" i="9"/>
  <c r="AC548" i="9"/>
  <c r="AB548" i="9"/>
  <c r="AA548" i="9"/>
  <c r="Z548" i="9"/>
  <c r="Y548" i="9"/>
  <c r="X548" i="9"/>
  <c r="W548" i="9"/>
  <c r="V548" i="9"/>
  <c r="U548" i="9"/>
  <c r="T548" i="9"/>
  <c r="S548" i="9"/>
  <c r="R548" i="9"/>
  <c r="Q548" i="9"/>
  <c r="P548" i="9"/>
  <c r="O548" i="9"/>
  <c r="M548" i="9"/>
  <c r="L548" i="9"/>
  <c r="K548" i="9"/>
  <c r="J548" i="9"/>
  <c r="I548" i="9"/>
  <c r="H548" i="9"/>
  <c r="G548" i="9"/>
  <c r="F548" i="9"/>
  <c r="E548" i="9"/>
  <c r="D548" i="9"/>
  <c r="C548" i="9"/>
  <c r="B548" i="9"/>
  <c r="AJ547" i="9"/>
  <c r="AI547" i="9"/>
  <c r="AH547" i="9"/>
  <c r="AG547" i="9"/>
  <c r="AF547" i="9"/>
  <c r="AE547" i="9"/>
  <c r="AD547" i="9"/>
  <c r="AC547" i="9"/>
  <c r="AB547" i="9"/>
  <c r="AA547" i="9"/>
  <c r="Z547" i="9"/>
  <c r="Y547" i="9"/>
  <c r="X547" i="9"/>
  <c r="W547" i="9"/>
  <c r="V547" i="9"/>
  <c r="U547" i="9"/>
  <c r="T547" i="9"/>
  <c r="S547" i="9"/>
  <c r="R547" i="9"/>
  <c r="Q547" i="9"/>
  <c r="P547" i="9"/>
  <c r="O547" i="9"/>
  <c r="M547" i="9"/>
  <c r="L547" i="9"/>
  <c r="K547" i="9"/>
  <c r="J547" i="9"/>
  <c r="I547" i="9"/>
  <c r="H547" i="9"/>
  <c r="G547" i="9"/>
  <c r="F547" i="9"/>
  <c r="E547" i="9"/>
  <c r="D547" i="9"/>
  <c r="C547" i="9"/>
  <c r="B547" i="9"/>
  <c r="AJ546" i="9"/>
  <c r="AI546" i="9"/>
  <c r="AH546" i="9"/>
  <c r="AG546" i="9"/>
  <c r="AF546" i="9"/>
  <c r="AE546" i="9"/>
  <c r="AD546" i="9"/>
  <c r="AC546" i="9"/>
  <c r="AB546" i="9"/>
  <c r="AA546" i="9"/>
  <c r="Z546" i="9"/>
  <c r="Y546" i="9"/>
  <c r="X546" i="9"/>
  <c r="W546" i="9"/>
  <c r="V546" i="9"/>
  <c r="U546" i="9"/>
  <c r="T546" i="9"/>
  <c r="S546" i="9"/>
  <c r="R546" i="9"/>
  <c r="Q546" i="9"/>
  <c r="P546" i="9"/>
  <c r="O546" i="9"/>
  <c r="M546" i="9"/>
  <c r="L546" i="9"/>
  <c r="K546" i="9"/>
  <c r="J546" i="9"/>
  <c r="I546" i="9"/>
  <c r="H546" i="9"/>
  <c r="G546" i="9"/>
  <c r="F546" i="9"/>
  <c r="E546" i="9"/>
  <c r="D546" i="9"/>
  <c r="C546" i="9"/>
  <c r="B546" i="9"/>
  <c r="AJ545" i="9"/>
  <c r="AI545" i="9"/>
  <c r="AH545" i="9"/>
  <c r="AG545" i="9"/>
  <c r="AF545" i="9"/>
  <c r="AE545" i="9"/>
  <c r="AD545" i="9"/>
  <c r="AC545" i="9"/>
  <c r="AB545" i="9"/>
  <c r="AA545" i="9"/>
  <c r="Z545" i="9"/>
  <c r="Y545" i="9"/>
  <c r="X545" i="9"/>
  <c r="W545" i="9"/>
  <c r="V545" i="9"/>
  <c r="U545" i="9"/>
  <c r="T545" i="9"/>
  <c r="S545" i="9"/>
  <c r="R545" i="9"/>
  <c r="Q545" i="9"/>
  <c r="P545" i="9"/>
  <c r="O545" i="9"/>
  <c r="M545" i="9"/>
  <c r="L545" i="9"/>
  <c r="K545" i="9"/>
  <c r="J545" i="9"/>
  <c r="I545" i="9"/>
  <c r="H545" i="9"/>
  <c r="G545" i="9"/>
  <c r="F545" i="9"/>
  <c r="E545" i="9"/>
  <c r="D545" i="9"/>
  <c r="C545" i="9"/>
  <c r="B545" i="9"/>
  <c r="AJ544" i="9"/>
  <c r="AI544" i="9"/>
  <c r="AH544" i="9"/>
  <c r="AG544" i="9"/>
  <c r="AF544" i="9"/>
  <c r="AE544" i="9"/>
  <c r="AD544" i="9"/>
  <c r="AC544" i="9"/>
  <c r="AB544" i="9"/>
  <c r="AA544" i="9"/>
  <c r="Z544" i="9"/>
  <c r="Y544" i="9"/>
  <c r="X544" i="9"/>
  <c r="W544" i="9"/>
  <c r="V544" i="9"/>
  <c r="U544" i="9"/>
  <c r="T544" i="9"/>
  <c r="S544" i="9"/>
  <c r="R544" i="9"/>
  <c r="Q544" i="9"/>
  <c r="P544" i="9"/>
  <c r="O544" i="9"/>
  <c r="M544" i="9"/>
  <c r="L544" i="9"/>
  <c r="K544" i="9"/>
  <c r="J544" i="9"/>
  <c r="I544" i="9"/>
  <c r="H544" i="9"/>
  <c r="G544" i="9"/>
  <c r="F544" i="9"/>
  <c r="E544" i="9"/>
  <c r="D544" i="9"/>
  <c r="C544" i="9"/>
  <c r="B544" i="9"/>
  <c r="AJ543" i="9"/>
  <c r="AI543" i="9"/>
  <c r="AH543" i="9"/>
  <c r="AG543" i="9"/>
  <c r="AF543" i="9"/>
  <c r="AE543" i="9"/>
  <c r="AD543" i="9"/>
  <c r="AC543" i="9"/>
  <c r="AB543" i="9"/>
  <c r="AA543" i="9"/>
  <c r="Z543" i="9"/>
  <c r="Y543" i="9"/>
  <c r="X543" i="9"/>
  <c r="W543" i="9"/>
  <c r="V543" i="9"/>
  <c r="U543" i="9"/>
  <c r="T543" i="9"/>
  <c r="S543" i="9"/>
  <c r="R543" i="9"/>
  <c r="Q543" i="9"/>
  <c r="P543" i="9"/>
  <c r="O543" i="9"/>
  <c r="M543" i="9"/>
  <c r="L543" i="9"/>
  <c r="K543" i="9"/>
  <c r="J543" i="9"/>
  <c r="I543" i="9"/>
  <c r="H543" i="9"/>
  <c r="G543" i="9"/>
  <c r="F543" i="9"/>
  <c r="E543" i="9"/>
  <c r="D543" i="9"/>
  <c r="C543" i="9"/>
  <c r="B543" i="9"/>
  <c r="AJ542" i="9"/>
  <c r="AI542" i="9"/>
  <c r="AH542" i="9"/>
  <c r="AG542" i="9"/>
  <c r="AF542" i="9"/>
  <c r="AE542" i="9"/>
  <c r="AD542" i="9"/>
  <c r="AC542" i="9"/>
  <c r="AB542" i="9"/>
  <c r="AA542" i="9"/>
  <c r="Z542" i="9"/>
  <c r="Y542" i="9"/>
  <c r="X542" i="9"/>
  <c r="W542" i="9"/>
  <c r="V542" i="9"/>
  <c r="U542" i="9"/>
  <c r="T542" i="9"/>
  <c r="S542" i="9"/>
  <c r="R542" i="9"/>
  <c r="Q542" i="9"/>
  <c r="P542" i="9"/>
  <c r="O542" i="9"/>
  <c r="M542" i="9"/>
  <c r="L542" i="9"/>
  <c r="K542" i="9"/>
  <c r="J542" i="9"/>
  <c r="I542" i="9"/>
  <c r="H542" i="9"/>
  <c r="G542" i="9"/>
  <c r="F542" i="9"/>
  <c r="E542" i="9"/>
  <c r="D542" i="9"/>
  <c r="C542" i="9"/>
  <c r="B542" i="9"/>
  <c r="AJ541" i="9"/>
  <c r="AI541" i="9"/>
  <c r="AH541" i="9"/>
  <c r="AG541" i="9"/>
  <c r="AF541" i="9"/>
  <c r="AE541" i="9"/>
  <c r="AD541" i="9"/>
  <c r="AC541" i="9"/>
  <c r="AB541" i="9"/>
  <c r="AA541" i="9"/>
  <c r="Z541" i="9"/>
  <c r="Y541" i="9"/>
  <c r="X541" i="9"/>
  <c r="W541" i="9"/>
  <c r="V541" i="9"/>
  <c r="U541" i="9"/>
  <c r="T541" i="9"/>
  <c r="S541" i="9"/>
  <c r="R541" i="9"/>
  <c r="Q541" i="9"/>
  <c r="P541" i="9"/>
  <c r="O541" i="9"/>
  <c r="M541" i="9"/>
  <c r="L541" i="9"/>
  <c r="K541" i="9"/>
  <c r="J541" i="9"/>
  <c r="I541" i="9"/>
  <c r="H541" i="9"/>
  <c r="G541" i="9"/>
  <c r="F541" i="9"/>
  <c r="E541" i="9"/>
  <c r="D541" i="9"/>
  <c r="C541" i="9"/>
  <c r="B541" i="9"/>
  <c r="AJ540" i="9"/>
  <c r="AI540" i="9"/>
  <c r="AH540" i="9"/>
  <c r="AG540" i="9"/>
  <c r="AF540" i="9"/>
  <c r="AE540" i="9"/>
  <c r="AD540" i="9"/>
  <c r="AC540" i="9"/>
  <c r="AB540" i="9"/>
  <c r="AA540" i="9"/>
  <c r="Z540" i="9"/>
  <c r="Y540" i="9"/>
  <c r="X540" i="9"/>
  <c r="W540" i="9"/>
  <c r="V540" i="9"/>
  <c r="U540" i="9"/>
  <c r="T540" i="9"/>
  <c r="S540" i="9"/>
  <c r="R540" i="9"/>
  <c r="Q540" i="9"/>
  <c r="P540" i="9"/>
  <c r="O540" i="9"/>
  <c r="M540" i="9"/>
  <c r="L540" i="9"/>
  <c r="K540" i="9"/>
  <c r="J540" i="9"/>
  <c r="I540" i="9"/>
  <c r="H540" i="9"/>
  <c r="G540" i="9"/>
  <c r="F540" i="9"/>
  <c r="E540" i="9"/>
  <c r="D540" i="9"/>
  <c r="C540" i="9"/>
  <c r="B540" i="9"/>
  <c r="AJ539" i="9"/>
  <c r="AI539" i="9"/>
  <c r="AH539" i="9"/>
  <c r="AG539" i="9"/>
  <c r="AF539" i="9"/>
  <c r="AE539" i="9"/>
  <c r="AD539" i="9"/>
  <c r="AC539" i="9"/>
  <c r="AB539" i="9"/>
  <c r="AA539" i="9"/>
  <c r="Z539" i="9"/>
  <c r="Y539" i="9"/>
  <c r="X539" i="9"/>
  <c r="W539" i="9"/>
  <c r="V539" i="9"/>
  <c r="U539" i="9"/>
  <c r="T539" i="9"/>
  <c r="S539" i="9"/>
  <c r="R539" i="9"/>
  <c r="Q539" i="9"/>
  <c r="P539" i="9"/>
  <c r="O539" i="9"/>
  <c r="M539" i="9"/>
  <c r="L539" i="9"/>
  <c r="K539" i="9"/>
  <c r="J539" i="9"/>
  <c r="I539" i="9"/>
  <c r="H539" i="9"/>
  <c r="G539" i="9"/>
  <c r="F539" i="9"/>
  <c r="E539" i="9"/>
  <c r="D539" i="9"/>
  <c r="C539" i="9"/>
  <c r="B539" i="9"/>
  <c r="AJ538" i="9"/>
  <c r="AI538" i="9"/>
  <c r="AH538" i="9"/>
  <c r="AG538" i="9"/>
  <c r="AF538" i="9"/>
  <c r="AE538" i="9"/>
  <c r="AD538" i="9"/>
  <c r="AC538" i="9"/>
  <c r="AB538" i="9"/>
  <c r="AA538" i="9"/>
  <c r="Z538" i="9"/>
  <c r="Y538" i="9"/>
  <c r="X538" i="9"/>
  <c r="W538" i="9"/>
  <c r="V538" i="9"/>
  <c r="U538" i="9"/>
  <c r="T538" i="9"/>
  <c r="S538" i="9"/>
  <c r="R538" i="9"/>
  <c r="Q538" i="9"/>
  <c r="P538" i="9"/>
  <c r="O538" i="9"/>
  <c r="M538" i="9"/>
  <c r="L538" i="9"/>
  <c r="K538" i="9"/>
  <c r="J538" i="9"/>
  <c r="I538" i="9"/>
  <c r="H538" i="9"/>
  <c r="G538" i="9"/>
  <c r="F538" i="9"/>
  <c r="E538" i="9"/>
  <c r="D538" i="9"/>
  <c r="C538" i="9"/>
  <c r="B538" i="9"/>
  <c r="AJ537" i="9"/>
  <c r="AI537" i="9"/>
  <c r="AH537" i="9"/>
  <c r="AG537" i="9"/>
  <c r="AF537" i="9"/>
  <c r="AE537" i="9"/>
  <c r="AD537" i="9"/>
  <c r="AC537" i="9"/>
  <c r="AB537" i="9"/>
  <c r="AA537" i="9"/>
  <c r="Z537" i="9"/>
  <c r="Y537" i="9"/>
  <c r="X537" i="9"/>
  <c r="W537" i="9"/>
  <c r="V537" i="9"/>
  <c r="U537" i="9"/>
  <c r="T537" i="9"/>
  <c r="S537" i="9"/>
  <c r="R537" i="9"/>
  <c r="Q537" i="9"/>
  <c r="P537" i="9"/>
  <c r="O537" i="9"/>
  <c r="M537" i="9"/>
  <c r="L537" i="9"/>
  <c r="K537" i="9"/>
  <c r="J537" i="9"/>
  <c r="I537" i="9"/>
  <c r="H537" i="9"/>
  <c r="G537" i="9"/>
  <c r="F537" i="9"/>
  <c r="E537" i="9"/>
  <c r="D537" i="9"/>
  <c r="C537" i="9"/>
  <c r="B537" i="9"/>
  <c r="AJ536" i="9"/>
  <c r="AI536" i="9"/>
  <c r="AH536" i="9"/>
  <c r="AG536" i="9"/>
  <c r="AF536" i="9"/>
  <c r="AE536" i="9"/>
  <c r="AD536" i="9"/>
  <c r="AC536" i="9"/>
  <c r="AB536" i="9"/>
  <c r="AA536" i="9"/>
  <c r="Z536" i="9"/>
  <c r="Y536" i="9"/>
  <c r="X536" i="9"/>
  <c r="W536" i="9"/>
  <c r="V536" i="9"/>
  <c r="U536" i="9"/>
  <c r="T536" i="9"/>
  <c r="S536" i="9"/>
  <c r="R536" i="9"/>
  <c r="Q536" i="9"/>
  <c r="P536" i="9"/>
  <c r="O536" i="9"/>
  <c r="M536" i="9"/>
  <c r="L536" i="9"/>
  <c r="K536" i="9"/>
  <c r="J536" i="9"/>
  <c r="I536" i="9"/>
  <c r="H536" i="9"/>
  <c r="G536" i="9"/>
  <c r="F536" i="9"/>
  <c r="E536" i="9"/>
  <c r="D536" i="9"/>
  <c r="C536" i="9"/>
  <c r="B536" i="9"/>
  <c r="AJ535" i="9"/>
  <c r="AI535" i="9"/>
  <c r="AH535" i="9"/>
  <c r="AG535" i="9"/>
  <c r="AF535" i="9"/>
  <c r="AE535" i="9"/>
  <c r="AD535" i="9"/>
  <c r="AC535" i="9"/>
  <c r="AB535" i="9"/>
  <c r="AA535" i="9"/>
  <c r="Z535" i="9"/>
  <c r="Y535" i="9"/>
  <c r="X535" i="9"/>
  <c r="W535" i="9"/>
  <c r="V535" i="9"/>
  <c r="U535" i="9"/>
  <c r="T535" i="9"/>
  <c r="S535" i="9"/>
  <c r="R535" i="9"/>
  <c r="Q535" i="9"/>
  <c r="P535" i="9"/>
  <c r="O535" i="9"/>
  <c r="M535" i="9"/>
  <c r="L535" i="9"/>
  <c r="K535" i="9"/>
  <c r="J535" i="9"/>
  <c r="I535" i="9"/>
  <c r="H535" i="9"/>
  <c r="G535" i="9"/>
  <c r="F535" i="9"/>
  <c r="E535" i="9"/>
  <c r="D535" i="9"/>
  <c r="C535" i="9"/>
  <c r="B535" i="9"/>
  <c r="AJ534" i="9"/>
  <c r="AI534" i="9"/>
  <c r="AH534" i="9"/>
  <c r="AG534" i="9"/>
  <c r="AF534" i="9"/>
  <c r="AE534" i="9"/>
  <c r="AD534" i="9"/>
  <c r="AC534" i="9"/>
  <c r="AB534" i="9"/>
  <c r="AA534" i="9"/>
  <c r="Z534" i="9"/>
  <c r="Y534" i="9"/>
  <c r="X534" i="9"/>
  <c r="W534" i="9"/>
  <c r="V534" i="9"/>
  <c r="U534" i="9"/>
  <c r="T534" i="9"/>
  <c r="S534" i="9"/>
  <c r="R534" i="9"/>
  <c r="Q534" i="9"/>
  <c r="P534" i="9"/>
  <c r="O534" i="9"/>
  <c r="M534" i="9"/>
  <c r="L534" i="9"/>
  <c r="K534" i="9"/>
  <c r="J534" i="9"/>
  <c r="I534" i="9"/>
  <c r="H534" i="9"/>
  <c r="G534" i="9"/>
  <c r="F534" i="9"/>
  <c r="E534" i="9"/>
  <c r="D534" i="9"/>
  <c r="C534" i="9"/>
  <c r="B534" i="9"/>
  <c r="AJ533" i="9"/>
  <c r="AI533" i="9"/>
  <c r="AH533" i="9"/>
  <c r="AG533" i="9"/>
  <c r="AF533" i="9"/>
  <c r="AE533" i="9"/>
  <c r="AD533" i="9"/>
  <c r="AC533" i="9"/>
  <c r="AB533" i="9"/>
  <c r="AA533" i="9"/>
  <c r="Z533" i="9"/>
  <c r="Y533" i="9"/>
  <c r="X533" i="9"/>
  <c r="W533" i="9"/>
  <c r="V533" i="9"/>
  <c r="U533" i="9"/>
  <c r="T533" i="9"/>
  <c r="S533" i="9"/>
  <c r="R533" i="9"/>
  <c r="Q533" i="9"/>
  <c r="P533" i="9"/>
  <c r="O533" i="9"/>
  <c r="M533" i="9"/>
  <c r="L533" i="9"/>
  <c r="K533" i="9"/>
  <c r="J533" i="9"/>
  <c r="I533" i="9"/>
  <c r="H533" i="9"/>
  <c r="G533" i="9"/>
  <c r="F533" i="9"/>
  <c r="E533" i="9"/>
  <c r="D533" i="9"/>
  <c r="C533" i="9"/>
  <c r="B533" i="9"/>
  <c r="AJ532" i="9"/>
  <c r="AI532" i="9"/>
  <c r="AH532" i="9"/>
  <c r="AG532" i="9"/>
  <c r="AF532" i="9"/>
  <c r="AE532" i="9"/>
  <c r="AD532" i="9"/>
  <c r="AC532" i="9"/>
  <c r="AB532" i="9"/>
  <c r="AA532" i="9"/>
  <c r="Z532" i="9"/>
  <c r="Y532" i="9"/>
  <c r="X532" i="9"/>
  <c r="W532" i="9"/>
  <c r="V532" i="9"/>
  <c r="U532" i="9"/>
  <c r="T532" i="9"/>
  <c r="S532" i="9"/>
  <c r="R532" i="9"/>
  <c r="Q532" i="9"/>
  <c r="P532" i="9"/>
  <c r="O532" i="9"/>
  <c r="M532" i="9"/>
  <c r="L532" i="9"/>
  <c r="K532" i="9"/>
  <c r="J532" i="9"/>
  <c r="I532" i="9"/>
  <c r="H532" i="9"/>
  <c r="G532" i="9"/>
  <c r="F532" i="9"/>
  <c r="E532" i="9"/>
  <c r="D532" i="9"/>
  <c r="C532" i="9"/>
  <c r="B532" i="9"/>
  <c r="AJ531" i="9"/>
  <c r="AI531" i="9"/>
  <c r="AH531" i="9"/>
  <c r="AG531" i="9"/>
  <c r="AF531" i="9"/>
  <c r="AE531" i="9"/>
  <c r="AD531" i="9"/>
  <c r="AC531" i="9"/>
  <c r="AB531" i="9"/>
  <c r="AA531" i="9"/>
  <c r="Z531" i="9"/>
  <c r="Y531" i="9"/>
  <c r="X531" i="9"/>
  <c r="W531" i="9"/>
  <c r="V531" i="9"/>
  <c r="U531" i="9"/>
  <c r="T531" i="9"/>
  <c r="S531" i="9"/>
  <c r="R531" i="9"/>
  <c r="Q531" i="9"/>
  <c r="P531" i="9"/>
  <c r="O531" i="9"/>
  <c r="M531" i="9"/>
  <c r="L531" i="9"/>
  <c r="K531" i="9"/>
  <c r="J531" i="9"/>
  <c r="I531" i="9"/>
  <c r="H531" i="9"/>
  <c r="G531" i="9"/>
  <c r="F531" i="9"/>
  <c r="E531" i="9"/>
  <c r="D531" i="9"/>
  <c r="C531" i="9"/>
  <c r="B531" i="9"/>
  <c r="AJ530" i="9"/>
  <c r="AI530" i="9"/>
  <c r="AH530" i="9"/>
  <c r="AG530" i="9"/>
  <c r="AF530" i="9"/>
  <c r="AE530" i="9"/>
  <c r="AD530" i="9"/>
  <c r="AC530" i="9"/>
  <c r="AB530" i="9"/>
  <c r="AA530" i="9"/>
  <c r="Z530" i="9"/>
  <c r="Y530" i="9"/>
  <c r="X530" i="9"/>
  <c r="W530" i="9"/>
  <c r="V530" i="9"/>
  <c r="U530" i="9"/>
  <c r="T530" i="9"/>
  <c r="S530" i="9"/>
  <c r="R530" i="9"/>
  <c r="Q530" i="9"/>
  <c r="P530" i="9"/>
  <c r="O530" i="9"/>
  <c r="M530" i="9"/>
  <c r="L530" i="9"/>
  <c r="K530" i="9"/>
  <c r="J530" i="9"/>
  <c r="I530" i="9"/>
  <c r="H530" i="9"/>
  <c r="G530" i="9"/>
  <c r="F530" i="9"/>
  <c r="E530" i="9"/>
  <c r="D530" i="9"/>
  <c r="C530" i="9"/>
  <c r="B530" i="9"/>
  <c r="AJ529" i="9"/>
  <c r="AI529" i="9"/>
  <c r="AH529" i="9"/>
  <c r="AG529" i="9"/>
  <c r="AF529" i="9"/>
  <c r="AE529" i="9"/>
  <c r="AD529" i="9"/>
  <c r="AC529" i="9"/>
  <c r="AB529" i="9"/>
  <c r="AA529" i="9"/>
  <c r="Z529" i="9"/>
  <c r="Y529" i="9"/>
  <c r="X529" i="9"/>
  <c r="W529" i="9"/>
  <c r="V529" i="9"/>
  <c r="U529" i="9"/>
  <c r="T529" i="9"/>
  <c r="S529" i="9"/>
  <c r="R529" i="9"/>
  <c r="Q529" i="9"/>
  <c r="P529" i="9"/>
  <c r="O529" i="9"/>
  <c r="M529" i="9"/>
  <c r="L529" i="9"/>
  <c r="K529" i="9"/>
  <c r="J529" i="9"/>
  <c r="I529" i="9"/>
  <c r="H529" i="9"/>
  <c r="G529" i="9"/>
  <c r="F529" i="9"/>
  <c r="E529" i="9"/>
  <c r="D529" i="9"/>
  <c r="C529" i="9"/>
  <c r="B529" i="9"/>
  <c r="AJ528" i="9"/>
  <c r="AI528" i="9"/>
  <c r="AH528" i="9"/>
  <c r="AG528" i="9"/>
  <c r="AF528" i="9"/>
  <c r="AE528" i="9"/>
  <c r="AD528" i="9"/>
  <c r="AC528" i="9"/>
  <c r="AB528" i="9"/>
  <c r="AA528" i="9"/>
  <c r="Z528" i="9"/>
  <c r="Y528" i="9"/>
  <c r="X528" i="9"/>
  <c r="W528" i="9"/>
  <c r="V528" i="9"/>
  <c r="U528" i="9"/>
  <c r="T528" i="9"/>
  <c r="S528" i="9"/>
  <c r="R528" i="9"/>
  <c r="Q528" i="9"/>
  <c r="P528" i="9"/>
  <c r="O528" i="9"/>
  <c r="M528" i="9"/>
  <c r="L528" i="9"/>
  <c r="K528" i="9"/>
  <c r="J528" i="9"/>
  <c r="I528" i="9"/>
  <c r="H528" i="9"/>
  <c r="G528" i="9"/>
  <c r="F528" i="9"/>
  <c r="E528" i="9"/>
  <c r="D528" i="9"/>
  <c r="C528" i="9"/>
  <c r="B528" i="9"/>
  <c r="AJ527" i="9"/>
  <c r="AI527" i="9"/>
  <c r="AH527" i="9"/>
  <c r="AG527" i="9"/>
  <c r="AF527" i="9"/>
  <c r="AE527" i="9"/>
  <c r="AD527" i="9"/>
  <c r="AC527" i="9"/>
  <c r="AB527" i="9"/>
  <c r="AA527" i="9"/>
  <c r="Z527" i="9"/>
  <c r="Y527" i="9"/>
  <c r="X527" i="9"/>
  <c r="W527" i="9"/>
  <c r="V527" i="9"/>
  <c r="U527" i="9"/>
  <c r="T527" i="9"/>
  <c r="S527" i="9"/>
  <c r="R527" i="9"/>
  <c r="Q527" i="9"/>
  <c r="P527" i="9"/>
  <c r="O527" i="9"/>
  <c r="M527" i="9"/>
  <c r="L527" i="9"/>
  <c r="K527" i="9"/>
  <c r="J527" i="9"/>
  <c r="I527" i="9"/>
  <c r="H527" i="9"/>
  <c r="G527" i="9"/>
  <c r="F527" i="9"/>
  <c r="E527" i="9"/>
  <c r="D527" i="9"/>
  <c r="C527" i="9"/>
  <c r="B527" i="9"/>
  <c r="AJ526" i="9"/>
  <c r="AI526" i="9"/>
  <c r="AH526" i="9"/>
  <c r="AG526" i="9"/>
  <c r="AF526" i="9"/>
  <c r="AE526" i="9"/>
  <c r="AD526" i="9"/>
  <c r="AC526" i="9"/>
  <c r="AB526" i="9"/>
  <c r="AA526" i="9"/>
  <c r="Z526" i="9"/>
  <c r="Y526" i="9"/>
  <c r="X526" i="9"/>
  <c r="W526" i="9"/>
  <c r="V526" i="9"/>
  <c r="U526" i="9"/>
  <c r="T526" i="9"/>
  <c r="S526" i="9"/>
  <c r="R526" i="9"/>
  <c r="Q526" i="9"/>
  <c r="P526" i="9"/>
  <c r="O526" i="9"/>
  <c r="M526" i="9"/>
  <c r="L526" i="9"/>
  <c r="K526" i="9"/>
  <c r="J526" i="9"/>
  <c r="I526" i="9"/>
  <c r="H526" i="9"/>
  <c r="G526" i="9"/>
  <c r="F526" i="9"/>
  <c r="E526" i="9"/>
  <c r="D526" i="9"/>
  <c r="C526" i="9"/>
  <c r="B526" i="9"/>
  <c r="AJ525" i="9"/>
  <c r="AI525" i="9"/>
  <c r="AH525" i="9"/>
  <c r="AG525" i="9"/>
  <c r="AF525" i="9"/>
  <c r="AE525" i="9"/>
  <c r="AD525" i="9"/>
  <c r="AC525" i="9"/>
  <c r="AB525" i="9"/>
  <c r="AA525" i="9"/>
  <c r="Z525" i="9"/>
  <c r="Y525" i="9"/>
  <c r="X525" i="9"/>
  <c r="W525" i="9"/>
  <c r="V525" i="9"/>
  <c r="U525" i="9"/>
  <c r="T525" i="9"/>
  <c r="S525" i="9"/>
  <c r="R525" i="9"/>
  <c r="Q525" i="9"/>
  <c r="P525" i="9"/>
  <c r="O525" i="9"/>
  <c r="M525" i="9"/>
  <c r="L525" i="9"/>
  <c r="K525" i="9"/>
  <c r="J525" i="9"/>
  <c r="I525" i="9"/>
  <c r="H525" i="9"/>
  <c r="G525" i="9"/>
  <c r="F525" i="9"/>
  <c r="E525" i="9"/>
  <c r="D525" i="9"/>
  <c r="C525" i="9"/>
  <c r="B525" i="9"/>
  <c r="AJ524" i="9"/>
  <c r="AI524" i="9"/>
  <c r="AH524" i="9"/>
  <c r="AG524" i="9"/>
  <c r="AF524" i="9"/>
  <c r="AE524" i="9"/>
  <c r="AD524" i="9"/>
  <c r="AC524" i="9"/>
  <c r="AB524" i="9"/>
  <c r="AA524" i="9"/>
  <c r="Z524" i="9"/>
  <c r="Y524" i="9"/>
  <c r="X524" i="9"/>
  <c r="W524" i="9"/>
  <c r="V524" i="9"/>
  <c r="U524" i="9"/>
  <c r="T524" i="9"/>
  <c r="S524" i="9"/>
  <c r="R524" i="9"/>
  <c r="Q524" i="9"/>
  <c r="P524" i="9"/>
  <c r="O524" i="9"/>
  <c r="M524" i="9"/>
  <c r="L524" i="9"/>
  <c r="K524" i="9"/>
  <c r="J524" i="9"/>
  <c r="I524" i="9"/>
  <c r="H524" i="9"/>
  <c r="G524" i="9"/>
  <c r="F524" i="9"/>
  <c r="E524" i="9"/>
  <c r="D524" i="9"/>
  <c r="C524" i="9"/>
  <c r="B524" i="9"/>
  <c r="AJ523" i="9"/>
  <c r="AI523" i="9"/>
  <c r="AH523" i="9"/>
  <c r="AG523" i="9"/>
  <c r="AF523" i="9"/>
  <c r="AE523" i="9"/>
  <c r="AD523" i="9"/>
  <c r="AC523" i="9"/>
  <c r="AB523" i="9"/>
  <c r="AA523" i="9"/>
  <c r="Z523" i="9"/>
  <c r="Y523" i="9"/>
  <c r="X523" i="9"/>
  <c r="W523" i="9"/>
  <c r="V523" i="9"/>
  <c r="U523" i="9"/>
  <c r="T523" i="9"/>
  <c r="S523" i="9"/>
  <c r="R523" i="9"/>
  <c r="Q523" i="9"/>
  <c r="P523" i="9"/>
  <c r="O523" i="9"/>
  <c r="M523" i="9"/>
  <c r="L523" i="9"/>
  <c r="K523" i="9"/>
  <c r="J523" i="9"/>
  <c r="I523" i="9"/>
  <c r="H523" i="9"/>
  <c r="G523" i="9"/>
  <c r="F523" i="9"/>
  <c r="E523" i="9"/>
  <c r="D523" i="9"/>
  <c r="C523" i="9"/>
  <c r="B523" i="9"/>
  <c r="AJ522" i="9"/>
  <c r="AI522" i="9"/>
  <c r="AH522" i="9"/>
  <c r="AG522" i="9"/>
  <c r="AF522" i="9"/>
  <c r="AE522" i="9"/>
  <c r="AD522" i="9"/>
  <c r="AC522" i="9"/>
  <c r="AB522" i="9"/>
  <c r="AA522" i="9"/>
  <c r="Z522" i="9"/>
  <c r="Y522" i="9"/>
  <c r="X522" i="9"/>
  <c r="W522" i="9"/>
  <c r="V522" i="9"/>
  <c r="U522" i="9"/>
  <c r="T522" i="9"/>
  <c r="S522" i="9"/>
  <c r="R522" i="9"/>
  <c r="Q522" i="9"/>
  <c r="P522" i="9"/>
  <c r="O522" i="9"/>
  <c r="M522" i="9"/>
  <c r="L522" i="9"/>
  <c r="K522" i="9"/>
  <c r="J522" i="9"/>
  <c r="I522" i="9"/>
  <c r="H522" i="9"/>
  <c r="G522" i="9"/>
  <c r="F522" i="9"/>
  <c r="E522" i="9"/>
  <c r="D522" i="9"/>
  <c r="C522" i="9"/>
  <c r="B522" i="9"/>
  <c r="AJ521" i="9"/>
  <c r="AI521" i="9"/>
  <c r="AH521" i="9"/>
  <c r="AG521" i="9"/>
  <c r="AF521" i="9"/>
  <c r="AE521" i="9"/>
  <c r="AD521" i="9"/>
  <c r="AC521" i="9"/>
  <c r="AB521" i="9"/>
  <c r="AA521" i="9"/>
  <c r="Z521" i="9"/>
  <c r="Y521" i="9"/>
  <c r="X521" i="9"/>
  <c r="W521" i="9"/>
  <c r="V521" i="9"/>
  <c r="U521" i="9"/>
  <c r="T521" i="9"/>
  <c r="S521" i="9"/>
  <c r="R521" i="9"/>
  <c r="Q521" i="9"/>
  <c r="P521" i="9"/>
  <c r="O521" i="9"/>
  <c r="M521" i="9"/>
  <c r="L521" i="9"/>
  <c r="K521" i="9"/>
  <c r="J521" i="9"/>
  <c r="I521" i="9"/>
  <c r="H521" i="9"/>
  <c r="G521" i="9"/>
  <c r="F521" i="9"/>
  <c r="E521" i="9"/>
  <c r="D521" i="9"/>
  <c r="C521" i="9"/>
  <c r="B521" i="9"/>
  <c r="AJ520" i="9"/>
  <c r="AI520" i="9"/>
  <c r="AH520" i="9"/>
  <c r="AG520" i="9"/>
  <c r="AF520" i="9"/>
  <c r="AE520" i="9"/>
  <c r="AD520" i="9"/>
  <c r="AC520" i="9"/>
  <c r="AB520" i="9"/>
  <c r="AA520" i="9"/>
  <c r="Z520" i="9"/>
  <c r="Y520" i="9"/>
  <c r="X520" i="9"/>
  <c r="W520" i="9"/>
  <c r="V520" i="9"/>
  <c r="U520" i="9"/>
  <c r="T520" i="9"/>
  <c r="S520" i="9"/>
  <c r="R520" i="9"/>
  <c r="Q520" i="9"/>
  <c r="P520" i="9"/>
  <c r="O520" i="9"/>
  <c r="M520" i="9"/>
  <c r="L520" i="9"/>
  <c r="K520" i="9"/>
  <c r="J520" i="9"/>
  <c r="I520" i="9"/>
  <c r="H520" i="9"/>
  <c r="G520" i="9"/>
  <c r="F520" i="9"/>
  <c r="E520" i="9"/>
  <c r="D520" i="9"/>
  <c r="C520" i="9"/>
  <c r="B520" i="9"/>
  <c r="AJ519" i="9"/>
  <c r="AI519" i="9"/>
  <c r="AH519" i="9"/>
  <c r="AG519" i="9"/>
  <c r="AF519" i="9"/>
  <c r="AE519" i="9"/>
  <c r="AD519" i="9"/>
  <c r="AC519" i="9"/>
  <c r="AB519" i="9"/>
  <c r="AA519" i="9"/>
  <c r="Z519" i="9"/>
  <c r="Y519" i="9"/>
  <c r="X519" i="9"/>
  <c r="W519" i="9"/>
  <c r="V519" i="9"/>
  <c r="U519" i="9"/>
  <c r="T519" i="9"/>
  <c r="S519" i="9"/>
  <c r="R519" i="9"/>
  <c r="Q519" i="9"/>
  <c r="P519" i="9"/>
  <c r="O519" i="9"/>
  <c r="M519" i="9"/>
  <c r="L519" i="9"/>
  <c r="K519" i="9"/>
  <c r="J519" i="9"/>
  <c r="I519" i="9"/>
  <c r="H519" i="9"/>
  <c r="G519" i="9"/>
  <c r="F519" i="9"/>
  <c r="E519" i="9"/>
  <c r="D519" i="9"/>
  <c r="C519" i="9"/>
  <c r="B519" i="9"/>
  <c r="AJ518" i="9"/>
  <c r="AI518" i="9"/>
  <c r="AH518" i="9"/>
  <c r="AG518" i="9"/>
  <c r="AF518" i="9"/>
  <c r="AE518" i="9"/>
  <c r="AD518" i="9"/>
  <c r="AC518" i="9"/>
  <c r="AB518" i="9"/>
  <c r="AA518" i="9"/>
  <c r="Z518" i="9"/>
  <c r="Y518" i="9"/>
  <c r="X518" i="9"/>
  <c r="W518" i="9"/>
  <c r="V518" i="9"/>
  <c r="U518" i="9"/>
  <c r="T518" i="9"/>
  <c r="S518" i="9"/>
  <c r="R518" i="9"/>
  <c r="Q518" i="9"/>
  <c r="P518" i="9"/>
  <c r="O518" i="9"/>
  <c r="M518" i="9"/>
  <c r="L518" i="9"/>
  <c r="K518" i="9"/>
  <c r="J518" i="9"/>
  <c r="I518" i="9"/>
  <c r="H518" i="9"/>
  <c r="G518" i="9"/>
  <c r="F518" i="9"/>
  <c r="E518" i="9"/>
  <c r="D518" i="9"/>
  <c r="C518" i="9"/>
  <c r="B518" i="9"/>
  <c r="AJ517" i="9"/>
  <c r="AI517" i="9"/>
  <c r="AH517" i="9"/>
  <c r="AG517" i="9"/>
  <c r="AF517" i="9"/>
  <c r="AE517" i="9"/>
  <c r="AD517" i="9"/>
  <c r="AC517" i="9"/>
  <c r="AB517" i="9"/>
  <c r="AA517" i="9"/>
  <c r="Z517" i="9"/>
  <c r="Y517" i="9"/>
  <c r="X517" i="9"/>
  <c r="W517" i="9"/>
  <c r="V517" i="9"/>
  <c r="U517" i="9"/>
  <c r="T517" i="9"/>
  <c r="S517" i="9"/>
  <c r="R517" i="9"/>
  <c r="Q517" i="9"/>
  <c r="P517" i="9"/>
  <c r="O517" i="9"/>
  <c r="M517" i="9"/>
  <c r="L517" i="9"/>
  <c r="K517" i="9"/>
  <c r="J517" i="9"/>
  <c r="I517" i="9"/>
  <c r="H517" i="9"/>
  <c r="G517" i="9"/>
  <c r="F517" i="9"/>
  <c r="E517" i="9"/>
  <c r="D517" i="9"/>
  <c r="C517" i="9"/>
  <c r="B517" i="9"/>
  <c r="AJ516" i="9"/>
  <c r="AI516" i="9"/>
  <c r="AH516" i="9"/>
  <c r="AG516" i="9"/>
  <c r="AF516" i="9"/>
  <c r="AE516" i="9"/>
  <c r="AD516" i="9"/>
  <c r="AC516" i="9"/>
  <c r="AB516" i="9"/>
  <c r="AA516" i="9"/>
  <c r="Z516" i="9"/>
  <c r="Y516" i="9"/>
  <c r="X516" i="9"/>
  <c r="W516" i="9"/>
  <c r="V516" i="9"/>
  <c r="U516" i="9"/>
  <c r="T516" i="9"/>
  <c r="S516" i="9"/>
  <c r="R516" i="9"/>
  <c r="Q516" i="9"/>
  <c r="P516" i="9"/>
  <c r="O516" i="9"/>
  <c r="M516" i="9"/>
  <c r="L516" i="9"/>
  <c r="K516" i="9"/>
  <c r="J516" i="9"/>
  <c r="I516" i="9"/>
  <c r="H516" i="9"/>
  <c r="G516" i="9"/>
  <c r="F516" i="9"/>
  <c r="E516" i="9"/>
  <c r="D516" i="9"/>
  <c r="C516" i="9"/>
  <c r="B516" i="9"/>
  <c r="AJ515" i="9"/>
  <c r="AI515" i="9"/>
  <c r="AH515" i="9"/>
  <c r="AG515" i="9"/>
  <c r="AF515" i="9"/>
  <c r="AE515" i="9"/>
  <c r="AD515" i="9"/>
  <c r="AC515" i="9"/>
  <c r="AB515" i="9"/>
  <c r="AA515" i="9"/>
  <c r="Z515" i="9"/>
  <c r="Y515" i="9"/>
  <c r="X515" i="9"/>
  <c r="W515" i="9"/>
  <c r="V515" i="9"/>
  <c r="U515" i="9"/>
  <c r="T515" i="9"/>
  <c r="S515" i="9"/>
  <c r="R515" i="9"/>
  <c r="Q515" i="9"/>
  <c r="P515" i="9"/>
  <c r="O515" i="9"/>
  <c r="M515" i="9"/>
  <c r="L515" i="9"/>
  <c r="K515" i="9"/>
  <c r="J515" i="9"/>
  <c r="I515" i="9"/>
  <c r="H515" i="9"/>
  <c r="G515" i="9"/>
  <c r="F515" i="9"/>
  <c r="E515" i="9"/>
  <c r="D515" i="9"/>
  <c r="C515" i="9"/>
  <c r="B515" i="9"/>
  <c r="AJ514" i="9"/>
  <c r="AI514" i="9"/>
  <c r="AH514" i="9"/>
  <c r="AG514" i="9"/>
  <c r="AF514" i="9"/>
  <c r="AE514" i="9"/>
  <c r="AD514" i="9"/>
  <c r="AC514" i="9"/>
  <c r="AB514" i="9"/>
  <c r="AA514" i="9"/>
  <c r="Z514" i="9"/>
  <c r="Y514" i="9"/>
  <c r="X514" i="9"/>
  <c r="W514" i="9"/>
  <c r="V514" i="9"/>
  <c r="U514" i="9"/>
  <c r="T514" i="9"/>
  <c r="S514" i="9"/>
  <c r="R514" i="9"/>
  <c r="Q514" i="9"/>
  <c r="P514" i="9"/>
  <c r="O514" i="9"/>
  <c r="M514" i="9"/>
  <c r="L514" i="9"/>
  <c r="K514" i="9"/>
  <c r="J514" i="9"/>
  <c r="I514" i="9"/>
  <c r="H514" i="9"/>
  <c r="G514" i="9"/>
  <c r="F514" i="9"/>
  <c r="E514" i="9"/>
  <c r="D514" i="9"/>
  <c r="C514" i="9"/>
  <c r="B514" i="9"/>
  <c r="AJ513" i="9"/>
  <c r="AI513" i="9"/>
  <c r="AH513" i="9"/>
  <c r="AG513" i="9"/>
  <c r="AF513" i="9"/>
  <c r="AE513" i="9"/>
  <c r="AD513" i="9"/>
  <c r="AC513" i="9"/>
  <c r="AB513" i="9"/>
  <c r="AA513" i="9"/>
  <c r="Z513" i="9"/>
  <c r="Y513" i="9"/>
  <c r="X513" i="9"/>
  <c r="W513" i="9"/>
  <c r="V513" i="9"/>
  <c r="U513" i="9"/>
  <c r="T513" i="9"/>
  <c r="S513" i="9"/>
  <c r="R513" i="9"/>
  <c r="Q513" i="9"/>
  <c r="P513" i="9"/>
  <c r="O513" i="9"/>
  <c r="M513" i="9"/>
  <c r="L513" i="9"/>
  <c r="K513" i="9"/>
  <c r="J513" i="9"/>
  <c r="I513" i="9"/>
  <c r="H513" i="9"/>
  <c r="G513" i="9"/>
  <c r="F513" i="9"/>
  <c r="E513" i="9"/>
  <c r="D513" i="9"/>
  <c r="C513" i="9"/>
  <c r="B513" i="9"/>
  <c r="AJ512" i="9"/>
  <c r="AI512" i="9"/>
  <c r="AH512" i="9"/>
  <c r="AG512" i="9"/>
  <c r="AF512" i="9"/>
  <c r="AE512" i="9"/>
  <c r="AD512" i="9"/>
  <c r="AC512" i="9"/>
  <c r="AB512" i="9"/>
  <c r="AA512" i="9"/>
  <c r="Z512" i="9"/>
  <c r="Y512" i="9"/>
  <c r="X512" i="9"/>
  <c r="W512" i="9"/>
  <c r="V512" i="9"/>
  <c r="U512" i="9"/>
  <c r="T512" i="9"/>
  <c r="S512" i="9"/>
  <c r="R512" i="9"/>
  <c r="Q512" i="9"/>
  <c r="P512" i="9"/>
  <c r="O512" i="9"/>
  <c r="M512" i="9"/>
  <c r="L512" i="9"/>
  <c r="K512" i="9"/>
  <c r="J512" i="9"/>
  <c r="I512" i="9"/>
  <c r="H512" i="9"/>
  <c r="G512" i="9"/>
  <c r="F512" i="9"/>
  <c r="E512" i="9"/>
  <c r="D512" i="9"/>
  <c r="C512" i="9"/>
  <c r="B512" i="9"/>
  <c r="AJ511" i="9"/>
  <c r="AI511" i="9"/>
  <c r="AH511" i="9"/>
  <c r="AG511" i="9"/>
  <c r="AF511" i="9"/>
  <c r="AE511" i="9"/>
  <c r="AD511" i="9"/>
  <c r="AC511" i="9"/>
  <c r="AB511" i="9"/>
  <c r="AA511" i="9"/>
  <c r="Z511" i="9"/>
  <c r="Y511" i="9"/>
  <c r="X511" i="9"/>
  <c r="W511" i="9"/>
  <c r="V511" i="9"/>
  <c r="U511" i="9"/>
  <c r="T511" i="9"/>
  <c r="S511" i="9"/>
  <c r="R511" i="9"/>
  <c r="Q511" i="9"/>
  <c r="P511" i="9"/>
  <c r="O511" i="9"/>
  <c r="M511" i="9"/>
  <c r="L511" i="9"/>
  <c r="K511" i="9"/>
  <c r="J511" i="9"/>
  <c r="I511" i="9"/>
  <c r="H511" i="9"/>
  <c r="G511" i="9"/>
  <c r="F511" i="9"/>
  <c r="E511" i="9"/>
  <c r="D511" i="9"/>
  <c r="C511" i="9"/>
  <c r="B511" i="9"/>
  <c r="AJ510" i="9"/>
  <c r="AI510" i="9"/>
  <c r="AH510" i="9"/>
  <c r="AG510" i="9"/>
  <c r="AF510" i="9"/>
  <c r="AE510" i="9"/>
  <c r="AD510" i="9"/>
  <c r="AC510" i="9"/>
  <c r="AB510" i="9"/>
  <c r="AA510" i="9"/>
  <c r="Z510" i="9"/>
  <c r="Y510" i="9"/>
  <c r="X510" i="9"/>
  <c r="W510" i="9"/>
  <c r="V510" i="9"/>
  <c r="U510" i="9"/>
  <c r="T510" i="9"/>
  <c r="S510" i="9"/>
  <c r="R510" i="9"/>
  <c r="Q510" i="9"/>
  <c r="P510" i="9"/>
  <c r="O510" i="9"/>
  <c r="M510" i="9"/>
  <c r="L510" i="9"/>
  <c r="K510" i="9"/>
  <c r="J510" i="9"/>
  <c r="I510" i="9"/>
  <c r="H510" i="9"/>
  <c r="G510" i="9"/>
  <c r="F510" i="9"/>
  <c r="E510" i="9"/>
  <c r="D510" i="9"/>
  <c r="C510" i="9"/>
  <c r="B510" i="9"/>
  <c r="AJ509" i="9"/>
  <c r="AI509" i="9"/>
  <c r="AH509" i="9"/>
  <c r="AG509" i="9"/>
  <c r="AF509" i="9"/>
  <c r="AE509" i="9"/>
  <c r="AD509" i="9"/>
  <c r="AC509" i="9"/>
  <c r="AB509" i="9"/>
  <c r="AA509" i="9"/>
  <c r="Z509" i="9"/>
  <c r="Y509" i="9"/>
  <c r="X509" i="9"/>
  <c r="W509" i="9"/>
  <c r="V509" i="9"/>
  <c r="U509" i="9"/>
  <c r="T509" i="9"/>
  <c r="S509" i="9"/>
  <c r="R509" i="9"/>
  <c r="Q509" i="9"/>
  <c r="P509" i="9"/>
  <c r="O509" i="9"/>
  <c r="M509" i="9"/>
  <c r="L509" i="9"/>
  <c r="K509" i="9"/>
  <c r="J509" i="9"/>
  <c r="I509" i="9"/>
  <c r="H509" i="9"/>
  <c r="G509" i="9"/>
  <c r="F509" i="9"/>
  <c r="E509" i="9"/>
  <c r="D509" i="9"/>
  <c r="C509" i="9"/>
  <c r="B509" i="9"/>
  <c r="AJ508" i="9"/>
  <c r="AI508" i="9"/>
  <c r="AH508" i="9"/>
  <c r="AG508" i="9"/>
  <c r="AF508" i="9"/>
  <c r="AE508" i="9"/>
  <c r="AD508" i="9"/>
  <c r="AC508" i="9"/>
  <c r="AB508" i="9"/>
  <c r="AA508" i="9"/>
  <c r="Z508" i="9"/>
  <c r="Y508" i="9"/>
  <c r="X508" i="9"/>
  <c r="W508" i="9"/>
  <c r="V508" i="9"/>
  <c r="U508" i="9"/>
  <c r="T508" i="9"/>
  <c r="S508" i="9"/>
  <c r="R508" i="9"/>
  <c r="Q508" i="9"/>
  <c r="P508" i="9"/>
  <c r="O508" i="9"/>
  <c r="M508" i="9"/>
  <c r="L508" i="9"/>
  <c r="K508" i="9"/>
  <c r="J508" i="9"/>
  <c r="I508" i="9"/>
  <c r="H508" i="9"/>
  <c r="G508" i="9"/>
  <c r="F508" i="9"/>
  <c r="E508" i="9"/>
  <c r="D508" i="9"/>
  <c r="C508" i="9"/>
  <c r="B508" i="9"/>
  <c r="AJ507" i="9"/>
  <c r="AI507" i="9"/>
  <c r="AH507" i="9"/>
  <c r="AG507" i="9"/>
  <c r="AF507" i="9"/>
  <c r="AE507" i="9"/>
  <c r="AD507" i="9"/>
  <c r="AC507" i="9"/>
  <c r="AB507" i="9"/>
  <c r="AA507" i="9"/>
  <c r="Z507" i="9"/>
  <c r="Y507" i="9"/>
  <c r="X507" i="9"/>
  <c r="W507" i="9"/>
  <c r="V507" i="9"/>
  <c r="U507" i="9"/>
  <c r="T507" i="9"/>
  <c r="S507" i="9"/>
  <c r="R507" i="9"/>
  <c r="Q507" i="9"/>
  <c r="P507" i="9"/>
  <c r="O507" i="9"/>
  <c r="M507" i="9"/>
  <c r="L507" i="9"/>
  <c r="K507" i="9"/>
  <c r="J507" i="9"/>
  <c r="I507" i="9"/>
  <c r="H507" i="9"/>
  <c r="G507" i="9"/>
  <c r="F507" i="9"/>
  <c r="E507" i="9"/>
  <c r="D507" i="9"/>
  <c r="C507" i="9"/>
  <c r="B507" i="9"/>
  <c r="AJ506" i="9"/>
  <c r="AI506" i="9"/>
  <c r="AH506" i="9"/>
  <c r="AG506" i="9"/>
  <c r="AF506" i="9"/>
  <c r="AE506" i="9"/>
  <c r="AD506" i="9"/>
  <c r="AC506" i="9"/>
  <c r="AB506" i="9"/>
  <c r="AA506" i="9"/>
  <c r="Z506" i="9"/>
  <c r="Y506" i="9"/>
  <c r="X506" i="9"/>
  <c r="W506" i="9"/>
  <c r="V506" i="9"/>
  <c r="U506" i="9"/>
  <c r="T506" i="9"/>
  <c r="S506" i="9"/>
  <c r="R506" i="9"/>
  <c r="Q506" i="9"/>
  <c r="P506" i="9"/>
  <c r="O506" i="9"/>
  <c r="M506" i="9"/>
  <c r="L506" i="9"/>
  <c r="K506" i="9"/>
  <c r="J506" i="9"/>
  <c r="I506" i="9"/>
  <c r="H506" i="9"/>
  <c r="G506" i="9"/>
  <c r="F506" i="9"/>
  <c r="E506" i="9"/>
  <c r="D506" i="9"/>
  <c r="C506" i="9"/>
  <c r="B506" i="9"/>
  <c r="AJ505" i="9"/>
  <c r="AI505" i="9"/>
  <c r="AH505" i="9"/>
  <c r="AG505" i="9"/>
  <c r="AF505" i="9"/>
  <c r="AE505" i="9"/>
  <c r="AD505" i="9"/>
  <c r="AC505" i="9"/>
  <c r="AB505" i="9"/>
  <c r="AA505" i="9"/>
  <c r="Z505" i="9"/>
  <c r="Y505" i="9"/>
  <c r="X505" i="9"/>
  <c r="W505" i="9"/>
  <c r="V505" i="9"/>
  <c r="U505" i="9"/>
  <c r="T505" i="9"/>
  <c r="S505" i="9"/>
  <c r="R505" i="9"/>
  <c r="Q505" i="9"/>
  <c r="P505" i="9"/>
  <c r="O505" i="9"/>
  <c r="M505" i="9"/>
  <c r="L505" i="9"/>
  <c r="K505" i="9"/>
  <c r="J505" i="9"/>
  <c r="I505" i="9"/>
  <c r="H505" i="9"/>
  <c r="G505" i="9"/>
  <c r="F505" i="9"/>
  <c r="E505" i="9"/>
  <c r="D505" i="9"/>
  <c r="C505" i="9"/>
  <c r="B505" i="9"/>
  <c r="AJ504" i="9"/>
  <c r="AI504" i="9"/>
  <c r="AH504" i="9"/>
  <c r="AG504" i="9"/>
  <c r="AF504" i="9"/>
  <c r="AE504" i="9"/>
  <c r="AD504" i="9"/>
  <c r="AC504" i="9"/>
  <c r="AB504" i="9"/>
  <c r="AA504" i="9"/>
  <c r="Z504" i="9"/>
  <c r="Y504" i="9"/>
  <c r="X504" i="9"/>
  <c r="W504" i="9"/>
  <c r="V504" i="9"/>
  <c r="U504" i="9"/>
  <c r="T504" i="9"/>
  <c r="S504" i="9"/>
  <c r="R504" i="9"/>
  <c r="Q504" i="9"/>
  <c r="P504" i="9"/>
  <c r="O504" i="9"/>
  <c r="M504" i="9"/>
  <c r="L504" i="9"/>
  <c r="K504" i="9"/>
  <c r="J504" i="9"/>
  <c r="I504" i="9"/>
  <c r="H504" i="9"/>
  <c r="G504" i="9"/>
  <c r="F504" i="9"/>
  <c r="E504" i="9"/>
  <c r="D504" i="9"/>
  <c r="C504" i="9"/>
  <c r="B504" i="9"/>
  <c r="AJ503" i="9"/>
  <c r="AI503" i="9"/>
  <c r="AH503" i="9"/>
  <c r="AG503" i="9"/>
  <c r="AF503" i="9"/>
  <c r="AE503" i="9"/>
  <c r="AD503" i="9"/>
  <c r="AC503" i="9"/>
  <c r="AB503" i="9"/>
  <c r="AA503" i="9"/>
  <c r="Z503" i="9"/>
  <c r="Y503" i="9"/>
  <c r="X503" i="9"/>
  <c r="W503" i="9"/>
  <c r="V503" i="9"/>
  <c r="U503" i="9"/>
  <c r="T503" i="9"/>
  <c r="S503" i="9"/>
  <c r="R503" i="9"/>
  <c r="Q503" i="9"/>
  <c r="P503" i="9"/>
  <c r="O503" i="9"/>
  <c r="M503" i="9"/>
  <c r="L503" i="9"/>
  <c r="K503" i="9"/>
  <c r="J503" i="9"/>
  <c r="I503" i="9"/>
  <c r="H503" i="9"/>
  <c r="G503" i="9"/>
  <c r="F503" i="9"/>
  <c r="E503" i="9"/>
  <c r="D503" i="9"/>
  <c r="C503" i="9"/>
  <c r="B503" i="9"/>
  <c r="AJ502" i="9"/>
  <c r="AI502" i="9"/>
  <c r="AH502" i="9"/>
  <c r="AG502" i="9"/>
  <c r="AF502" i="9"/>
  <c r="AE502" i="9"/>
  <c r="AD502" i="9"/>
  <c r="AC502" i="9"/>
  <c r="AB502" i="9"/>
  <c r="AA502" i="9"/>
  <c r="Z502" i="9"/>
  <c r="Y502" i="9"/>
  <c r="X502" i="9"/>
  <c r="W502" i="9"/>
  <c r="V502" i="9"/>
  <c r="U502" i="9"/>
  <c r="T502" i="9"/>
  <c r="S502" i="9"/>
  <c r="R502" i="9"/>
  <c r="Q502" i="9"/>
  <c r="P502" i="9"/>
  <c r="O502" i="9"/>
  <c r="M502" i="9"/>
  <c r="L502" i="9"/>
  <c r="K502" i="9"/>
  <c r="J502" i="9"/>
  <c r="I502" i="9"/>
  <c r="H502" i="9"/>
  <c r="G502" i="9"/>
  <c r="F502" i="9"/>
  <c r="E502" i="9"/>
  <c r="D502" i="9"/>
  <c r="C502" i="9"/>
  <c r="B502" i="9"/>
  <c r="AJ501" i="9"/>
  <c r="AI501" i="9"/>
  <c r="AH501" i="9"/>
  <c r="AG501" i="9"/>
  <c r="AF501" i="9"/>
  <c r="AE501" i="9"/>
  <c r="AD501" i="9"/>
  <c r="AC501" i="9"/>
  <c r="AB501" i="9"/>
  <c r="AA501" i="9"/>
  <c r="Z501" i="9"/>
  <c r="Y501" i="9"/>
  <c r="X501" i="9"/>
  <c r="W501" i="9"/>
  <c r="V501" i="9"/>
  <c r="U501" i="9"/>
  <c r="T501" i="9"/>
  <c r="S501" i="9"/>
  <c r="R501" i="9"/>
  <c r="Q501" i="9"/>
  <c r="P501" i="9"/>
  <c r="O501" i="9"/>
  <c r="M501" i="9"/>
  <c r="L501" i="9"/>
  <c r="K501" i="9"/>
  <c r="J501" i="9"/>
  <c r="I501" i="9"/>
  <c r="H501" i="9"/>
  <c r="G501" i="9"/>
  <c r="F501" i="9"/>
  <c r="E501" i="9"/>
  <c r="D501" i="9"/>
  <c r="C501" i="9"/>
  <c r="B501" i="9"/>
  <c r="AJ500" i="9"/>
  <c r="AI500" i="9"/>
  <c r="AH500" i="9"/>
  <c r="AG500" i="9"/>
  <c r="AF500" i="9"/>
  <c r="AE500" i="9"/>
  <c r="AD500" i="9"/>
  <c r="AC500" i="9"/>
  <c r="AB500" i="9"/>
  <c r="AA500" i="9"/>
  <c r="Z500" i="9"/>
  <c r="Y500" i="9"/>
  <c r="X500" i="9"/>
  <c r="W500" i="9"/>
  <c r="V500" i="9"/>
  <c r="U500" i="9"/>
  <c r="T500" i="9"/>
  <c r="S500" i="9"/>
  <c r="R500" i="9"/>
  <c r="Q500" i="9"/>
  <c r="P500" i="9"/>
  <c r="O500" i="9"/>
  <c r="M500" i="9"/>
  <c r="L500" i="9"/>
  <c r="K500" i="9"/>
  <c r="J500" i="9"/>
  <c r="I500" i="9"/>
  <c r="H500" i="9"/>
  <c r="G500" i="9"/>
  <c r="F500" i="9"/>
  <c r="E500" i="9"/>
  <c r="D500" i="9"/>
  <c r="C500" i="9"/>
  <c r="B500" i="9"/>
  <c r="AJ499" i="9"/>
  <c r="AI499" i="9"/>
  <c r="AH499" i="9"/>
  <c r="AG499" i="9"/>
  <c r="AF499" i="9"/>
  <c r="AE499" i="9"/>
  <c r="AD499" i="9"/>
  <c r="AC499" i="9"/>
  <c r="AB499" i="9"/>
  <c r="AA499" i="9"/>
  <c r="Z499" i="9"/>
  <c r="Y499" i="9"/>
  <c r="X499" i="9"/>
  <c r="W499" i="9"/>
  <c r="V499" i="9"/>
  <c r="U499" i="9"/>
  <c r="T499" i="9"/>
  <c r="S499" i="9"/>
  <c r="R499" i="9"/>
  <c r="Q499" i="9"/>
  <c r="P499" i="9"/>
  <c r="O499" i="9"/>
  <c r="M499" i="9"/>
  <c r="L499" i="9"/>
  <c r="K499" i="9"/>
  <c r="J499" i="9"/>
  <c r="I499" i="9"/>
  <c r="H499" i="9"/>
  <c r="G499" i="9"/>
  <c r="F499" i="9"/>
  <c r="E499" i="9"/>
  <c r="D499" i="9"/>
  <c r="C499" i="9"/>
  <c r="B499" i="9"/>
  <c r="AJ498" i="9"/>
  <c r="AI498" i="9"/>
  <c r="AH498" i="9"/>
  <c r="AG498" i="9"/>
  <c r="AF498" i="9"/>
  <c r="AE498" i="9"/>
  <c r="AD498" i="9"/>
  <c r="AC498" i="9"/>
  <c r="AB498" i="9"/>
  <c r="AA498" i="9"/>
  <c r="Z498" i="9"/>
  <c r="Y498" i="9"/>
  <c r="X498" i="9"/>
  <c r="W498" i="9"/>
  <c r="V498" i="9"/>
  <c r="U498" i="9"/>
  <c r="T498" i="9"/>
  <c r="S498" i="9"/>
  <c r="R498" i="9"/>
  <c r="Q498" i="9"/>
  <c r="P498" i="9"/>
  <c r="O498" i="9"/>
  <c r="M498" i="9"/>
  <c r="L498" i="9"/>
  <c r="K498" i="9"/>
  <c r="J498" i="9"/>
  <c r="I498" i="9"/>
  <c r="H498" i="9"/>
  <c r="G498" i="9"/>
  <c r="F498" i="9"/>
  <c r="E498" i="9"/>
  <c r="D498" i="9"/>
  <c r="C498" i="9"/>
  <c r="B498" i="9"/>
  <c r="AJ497" i="9"/>
  <c r="AI497" i="9"/>
  <c r="AH497" i="9"/>
  <c r="AG497" i="9"/>
  <c r="AF497" i="9"/>
  <c r="AE497" i="9"/>
  <c r="AD497" i="9"/>
  <c r="AC497" i="9"/>
  <c r="AB497" i="9"/>
  <c r="AA497" i="9"/>
  <c r="Z497" i="9"/>
  <c r="Y497" i="9"/>
  <c r="X497" i="9"/>
  <c r="W497" i="9"/>
  <c r="V497" i="9"/>
  <c r="U497" i="9"/>
  <c r="T497" i="9"/>
  <c r="S497" i="9"/>
  <c r="R497" i="9"/>
  <c r="Q497" i="9"/>
  <c r="P497" i="9"/>
  <c r="O497" i="9"/>
  <c r="M497" i="9"/>
  <c r="L497" i="9"/>
  <c r="K497" i="9"/>
  <c r="J497" i="9"/>
  <c r="I497" i="9"/>
  <c r="H497" i="9"/>
  <c r="G497" i="9"/>
  <c r="F497" i="9"/>
  <c r="E497" i="9"/>
  <c r="D497" i="9"/>
  <c r="C497" i="9"/>
  <c r="B497" i="9"/>
  <c r="AJ496" i="9"/>
  <c r="AI496" i="9"/>
  <c r="AH496" i="9"/>
  <c r="AG496" i="9"/>
  <c r="AF496" i="9"/>
  <c r="AE496" i="9"/>
  <c r="AD496" i="9"/>
  <c r="AC496" i="9"/>
  <c r="AB496" i="9"/>
  <c r="AA496" i="9"/>
  <c r="Z496" i="9"/>
  <c r="Y496" i="9"/>
  <c r="X496" i="9"/>
  <c r="W496" i="9"/>
  <c r="V496" i="9"/>
  <c r="U496" i="9"/>
  <c r="T496" i="9"/>
  <c r="S496" i="9"/>
  <c r="R496" i="9"/>
  <c r="Q496" i="9"/>
  <c r="P496" i="9"/>
  <c r="O496" i="9"/>
  <c r="M496" i="9"/>
  <c r="L496" i="9"/>
  <c r="K496" i="9"/>
  <c r="J496" i="9"/>
  <c r="I496" i="9"/>
  <c r="H496" i="9"/>
  <c r="G496" i="9"/>
  <c r="F496" i="9"/>
  <c r="E496" i="9"/>
  <c r="D496" i="9"/>
  <c r="C496" i="9"/>
  <c r="B496" i="9"/>
  <c r="AJ495" i="9"/>
  <c r="AI495" i="9"/>
  <c r="AH495" i="9"/>
  <c r="AG495" i="9"/>
  <c r="AF495" i="9"/>
  <c r="AE495" i="9"/>
  <c r="AD495" i="9"/>
  <c r="AC495" i="9"/>
  <c r="AB495" i="9"/>
  <c r="AA495" i="9"/>
  <c r="Z495" i="9"/>
  <c r="Y495" i="9"/>
  <c r="X495" i="9"/>
  <c r="W495" i="9"/>
  <c r="V495" i="9"/>
  <c r="U495" i="9"/>
  <c r="T495" i="9"/>
  <c r="S495" i="9"/>
  <c r="R495" i="9"/>
  <c r="Q495" i="9"/>
  <c r="P495" i="9"/>
  <c r="O495" i="9"/>
  <c r="M495" i="9"/>
  <c r="L495" i="9"/>
  <c r="K495" i="9"/>
  <c r="J495" i="9"/>
  <c r="I495" i="9"/>
  <c r="H495" i="9"/>
  <c r="G495" i="9"/>
  <c r="F495" i="9"/>
  <c r="E495" i="9"/>
  <c r="D495" i="9"/>
  <c r="C495" i="9"/>
  <c r="B495" i="9"/>
  <c r="AJ494" i="9"/>
  <c r="AI494" i="9"/>
  <c r="AH494" i="9"/>
  <c r="AG494" i="9"/>
  <c r="AF494" i="9"/>
  <c r="AE494" i="9"/>
  <c r="AD494" i="9"/>
  <c r="AC494" i="9"/>
  <c r="AB494" i="9"/>
  <c r="AA494" i="9"/>
  <c r="Z494" i="9"/>
  <c r="Y494" i="9"/>
  <c r="X494" i="9"/>
  <c r="W494" i="9"/>
  <c r="V494" i="9"/>
  <c r="U494" i="9"/>
  <c r="T494" i="9"/>
  <c r="S494" i="9"/>
  <c r="R494" i="9"/>
  <c r="Q494" i="9"/>
  <c r="P494" i="9"/>
  <c r="O494" i="9"/>
  <c r="M494" i="9"/>
  <c r="L494" i="9"/>
  <c r="K494" i="9"/>
  <c r="J494" i="9"/>
  <c r="I494" i="9"/>
  <c r="H494" i="9"/>
  <c r="G494" i="9"/>
  <c r="F494" i="9"/>
  <c r="E494" i="9"/>
  <c r="D494" i="9"/>
  <c r="C494" i="9"/>
  <c r="B494" i="9"/>
  <c r="AJ493" i="9"/>
  <c r="AI493" i="9"/>
  <c r="AH493" i="9"/>
  <c r="AG493" i="9"/>
  <c r="AF493" i="9"/>
  <c r="AE493" i="9"/>
  <c r="AD493" i="9"/>
  <c r="AC493" i="9"/>
  <c r="AB493" i="9"/>
  <c r="AA493" i="9"/>
  <c r="Z493" i="9"/>
  <c r="Y493" i="9"/>
  <c r="X493" i="9"/>
  <c r="W493" i="9"/>
  <c r="V493" i="9"/>
  <c r="U493" i="9"/>
  <c r="T493" i="9"/>
  <c r="S493" i="9"/>
  <c r="R493" i="9"/>
  <c r="Q493" i="9"/>
  <c r="P493" i="9"/>
  <c r="O493" i="9"/>
  <c r="M493" i="9"/>
  <c r="L493" i="9"/>
  <c r="K493" i="9"/>
  <c r="J493" i="9"/>
  <c r="I493" i="9"/>
  <c r="H493" i="9"/>
  <c r="G493" i="9"/>
  <c r="F493" i="9"/>
  <c r="E493" i="9"/>
  <c r="D493" i="9"/>
  <c r="C493" i="9"/>
  <c r="B493" i="9"/>
  <c r="AJ492" i="9"/>
  <c r="AI492" i="9"/>
  <c r="AH492" i="9"/>
  <c r="AG492" i="9"/>
  <c r="AF492" i="9"/>
  <c r="AE492" i="9"/>
  <c r="AD492" i="9"/>
  <c r="AC492" i="9"/>
  <c r="AB492" i="9"/>
  <c r="AA492" i="9"/>
  <c r="Z492" i="9"/>
  <c r="Y492" i="9"/>
  <c r="X492" i="9"/>
  <c r="W492" i="9"/>
  <c r="V492" i="9"/>
  <c r="U492" i="9"/>
  <c r="T492" i="9"/>
  <c r="S492" i="9"/>
  <c r="R492" i="9"/>
  <c r="Q492" i="9"/>
  <c r="P492" i="9"/>
  <c r="O492" i="9"/>
  <c r="M492" i="9"/>
  <c r="L492" i="9"/>
  <c r="K492" i="9"/>
  <c r="J492" i="9"/>
  <c r="I492" i="9"/>
  <c r="H492" i="9"/>
  <c r="G492" i="9"/>
  <c r="F492" i="9"/>
  <c r="E492" i="9"/>
  <c r="D492" i="9"/>
  <c r="C492" i="9"/>
  <c r="B492" i="9"/>
  <c r="AJ491" i="9"/>
  <c r="AI491" i="9"/>
  <c r="AH491" i="9"/>
  <c r="AG491" i="9"/>
  <c r="AF491" i="9"/>
  <c r="AE491" i="9"/>
  <c r="AD491" i="9"/>
  <c r="AC491" i="9"/>
  <c r="AB491" i="9"/>
  <c r="AA491" i="9"/>
  <c r="Z491" i="9"/>
  <c r="Y491" i="9"/>
  <c r="X491" i="9"/>
  <c r="W491" i="9"/>
  <c r="V491" i="9"/>
  <c r="U491" i="9"/>
  <c r="T491" i="9"/>
  <c r="S491" i="9"/>
  <c r="R491" i="9"/>
  <c r="Q491" i="9"/>
  <c r="P491" i="9"/>
  <c r="O491" i="9"/>
  <c r="M491" i="9"/>
  <c r="L491" i="9"/>
  <c r="K491" i="9"/>
  <c r="J491" i="9"/>
  <c r="I491" i="9"/>
  <c r="H491" i="9"/>
  <c r="G491" i="9"/>
  <c r="F491" i="9"/>
  <c r="E491" i="9"/>
  <c r="D491" i="9"/>
  <c r="C491" i="9"/>
  <c r="B491" i="9"/>
  <c r="AJ490" i="9"/>
  <c r="AI490" i="9"/>
  <c r="AH490" i="9"/>
  <c r="AG490" i="9"/>
  <c r="AF490" i="9"/>
  <c r="AE490" i="9"/>
  <c r="AD490" i="9"/>
  <c r="AC490" i="9"/>
  <c r="AB490" i="9"/>
  <c r="AA490" i="9"/>
  <c r="Z490" i="9"/>
  <c r="Y490" i="9"/>
  <c r="X490" i="9"/>
  <c r="W490" i="9"/>
  <c r="V490" i="9"/>
  <c r="U490" i="9"/>
  <c r="T490" i="9"/>
  <c r="S490" i="9"/>
  <c r="R490" i="9"/>
  <c r="Q490" i="9"/>
  <c r="P490" i="9"/>
  <c r="O490" i="9"/>
  <c r="M490" i="9"/>
  <c r="L490" i="9"/>
  <c r="K490" i="9"/>
  <c r="J490" i="9"/>
  <c r="I490" i="9"/>
  <c r="H490" i="9"/>
  <c r="G490" i="9"/>
  <c r="F490" i="9"/>
  <c r="E490" i="9"/>
  <c r="D490" i="9"/>
  <c r="C490" i="9"/>
  <c r="B490" i="9"/>
  <c r="AJ489" i="9"/>
  <c r="AI489" i="9"/>
  <c r="AH489" i="9"/>
  <c r="AG489" i="9"/>
  <c r="AF489" i="9"/>
  <c r="AE489" i="9"/>
  <c r="AD489" i="9"/>
  <c r="AC489" i="9"/>
  <c r="AB489" i="9"/>
  <c r="AA489" i="9"/>
  <c r="Z489" i="9"/>
  <c r="Y489" i="9"/>
  <c r="X489" i="9"/>
  <c r="W489" i="9"/>
  <c r="V489" i="9"/>
  <c r="U489" i="9"/>
  <c r="T489" i="9"/>
  <c r="S489" i="9"/>
  <c r="R489" i="9"/>
  <c r="Q489" i="9"/>
  <c r="P489" i="9"/>
  <c r="O489" i="9"/>
  <c r="M489" i="9"/>
  <c r="L489" i="9"/>
  <c r="K489" i="9"/>
  <c r="J489" i="9"/>
  <c r="I489" i="9"/>
  <c r="H489" i="9"/>
  <c r="G489" i="9"/>
  <c r="F489" i="9"/>
  <c r="E489" i="9"/>
  <c r="D489" i="9"/>
  <c r="C489" i="9"/>
  <c r="B489" i="9"/>
  <c r="AJ488" i="9"/>
  <c r="AI488" i="9"/>
  <c r="AH488" i="9"/>
  <c r="AG488" i="9"/>
  <c r="AF488" i="9"/>
  <c r="AE488" i="9"/>
  <c r="AD488" i="9"/>
  <c r="AC488" i="9"/>
  <c r="AB488" i="9"/>
  <c r="AA488" i="9"/>
  <c r="Z488" i="9"/>
  <c r="Y488" i="9"/>
  <c r="X488" i="9"/>
  <c r="W488" i="9"/>
  <c r="V488" i="9"/>
  <c r="U488" i="9"/>
  <c r="T488" i="9"/>
  <c r="S488" i="9"/>
  <c r="R488" i="9"/>
  <c r="Q488" i="9"/>
  <c r="P488" i="9"/>
  <c r="O488" i="9"/>
  <c r="M488" i="9"/>
  <c r="L488" i="9"/>
  <c r="K488" i="9"/>
  <c r="J488" i="9"/>
  <c r="I488" i="9"/>
  <c r="H488" i="9"/>
  <c r="G488" i="9"/>
  <c r="F488" i="9"/>
  <c r="E488" i="9"/>
  <c r="D488" i="9"/>
  <c r="C488" i="9"/>
  <c r="B488" i="9"/>
  <c r="AJ487" i="9"/>
  <c r="AI487" i="9"/>
  <c r="AH487" i="9"/>
  <c r="AG487" i="9"/>
  <c r="AF487" i="9"/>
  <c r="AE487" i="9"/>
  <c r="AD487" i="9"/>
  <c r="AC487" i="9"/>
  <c r="AB487" i="9"/>
  <c r="AA487" i="9"/>
  <c r="Z487" i="9"/>
  <c r="Y487" i="9"/>
  <c r="X487" i="9"/>
  <c r="W487" i="9"/>
  <c r="V487" i="9"/>
  <c r="U487" i="9"/>
  <c r="T487" i="9"/>
  <c r="S487" i="9"/>
  <c r="R487" i="9"/>
  <c r="Q487" i="9"/>
  <c r="P487" i="9"/>
  <c r="O487" i="9"/>
  <c r="M487" i="9"/>
  <c r="L487" i="9"/>
  <c r="K487" i="9"/>
  <c r="J487" i="9"/>
  <c r="I487" i="9"/>
  <c r="H487" i="9"/>
  <c r="G487" i="9"/>
  <c r="F487" i="9"/>
  <c r="E487" i="9"/>
  <c r="D487" i="9"/>
  <c r="C487" i="9"/>
  <c r="B487" i="9"/>
  <c r="AJ486" i="9"/>
  <c r="AI486" i="9"/>
  <c r="AH486" i="9"/>
  <c r="AG486" i="9"/>
  <c r="AF486" i="9"/>
  <c r="AE486" i="9"/>
  <c r="AD486" i="9"/>
  <c r="AC486" i="9"/>
  <c r="AB486" i="9"/>
  <c r="AA486" i="9"/>
  <c r="Z486" i="9"/>
  <c r="Y486" i="9"/>
  <c r="X486" i="9"/>
  <c r="W486" i="9"/>
  <c r="V486" i="9"/>
  <c r="U486" i="9"/>
  <c r="T486" i="9"/>
  <c r="S486" i="9"/>
  <c r="R486" i="9"/>
  <c r="Q486" i="9"/>
  <c r="P486" i="9"/>
  <c r="O486" i="9"/>
  <c r="M486" i="9"/>
  <c r="L486" i="9"/>
  <c r="K486" i="9"/>
  <c r="J486" i="9"/>
  <c r="I486" i="9"/>
  <c r="H486" i="9"/>
  <c r="G486" i="9"/>
  <c r="F486" i="9"/>
  <c r="E486" i="9"/>
  <c r="D486" i="9"/>
  <c r="C486" i="9"/>
  <c r="B486" i="9"/>
  <c r="AJ485" i="9"/>
  <c r="AI485" i="9"/>
  <c r="AH485" i="9"/>
  <c r="AG485" i="9"/>
  <c r="AF485" i="9"/>
  <c r="AE485" i="9"/>
  <c r="AD485" i="9"/>
  <c r="AC485" i="9"/>
  <c r="AB485" i="9"/>
  <c r="AA485" i="9"/>
  <c r="Z485" i="9"/>
  <c r="Y485" i="9"/>
  <c r="X485" i="9"/>
  <c r="W485" i="9"/>
  <c r="V485" i="9"/>
  <c r="U485" i="9"/>
  <c r="T485" i="9"/>
  <c r="S485" i="9"/>
  <c r="R485" i="9"/>
  <c r="Q485" i="9"/>
  <c r="P485" i="9"/>
  <c r="O485" i="9"/>
  <c r="M485" i="9"/>
  <c r="L485" i="9"/>
  <c r="K485" i="9"/>
  <c r="J485" i="9"/>
  <c r="I485" i="9"/>
  <c r="H485" i="9"/>
  <c r="G485" i="9"/>
  <c r="F485" i="9"/>
  <c r="E485" i="9"/>
  <c r="D485" i="9"/>
  <c r="C485" i="9"/>
  <c r="B485" i="9"/>
  <c r="AJ484" i="9"/>
  <c r="AI484" i="9"/>
  <c r="AH484" i="9"/>
  <c r="AG484" i="9"/>
  <c r="AF484" i="9"/>
  <c r="AE484" i="9"/>
  <c r="AD484" i="9"/>
  <c r="AC484" i="9"/>
  <c r="AB484" i="9"/>
  <c r="AA484" i="9"/>
  <c r="Z484" i="9"/>
  <c r="Y484" i="9"/>
  <c r="X484" i="9"/>
  <c r="W484" i="9"/>
  <c r="V484" i="9"/>
  <c r="U484" i="9"/>
  <c r="T484" i="9"/>
  <c r="S484" i="9"/>
  <c r="R484" i="9"/>
  <c r="Q484" i="9"/>
  <c r="P484" i="9"/>
  <c r="O484" i="9"/>
  <c r="M484" i="9"/>
  <c r="L484" i="9"/>
  <c r="K484" i="9"/>
  <c r="J484" i="9"/>
  <c r="I484" i="9"/>
  <c r="H484" i="9"/>
  <c r="G484" i="9"/>
  <c r="F484" i="9"/>
  <c r="E484" i="9"/>
  <c r="D484" i="9"/>
  <c r="C484" i="9"/>
  <c r="B484" i="9"/>
  <c r="AJ483" i="9"/>
  <c r="AI483" i="9"/>
  <c r="AH483" i="9"/>
  <c r="AG483" i="9"/>
  <c r="AF483" i="9"/>
  <c r="AE483" i="9"/>
  <c r="AD483" i="9"/>
  <c r="AC483" i="9"/>
  <c r="AB483" i="9"/>
  <c r="AA483" i="9"/>
  <c r="Z483" i="9"/>
  <c r="Y483" i="9"/>
  <c r="X483" i="9"/>
  <c r="W483" i="9"/>
  <c r="V483" i="9"/>
  <c r="U483" i="9"/>
  <c r="T483" i="9"/>
  <c r="S483" i="9"/>
  <c r="R483" i="9"/>
  <c r="Q483" i="9"/>
  <c r="P483" i="9"/>
  <c r="O483" i="9"/>
  <c r="M483" i="9"/>
  <c r="L483" i="9"/>
  <c r="K483" i="9"/>
  <c r="J483" i="9"/>
  <c r="I483" i="9"/>
  <c r="H483" i="9"/>
  <c r="G483" i="9"/>
  <c r="F483" i="9"/>
  <c r="E483" i="9"/>
  <c r="D483" i="9"/>
  <c r="C483" i="9"/>
  <c r="B483" i="9"/>
  <c r="AJ482" i="9"/>
  <c r="AI482" i="9"/>
  <c r="AH482" i="9"/>
  <c r="AG482" i="9"/>
  <c r="AF482" i="9"/>
  <c r="AE482" i="9"/>
  <c r="AD482" i="9"/>
  <c r="AC482" i="9"/>
  <c r="AB482" i="9"/>
  <c r="AA482" i="9"/>
  <c r="Z482" i="9"/>
  <c r="Y482" i="9"/>
  <c r="X482" i="9"/>
  <c r="W482" i="9"/>
  <c r="V482" i="9"/>
  <c r="U482" i="9"/>
  <c r="T482" i="9"/>
  <c r="S482" i="9"/>
  <c r="R482" i="9"/>
  <c r="Q482" i="9"/>
  <c r="P482" i="9"/>
  <c r="O482" i="9"/>
  <c r="M482" i="9"/>
  <c r="L482" i="9"/>
  <c r="K482" i="9"/>
  <c r="J482" i="9"/>
  <c r="I482" i="9"/>
  <c r="H482" i="9"/>
  <c r="G482" i="9"/>
  <c r="F482" i="9"/>
  <c r="E482" i="9"/>
  <c r="D482" i="9"/>
  <c r="C482" i="9"/>
  <c r="B482" i="9"/>
  <c r="AJ481" i="9"/>
  <c r="AI481" i="9"/>
  <c r="AH481" i="9"/>
  <c r="AG481" i="9"/>
  <c r="AF481" i="9"/>
  <c r="AE481" i="9"/>
  <c r="AD481" i="9"/>
  <c r="AC481" i="9"/>
  <c r="AB481" i="9"/>
  <c r="AA481" i="9"/>
  <c r="Z481" i="9"/>
  <c r="Y481" i="9"/>
  <c r="X481" i="9"/>
  <c r="W481" i="9"/>
  <c r="V481" i="9"/>
  <c r="U481" i="9"/>
  <c r="T481" i="9"/>
  <c r="S481" i="9"/>
  <c r="R481" i="9"/>
  <c r="Q481" i="9"/>
  <c r="P481" i="9"/>
  <c r="O481" i="9"/>
  <c r="M481" i="9"/>
  <c r="L481" i="9"/>
  <c r="K481" i="9"/>
  <c r="J481" i="9"/>
  <c r="I481" i="9"/>
  <c r="H481" i="9"/>
  <c r="G481" i="9"/>
  <c r="F481" i="9"/>
  <c r="E481" i="9"/>
  <c r="D481" i="9"/>
  <c r="C481" i="9"/>
  <c r="B481" i="9"/>
  <c r="AJ480" i="9"/>
  <c r="AI480" i="9"/>
  <c r="AH480" i="9"/>
  <c r="AG480" i="9"/>
  <c r="AF480" i="9"/>
  <c r="AE480" i="9"/>
  <c r="AD480" i="9"/>
  <c r="AC480" i="9"/>
  <c r="AB480" i="9"/>
  <c r="AA480" i="9"/>
  <c r="Z480" i="9"/>
  <c r="Y480" i="9"/>
  <c r="X480" i="9"/>
  <c r="W480" i="9"/>
  <c r="V480" i="9"/>
  <c r="U480" i="9"/>
  <c r="T480" i="9"/>
  <c r="S480" i="9"/>
  <c r="R480" i="9"/>
  <c r="Q480" i="9"/>
  <c r="P480" i="9"/>
  <c r="O480" i="9"/>
  <c r="M480" i="9"/>
  <c r="L480" i="9"/>
  <c r="K480" i="9"/>
  <c r="J480" i="9"/>
  <c r="I480" i="9"/>
  <c r="H480" i="9"/>
  <c r="G480" i="9"/>
  <c r="F480" i="9"/>
  <c r="E480" i="9"/>
  <c r="D480" i="9"/>
  <c r="C480" i="9"/>
  <c r="B480" i="9"/>
  <c r="AJ479" i="9"/>
  <c r="AI479" i="9"/>
  <c r="AH479" i="9"/>
  <c r="AG479" i="9"/>
  <c r="AF479" i="9"/>
  <c r="AE479" i="9"/>
  <c r="AD479" i="9"/>
  <c r="AC479" i="9"/>
  <c r="AB479" i="9"/>
  <c r="AA479" i="9"/>
  <c r="Z479" i="9"/>
  <c r="Y479" i="9"/>
  <c r="X479" i="9"/>
  <c r="W479" i="9"/>
  <c r="V479" i="9"/>
  <c r="U479" i="9"/>
  <c r="T479" i="9"/>
  <c r="S479" i="9"/>
  <c r="R479" i="9"/>
  <c r="Q479" i="9"/>
  <c r="P479" i="9"/>
  <c r="O479" i="9"/>
  <c r="M479" i="9"/>
  <c r="L479" i="9"/>
  <c r="K479" i="9"/>
  <c r="J479" i="9"/>
  <c r="I479" i="9"/>
  <c r="H479" i="9"/>
  <c r="G479" i="9"/>
  <c r="F479" i="9"/>
  <c r="E479" i="9"/>
  <c r="D479" i="9"/>
  <c r="C479" i="9"/>
  <c r="B479" i="9"/>
  <c r="AJ478" i="9"/>
  <c r="AI478" i="9"/>
  <c r="AH478" i="9"/>
  <c r="AG478" i="9"/>
  <c r="AF478" i="9"/>
  <c r="AE478" i="9"/>
  <c r="AD478" i="9"/>
  <c r="AC478" i="9"/>
  <c r="AB478" i="9"/>
  <c r="AA478" i="9"/>
  <c r="Z478" i="9"/>
  <c r="Y478" i="9"/>
  <c r="X478" i="9"/>
  <c r="W478" i="9"/>
  <c r="V478" i="9"/>
  <c r="U478" i="9"/>
  <c r="T478" i="9"/>
  <c r="S478" i="9"/>
  <c r="R478" i="9"/>
  <c r="Q478" i="9"/>
  <c r="P478" i="9"/>
  <c r="O478" i="9"/>
  <c r="M478" i="9"/>
  <c r="L478" i="9"/>
  <c r="K478" i="9"/>
  <c r="J478" i="9"/>
  <c r="I478" i="9"/>
  <c r="H478" i="9"/>
  <c r="G478" i="9"/>
  <c r="F478" i="9"/>
  <c r="E478" i="9"/>
  <c r="D478" i="9"/>
  <c r="C478" i="9"/>
  <c r="B478" i="9"/>
  <c r="AJ477" i="9"/>
  <c r="AI477" i="9"/>
  <c r="AH477" i="9"/>
  <c r="AG477" i="9"/>
  <c r="AF477" i="9"/>
  <c r="AE477" i="9"/>
  <c r="AD477" i="9"/>
  <c r="AC477" i="9"/>
  <c r="AB477" i="9"/>
  <c r="AA477" i="9"/>
  <c r="Z477" i="9"/>
  <c r="Y477" i="9"/>
  <c r="X477" i="9"/>
  <c r="W477" i="9"/>
  <c r="V477" i="9"/>
  <c r="U477" i="9"/>
  <c r="T477" i="9"/>
  <c r="S477" i="9"/>
  <c r="R477" i="9"/>
  <c r="Q477" i="9"/>
  <c r="P477" i="9"/>
  <c r="O477" i="9"/>
  <c r="M477" i="9"/>
  <c r="L477" i="9"/>
  <c r="K477" i="9"/>
  <c r="J477" i="9"/>
  <c r="I477" i="9"/>
  <c r="H477" i="9"/>
  <c r="G477" i="9"/>
  <c r="F477" i="9"/>
  <c r="E477" i="9"/>
  <c r="D477" i="9"/>
  <c r="C477" i="9"/>
  <c r="B477" i="9"/>
  <c r="AJ476" i="9"/>
  <c r="AI476" i="9"/>
  <c r="AH476" i="9"/>
  <c r="AG476" i="9"/>
  <c r="AF476" i="9"/>
  <c r="AE476" i="9"/>
  <c r="AD476" i="9"/>
  <c r="AC476" i="9"/>
  <c r="AB476" i="9"/>
  <c r="AA476" i="9"/>
  <c r="Z476" i="9"/>
  <c r="Y476" i="9"/>
  <c r="X476" i="9"/>
  <c r="W476" i="9"/>
  <c r="V476" i="9"/>
  <c r="U476" i="9"/>
  <c r="T476" i="9"/>
  <c r="S476" i="9"/>
  <c r="R476" i="9"/>
  <c r="Q476" i="9"/>
  <c r="P476" i="9"/>
  <c r="O476" i="9"/>
  <c r="M476" i="9"/>
  <c r="L476" i="9"/>
  <c r="K476" i="9"/>
  <c r="J476" i="9"/>
  <c r="I476" i="9"/>
  <c r="H476" i="9"/>
  <c r="G476" i="9"/>
  <c r="F476" i="9"/>
  <c r="E476" i="9"/>
  <c r="D476" i="9"/>
  <c r="C476" i="9"/>
  <c r="B476" i="9"/>
  <c r="AJ475" i="9"/>
  <c r="AI475" i="9"/>
  <c r="AH475" i="9"/>
  <c r="AG475" i="9"/>
  <c r="AF475" i="9"/>
  <c r="AE475" i="9"/>
  <c r="AD475" i="9"/>
  <c r="AC475" i="9"/>
  <c r="AB475" i="9"/>
  <c r="AA475" i="9"/>
  <c r="Z475" i="9"/>
  <c r="Y475" i="9"/>
  <c r="X475" i="9"/>
  <c r="W475" i="9"/>
  <c r="V475" i="9"/>
  <c r="U475" i="9"/>
  <c r="T475" i="9"/>
  <c r="S475" i="9"/>
  <c r="R475" i="9"/>
  <c r="Q475" i="9"/>
  <c r="P475" i="9"/>
  <c r="O475" i="9"/>
  <c r="M475" i="9"/>
  <c r="L475" i="9"/>
  <c r="K475" i="9"/>
  <c r="J475" i="9"/>
  <c r="I475" i="9"/>
  <c r="H475" i="9"/>
  <c r="G475" i="9"/>
  <c r="F475" i="9"/>
  <c r="E475" i="9"/>
  <c r="D475" i="9"/>
  <c r="C475" i="9"/>
  <c r="B475" i="9"/>
  <c r="AJ474" i="9"/>
  <c r="AI474" i="9"/>
  <c r="AH474" i="9"/>
  <c r="AG474" i="9"/>
  <c r="AF474" i="9"/>
  <c r="AE474" i="9"/>
  <c r="AD474" i="9"/>
  <c r="AC474" i="9"/>
  <c r="AB474" i="9"/>
  <c r="AA474" i="9"/>
  <c r="Z474" i="9"/>
  <c r="Y474" i="9"/>
  <c r="X474" i="9"/>
  <c r="W474" i="9"/>
  <c r="V474" i="9"/>
  <c r="U474" i="9"/>
  <c r="T474" i="9"/>
  <c r="S474" i="9"/>
  <c r="R474" i="9"/>
  <c r="Q474" i="9"/>
  <c r="P474" i="9"/>
  <c r="O474" i="9"/>
  <c r="M474" i="9"/>
  <c r="L474" i="9"/>
  <c r="K474" i="9"/>
  <c r="J474" i="9"/>
  <c r="I474" i="9"/>
  <c r="H474" i="9"/>
  <c r="G474" i="9"/>
  <c r="F474" i="9"/>
  <c r="E474" i="9"/>
  <c r="D474" i="9"/>
  <c r="C474" i="9"/>
  <c r="B474" i="9"/>
  <c r="AJ473" i="9"/>
  <c r="AI473" i="9"/>
  <c r="AH473" i="9"/>
  <c r="AG473" i="9"/>
  <c r="AF473" i="9"/>
  <c r="AE473" i="9"/>
  <c r="AD473" i="9"/>
  <c r="AC473" i="9"/>
  <c r="AB473" i="9"/>
  <c r="AA473" i="9"/>
  <c r="Z473" i="9"/>
  <c r="Y473" i="9"/>
  <c r="X473" i="9"/>
  <c r="W473" i="9"/>
  <c r="V473" i="9"/>
  <c r="U473" i="9"/>
  <c r="T473" i="9"/>
  <c r="S473" i="9"/>
  <c r="R473" i="9"/>
  <c r="Q473" i="9"/>
  <c r="P473" i="9"/>
  <c r="O473" i="9"/>
  <c r="M473" i="9"/>
  <c r="L473" i="9"/>
  <c r="K473" i="9"/>
  <c r="J473" i="9"/>
  <c r="I473" i="9"/>
  <c r="H473" i="9"/>
  <c r="G473" i="9"/>
  <c r="F473" i="9"/>
  <c r="E473" i="9"/>
  <c r="D473" i="9"/>
  <c r="C473" i="9"/>
  <c r="B473" i="9"/>
  <c r="AJ472" i="9"/>
  <c r="AI472" i="9"/>
  <c r="AH472" i="9"/>
  <c r="AG472" i="9"/>
  <c r="AF472" i="9"/>
  <c r="AE472" i="9"/>
  <c r="AD472" i="9"/>
  <c r="AC472" i="9"/>
  <c r="AB472" i="9"/>
  <c r="AA472" i="9"/>
  <c r="Z472" i="9"/>
  <c r="Y472" i="9"/>
  <c r="X472" i="9"/>
  <c r="W472" i="9"/>
  <c r="V472" i="9"/>
  <c r="U472" i="9"/>
  <c r="T472" i="9"/>
  <c r="S472" i="9"/>
  <c r="R472" i="9"/>
  <c r="Q472" i="9"/>
  <c r="P472" i="9"/>
  <c r="O472" i="9"/>
  <c r="M472" i="9"/>
  <c r="L472" i="9"/>
  <c r="K472" i="9"/>
  <c r="J472" i="9"/>
  <c r="I472" i="9"/>
  <c r="H472" i="9"/>
  <c r="G472" i="9"/>
  <c r="F472" i="9"/>
  <c r="E472" i="9"/>
  <c r="D472" i="9"/>
  <c r="C472" i="9"/>
  <c r="B472" i="9"/>
  <c r="AJ471" i="9"/>
  <c r="AI471" i="9"/>
  <c r="AH471" i="9"/>
  <c r="AG471" i="9"/>
  <c r="AF471" i="9"/>
  <c r="AE471" i="9"/>
  <c r="AD471" i="9"/>
  <c r="AC471" i="9"/>
  <c r="AB471" i="9"/>
  <c r="AA471" i="9"/>
  <c r="Z471" i="9"/>
  <c r="Y471" i="9"/>
  <c r="X471" i="9"/>
  <c r="W471" i="9"/>
  <c r="V471" i="9"/>
  <c r="U471" i="9"/>
  <c r="T471" i="9"/>
  <c r="S471" i="9"/>
  <c r="R471" i="9"/>
  <c r="Q471" i="9"/>
  <c r="P471" i="9"/>
  <c r="O471" i="9"/>
  <c r="M471" i="9"/>
  <c r="L471" i="9"/>
  <c r="K471" i="9"/>
  <c r="J471" i="9"/>
  <c r="I471" i="9"/>
  <c r="H471" i="9"/>
  <c r="G471" i="9"/>
  <c r="F471" i="9"/>
  <c r="E471" i="9"/>
  <c r="D471" i="9"/>
  <c r="C471" i="9"/>
  <c r="B471" i="9"/>
  <c r="AJ470" i="9"/>
  <c r="AI470" i="9"/>
  <c r="AH470" i="9"/>
  <c r="AG470" i="9"/>
  <c r="AF470" i="9"/>
  <c r="AE470" i="9"/>
  <c r="AD470" i="9"/>
  <c r="AC470" i="9"/>
  <c r="AB470" i="9"/>
  <c r="AA470" i="9"/>
  <c r="Z470" i="9"/>
  <c r="Y470" i="9"/>
  <c r="X470" i="9"/>
  <c r="W470" i="9"/>
  <c r="V470" i="9"/>
  <c r="U470" i="9"/>
  <c r="T470" i="9"/>
  <c r="S470" i="9"/>
  <c r="R470" i="9"/>
  <c r="Q470" i="9"/>
  <c r="P470" i="9"/>
  <c r="O470" i="9"/>
  <c r="M470" i="9"/>
  <c r="L470" i="9"/>
  <c r="K470" i="9"/>
  <c r="J470" i="9"/>
  <c r="I470" i="9"/>
  <c r="H470" i="9"/>
  <c r="G470" i="9"/>
  <c r="F470" i="9"/>
  <c r="E470" i="9"/>
  <c r="D470" i="9"/>
  <c r="C470" i="9"/>
  <c r="B470" i="9"/>
  <c r="AJ469" i="9"/>
  <c r="AI469" i="9"/>
  <c r="AH469" i="9"/>
  <c r="AG469" i="9"/>
  <c r="AF469" i="9"/>
  <c r="AE469" i="9"/>
  <c r="AD469" i="9"/>
  <c r="AC469" i="9"/>
  <c r="AB469" i="9"/>
  <c r="AA469" i="9"/>
  <c r="Z469" i="9"/>
  <c r="Y469" i="9"/>
  <c r="X469" i="9"/>
  <c r="W469" i="9"/>
  <c r="V469" i="9"/>
  <c r="U469" i="9"/>
  <c r="T469" i="9"/>
  <c r="S469" i="9"/>
  <c r="R469" i="9"/>
  <c r="Q469" i="9"/>
  <c r="P469" i="9"/>
  <c r="O469" i="9"/>
  <c r="M469" i="9"/>
  <c r="L469" i="9"/>
  <c r="K469" i="9"/>
  <c r="J469" i="9"/>
  <c r="I469" i="9"/>
  <c r="H469" i="9"/>
  <c r="G469" i="9"/>
  <c r="F469" i="9"/>
  <c r="E469" i="9"/>
  <c r="D469" i="9"/>
  <c r="C469" i="9"/>
  <c r="B469" i="9"/>
  <c r="AJ468" i="9"/>
  <c r="AI468" i="9"/>
  <c r="AH468" i="9"/>
  <c r="AG468" i="9"/>
  <c r="AF468" i="9"/>
  <c r="AE468" i="9"/>
  <c r="AD468" i="9"/>
  <c r="AC468" i="9"/>
  <c r="AB468" i="9"/>
  <c r="AA468" i="9"/>
  <c r="Z468" i="9"/>
  <c r="Y468" i="9"/>
  <c r="X468" i="9"/>
  <c r="W468" i="9"/>
  <c r="V468" i="9"/>
  <c r="U468" i="9"/>
  <c r="T468" i="9"/>
  <c r="S468" i="9"/>
  <c r="R468" i="9"/>
  <c r="Q468" i="9"/>
  <c r="P468" i="9"/>
  <c r="O468" i="9"/>
  <c r="M468" i="9"/>
  <c r="L468" i="9"/>
  <c r="K468" i="9"/>
  <c r="J468" i="9"/>
  <c r="I468" i="9"/>
  <c r="H468" i="9"/>
  <c r="G468" i="9"/>
  <c r="F468" i="9"/>
  <c r="E468" i="9"/>
  <c r="D468" i="9"/>
  <c r="C468" i="9"/>
  <c r="B468" i="9"/>
  <c r="AJ467" i="9"/>
  <c r="AI467" i="9"/>
  <c r="AH467" i="9"/>
  <c r="AG467" i="9"/>
  <c r="AF467" i="9"/>
  <c r="AE467" i="9"/>
  <c r="AD467" i="9"/>
  <c r="AC467" i="9"/>
  <c r="AB467" i="9"/>
  <c r="AA467" i="9"/>
  <c r="Z467" i="9"/>
  <c r="Y467" i="9"/>
  <c r="X467" i="9"/>
  <c r="W467" i="9"/>
  <c r="V467" i="9"/>
  <c r="U467" i="9"/>
  <c r="T467" i="9"/>
  <c r="S467" i="9"/>
  <c r="R467" i="9"/>
  <c r="Q467" i="9"/>
  <c r="P467" i="9"/>
  <c r="O467" i="9"/>
  <c r="M467" i="9"/>
  <c r="L467" i="9"/>
  <c r="K467" i="9"/>
  <c r="J467" i="9"/>
  <c r="I467" i="9"/>
  <c r="H467" i="9"/>
  <c r="G467" i="9"/>
  <c r="F467" i="9"/>
  <c r="E467" i="9"/>
  <c r="D467" i="9"/>
  <c r="C467" i="9"/>
  <c r="B467" i="9"/>
  <c r="AJ466" i="9"/>
  <c r="AI466" i="9"/>
  <c r="AH466" i="9"/>
  <c r="AG466" i="9"/>
  <c r="AF466" i="9"/>
  <c r="AE466" i="9"/>
  <c r="AD466" i="9"/>
  <c r="AC466" i="9"/>
  <c r="AB466" i="9"/>
  <c r="AA466" i="9"/>
  <c r="Z466" i="9"/>
  <c r="Y466" i="9"/>
  <c r="X466" i="9"/>
  <c r="W466" i="9"/>
  <c r="V466" i="9"/>
  <c r="U466" i="9"/>
  <c r="T466" i="9"/>
  <c r="S466" i="9"/>
  <c r="R466" i="9"/>
  <c r="Q466" i="9"/>
  <c r="P466" i="9"/>
  <c r="O466" i="9"/>
  <c r="M466" i="9"/>
  <c r="L466" i="9"/>
  <c r="K466" i="9"/>
  <c r="J466" i="9"/>
  <c r="I466" i="9"/>
  <c r="H466" i="9"/>
  <c r="G466" i="9"/>
  <c r="F466" i="9"/>
  <c r="E466" i="9"/>
  <c r="D466" i="9"/>
  <c r="C466" i="9"/>
  <c r="B466" i="9"/>
  <c r="AJ465" i="9"/>
  <c r="AI465" i="9"/>
  <c r="AH465" i="9"/>
  <c r="AG465" i="9"/>
  <c r="AF465" i="9"/>
  <c r="AE465" i="9"/>
  <c r="AD465" i="9"/>
  <c r="AC465" i="9"/>
  <c r="AB465" i="9"/>
  <c r="AA465" i="9"/>
  <c r="Z465" i="9"/>
  <c r="Y465" i="9"/>
  <c r="X465" i="9"/>
  <c r="W465" i="9"/>
  <c r="V465" i="9"/>
  <c r="U465" i="9"/>
  <c r="T465" i="9"/>
  <c r="S465" i="9"/>
  <c r="R465" i="9"/>
  <c r="Q465" i="9"/>
  <c r="P465" i="9"/>
  <c r="O465" i="9"/>
  <c r="M465" i="9"/>
  <c r="L465" i="9"/>
  <c r="K465" i="9"/>
  <c r="J465" i="9"/>
  <c r="I465" i="9"/>
  <c r="H465" i="9"/>
  <c r="G465" i="9"/>
  <c r="F465" i="9"/>
  <c r="E465" i="9"/>
  <c r="D465" i="9"/>
  <c r="C465" i="9"/>
  <c r="B465" i="9"/>
  <c r="AJ464" i="9"/>
  <c r="AI464" i="9"/>
  <c r="AH464" i="9"/>
  <c r="AG464" i="9"/>
  <c r="AF464" i="9"/>
  <c r="AE464" i="9"/>
  <c r="AD464" i="9"/>
  <c r="AC464" i="9"/>
  <c r="AB464" i="9"/>
  <c r="AA464" i="9"/>
  <c r="Z464" i="9"/>
  <c r="Y464" i="9"/>
  <c r="X464" i="9"/>
  <c r="W464" i="9"/>
  <c r="V464" i="9"/>
  <c r="U464" i="9"/>
  <c r="T464" i="9"/>
  <c r="S464" i="9"/>
  <c r="R464" i="9"/>
  <c r="Q464" i="9"/>
  <c r="P464" i="9"/>
  <c r="O464" i="9"/>
  <c r="M464" i="9"/>
  <c r="L464" i="9"/>
  <c r="K464" i="9"/>
  <c r="J464" i="9"/>
  <c r="I464" i="9"/>
  <c r="H464" i="9"/>
  <c r="G464" i="9"/>
  <c r="F464" i="9"/>
  <c r="E464" i="9"/>
  <c r="D464" i="9"/>
  <c r="C464" i="9"/>
  <c r="B464" i="9"/>
  <c r="AJ463" i="9"/>
  <c r="AI463" i="9"/>
  <c r="AH463" i="9"/>
  <c r="AG463" i="9"/>
  <c r="AF463" i="9"/>
  <c r="AE463" i="9"/>
  <c r="AD463" i="9"/>
  <c r="AC463" i="9"/>
  <c r="AB463" i="9"/>
  <c r="AA463" i="9"/>
  <c r="Z463" i="9"/>
  <c r="Y463" i="9"/>
  <c r="X463" i="9"/>
  <c r="W463" i="9"/>
  <c r="V463" i="9"/>
  <c r="U463" i="9"/>
  <c r="T463" i="9"/>
  <c r="S463" i="9"/>
  <c r="R463" i="9"/>
  <c r="Q463" i="9"/>
  <c r="P463" i="9"/>
  <c r="O463" i="9"/>
  <c r="M463" i="9"/>
  <c r="L463" i="9"/>
  <c r="K463" i="9"/>
  <c r="J463" i="9"/>
  <c r="I463" i="9"/>
  <c r="H463" i="9"/>
  <c r="G463" i="9"/>
  <c r="F463" i="9"/>
  <c r="E463" i="9"/>
  <c r="D463" i="9"/>
  <c r="C463" i="9"/>
  <c r="B463" i="9"/>
  <c r="AJ462" i="9"/>
  <c r="AI462" i="9"/>
  <c r="AH462" i="9"/>
  <c r="AG462" i="9"/>
  <c r="AF462" i="9"/>
  <c r="AE462" i="9"/>
  <c r="AD462" i="9"/>
  <c r="AC462" i="9"/>
  <c r="AB462" i="9"/>
  <c r="AA462" i="9"/>
  <c r="Z462" i="9"/>
  <c r="Y462" i="9"/>
  <c r="X462" i="9"/>
  <c r="W462" i="9"/>
  <c r="V462" i="9"/>
  <c r="U462" i="9"/>
  <c r="T462" i="9"/>
  <c r="S462" i="9"/>
  <c r="R462" i="9"/>
  <c r="Q462" i="9"/>
  <c r="P462" i="9"/>
  <c r="O462" i="9"/>
  <c r="M462" i="9"/>
  <c r="L462" i="9"/>
  <c r="K462" i="9"/>
  <c r="J462" i="9"/>
  <c r="I462" i="9"/>
  <c r="H462" i="9"/>
  <c r="G462" i="9"/>
  <c r="F462" i="9"/>
  <c r="E462" i="9"/>
  <c r="D462" i="9"/>
  <c r="C462" i="9"/>
  <c r="B462" i="9"/>
  <c r="AJ461" i="9"/>
  <c r="AI461" i="9"/>
  <c r="AH461" i="9"/>
  <c r="AG461" i="9"/>
  <c r="AF461" i="9"/>
  <c r="AE461" i="9"/>
  <c r="AD461" i="9"/>
  <c r="AC461" i="9"/>
  <c r="AB461" i="9"/>
  <c r="AA461" i="9"/>
  <c r="Z461" i="9"/>
  <c r="Y461" i="9"/>
  <c r="X461" i="9"/>
  <c r="W461" i="9"/>
  <c r="V461" i="9"/>
  <c r="U461" i="9"/>
  <c r="T461" i="9"/>
  <c r="S461" i="9"/>
  <c r="R461" i="9"/>
  <c r="Q461" i="9"/>
  <c r="P461" i="9"/>
  <c r="O461" i="9"/>
  <c r="M461" i="9"/>
  <c r="L461" i="9"/>
  <c r="K461" i="9"/>
  <c r="J461" i="9"/>
  <c r="I461" i="9"/>
  <c r="H461" i="9"/>
  <c r="G461" i="9"/>
  <c r="F461" i="9"/>
  <c r="E461" i="9"/>
  <c r="D461" i="9"/>
  <c r="C461" i="9"/>
  <c r="B461" i="9"/>
  <c r="AJ460" i="9"/>
  <c r="AI460" i="9"/>
  <c r="AH460" i="9"/>
  <c r="AG460" i="9"/>
  <c r="AF460" i="9"/>
  <c r="AE460" i="9"/>
  <c r="AD460" i="9"/>
  <c r="AC460" i="9"/>
  <c r="AB460" i="9"/>
  <c r="AA460" i="9"/>
  <c r="Z460" i="9"/>
  <c r="Y460" i="9"/>
  <c r="X460" i="9"/>
  <c r="W460" i="9"/>
  <c r="V460" i="9"/>
  <c r="U460" i="9"/>
  <c r="T460" i="9"/>
  <c r="S460" i="9"/>
  <c r="R460" i="9"/>
  <c r="Q460" i="9"/>
  <c r="P460" i="9"/>
  <c r="O460" i="9"/>
  <c r="M460" i="9"/>
  <c r="L460" i="9"/>
  <c r="K460" i="9"/>
  <c r="J460" i="9"/>
  <c r="I460" i="9"/>
  <c r="H460" i="9"/>
  <c r="G460" i="9"/>
  <c r="F460" i="9"/>
  <c r="E460" i="9"/>
  <c r="D460" i="9"/>
  <c r="C460" i="9"/>
  <c r="B460" i="9"/>
  <c r="AJ459" i="9"/>
  <c r="AI459" i="9"/>
  <c r="AH459" i="9"/>
  <c r="AG459" i="9"/>
  <c r="AF459" i="9"/>
  <c r="AE459" i="9"/>
  <c r="AD459" i="9"/>
  <c r="AC459" i="9"/>
  <c r="AB459" i="9"/>
  <c r="AA459" i="9"/>
  <c r="Z459" i="9"/>
  <c r="Y459" i="9"/>
  <c r="X459" i="9"/>
  <c r="W459" i="9"/>
  <c r="V459" i="9"/>
  <c r="U459" i="9"/>
  <c r="T459" i="9"/>
  <c r="S459" i="9"/>
  <c r="R459" i="9"/>
  <c r="Q459" i="9"/>
  <c r="P459" i="9"/>
  <c r="O459" i="9"/>
  <c r="M459" i="9"/>
  <c r="L459" i="9"/>
  <c r="K459" i="9"/>
  <c r="J459" i="9"/>
  <c r="I459" i="9"/>
  <c r="H459" i="9"/>
  <c r="G459" i="9"/>
  <c r="F459" i="9"/>
  <c r="E459" i="9"/>
  <c r="D459" i="9"/>
  <c r="C459" i="9"/>
  <c r="B459" i="9"/>
  <c r="AJ458" i="9"/>
  <c r="AI458" i="9"/>
  <c r="AH458" i="9"/>
  <c r="AG458" i="9"/>
  <c r="AF458" i="9"/>
  <c r="AE458" i="9"/>
  <c r="AD458" i="9"/>
  <c r="AC458" i="9"/>
  <c r="AB458" i="9"/>
  <c r="AA458" i="9"/>
  <c r="Z458" i="9"/>
  <c r="Y458" i="9"/>
  <c r="X458" i="9"/>
  <c r="W458" i="9"/>
  <c r="V458" i="9"/>
  <c r="U458" i="9"/>
  <c r="T458" i="9"/>
  <c r="S458" i="9"/>
  <c r="R458" i="9"/>
  <c r="Q458" i="9"/>
  <c r="P458" i="9"/>
  <c r="O458" i="9"/>
  <c r="M458" i="9"/>
  <c r="L458" i="9"/>
  <c r="K458" i="9"/>
  <c r="J458" i="9"/>
  <c r="I458" i="9"/>
  <c r="H458" i="9"/>
  <c r="G458" i="9"/>
  <c r="F458" i="9"/>
  <c r="E458" i="9"/>
  <c r="D458" i="9"/>
  <c r="C458" i="9"/>
  <c r="B458" i="9"/>
  <c r="AJ457" i="9"/>
  <c r="AI457" i="9"/>
  <c r="AH457" i="9"/>
  <c r="AG457" i="9"/>
  <c r="AF457" i="9"/>
  <c r="AE457" i="9"/>
  <c r="AD457" i="9"/>
  <c r="AC457" i="9"/>
  <c r="AB457" i="9"/>
  <c r="AA457" i="9"/>
  <c r="Z457" i="9"/>
  <c r="Y457" i="9"/>
  <c r="X457" i="9"/>
  <c r="W457" i="9"/>
  <c r="V457" i="9"/>
  <c r="U457" i="9"/>
  <c r="T457" i="9"/>
  <c r="S457" i="9"/>
  <c r="R457" i="9"/>
  <c r="Q457" i="9"/>
  <c r="P457" i="9"/>
  <c r="O457" i="9"/>
  <c r="M457" i="9"/>
  <c r="L457" i="9"/>
  <c r="K457" i="9"/>
  <c r="J457" i="9"/>
  <c r="I457" i="9"/>
  <c r="H457" i="9"/>
  <c r="G457" i="9"/>
  <c r="F457" i="9"/>
  <c r="E457" i="9"/>
  <c r="D457" i="9"/>
  <c r="C457" i="9"/>
  <c r="B457" i="9"/>
  <c r="AJ456" i="9"/>
  <c r="AI456" i="9"/>
  <c r="AH456" i="9"/>
  <c r="AG456" i="9"/>
  <c r="AF456" i="9"/>
  <c r="AE456" i="9"/>
  <c r="AD456" i="9"/>
  <c r="AC456" i="9"/>
  <c r="AB456" i="9"/>
  <c r="AA456" i="9"/>
  <c r="Z456" i="9"/>
  <c r="Y456" i="9"/>
  <c r="X456" i="9"/>
  <c r="W456" i="9"/>
  <c r="V456" i="9"/>
  <c r="U456" i="9"/>
  <c r="T456" i="9"/>
  <c r="S456" i="9"/>
  <c r="R456" i="9"/>
  <c r="Q456" i="9"/>
  <c r="P456" i="9"/>
  <c r="O456" i="9"/>
  <c r="M456" i="9"/>
  <c r="L456" i="9"/>
  <c r="K456" i="9"/>
  <c r="J456" i="9"/>
  <c r="I456" i="9"/>
  <c r="H456" i="9"/>
  <c r="G456" i="9"/>
  <c r="F456" i="9"/>
  <c r="E456" i="9"/>
  <c r="D456" i="9"/>
  <c r="C456" i="9"/>
  <c r="B456" i="9"/>
  <c r="AJ455" i="9"/>
  <c r="AI455" i="9"/>
  <c r="AH455" i="9"/>
  <c r="AG455" i="9"/>
  <c r="AF455" i="9"/>
  <c r="AE455" i="9"/>
  <c r="AD455" i="9"/>
  <c r="AC455" i="9"/>
  <c r="AB455" i="9"/>
  <c r="AA455" i="9"/>
  <c r="Z455" i="9"/>
  <c r="Y455" i="9"/>
  <c r="X455" i="9"/>
  <c r="W455" i="9"/>
  <c r="V455" i="9"/>
  <c r="U455" i="9"/>
  <c r="T455" i="9"/>
  <c r="S455" i="9"/>
  <c r="R455" i="9"/>
  <c r="Q455" i="9"/>
  <c r="P455" i="9"/>
  <c r="O455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AJ454" i="9"/>
  <c r="AI454" i="9"/>
  <c r="AH454" i="9"/>
  <c r="AG454" i="9"/>
  <c r="AF454" i="9"/>
  <c r="AE454" i="9"/>
  <c r="AD454" i="9"/>
  <c r="AC454" i="9"/>
  <c r="AB454" i="9"/>
  <c r="AA454" i="9"/>
  <c r="Z454" i="9"/>
  <c r="Y454" i="9"/>
  <c r="X454" i="9"/>
  <c r="W454" i="9"/>
  <c r="V454" i="9"/>
  <c r="U454" i="9"/>
  <c r="T454" i="9"/>
  <c r="S454" i="9"/>
  <c r="R454" i="9"/>
  <c r="Q454" i="9"/>
  <c r="P454" i="9"/>
  <c r="O454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AJ453" i="9"/>
  <c r="AI453" i="9"/>
  <c r="AH453" i="9"/>
  <c r="AG453" i="9"/>
  <c r="AF453" i="9"/>
  <c r="AE453" i="9"/>
  <c r="AD453" i="9"/>
  <c r="AC453" i="9"/>
  <c r="AB453" i="9"/>
  <c r="AA453" i="9"/>
  <c r="Z453" i="9"/>
  <c r="Y453" i="9"/>
  <c r="X453" i="9"/>
  <c r="W453" i="9"/>
  <c r="V453" i="9"/>
  <c r="U453" i="9"/>
  <c r="T453" i="9"/>
  <c r="S453" i="9"/>
  <c r="R453" i="9"/>
  <c r="Q453" i="9"/>
  <c r="P453" i="9"/>
  <c r="O453" i="9"/>
  <c r="M453" i="9"/>
  <c r="L453" i="9"/>
  <c r="K453" i="9"/>
  <c r="J453" i="9"/>
  <c r="I453" i="9"/>
  <c r="H453" i="9"/>
  <c r="G453" i="9"/>
  <c r="F453" i="9"/>
  <c r="E453" i="9"/>
  <c r="D453" i="9"/>
  <c r="C453" i="9"/>
  <c r="B453" i="9"/>
  <c r="AJ452" i="9"/>
  <c r="AI452" i="9"/>
  <c r="AH452" i="9"/>
  <c r="AG452" i="9"/>
  <c r="AF452" i="9"/>
  <c r="AE452" i="9"/>
  <c r="AD452" i="9"/>
  <c r="AC452" i="9"/>
  <c r="AB452" i="9"/>
  <c r="AA452" i="9"/>
  <c r="Z452" i="9"/>
  <c r="Y452" i="9"/>
  <c r="X452" i="9"/>
  <c r="W452" i="9"/>
  <c r="V452" i="9"/>
  <c r="U452" i="9"/>
  <c r="T452" i="9"/>
  <c r="S452" i="9"/>
  <c r="R452" i="9"/>
  <c r="Q452" i="9"/>
  <c r="P452" i="9"/>
  <c r="O452" i="9"/>
  <c r="M452" i="9"/>
  <c r="L452" i="9"/>
  <c r="K452" i="9"/>
  <c r="J452" i="9"/>
  <c r="I452" i="9"/>
  <c r="H452" i="9"/>
  <c r="G452" i="9"/>
  <c r="F452" i="9"/>
  <c r="E452" i="9"/>
  <c r="D452" i="9"/>
  <c r="C452" i="9"/>
  <c r="B452" i="9"/>
  <c r="AJ451" i="9"/>
  <c r="AI451" i="9"/>
  <c r="AH451" i="9"/>
  <c r="AG451" i="9"/>
  <c r="AF451" i="9"/>
  <c r="AE451" i="9"/>
  <c r="AD451" i="9"/>
  <c r="AC451" i="9"/>
  <c r="AB451" i="9"/>
  <c r="AA451" i="9"/>
  <c r="Z451" i="9"/>
  <c r="Y451" i="9"/>
  <c r="X451" i="9"/>
  <c r="W451" i="9"/>
  <c r="V451" i="9"/>
  <c r="U451" i="9"/>
  <c r="T451" i="9"/>
  <c r="S451" i="9"/>
  <c r="R451" i="9"/>
  <c r="Q451" i="9"/>
  <c r="P451" i="9"/>
  <c r="O451" i="9"/>
  <c r="M451" i="9"/>
  <c r="L451" i="9"/>
  <c r="K451" i="9"/>
  <c r="J451" i="9"/>
  <c r="I451" i="9"/>
  <c r="H451" i="9"/>
  <c r="G451" i="9"/>
  <c r="F451" i="9"/>
  <c r="E451" i="9"/>
  <c r="D451" i="9"/>
  <c r="C451" i="9"/>
  <c r="B451" i="9"/>
  <c r="AJ450" i="9"/>
  <c r="AI450" i="9"/>
  <c r="AH450" i="9"/>
  <c r="AG450" i="9"/>
  <c r="AF450" i="9"/>
  <c r="AE450" i="9"/>
  <c r="AD450" i="9"/>
  <c r="AC450" i="9"/>
  <c r="AB450" i="9"/>
  <c r="AA450" i="9"/>
  <c r="Z450" i="9"/>
  <c r="Y450" i="9"/>
  <c r="X450" i="9"/>
  <c r="W450" i="9"/>
  <c r="V450" i="9"/>
  <c r="U450" i="9"/>
  <c r="T450" i="9"/>
  <c r="S450" i="9"/>
  <c r="R450" i="9"/>
  <c r="Q450" i="9"/>
  <c r="P450" i="9"/>
  <c r="O450" i="9"/>
  <c r="M450" i="9"/>
  <c r="L450" i="9"/>
  <c r="K450" i="9"/>
  <c r="J450" i="9"/>
  <c r="I450" i="9"/>
  <c r="H450" i="9"/>
  <c r="G450" i="9"/>
  <c r="F450" i="9"/>
  <c r="E450" i="9"/>
  <c r="D450" i="9"/>
  <c r="C450" i="9"/>
  <c r="B450" i="9"/>
  <c r="AJ449" i="9"/>
  <c r="AI449" i="9"/>
  <c r="AH449" i="9"/>
  <c r="AG449" i="9"/>
  <c r="AF449" i="9"/>
  <c r="AE449" i="9"/>
  <c r="AD449" i="9"/>
  <c r="AC449" i="9"/>
  <c r="AB449" i="9"/>
  <c r="AA449" i="9"/>
  <c r="Z449" i="9"/>
  <c r="Y449" i="9"/>
  <c r="X449" i="9"/>
  <c r="W449" i="9"/>
  <c r="V449" i="9"/>
  <c r="U449" i="9"/>
  <c r="T449" i="9"/>
  <c r="S449" i="9"/>
  <c r="R449" i="9"/>
  <c r="Q449" i="9"/>
  <c r="P449" i="9"/>
  <c r="O449" i="9"/>
  <c r="M449" i="9"/>
  <c r="L449" i="9"/>
  <c r="K449" i="9"/>
  <c r="J449" i="9"/>
  <c r="I449" i="9"/>
  <c r="H449" i="9"/>
  <c r="G449" i="9"/>
  <c r="F449" i="9"/>
  <c r="E449" i="9"/>
  <c r="D449" i="9"/>
  <c r="C449" i="9"/>
  <c r="B449" i="9"/>
  <c r="AJ448" i="9"/>
  <c r="AI448" i="9"/>
  <c r="AH448" i="9"/>
  <c r="AG448" i="9"/>
  <c r="AF448" i="9"/>
  <c r="AE448" i="9"/>
  <c r="AD448" i="9"/>
  <c r="AC448" i="9"/>
  <c r="AB448" i="9"/>
  <c r="AA448" i="9"/>
  <c r="Z448" i="9"/>
  <c r="Y448" i="9"/>
  <c r="X448" i="9"/>
  <c r="W448" i="9"/>
  <c r="V448" i="9"/>
  <c r="U448" i="9"/>
  <c r="T448" i="9"/>
  <c r="S448" i="9"/>
  <c r="R448" i="9"/>
  <c r="Q448" i="9"/>
  <c r="P448" i="9"/>
  <c r="O448" i="9"/>
  <c r="M448" i="9"/>
  <c r="L448" i="9"/>
  <c r="K448" i="9"/>
  <c r="J448" i="9"/>
  <c r="I448" i="9"/>
  <c r="H448" i="9"/>
  <c r="G448" i="9"/>
  <c r="F448" i="9"/>
  <c r="E448" i="9"/>
  <c r="D448" i="9"/>
  <c r="C448" i="9"/>
  <c r="B448" i="9"/>
  <c r="AJ447" i="9"/>
  <c r="AI447" i="9"/>
  <c r="AH447" i="9"/>
  <c r="AG447" i="9"/>
  <c r="AF447" i="9"/>
  <c r="AE447" i="9"/>
  <c r="AD447" i="9"/>
  <c r="AC447" i="9"/>
  <c r="AB447" i="9"/>
  <c r="AA447" i="9"/>
  <c r="Z447" i="9"/>
  <c r="Y447" i="9"/>
  <c r="X447" i="9"/>
  <c r="W447" i="9"/>
  <c r="V447" i="9"/>
  <c r="U447" i="9"/>
  <c r="T447" i="9"/>
  <c r="S447" i="9"/>
  <c r="R447" i="9"/>
  <c r="Q447" i="9"/>
  <c r="P447" i="9"/>
  <c r="O447" i="9"/>
  <c r="M447" i="9"/>
  <c r="L447" i="9"/>
  <c r="K447" i="9"/>
  <c r="J447" i="9"/>
  <c r="I447" i="9"/>
  <c r="H447" i="9"/>
  <c r="G447" i="9"/>
  <c r="F447" i="9"/>
  <c r="E447" i="9"/>
  <c r="D447" i="9"/>
  <c r="C447" i="9"/>
  <c r="B447" i="9"/>
  <c r="AJ446" i="9"/>
  <c r="AI446" i="9"/>
  <c r="AH446" i="9"/>
  <c r="AG446" i="9"/>
  <c r="AF446" i="9"/>
  <c r="AE446" i="9"/>
  <c r="AD446" i="9"/>
  <c r="AC446" i="9"/>
  <c r="AB446" i="9"/>
  <c r="AA446" i="9"/>
  <c r="Z446" i="9"/>
  <c r="Y446" i="9"/>
  <c r="X446" i="9"/>
  <c r="W446" i="9"/>
  <c r="V446" i="9"/>
  <c r="U446" i="9"/>
  <c r="T446" i="9"/>
  <c r="S446" i="9"/>
  <c r="R446" i="9"/>
  <c r="Q446" i="9"/>
  <c r="P446" i="9"/>
  <c r="O446" i="9"/>
  <c r="M446" i="9"/>
  <c r="L446" i="9"/>
  <c r="K446" i="9"/>
  <c r="J446" i="9"/>
  <c r="I446" i="9"/>
  <c r="H446" i="9"/>
  <c r="G446" i="9"/>
  <c r="F446" i="9"/>
  <c r="E446" i="9"/>
  <c r="D446" i="9"/>
  <c r="C446" i="9"/>
  <c r="B446" i="9"/>
  <c r="AJ445" i="9"/>
  <c r="AI445" i="9"/>
  <c r="AH445" i="9"/>
  <c r="AG445" i="9"/>
  <c r="AF445" i="9"/>
  <c r="AE445" i="9"/>
  <c r="AD445" i="9"/>
  <c r="AC445" i="9"/>
  <c r="AB445" i="9"/>
  <c r="AA445" i="9"/>
  <c r="Z445" i="9"/>
  <c r="Y445" i="9"/>
  <c r="X445" i="9"/>
  <c r="W445" i="9"/>
  <c r="V445" i="9"/>
  <c r="U445" i="9"/>
  <c r="T445" i="9"/>
  <c r="S445" i="9"/>
  <c r="R445" i="9"/>
  <c r="Q445" i="9"/>
  <c r="P445" i="9"/>
  <c r="O445" i="9"/>
  <c r="M445" i="9"/>
  <c r="L445" i="9"/>
  <c r="K445" i="9"/>
  <c r="J445" i="9"/>
  <c r="I445" i="9"/>
  <c r="H445" i="9"/>
  <c r="G445" i="9"/>
  <c r="F445" i="9"/>
  <c r="E445" i="9"/>
  <c r="D445" i="9"/>
  <c r="C445" i="9"/>
  <c r="B445" i="9"/>
  <c r="AJ444" i="9"/>
  <c r="AI444" i="9"/>
  <c r="AH444" i="9"/>
  <c r="AG444" i="9"/>
  <c r="AF444" i="9"/>
  <c r="AE444" i="9"/>
  <c r="AD444" i="9"/>
  <c r="AC444" i="9"/>
  <c r="AB444" i="9"/>
  <c r="AA444" i="9"/>
  <c r="Z444" i="9"/>
  <c r="Y444" i="9"/>
  <c r="X444" i="9"/>
  <c r="W444" i="9"/>
  <c r="V444" i="9"/>
  <c r="U444" i="9"/>
  <c r="T444" i="9"/>
  <c r="S444" i="9"/>
  <c r="R444" i="9"/>
  <c r="Q444" i="9"/>
  <c r="P444" i="9"/>
  <c r="O444" i="9"/>
  <c r="M444" i="9"/>
  <c r="L444" i="9"/>
  <c r="K444" i="9"/>
  <c r="J444" i="9"/>
  <c r="I444" i="9"/>
  <c r="H444" i="9"/>
  <c r="G444" i="9"/>
  <c r="F444" i="9"/>
  <c r="E444" i="9"/>
  <c r="D444" i="9"/>
  <c r="C444" i="9"/>
  <c r="B444" i="9"/>
  <c r="AJ443" i="9"/>
  <c r="AI443" i="9"/>
  <c r="AH443" i="9"/>
  <c r="AG443" i="9"/>
  <c r="AF443" i="9"/>
  <c r="AE443" i="9"/>
  <c r="AD443" i="9"/>
  <c r="AC443" i="9"/>
  <c r="AB443" i="9"/>
  <c r="AA443" i="9"/>
  <c r="Z443" i="9"/>
  <c r="Y443" i="9"/>
  <c r="X443" i="9"/>
  <c r="W443" i="9"/>
  <c r="V443" i="9"/>
  <c r="U443" i="9"/>
  <c r="T443" i="9"/>
  <c r="S443" i="9"/>
  <c r="R443" i="9"/>
  <c r="Q443" i="9"/>
  <c r="P443" i="9"/>
  <c r="O443" i="9"/>
  <c r="M443" i="9"/>
  <c r="L443" i="9"/>
  <c r="K443" i="9"/>
  <c r="J443" i="9"/>
  <c r="I443" i="9"/>
  <c r="H443" i="9"/>
  <c r="G443" i="9"/>
  <c r="F443" i="9"/>
  <c r="E443" i="9"/>
  <c r="D443" i="9"/>
  <c r="C443" i="9"/>
  <c r="B443" i="9"/>
  <c r="AJ442" i="9"/>
  <c r="AI442" i="9"/>
  <c r="AH442" i="9"/>
  <c r="AG442" i="9"/>
  <c r="AF442" i="9"/>
  <c r="AE442" i="9"/>
  <c r="AD442" i="9"/>
  <c r="AC442" i="9"/>
  <c r="AB442" i="9"/>
  <c r="AA442" i="9"/>
  <c r="Z442" i="9"/>
  <c r="Y442" i="9"/>
  <c r="X442" i="9"/>
  <c r="W442" i="9"/>
  <c r="V442" i="9"/>
  <c r="U442" i="9"/>
  <c r="T442" i="9"/>
  <c r="S442" i="9"/>
  <c r="R442" i="9"/>
  <c r="Q442" i="9"/>
  <c r="P442" i="9"/>
  <c r="O442" i="9"/>
  <c r="M442" i="9"/>
  <c r="L442" i="9"/>
  <c r="K442" i="9"/>
  <c r="J442" i="9"/>
  <c r="I442" i="9"/>
  <c r="H442" i="9"/>
  <c r="G442" i="9"/>
  <c r="F442" i="9"/>
  <c r="E442" i="9"/>
  <c r="D442" i="9"/>
  <c r="C442" i="9"/>
  <c r="B442" i="9"/>
  <c r="AJ441" i="9"/>
  <c r="AI441" i="9"/>
  <c r="AH441" i="9"/>
  <c r="AG441" i="9"/>
  <c r="AF441" i="9"/>
  <c r="AE441" i="9"/>
  <c r="AD441" i="9"/>
  <c r="AC441" i="9"/>
  <c r="AB441" i="9"/>
  <c r="AA441" i="9"/>
  <c r="Z441" i="9"/>
  <c r="Y441" i="9"/>
  <c r="X441" i="9"/>
  <c r="W441" i="9"/>
  <c r="V441" i="9"/>
  <c r="U441" i="9"/>
  <c r="T441" i="9"/>
  <c r="S441" i="9"/>
  <c r="R441" i="9"/>
  <c r="Q441" i="9"/>
  <c r="P441" i="9"/>
  <c r="O441" i="9"/>
  <c r="M441" i="9"/>
  <c r="L441" i="9"/>
  <c r="K441" i="9"/>
  <c r="J441" i="9"/>
  <c r="I441" i="9"/>
  <c r="H441" i="9"/>
  <c r="G441" i="9"/>
  <c r="F441" i="9"/>
  <c r="E441" i="9"/>
  <c r="D441" i="9"/>
  <c r="C441" i="9"/>
  <c r="B441" i="9"/>
  <c r="AJ440" i="9"/>
  <c r="AI440" i="9"/>
  <c r="AH440" i="9"/>
  <c r="AG440" i="9"/>
  <c r="AF440" i="9"/>
  <c r="AE440" i="9"/>
  <c r="AD440" i="9"/>
  <c r="AC440" i="9"/>
  <c r="AB440" i="9"/>
  <c r="AA440" i="9"/>
  <c r="Z440" i="9"/>
  <c r="Y440" i="9"/>
  <c r="X440" i="9"/>
  <c r="W440" i="9"/>
  <c r="V440" i="9"/>
  <c r="U440" i="9"/>
  <c r="T440" i="9"/>
  <c r="S440" i="9"/>
  <c r="R440" i="9"/>
  <c r="Q440" i="9"/>
  <c r="P440" i="9"/>
  <c r="O440" i="9"/>
  <c r="M440" i="9"/>
  <c r="L440" i="9"/>
  <c r="K440" i="9"/>
  <c r="J440" i="9"/>
  <c r="I440" i="9"/>
  <c r="H440" i="9"/>
  <c r="G440" i="9"/>
  <c r="F440" i="9"/>
  <c r="E440" i="9"/>
  <c r="D440" i="9"/>
  <c r="C440" i="9"/>
  <c r="B440" i="9"/>
  <c r="AJ439" i="9"/>
  <c r="AI439" i="9"/>
  <c r="AH439" i="9"/>
  <c r="AG439" i="9"/>
  <c r="AF439" i="9"/>
  <c r="AE439" i="9"/>
  <c r="AD439" i="9"/>
  <c r="AC439" i="9"/>
  <c r="AB439" i="9"/>
  <c r="AA439" i="9"/>
  <c r="Z439" i="9"/>
  <c r="Y439" i="9"/>
  <c r="X439" i="9"/>
  <c r="W439" i="9"/>
  <c r="V439" i="9"/>
  <c r="U439" i="9"/>
  <c r="T439" i="9"/>
  <c r="S439" i="9"/>
  <c r="R439" i="9"/>
  <c r="Q439" i="9"/>
  <c r="P439" i="9"/>
  <c r="O439" i="9"/>
  <c r="M439" i="9"/>
  <c r="L439" i="9"/>
  <c r="K439" i="9"/>
  <c r="J439" i="9"/>
  <c r="I439" i="9"/>
  <c r="H439" i="9"/>
  <c r="G439" i="9"/>
  <c r="F439" i="9"/>
  <c r="E439" i="9"/>
  <c r="D439" i="9"/>
  <c r="C439" i="9"/>
  <c r="B439" i="9"/>
  <c r="AJ438" i="9"/>
  <c r="AI438" i="9"/>
  <c r="AH438" i="9"/>
  <c r="AG438" i="9"/>
  <c r="AF438" i="9"/>
  <c r="AE438" i="9"/>
  <c r="AD438" i="9"/>
  <c r="AC438" i="9"/>
  <c r="AB438" i="9"/>
  <c r="AA438" i="9"/>
  <c r="Z438" i="9"/>
  <c r="Y438" i="9"/>
  <c r="X438" i="9"/>
  <c r="W438" i="9"/>
  <c r="V438" i="9"/>
  <c r="U438" i="9"/>
  <c r="T438" i="9"/>
  <c r="S438" i="9"/>
  <c r="R438" i="9"/>
  <c r="Q438" i="9"/>
  <c r="P438" i="9"/>
  <c r="O438" i="9"/>
  <c r="M438" i="9"/>
  <c r="L438" i="9"/>
  <c r="K438" i="9"/>
  <c r="J438" i="9"/>
  <c r="I438" i="9"/>
  <c r="H438" i="9"/>
  <c r="G438" i="9"/>
  <c r="F438" i="9"/>
  <c r="E438" i="9"/>
  <c r="D438" i="9"/>
  <c r="C438" i="9"/>
  <c r="B438" i="9"/>
  <c r="AJ437" i="9"/>
  <c r="AI437" i="9"/>
  <c r="AH437" i="9"/>
  <c r="AG437" i="9"/>
  <c r="AF437" i="9"/>
  <c r="AE437" i="9"/>
  <c r="AD437" i="9"/>
  <c r="AC437" i="9"/>
  <c r="AB437" i="9"/>
  <c r="AA437" i="9"/>
  <c r="Z437" i="9"/>
  <c r="Y437" i="9"/>
  <c r="X437" i="9"/>
  <c r="W437" i="9"/>
  <c r="V437" i="9"/>
  <c r="U437" i="9"/>
  <c r="T437" i="9"/>
  <c r="S437" i="9"/>
  <c r="R437" i="9"/>
  <c r="Q437" i="9"/>
  <c r="P437" i="9"/>
  <c r="O437" i="9"/>
  <c r="M437" i="9"/>
  <c r="L437" i="9"/>
  <c r="K437" i="9"/>
  <c r="J437" i="9"/>
  <c r="I437" i="9"/>
  <c r="H437" i="9"/>
  <c r="G437" i="9"/>
  <c r="F437" i="9"/>
  <c r="E437" i="9"/>
  <c r="D437" i="9"/>
  <c r="C437" i="9"/>
  <c r="B437" i="9"/>
  <c r="AJ436" i="9"/>
  <c r="AI436" i="9"/>
  <c r="AH436" i="9"/>
  <c r="AG436" i="9"/>
  <c r="AF436" i="9"/>
  <c r="AE436" i="9"/>
  <c r="AD436" i="9"/>
  <c r="AC436" i="9"/>
  <c r="AB436" i="9"/>
  <c r="AA436" i="9"/>
  <c r="Z436" i="9"/>
  <c r="Y436" i="9"/>
  <c r="X436" i="9"/>
  <c r="W436" i="9"/>
  <c r="V436" i="9"/>
  <c r="U436" i="9"/>
  <c r="T436" i="9"/>
  <c r="S436" i="9"/>
  <c r="R436" i="9"/>
  <c r="Q436" i="9"/>
  <c r="P436" i="9"/>
  <c r="O436" i="9"/>
  <c r="M436" i="9"/>
  <c r="L436" i="9"/>
  <c r="K436" i="9"/>
  <c r="J436" i="9"/>
  <c r="I436" i="9"/>
  <c r="H436" i="9"/>
  <c r="G436" i="9"/>
  <c r="F436" i="9"/>
  <c r="E436" i="9"/>
  <c r="D436" i="9"/>
  <c r="C436" i="9"/>
  <c r="B436" i="9"/>
  <c r="AJ435" i="9"/>
  <c r="AI435" i="9"/>
  <c r="AH435" i="9"/>
  <c r="AG435" i="9"/>
  <c r="AF435" i="9"/>
  <c r="AE435" i="9"/>
  <c r="AD435" i="9"/>
  <c r="AC435" i="9"/>
  <c r="AB435" i="9"/>
  <c r="AA435" i="9"/>
  <c r="Z435" i="9"/>
  <c r="Y435" i="9"/>
  <c r="X435" i="9"/>
  <c r="W435" i="9"/>
  <c r="V435" i="9"/>
  <c r="U435" i="9"/>
  <c r="T435" i="9"/>
  <c r="S435" i="9"/>
  <c r="R435" i="9"/>
  <c r="Q435" i="9"/>
  <c r="P435" i="9"/>
  <c r="O435" i="9"/>
  <c r="M435" i="9"/>
  <c r="L435" i="9"/>
  <c r="K435" i="9"/>
  <c r="J435" i="9"/>
  <c r="I435" i="9"/>
  <c r="H435" i="9"/>
  <c r="G435" i="9"/>
  <c r="F435" i="9"/>
  <c r="E435" i="9"/>
  <c r="D435" i="9"/>
  <c r="C435" i="9"/>
  <c r="B435" i="9"/>
  <c r="AJ434" i="9"/>
  <c r="AI434" i="9"/>
  <c r="AH434" i="9"/>
  <c r="AG434" i="9"/>
  <c r="AF434" i="9"/>
  <c r="AE434" i="9"/>
  <c r="AD434" i="9"/>
  <c r="AC434" i="9"/>
  <c r="AB434" i="9"/>
  <c r="AA434" i="9"/>
  <c r="Z434" i="9"/>
  <c r="Y434" i="9"/>
  <c r="X434" i="9"/>
  <c r="W434" i="9"/>
  <c r="V434" i="9"/>
  <c r="U434" i="9"/>
  <c r="T434" i="9"/>
  <c r="S434" i="9"/>
  <c r="R434" i="9"/>
  <c r="Q434" i="9"/>
  <c r="P434" i="9"/>
  <c r="O434" i="9"/>
  <c r="M434" i="9"/>
  <c r="L434" i="9"/>
  <c r="K434" i="9"/>
  <c r="J434" i="9"/>
  <c r="I434" i="9"/>
  <c r="H434" i="9"/>
  <c r="G434" i="9"/>
  <c r="F434" i="9"/>
  <c r="E434" i="9"/>
  <c r="D434" i="9"/>
  <c r="C434" i="9"/>
  <c r="B434" i="9"/>
  <c r="AJ433" i="9"/>
  <c r="AI433" i="9"/>
  <c r="AH433" i="9"/>
  <c r="AG433" i="9"/>
  <c r="AF433" i="9"/>
  <c r="AE433" i="9"/>
  <c r="AD433" i="9"/>
  <c r="AC433" i="9"/>
  <c r="AB433" i="9"/>
  <c r="AA433" i="9"/>
  <c r="Z433" i="9"/>
  <c r="Y433" i="9"/>
  <c r="X433" i="9"/>
  <c r="W433" i="9"/>
  <c r="V433" i="9"/>
  <c r="U433" i="9"/>
  <c r="T433" i="9"/>
  <c r="S433" i="9"/>
  <c r="R433" i="9"/>
  <c r="Q433" i="9"/>
  <c r="P433" i="9"/>
  <c r="O433" i="9"/>
  <c r="M433" i="9"/>
  <c r="L433" i="9"/>
  <c r="K433" i="9"/>
  <c r="J433" i="9"/>
  <c r="I433" i="9"/>
  <c r="H433" i="9"/>
  <c r="G433" i="9"/>
  <c r="F433" i="9"/>
  <c r="E433" i="9"/>
  <c r="D433" i="9"/>
  <c r="C433" i="9"/>
  <c r="B433" i="9"/>
  <c r="AJ432" i="9"/>
  <c r="AI432" i="9"/>
  <c r="AH432" i="9"/>
  <c r="AG432" i="9"/>
  <c r="AF432" i="9"/>
  <c r="AE432" i="9"/>
  <c r="AD432" i="9"/>
  <c r="AC432" i="9"/>
  <c r="AB432" i="9"/>
  <c r="AA432" i="9"/>
  <c r="Z432" i="9"/>
  <c r="Y432" i="9"/>
  <c r="X432" i="9"/>
  <c r="W432" i="9"/>
  <c r="V432" i="9"/>
  <c r="U432" i="9"/>
  <c r="T432" i="9"/>
  <c r="S432" i="9"/>
  <c r="R432" i="9"/>
  <c r="Q432" i="9"/>
  <c r="P432" i="9"/>
  <c r="O432" i="9"/>
  <c r="M432" i="9"/>
  <c r="L432" i="9"/>
  <c r="K432" i="9"/>
  <c r="J432" i="9"/>
  <c r="I432" i="9"/>
  <c r="H432" i="9"/>
  <c r="G432" i="9"/>
  <c r="F432" i="9"/>
  <c r="E432" i="9"/>
  <c r="D432" i="9"/>
  <c r="C432" i="9"/>
  <c r="B432" i="9"/>
  <c r="AJ431" i="9"/>
  <c r="AI431" i="9"/>
  <c r="AH431" i="9"/>
  <c r="AG431" i="9"/>
  <c r="AF431" i="9"/>
  <c r="AE431" i="9"/>
  <c r="AD431" i="9"/>
  <c r="AC431" i="9"/>
  <c r="AB431" i="9"/>
  <c r="AA431" i="9"/>
  <c r="Z431" i="9"/>
  <c r="Y431" i="9"/>
  <c r="X431" i="9"/>
  <c r="W431" i="9"/>
  <c r="V431" i="9"/>
  <c r="U431" i="9"/>
  <c r="T431" i="9"/>
  <c r="S431" i="9"/>
  <c r="R431" i="9"/>
  <c r="Q431" i="9"/>
  <c r="P431" i="9"/>
  <c r="O431" i="9"/>
  <c r="M431" i="9"/>
  <c r="L431" i="9"/>
  <c r="K431" i="9"/>
  <c r="J431" i="9"/>
  <c r="I431" i="9"/>
  <c r="H431" i="9"/>
  <c r="G431" i="9"/>
  <c r="F431" i="9"/>
  <c r="E431" i="9"/>
  <c r="D431" i="9"/>
  <c r="C431" i="9"/>
  <c r="B431" i="9"/>
  <c r="AJ430" i="9"/>
  <c r="AI430" i="9"/>
  <c r="AH430" i="9"/>
  <c r="AG430" i="9"/>
  <c r="AF430" i="9"/>
  <c r="AE430" i="9"/>
  <c r="AD430" i="9"/>
  <c r="AC430" i="9"/>
  <c r="AB430" i="9"/>
  <c r="AA430" i="9"/>
  <c r="Z430" i="9"/>
  <c r="Y430" i="9"/>
  <c r="X430" i="9"/>
  <c r="W430" i="9"/>
  <c r="V430" i="9"/>
  <c r="U430" i="9"/>
  <c r="T430" i="9"/>
  <c r="S430" i="9"/>
  <c r="R430" i="9"/>
  <c r="Q430" i="9"/>
  <c r="P430" i="9"/>
  <c r="O430" i="9"/>
  <c r="M430" i="9"/>
  <c r="L430" i="9"/>
  <c r="K430" i="9"/>
  <c r="J430" i="9"/>
  <c r="I430" i="9"/>
  <c r="H430" i="9"/>
  <c r="G430" i="9"/>
  <c r="F430" i="9"/>
  <c r="E430" i="9"/>
  <c r="D430" i="9"/>
  <c r="C430" i="9"/>
  <c r="B430" i="9"/>
  <c r="AJ429" i="9"/>
  <c r="AI429" i="9"/>
  <c r="AH429" i="9"/>
  <c r="AG429" i="9"/>
  <c r="AF429" i="9"/>
  <c r="AE429" i="9"/>
  <c r="AD429" i="9"/>
  <c r="AC429" i="9"/>
  <c r="AB429" i="9"/>
  <c r="AA429" i="9"/>
  <c r="Z429" i="9"/>
  <c r="Y429" i="9"/>
  <c r="X429" i="9"/>
  <c r="W429" i="9"/>
  <c r="V429" i="9"/>
  <c r="U429" i="9"/>
  <c r="T429" i="9"/>
  <c r="S429" i="9"/>
  <c r="R429" i="9"/>
  <c r="Q429" i="9"/>
  <c r="P429" i="9"/>
  <c r="O429" i="9"/>
  <c r="M429" i="9"/>
  <c r="L429" i="9"/>
  <c r="K429" i="9"/>
  <c r="J429" i="9"/>
  <c r="I429" i="9"/>
  <c r="H429" i="9"/>
  <c r="G429" i="9"/>
  <c r="F429" i="9"/>
  <c r="E429" i="9"/>
  <c r="D429" i="9"/>
  <c r="C429" i="9"/>
  <c r="B429" i="9"/>
  <c r="AJ428" i="9"/>
  <c r="AI428" i="9"/>
  <c r="AH428" i="9"/>
  <c r="AG428" i="9"/>
  <c r="AF428" i="9"/>
  <c r="AE428" i="9"/>
  <c r="AD428" i="9"/>
  <c r="AC428" i="9"/>
  <c r="AB428" i="9"/>
  <c r="AA428" i="9"/>
  <c r="Z428" i="9"/>
  <c r="Y428" i="9"/>
  <c r="X428" i="9"/>
  <c r="W428" i="9"/>
  <c r="V428" i="9"/>
  <c r="U428" i="9"/>
  <c r="T428" i="9"/>
  <c r="S428" i="9"/>
  <c r="R428" i="9"/>
  <c r="Q428" i="9"/>
  <c r="P428" i="9"/>
  <c r="O428" i="9"/>
  <c r="M428" i="9"/>
  <c r="L428" i="9"/>
  <c r="K428" i="9"/>
  <c r="J428" i="9"/>
  <c r="I428" i="9"/>
  <c r="H428" i="9"/>
  <c r="G428" i="9"/>
  <c r="F428" i="9"/>
  <c r="E428" i="9"/>
  <c r="D428" i="9"/>
  <c r="C428" i="9"/>
  <c r="B428" i="9"/>
  <c r="AJ427" i="9"/>
  <c r="AI427" i="9"/>
  <c r="AH427" i="9"/>
  <c r="AG427" i="9"/>
  <c r="AF427" i="9"/>
  <c r="AE427" i="9"/>
  <c r="AD427" i="9"/>
  <c r="AC427" i="9"/>
  <c r="AB427" i="9"/>
  <c r="AA427" i="9"/>
  <c r="Z427" i="9"/>
  <c r="Y427" i="9"/>
  <c r="X427" i="9"/>
  <c r="W427" i="9"/>
  <c r="V427" i="9"/>
  <c r="U427" i="9"/>
  <c r="T427" i="9"/>
  <c r="S427" i="9"/>
  <c r="R427" i="9"/>
  <c r="Q427" i="9"/>
  <c r="P427" i="9"/>
  <c r="O427" i="9"/>
  <c r="M427" i="9"/>
  <c r="L427" i="9"/>
  <c r="K427" i="9"/>
  <c r="J427" i="9"/>
  <c r="I427" i="9"/>
  <c r="H427" i="9"/>
  <c r="G427" i="9"/>
  <c r="F427" i="9"/>
  <c r="E427" i="9"/>
  <c r="D427" i="9"/>
  <c r="C427" i="9"/>
  <c r="B427" i="9"/>
  <c r="AJ426" i="9"/>
  <c r="AI426" i="9"/>
  <c r="AH426" i="9"/>
  <c r="AG426" i="9"/>
  <c r="AF426" i="9"/>
  <c r="AE426" i="9"/>
  <c r="AD426" i="9"/>
  <c r="AC426" i="9"/>
  <c r="AB426" i="9"/>
  <c r="AA426" i="9"/>
  <c r="Z426" i="9"/>
  <c r="Y426" i="9"/>
  <c r="X426" i="9"/>
  <c r="W426" i="9"/>
  <c r="V426" i="9"/>
  <c r="U426" i="9"/>
  <c r="T426" i="9"/>
  <c r="S426" i="9"/>
  <c r="R426" i="9"/>
  <c r="Q426" i="9"/>
  <c r="P426" i="9"/>
  <c r="O426" i="9"/>
  <c r="M426" i="9"/>
  <c r="L426" i="9"/>
  <c r="K426" i="9"/>
  <c r="J426" i="9"/>
  <c r="I426" i="9"/>
  <c r="H426" i="9"/>
  <c r="G426" i="9"/>
  <c r="F426" i="9"/>
  <c r="E426" i="9"/>
  <c r="D426" i="9"/>
  <c r="C426" i="9"/>
  <c r="B426" i="9"/>
  <c r="AJ425" i="9"/>
  <c r="AI425" i="9"/>
  <c r="AH425" i="9"/>
  <c r="AG425" i="9"/>
  <c r="AF425" i="9"/>
  <c r="AE425" i="9"/>
  <c r="AD425" i="9"/>
  <c r="AC425" i="9"/>
  <c r="AB425" i="9"/>
  <c r="AA425" i="9"/>
  <c r="Z425" i="9"/>
  <c r="Y425" i="9"/>
  <c r="X425" i="9"/>
  <c r="W425" i="9"/>
  <c r="V425" i="9"/>
  <c r="U425" i="9"/>
  <c r="T425" i="9"/>
  <c r="S425" i="9"/>
  <c r="R425" i="9"/>
  <c r="Q425" i="9"/>
  <c r="P425" i="9"/>
  <c r="O425" i="9"/>
  <c r="M425" i="9"/>
  <c r="L425" i="9"/>
  <c r="K425" i="9"/>
  <c r="J425" i="9"/>
  <c r="I425" i="9"/>
  <c r="H425" i="9"/>
  <c r="G425" i="9"/>
  <c r="F425" i="9"/>
  <c r="E425" i="9"/>
  <c r="D425" i="9"/>
  <c r="C425" i="9"/>
  <c r="B425" i="9"/>
  <c r="AJ424" i="9"/>
  <c r="AI424" i="9"/>
  <c r="AH424" i="9"/>
  <c r="AG424" i="9"/>
  <c r="AF424" i="9"/>
  <c r="AE424" i="9"/>
  <c r="AD424" i="9"/>
  <c r="AC424" i="9"/>
  <c r="AB424" i="9"/>
  <c r="AA424" i="9"/>
  <c r="Z424" i="9"/>
  <c r="Y424" i="9"/>
  <c r="X424" i="9"/>
  <c r="W424" i="9"/>
  <c r="V424" i="9"/>
  <c r="U424" i="9"/>
  <c r="T424" i="9"/>
  <c r="S424" i="9"/>
  <c r="R424" i="9"/>
  <c r="Q424" i="9"/>
  <c r="P424" i="9"/>
  <c r="O424" i="9"/>
  <c r="M424" i="9"/>
  <c r="L424" i="9"/>
  <c r="K424" i="9"/>
  <c r="J424" i="9"/>
  <c r="I424" i="9"/>
  <c r="H424" i="9"/>
  <c r="G424" i="9"/>
  <c r="F424" i="9"/>
  <c r="E424" i="9"/>
  <c r="D424" i="9"/>
  <c r="C424" i="9"/>
  <c r="B424" i="9"/>
  <c r="AJ423" i="9"/>
  <c r="AI423" i="9"/>
  <c r="AH423" i="9"/>
  <c r="AG423" i="9"/>
  <c r="AF423" i="9"/>
  <c r="AE423" i="9"/>
  <c r="AD423" i="9"/>
  <c r="AC423" i="9"/>
  <c r="AB423" i="9"/>
  <c r="AA423" i="9"/>
  <c r="Z423" i="9"/>
  <c r="Y423" i="9"/>
  <c r="X423" i="9"/>
  <c r="W423" i="9"/>
  <c r="V423" i="9"/>
  <c r="U423" i="9"/>
  <c r="T423" i="9"/>
  <c r="S423" i="9"/>
  <c r="R423" i="9"/>
  <c r="Q423" i="9"/>
  <c r="P423" i="9"/>
  <c r="O423" i="9"/>
  <c r="M423" i="9"/>
  <c r="L423" i="9"/>
  <c r="K423" i="9"/>
  <c r="J423" i="9"/>
  <c r="I423" i="9"/>
  <c r="H423" i="9"/>
  <c r="G423" i="9"/>
  <c r="F423" i="9"/>
  <c r="E423" i="9"/>
  <c r="D423" i="9"/>
  <c r="C423" i="9"/>
  <c r="B423" i="9"/>
  <c r="AJ422" i="9"/>
  <c r="AI422" i="9"/>
  <c r="AH422" i="9"/>
  <c r="AG422" i="9"/>
  <c r="AF422" i="9"/>
  <c r="AE422" i="9"/>
  <c r="AD422" i="9"/>
  <c r="AC422" i="9"/>
  <c r="AB422" i="9"/>
  <c r="AA422" i="9"/>
  <c r="Z422" i="9"/>
  <c r="Y422" i="9"/>
  <c r="X422" i="9"/>
  <c r="W422" i="9"/>
  <c r="V422" i="9"/>
  <c r="U422" i="9"/>
  <c r="T422" i="9"/>
  <c r="S422" i="9"/>
  <c r="R422" i="9"/>
  <c r="Q422" i="9"/>
  <c r="P422" i="9"/>
  <c r="O422" i="9"/>
  <c r="M422" i="9"/>
  <c r="L422" i="9"/>
  <c r="K422" i="9"/>
  <c r="J422" i="9"/>
  <c r="I422" i="9"/>
  <c r="H422" i="9"/>
  <c r="G422" i="9"/>
  <c r="F422" i="9"/>
  <c r="E422" i="9"/>
  <c r="D422" i="9"/>
  <c r="C422" i="9"/>
  <c r="B422" i="9"/>
  <c r="AJ421" i="9"/>
  <c r="AI421" i="9"/>
  <c r="AH421" i="9"/>
  <c r="AG421" i="9"/>
  <c r="AF421" i="9"/>
  <c r="AE421" i="9"/>
  <c r="AD421" i="9"/>
  <c r="AC421" i="9"/>
  <c r="AB421" i="9"/>
  <c r="AA421" i="9"/>
  <c r="Z421" i="9"/>
  <c r="Y421" i="9"/>
  <c r="X421" i="9"/>
  <c r="W421" i="9"/>
  <c r="V421" i="9"/>
  <c r="U421" i="9"/>
  <c r="T421" i="9"/>
  <c r="S421" i="9"/>
  <c r="R421" i="9"/>
  <c r="Q421" i="9"/>
  <c r="P421" i="9"/>
  <c r="O421" i="9"/>
  <c r="M421" i="9"/>
  <c r="L421" i="9"/>
  <c r="K421" i="9"/>
  <c r="J421" i="9"/>
  <c r="I421" i="9"/>
  <c r="H421" i="9"/>
  <c r="G421" i="9"/>
  <c r="F421" i="9"/>
  <c r="E421" i="9"/>
  <c r="D421" i="9"/>
  <c r="C421" i="9"/>
  <c r="B421" i="9"/>
  <c r="AJ420" i="9"/>
  <c r="AI420" i="9"/>
  <c r="AH420" i="9"/>
  <c r="AG420" i="9"/>
  <c r="AF420" i="9"/>
  <c r="AE420" i="9"/>
  <c r="AD420" i="9"/>
  <c r="AC420" i="9"/>
  <c r="AB420" i="9"/>
  <c r="AA420" i="9"/>
  <c r="Z420" i="9"/>
  <c r="Y420" i="9"/>
  <c r="X420" i="9"/>
  <c r="W420" i="9"/>
  <c r="V420" i="9"/>
  <c r="U420" i="9"/>
  <c r="T420" i="9"/>
  <c r="S420" i="9"/>
  <c r="R420" i="9"/>
  <c r="Q420" i="9"/>
  <c r="P420" i="9"/>
  <c r="O420" i="9"/>
  <c r="M420" i="9"/>
  <c r="L420" i="9"/>
  <c r="K420" i="9"/>
  <c r="J420" i="9"/>
  <c r="I420" i="9"/>
  <c r="H420" i="9"/>
  <c r="G420" i="9"/>
  <c r="F420" i="9"/>
  <c r="E420" i="9"/>
  <c r="D420" i="9"/>
  <c r="C420" i="9"/>
  <c r="B420" i="9"/>
  <c r="AJ419" i="9"/>
  <c r="AI419" i="9"/>
  <c r="AH419" i="9"/>
  <c r="AG419" i="9"/>
  <c r="AF419" i="9"/>
  <c r="AE419" i="9"/>
  <c r="AD419" i="9"/>
  <c r="AC419" i="9"/>
  <c r="AB419" i="9"/>
  <c r="AA419" i="9"/>
  <c r="Z419" i="9"/>
  <c r="Y419" i="9"/>
  <c r="X419" i="9"/>
  <c r="W419" i="9"/>
  <c r="V419" i="9"/>
  <c r="U419" i="9"/>
  <c r="T419" i="9"/>
  <c r="S419" i="9"/>
  <c r="R419" i="9"/>
  <c r="Q419" i="9"/>
  <c r="P419" i="9"/>
  <c r="O419" i="9"/>
  <c r="M419" i="9"/>
  <c r="L419" i="9"/>
  <c r="K419" i="9"/>
  <c r="J419" i="9"/>
  <c r="I419" i="9"/>
  <c r="H419" i="9"/>
  <c r="G419" i="9"/>
  <c r="F419" i="9"/>
  <c r="E419" i="9"/>
  <c r="D419" i="9"/>
  <c r="C419" i="9"/>
  <c r="B419" i="9"/>
  <c r="AJ418" i="9"/>
  <c r="AI418" i="9"/>
  <c r="AH418" i="9"/>
  <c r="AG418" i="9"/>
  <c r="AF418" i="9"/>
  <c r="AE418" i="9"/>
  <c r="AD418" i="9"/>
  <c r="AC418" i="9"/>
  <c r="AB418" i="9"/>
  <c r="AA418" i="9"/>
  <c r="Z418" i="9"/>
  <c r="Y418" i="9"/>
  <c r="X418" i="9"/>
  <c r="W418" i="9"/>
  <c r="V418" i="9"/>
  <c r="U418" i="9"/>
  <c r="T418" i="9"/>
  <c r="S418" i="9"/>
  <c r="R418" i="9"/>
  <c r="Q418" i="9"/>
  <c r="P418" i="9"/>
  <c r="O418" i="9"/>
  <c r="M418" i="9"/>
  <c r="L418" i="9"/>
  <c r="K418" i="9"/>
  <c r="J418" i="9"/>
  <c r="I418" i="9"/>
  <c r="H418" i="9"/>
  <c r="G418" i="9"/>
  <c r="F418" i="9"/>
  <c r="E418" i="9"/>
  <c r="D418" i="9"/>
  <c r="C418" i="9"/>
  <c r="B418" i="9"/>
  <c r="AJ417" i="9"/>
  <c r="AI417" i="9"/>
  <c r="AH417" i="9"/>
  <c r="AG417" i="9"/>
  <c r="AF417" i="9"/>
  <c r="AE417" i="9"/>
  <c r="AD417" i="9"/>
  <c r="AC417" i="9"/>
  <c r="AB417" i="9"/>
  <c r="AA417" i="9"/>
  <c r="Z417" i="9"/>
  <c r="Y417" i="9"/>
  <c r="X417" i="9"/>
  <c r="W417" i="9"/>
  <c r="V417" i="9"/>
  <c r="U417" i="9"/>
  <c r="T417" i="9"/>
  <c r="S417" i="9"/>
  <c r="R417" i="9"/>
  <c r="Q417" i="9"/>
  <c r="P417" i="9"/>
  <c r="O417" i="9"/>
  <c r="M417" i="9"/>
  <c r="L417" i="9"/>
  <c r="K417" i="9"/>
  <c r="J417" i="9"/>
  <c r="I417" i="9"/>
  <c r="H417" i="9"/>
  <c r="G417" i="9"/>
  <c r="F417" i="9"/>
  <c r="E417" i="9"/>
  <c r="D417" i="9"/>
  <c r="C417" i="9"/>
  <c r="B417" i="9"/>
  <c r="AJ416" i="9"/>
  <c r="AI416" i="9"/>
  <c r="AH416" i="9"/>
  <c r="AG416" i="9"/>
  <c r="AF416" i="9"/>
  <c r="AE416" i="9"/>
  <c r="AD416" i="9"/>
  <c r="AC416" i="9"/>
  <c r="AB416" i="9"/>
  <c r="AA416" i="9"/>
  <c r="Z416" i="9"/>
  <c r="Y416" i="9"/>
  <c r="X416" i="9"/>
  <c r="W416" i="9"/>
  <c r="V416" i="9"/>
  <c r="U416" i="9"/>
  <c r="T416" i="9"/>
  <c r="S416" i="9"/>
  <c r="R416" i="9"/>
  <c r="Q416" i="9"/>
  <c r="P416" i="9"/>
  <c r="O416" i="9"/>
  <c r="M416" i="9"/>
  <c r="L416" i="9"/>
  <c r="K416" i="9"/>
  <c r="J416" i="9"/>
  <c r="I416" i="9"/>
  <c r="H416" i="9"/>
  <c r="G416" i="9"/>
  <c r="F416" i="9"/>
  <c r="E416" i="9"/>
  <c r="D416" i="9"/>
  <c r="C416" i="9"/>
  <c r="B416" i="9"/>
  <c r="AJ415" i="9"/>
  <c r="AI415" i="9"/>
  <c r="AH415" i="9"/>
  <c r="AG415" i="9"/>
  <c r="AF415" i="9"/>
  <c r="AE415" i="9"/>
  <c r="AD415" i="9"/>
  <c r="AC415" i="9"/>
  <c r="AB415" i="9"/>
  <c r="AA415" i="9"/>
  <c r="Z415" i="9"/>
  <c r="Y415" i="9"/>
  <c r="X415" i="9"/>
  <c r="W415" i="9"/>
  <c r="V415" i="9"/>
  <c r="U415" i="9"/>
  <c r="T415" i="9"/>
  <c r="S415" i="9"/>
  <c r="R415" i="9"/>
  <c r="Q415" i="9"/>
  <c r="P415" i="9"/>
  <c r="O415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AJ414" i="9"/>
  <c r="AI414" i="9"/>
  <c r="AH414" i="9"/>
  <c r="AG414" i="9"/>
  <c r="AF414" i="9"/>
  <c r="AE414" i="9"/>
  <c r="AD414" i="9"/>
  <c r="AC414" i="9"/>
  <c r="AB414" i="9"/>
  <c r="AA414" i="9"/>
  <c r="Z414" i="9"/>
  <c r="Y414" i="9"/>
  <c r="X414" i="9"/>
  <c r="W414" i="9"/>
  <c r="V414" i="9"/>
  <c r="U414" i="9"/>
  <c r="T414" i="9"/>
  <c r="S414" i="9"/>
  <c r="R414" i="9"/>
  <c r="Q414" i="9"/>
  <c r="P414" i="9"/>
  <c r="O414" i="9"/>
  <c r="M414" i="9"/>
  <c r="L414" i="9"/>
  <c r="K414" i="9"/>
  <c r="J414" i="9"/>
  <c r="I414" i="9"/>
  <c r="H414" i="9"/>
  <c r="G414" i="9"/>
  <c r="F414" i="9"/>
  <c r="E414" i="9"/>
  <c r="D414" i="9"/>
  <c r="C414" i="9"/>
  <c r="B414" i="9"/>
  <c r="AJ413" i="9"/>
  <c r="AI413" i="9"/>
  <c r="AH413" i="9"/>
  <c r="AG413" i="9"/>
  <c r="AF413" i="9"/>
  <c r="AE413" i="9"/>
  <c r="AD413" i="9"/>
  <c r="AC413" i="9"/>
  <c r="AB413" i="9"/>
  <c r="AA413" i="9"/>
  <c r="Z413" i="9"/>
  <c r="Y413" i="9"/>
  <c r="X413" i="9"/>
  <c r="W413" i="9"/>
  <c r="V413" i="9"/>
  <c r="U413" i="9"/>
  <c r="T413" i="9"/>
  <c r="S413" i="9"/>
  <c r="R413" i="9"/>
  <c r="Q413" i="9"/>
  <c r="P413" i="9"/>
  <c r="O413" i="9"/>
  <c r="M413" i="9"/>
  <c r="L413" i="9"/>
  <c r="K413" i="9"/>
  <c r="J413" i="9"/>
  <c r="I413" i="9"/>
  <c r="H413" i="9"/>
  <c r="G413" i="9"/>
  <c r="F413" i="9"/>
  <c r="E413" i="9"/>
  <c r="D413" i="9"/>
  <c r="C413" i="9"/>
  <c r="B413" i="9"/>
  <c r="AJ412" i="9"/>
  <c r="AI412" i="9"/>
  <c r="AH412" i="9"/>
  <c r="AG412" i="9"/>
  <c r="AF412" i="9"/>
  <c r="AE412" i="9"/>
  <c r="AD412" i="9"/>
  <c r="AC412" i="9"/>
  <c r="AB412" i="9"/>
  <c r="AA412" i="9"/>
  <c r="Z412" i="9"/>
  <c r="Y412" i="9"/>
  <c r="X412" i="9"/>
  <c r="W412" i="9"/>
  <c r="V412" i="9"/>
  <c r="U412" i="9"/>
  <c r="T412" i="9"/>
  <c r="S412" i="9"/>
  <c r="R412" i="9"/>
  <c r="Q412" i="9"/>
  <c r="P412" i="9"/>
  <c r="O412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AJ411" i="9"/>
  <c r="AI411" i="9"/>
  <c r="AH411" i="9"/>
  <c r="AG411" i="9"/>
  <c r="AF411" i="9"/>
  <c r="AE411" i="9"/>
  <c r="AD411" i="9"/>
  <c r="AC411" i="9"/>
  <c r="AB411" i="9"/>
  <c r="AA411" i="9"/>
  <c r="Z411" i="9"/>
  <c r="Y411" i="9"/>
  <c r="X411" i="9"/>
  <c r="W411" i="9"/>
  <c r="V411" i="9"/>
  <c r="U411" i="9"/>
  <c r="T411" i="9"/>
  <c r="S411" i="9"/>
  <c r="R411" i="9"/>
  <c r="Q411" i="9"/>
  <c r="P411" i="9"/>
  <c r="O411" i="9"/>
  <c r="M411" i="9"/>
  <c r="L411" i="9"/>
  <c r="K411" i="9"/>
  <c r="J411" i="9"/>
  <c r="I411" i="9"/>
  <c r="H411" i="9"/>
  <c r="G411" i="9"/>
  <c r="F411" i="9"/>
  <c r="E411" i="9"/>
  <c r="D411" i="9"/>
  <c r="C411" i="9"/>
  <c r="B411" i="9"/>
  <c r="AJ410" i="9"/>
  <c r="AI410" i="9"/>
  <c r="AH410" i="9"/>
  <c r="AG410" i="9"/>
  <c r="AF410" i="9"/>
  <c r="AE410" i="9"/>
  <c r="AD410" i="9"/>
  <c r="AC410" i="9"/>
  <c r="AB410" i="9"/>
  <c r="AA410" i="9"/>
  <c r="Z410" i="9"/>
  <c r="Y410" i="9"/>
  <c r="X410" i="9"/>
  <c r="W410" i="9"/>
  <c r="V410" i="9"/>
  <c r="U410" i="9"/>
  <c r="T410" i="9"/>
  <c r="S410" i="9"/>
  <c r="R410" i="9"/>
  <c r="Q410" i="9"/>
  <c r="P410" i="9"/>
  <c r="O410" i="9"/>
  <c r="M410" i="9"/>
  <c r="L410" i="9"/>
  <c r="K410" i="9"/>
  <c r="J410" i="9"/>
  <c r="I410" i="9"/>
  <c r="H410" i="9"/>
  <c r="G410" i="9"/>
  <c r="F410" i="9"/>
  <c r="E410" i="9"/>
  <c r="D410" i="9"/>
  <c r="C410" i="9"/>
  <c r="B410" i="9"/>
  <c r="AJ409" i="9"/>
  <c r="AI409" i="9"/>
  <c r="AH409" i="9"/>
  <c r="AG409" i="9"/>
  <c r="AF409" i="9"/>
  <c r="AE409" i="9"/>
  <c r="AD409" i="9"/>
  <c r="AC409" i="9"/>
  <c r="AB409" i="9"/>
  <c r="AA409" i="9"/>
  <c r="Z409" i="9"/>
  <c r="Y409" i="9"/>
  <c r="X409" i="9"/>
  <c r="W409" i="9"/>
  <c r="V409" i="9"/>
  <c r="U409" i="9"/>
  <c r="T409" i="9"/>
  <c r="S409" i="9"/>
  <c r="R409" i="9"/>
  <c r="Q409" i="9"/>
  <c r="P409" i="9"/>
  <c r="O409" i="9"/>
  <c r="M409" i="9"/>
  <c r="L409" i="9"/>
  <c r="K409" i="9"/>
  <c r="J409" i="9"/>
  <c r="I409" i="9"/>
  <c r="H409" i="9"/>
  <c r="G409" i="9"/>
  <c r="F409" i="9"/>
  <c r="E409" i="9"/>
  <c r="D409" i="9"/>
  <c r="C409" i="9"/>
  <c r="B409" i="9"/>
  <c r="AJ408" i="9"/>
  <c r="AI408" i="9"/>
  <c r="AH408" i="9"/>
  <c r="AG408" i="9"/>
  <c r="AF408" i="9"/>
  <c r="AE408" i="9"/>
  <c r="AD408" i="9"/>
  <c r="AC408" i="9"/>
  <c r="AB408" i="9"/>
  <c r="AA408" i="9"/>
  <c r="Z408" i="9"/>
  <c r="Y408" i="9"/>
  <c r="X408" i="9"/>
  <c r="W408" i="9"/>
  <c r="V408" i="9"/>
  <c r="U408" i="9"/>
  <c r="T408" i="9"/>
  <c r="S408" i="9"/>
  <c r="R408" i="9"/>
  <c r="Q408" i="9"/>
  <c r="P408" i="9"/>
  <c r="O408" i="9"/>
  <c r="M408" i="9"/>
  <c r="L408" i="9"/>
  <c r="K408" i="9"/>
  <c r="J408" i="9"/>
  <c r="I408" i="9"/>
  <c r="H408" i="9"/>
  <c r="G408" i="9"/>
  <c r="F408" i="9"/>
  <c r="E408" i="9"/>
  <c r="D408" i="9"/>
  <c r="C408" i="9"/>
  <c r="B408" i="9"/>
  <c r="AJ407" i="9"/>
  <c r="AI407" i="9"/>
  <c r="AH407" i="9"/>
  <c r="AG407" i="9"/>
  <c r="AF407" i="9"/>
  <c r="AE407" i="9"/>
  <c r="AD407" i="9"/>
  <c r="AC407" i="9"/>
  <c r="AB407" i="9"/>
  <c r="AA407" i="9"/>
  <c r="Z407" i="9"/>
  <c r="Y407" i="9"/>
  <c r="X407" i="9"/>
  <c r="W407" i="9"/>
  <c r="V407" i="9"/>
  <c r="U407" i="9"/>
  <c r="T407" i="9"/>
  <c r="S407" i="9"/>
  <c r="R407" i="9"/>
  <c r="Q407" i="9"/>
  <c r="P407" i="9"/>
  <c r="O407" i="9"/>
  <c r="M407" i="9"/>
  <c r="L407" i="9"/>
  <c r="K407" i="9"/>
  <c r="J407" i="9"/>
  <c r="I407" i="9"/>
  <c r="H407" i="9"/>
  <c r="G407" i="9"/>
  <c r="F407" i="9"/>
  <c r="E407" i="9"/>
  <c r="D407" i="9"/>
  <c r="C407" i="9"/>
  <c r="B407" i="9"/>
  <c r="AJ406" i="9"/>
  <c r="AI406" i="9"/>
  <c r="AH406" i="9"/>
  <c r="AG406" i="9"/>
  <c r="AF406" i="9"/>
  <c r="AE406" i="9"/>
  <c r="AD406" i="9"/>
  <c r="AC406" i="9"/>
  <c r="AB406" i="9"/>
  <c r="AA406" i="9"/>
  <c r="Z406" i="9"/>
  <c r="Y406" i="9"/>
  <c r="X406" i="9"/>
  <c r="W406" i="9"/>
  <c r="V406" i="9"/>
  <c r="U406" i="9"/>
  <c r="T406" i="9"/>
  <c r="S406" i="9"/>
  <c r="R406" i="9"/>
  <c r="Q406" i="9"/>
  <c r="P406" i="9"/>
  <c r="O406" i="9"/>
  <c r="M406" i="9"/>
  <c r="L406" i="9"/>
  <c r="K406" i="9"/>
  <c r="J406" i="9"/>
  <c r="I406" i="9"/>
  <c r="H406" i="9"/>
  <c r="G406" i="9"/>
  <c r="F406" i="9"/>
  <c r="E406" i="9"/>
  <c r="D406" i="9"/>
  <c r="C406" i="9"/>
  <c r="B406" i="9"/>
  <c r="AJ405" i="9"/>
  <c r="AI405" i="9"/>
  <c r="AH405" i="9"/>
  <c r="AG405" i="9"/>
  <c r="AF405" i="9"/>
  <c r="AE405" i="9"/>
  <c r="AD405" i="9"/>
  <c r="AC405" i="9"/>
  <c r="AB405" i="9"/>
  <c r="AA405" i="9"/>
  <c r="Z405" i="9"/>
  <c r="Y405" i="9"/>
  <c r="X405" i="9"/>
  <c r="W405" i="9"/>
  <c r="V405" i="9"/>
  <c r="U405" i="9"/>
  <c r="T405" i="9"/>
  <c r="S405" i="9"/>
  <c r="R405" i="9"/>
  <c r="Q405" i="9"/>
  <c r="P405" i="9"/>
  <c r="O405" i="9"/>
  <c r="M405" i="9"/>
  <c r="L405" i="9"/>
  <c r="K405" i="9"/>
  <c r="J405" i="9"/>
  <c r="I405" i="9"/>
  <c r="H405" i="9"/>
  <c r="G405" i="9"/>
  <c r="F405" i="9"/>
  <c r="E405" i="9"/>
  <c r="D405" i="9"/>
  <c r="C405" i="9"/>
  <c r="B405" i="9"/>
  <c r="AJ404" i="9"/>
  <c r="AI404" i="9"/>
  <c r="AH404" i="9"/>
  <c r="AG404" i="9"/>
  <c r="AF404" i="9"/>
  <c r="AE404" i="9"/>
  <c r="AD404" i="9"/>
  <c r="AC404" i="9"/>
  <c r="AB404" i="9"/>
  <c r="AA404" i="9"/>
  <c r="Z404" i="9"/>
  <c r="Y404" i="9"/>
  <c r="X404" i="9"/>
  <c r="W404" i="9"/>
  <c r="V404" i="9"/>
  <c r="U404" i="9"/>
  <c r="T404" i="9"/>
  <c r="S404" i="9"/>
  <c r="R404" i="9"/>
  <c r="Q404" i="9"/>
  <c r="P404" i="9"/>
  <c r="O404" i="9"/>
  <c r="M404" i="9"/>
  <c r="L404" i="9"/>
  <c r="K404" i="9"/>
  <c r="J404" i="9"/>
  <c r="I404" i="9"/>
  <c r="H404" i="9"/>
  <c r="G404" i="9"/>
  <c r="F404" i="9"/>
  <c r="E404" i="9"/>
  <c r="D404" i="9"/>
  <c r="C404" i="9"/>
  <c r="B404" i="9"/>
  <c r="AJ403" i="9"/>
  <c r="AI403" i="9"/>
  <c r="AH403" i="9"/>
  <c r="AG403" i="9"/>
  <c r="AF403" i="9"/>
  <c r="AE403" i="9"/>
  <c r="AD403" i="9"/>
  <c r="AC403" i="9"/>
  <c r="AB403" i="9"/>
  <c r="AA403" i="9"/>
  <c r="Z403" i="9"/>
  <c r="Y403" i="9"/>
  <c r="X403" i="9"/>
  <c r="W403" i="9"/>
  <c r="V403" i="9"/>
  <c r="U403" i="9"/>
  <c r="T403" i="9"/>
  <c r="S403" i="9"/>
  <c r="R403" i="9"/>
  <c r="Q403" i="9"/>
  <c r="P403" i="9"/>
  <c r="O403" i="9"/>
  <c r="M403" i="9"/>
  <c r="L403" i="9"/>
  <c r="K403" i="9"/>
  <c r="J403" i="9"/>
  <c r="I403" i="9"/>
  <c r="H403" i="9"/>
  <c r="G403" i="9"/>
  <c r="F403" i="9"/>
  <c r="E403" i="9"/>
  <c r="D403" i="9"/>
  <c r="C403" i="9"/>
  <c r="B403" i="9"/>
  <c r="AJ402" i="9"/>
  <c r="AI402" i="9"/>
  <c r="AH402" i="9"/>
  <c r="AG402" i="9"/>
  <c r="AF402" i="9"/>
  <c r="AE402" i="9"/>
  <c r="AD402" i="9"/>
  <c r="AC402" i="9"/>
  <c r="AB402" i="9"/>
  <c r="AA402" i="9"/>
  <c r="Z402" i="9"/>
  <c r="Y402" i="9"/>
  <c r="X402" i="9"/>
  <c r="W402" i="9"/>
  <c r="V402" i="9"/>
  <c r="U402" i="9"/>
  <c r="T402" i="9"/>
  <c r="S402" i="9"/>
  <c r="R402" i="9"/>
  <c r="Q402" i="9"/>
  <c r="P402" i="9"/>
  <c r="O402" i="9"/>
  <c r="M402" i="9"/>
  <c r="L402" i="9"/>
  <c r="K402" i="9"/>
  <c r="J402" i="9"/>
  <c r="I402" i="9"/>
  <c r="H402" i="9"/>
  <c r="G402" i="9"/>
  <c r="F402" i="9"/>
  <c r="E402" i="9"/>
  <c r="D402" i="9"/>
  <c r="C402" i="9"/>
  <c r="B402" i="9"/>
  <c r="AJ401" i="9"/>
  <c r="AI401" i="9"/>
  <c r="AH401" i="9"/>
  <c r="AG401" i="9"/>
  <c r="AF401" i="9"/>
  <c r="AE401" i="9"/>
  <c r="AD401" i="9"/>
  <c r="AC401" i="9"/>
  <c r="AB401" i="9"/>
  <c r="AA401" i="9"/>
  <c r="Z401" i="9"/>
  <c r="Y401" i="9"/>
  <c r="X401" i="9"/>
  <c r="W401" i="9"/>
  <c r="V401" i="9"/>
  <c r="U401" i="9"/>
  <c r="T401" i="9"/>
  <c r="S401" i="9"/>
  <c r="R401" i="9"/>
  <c r="Q401" i="9"/>
  <c r="P401" i="9"/>
  <c r="O401" i="9"/>
  <c r="M401" i="9"/>
  <c r="L401" i="9"/>
  <c r="K401" i="9"/>
  <c r="J401" i="9"/>
  <c r="I401" i="9"/>
  <c r="H401" i="9"/>
  <c r="G401" i="9"/>
  <c r="F401" i="9"/>
  <c r="E401" i="9"/>
  <c r="D401" i="9"/>
  <c r="C401" i="9"/>
  <c r="B401" i="9"/>
  <c r="AJ400" i="9"/>
  <c r="AI400" i="9"/>
  <c r="AH400" i="9"/>
  <c r="AG400" i="9"/>
  <c r="AF400" i="9"/>
  <c r="AE400" i="9"/>
  <c r="AD400" i="9"/>
  <c r="AC400" i="9"/>
  <c r="AB400" i="9"/>
  <c r="AA400" i="9"/>
  <c r="Z400" i="9"/>
  <c r="Y400" i="9"/>
  <c r="X400" i="9"/>
  <c r="W400" i="9"/>
  <c r="V400" i="9"/>
  <c r="U400" i="9"/>
  <c r="T400" i="9"/>
  <c r="S400" i="9"/>
  <c r="R400" i="9"/>
  <c r="Q400" i="9"/>
  <c r="P400" i="9"/>
  <c r="O400" i="9"/>
  <c r="M400" i="9"/>
  <c r="L400" i="9"/>
  <c r="K400" i="9"/>
  <c r="J400" i="9"/>
  <c r="I400" i="9"/>
  <c r="H400" i="9"/>
  <c r="G400" i="9"/>
  <c r="F400" i="9"/>
  <c r="E400" i="9"/>
  <c r="D400" i="9"/>
  <c r="C400" i="9"/>
  <c r="B400" i="9"/>
  <c r="AJ399" i="9"/>
  <c r="AI399" i="9"/>
  <c r="AH399" i="9"/>
  <c r="AG399" i="9"/>
  <c r="AF399" i="9"/>
  <c r="AE399" i="9"/>
  <c r="AD399" i="9"/>
  <c r="AC399" i="9"/>
  <c r="AB399" i="9"/>
  <c r="AA399" i="9"/>
  <c r="Z399" i="9"/>
  <c r="Y399" i="9"/>
  <c r="X399" i="9"/>
  <c r="W399" i="9"/>
  <c r="V399" i="9"/>
  <c r="U399" i="9"/>
  <c r="T399" i="9"/>
  <c r="S399" i="9"/>
  <c r="R399" i="9"/>
  <c r="Q399" i="9"/>
  <c r="P399" i="9"/>
  <c r="O399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AJ398" i="9"/>
  <c r="AI398" i="9"/>
  <c r="AH398" i="9"/>
  <c r="AG398" i="9"/>
  <c r="AF398" i="9"/>
  <c r="AE398" i="9"/>
  <c r="AD398" i="9"/>
  <c r="AC398" i="9"/>
  <c r="AB398" i="9"/>
  <c r="AA398" i="9"/>
  <c r="Z398" i="9"/>
  <c r="Y398" i="9"/>
  <c r="X398" i="9"/>
  <c r="W398" i="9"/>
  <c r="V398" i="9"/>
  <c r="U398" i="9"/>
  <c r="T398" i="9"/>
  <c r="S398" i="9"/>
  <c r="R398" i="9"/>
  <c r="Q398" i="9"/>
  <c r="P398" i="9"/>
  <c r="O398" i="9"/>
  <c r="M398" i="9"/>
  <c r="L398" i="9"/>
  <c r="K398" i="9"/>
  <c r="J398" i="9"/>
  <c r="I398" i="9"/>
  <c r="H398" i="9"/>
  <c r="G398" i="9"/>
  <c r="F398" i="9"/>
  <c r="E398" i="9"/>
  <c r="D398" i="9"/>
  <c r="C398" i="9"/>
  <c r="B398" i="9"/>
  <c r="AJ397" i="9"/>
  <c r="AI397" i="9"/>
  <c r="AH397" i="9"/>
  <c r="AG397" i="9"/>
  <c r="AF397" i="9"/>
  <c r="AE397" i="9"/>
  <c r="AD397" i="9"/>
  <c r="AC397" i="9"/>
  <c r="AB397" i="9"/>
  <c r="AA397" i="9"/>
  <c r="Z397" i="9"/>
  <c r="Y397" i="9"/>
  <c r="X397" i="9"/>
  <c r="W397" i="9"/>
  <c r="V397" i="9"/>
  <c r="U397" i="9"/>
  <c r="T397" i="9"/>
  <c r="S397" i="9"/>
  <c r="R397" i="9"/>
  <c r="Q397" i="9"/>
  <c r="P397" i="9"/>
  <c r="O397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AJ396" i="9"/>
  <c r="AI396" i="9"/>
  <c r="AH396" i="9"/>
  <c r="AG396" i="9"/>
  <c r="AF396" i="9"/>
  <c r="AE396" i="9"/>
  <c r="AD396" i="9"/>
  <c r="AC396" i="9"/>
  <c r="AB396" i="9"/>
  <c r="AA396" i="9"/>
  <c r="Z396" i="9"/>
  <c r="Y396" i="9"/>
  <c r="X396" i="9"/>
  <c r="W396" i="9"/>
  <c r="V396" i="9"/>
  <c r="U396" i="9"/>
  <c r="T396" i="9"/>
  <c r="S396" i="9"/>
  <c r="R396" i="9"/>
  <c r="Q396" i="9"/>
  <c r="P396" i="9"/>
  <c r="O396" i="9"/>
  <c r="M396" i="9"/>
  <c r="L396" i="9"/>
  <c r="K396" i="9"/>
  <c r="J396" i="9"/>
  <c r="I396" i="9"/>
  <c r="H396" i="9"/>
  <c r="G396" i="9"/>
  <c r="F396" i="9"/>
  <c r="E396" i="9"/>
  <c r="D396" i="9"/>
  <c r="C396" i="9"/>
  <c r="B396" i="9"/>
  <c r="AJ395" i="9"/>
  <c r="AI395" i="9"/>
  <c r="AH395" i="9"/>
  <c r="AG395" i="9"/>
  <c r="AF395" i="9"/>
  <c r="AE395" i="9"/>
  <c r="AD395" i="9"/>
  <c r="AC395" i="9"/>
  <c r="AB395" i="9"/>
  <c r="AA395" i="9"/>
  <c r="Z395" i="9"/>
  <c r="Y395" i="9"/>
  <c r="X395" i="9"/>
  <c r="W395" i="9"/>
  <c r="V395" i="9"/>
  <c r="U395" i="9"/>
  <c r="T395" i="9"/>
  <c r="S395" i="9"/>
  <c r="R395" i="9"/>
  <c r="Q395" i="9"/>
  <c r="P395" i="9"/>
  <c r="O395" i="9"/>
  <c r="M395" i="9"/>
  <c r="L395" i="9"/>
  <c r="K395" i="9"/>
  <c r="J395" i="9"/>
  <c r="I395" i="9"/>
  <c r="H395" i="9"/>
  <c r="G395" i="9"/>
  <c r="F395" i="9"/>
  <c r="E395" i="9"/>
  <c r="D395" i="9"/>
  <c r="C395" i="9"/>
  <c r="B395" i="9"/>
  <c r="AJ394" i="9"/>
  <c r="AI394" i="9"/>
  <c r="AH394" i="9"/>
  <c r="AG394" i="9"/>
  <c r="AF394" i="9"/>
  <c r="AE394" i="9"/>
  <c r="AD394" i="9"/>
  <c r="AC394" i="9"/>
  <c r="AB394" i="9"/>
  <c r="AA394" i="9"/>
  <c r="Z394" i="9"/>
  <c r="Y394" i="9"/>
  <c r="X394" i="9"/>
  <c r="W394" i="9"/>
  <c r="V394" i="9"/>
  <c r="U394" i="9"/>
  <c r="T394" i="9"/>
  <c r="S394" i="9"/>
  <c r="R394" i="9"/>
  <c r="Q394" i="9"/>
  <c r="P394" i="9"/>
  <c r="O394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AJ393" i="9"/>
  <c r="AI393" i="9"/>
  <c r="AH393" i="9"/>
  <c r="AG393" i="9"/>
  <c r="AF393" i="9"/>
  <c r="AE393" i="9"/>
  <c r="AD393" i="9"/>
  <c r="AC393" i="9"/>
  <c r="AB393" i="9"/>
  <c r="AA393" i="9"/>
  <c r="Z393" i="9"/>
  <c r="Y393" i="9"/>
  <c r="X393" i="9"/>
  <c r="W393" i="9"/>
  <c r="V393" i="9"/>
  <c r="U393" i="9"/>
  <c r="T393" i="9"/>
  <c r="S393" i="9"/>
  <c r="R393" i="9"/>
  <c r="Q393" i="9"/>
  <c r="P393" i="9"/>
  <c r="O393" i="9"/>
  <c r="M393" i="9"/>
  <c r="L393" i="9"/>
  <c r="K393" i="9"/>
  <c r="J393" i="9"/>
  <c r="I393" i="9"/>
  <c r="H393" i="9"/>
  <c r="G393" i="9"/>
  <c r="F393" i="9"/>
  <c r="E393" i="9"/>
  <c r="D393" i="9"/>
  <c r="C393" i="9"/>
  <c r="B393" i="9"/>
  <c r="AJ392" i="9"/>
  <c r="AI392" i="9"/>
  <c r="AH392" i="9"/>
  <c r="AG392" i="9"/>
  <c r="AF392" i="9"/>
  <c r="AE392" i="9"/>
  <c r="AD392" i="9"/>
  <c r="AC392" i="9"/>
  <c r="AB392" i="9"/>
  <c r="AA392" i="9"/>
  <c r="Z392" i="9"/>
  <c r="Y392" i="9"/>
  <c r="X392" i="9"/>
  <c r="W392" i="9"/>
  <c r="V392" i="9"/>
  <c r="U392" i="9"/>
  <c r="T392" i="9"/>
  <c r="S392" i="9"/>
  <c r="R392" i="9"/>
  <c r="Q392" i="9"/>
  <c r="P392" i="9"/>
  <c r="O392" i="9"/>
  <c r="M392" i="9"/>
  <c r="L392" i="9"/>
  <c r="K392" i="9"/>
  <c r="J392" i="9"/>
  <c r="I392" i="9"/>
  <c r="H392" i="9"/>
  <c r="G392" i="9"/>
  <c r="F392" i="9"/>
  <c r="E392" i="9"/>
  <c r="D392" i="9"/>
  <c r="C392" i="9"/>
  <c r="B392" i="9"/>
  <c r="AJ391" i="9"/>
  <c r="AI391" i="9"/>
  <c r="AH391" i="9"/>
  <c r="AG391" i="9"/>
  <c r="AF391" i="9"/>
  <c r="AE391" i="9"/>
  <c r="AD391" i="9"/>
  <c r="AC391" i="9"/>
  <c r="AB391" i="9"/>
  <c r="AA391" i="9"/>
  <c r="Z391" i="9"/>
  <c r="Y391" i="9"/>
  <c r="X391" i="9"/>
  <c r="W391" i="9"/>
  <c r="V391" i="9"/>
  <c r="U391" i="9"/>
  <c r="T391" i="9"/>
  <c r="S391" i="9"/>
  <c r="R391" i="9"/>
  <c r="Q391" i="9"/>
  <c r="P391" i="9"/>
  <c r="O391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AJ390" i="9"/>
  <c r="AI390" i="9"/>
  <c r="AH390" i="9"/>
  <c r="AG390" i="9"/>
  <c r="AF390" i="9"/>
  <c r="AE390" i="9"/>
  <c r="AD390" i="9"/>
  <c r="AC390" i="9"/>
  <c r="AB390" i="9"/>
  <c r="AA390" i="9"/>
  <c r="Z390" i="9"/>
  <c r="Y390" i="9"/>
  <c r="X390" i="9"/>
  <c r="W390" i="9"/>
  <c r="V390" i="9"/>
  <c r="U390" i="9"/>
  <c r="T390" i="9"/>
  <c r="S390" i="9"/>
  <c r="R390" i="9"/>
  <c r="Q390" i="9"/>
  <c r="P390" i="9"/>
  <c r="O390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AJ389" i="9"/>
  <c r="AI389" i="9"/>
  <c r="AH389" i="9"/>
  <c r="AG389" i="9"/>
  <c r="AF389" i="9"/>
  <c r="AE389" i="9"/>
  <c r="AD389" i="9"/>
  <c r="AC389" i="9"/>
  <c r="AB389" i="9"/>
  <c r="AA389" i="9"/>
  <c r="Z389" i="9"/>
  <c r="Y389" i="9"/>
  <c r="X389" i="9"/>
  <c r="W389" i="9"/>
  <c r="V389" i="9"/>
  <c r="U389" i="9"/>
  <c r="T389" i="9"/>
  <c r="S389" i="9"/>
  <c r="R389" i="9"/>
  <c r="Q389" i="9"/>
  <c r="P389" i="9"/>
  <c r="O389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AJ388" i="9"/>
  <c r="AI388" i="9"/>
  <c r="AH388" i="9"/>
  <c r="AG388" i="9"/>
  <c r="AF388" i="9"/>
  <c r="AE388" i="9"/>
  <c r="AD388" i="9"/>
  <c r="AC388" i="9"/>
  <c r="AB388" i="9"/>
  <c r="AA388" i="9"/>
  <c r="Z388" i="9"/>
  <c r="Y388" i="9"/>
  <c r="X388" i="9"/>
  <c r="W388" i="9"/>
  <c r="V388" i="9"/>
  <c r="U388" i="9"/>
  <c r="T388" i="9"/>
  <c r="S388" i="9"/>
  <c r="R388" i="9"/>
  <c r="Q388" i="9"/>
  <c r="P388" i="9"/>
  <c r="O388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AJ387" i="9"/>
  <c r="AI387" i="9"/>
  <c r="AH387" i="9"/>
  <c r="AG387" i="9"/>
  <c r="AF387" i="9"/>
  <c r="AE387" i="9"/>
  <c r="AD387" i="9"/>
  <c r="AC387" i="9"/>
  <c r="AB387" i="9"/>
  <c r="AA387" i="9"/>
  <c r="Z387" i="9"/>
  <c r="Y387" i="9"/>
  <c r="X387" i="9"/>
  <c r="W387" i="9"/>
  <c r="V387" i="9"/>
  <c r="U387" i="9"/>
  <c r="T387" i="9"/>
  <c r="S387" i="9"/>
  <c r="R387" i="9"/>
  <c r="Q387" i="9"/>
  <c r="P387" i="9"/>
  <c r="O387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AJ386" i="9"/>
  <c r="AI386" i="9"/>
  <c r="AH386" i="9"/>
  <c r="AG386" i="9"/>
  <c r="AF386" i="9"/>
  <c r="AE386" i="9"/>
  <c r="AD386" i="9"/>
  <c r="AC386" i="9"/>
  <c r="AB386" i="9"/>
  <c r="AA386" i="9"/>
  <c r="Z386" i="9"/>
  <c r="Y386" i="9"/>
  <c r="X386" i="9"/>
  <c r="W386" i="9"/>
  <c r="V386" i="9"/>
  <c r="U386" i="9"/>
  <c r="T386" i="9"/>
  <c r="S386" i="9"/>
  <c r="R386" i="9"/>
  <c r="Q386" i="9"/>
  <c r="P386" i="9"/>
  <c r="O386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AJ385" i="9"/>
  <c r="AI385" i="9"/>
  <c r="AH385" i="9"/>
  <c r="AG385" i="9"/>
  <c r="AF385" i="9"/>
  <c r="AE385" i="9"/>
  <c r="AD385" i="9"/>
  <c r="AC385" i="9"/>
  <c r="AB385" i="9"/>
  <c r="AA385" i="9"/>
  <c r="Z385" i="9"/>
  <c r="Y385" i="9"/>
  <c r="X385" i="9"/>
  <c r="W385" i="9"/>
  <c r="V385" i="9"/>
  <c r="U385" i="9"/>
  <c r="T385" i="9"/>
  <c r="S385" i="9"/>
  <c r="R385" i="9"/>
  <c r="Q385" i="9"/>
  <c r="P385" i="9"/>
  <c r="O385" i="9"/>
  <c r="M385" i="9"/>
  <c r="L385" i="9"/>
  <c r="K385" i="9"/>
  <c r="J385" i="9"/>
  <c r="I385" i="9"/>
  <c r="H385" i="9"/>
  <c r="G385" i="9"/>
  <c r="F385" i="9"/>
  <c r="E385" i="9"/>
  <c r="D385" i="9"/>
  <c r="C385" i="9"/>
  <c r="B385" i="9"/>
  <c r="AJ384" i="9"/>
  <c r="AI384" i="9"/>
  <c r="AH384" i="9"/>
  <c r="AG384" i="9"/>
  <c r="AF384" i="9"/>
  <c r="AE384" i="9"/>
  <c r="AD384" i="9"/>
  <c r="AC384" i="9"/>
  <c r="AB384" i="9"/>
  <c r="AA384" i="9"/>
  <c r="Z384" i="9"/>
  <c r="Y384" i="9"/>
  <c r="X384" i="9"/>
  <c r="W384" i="9"/>
  <c r="V384" i="9"/>
  <c r="U384" i="9"/>
  <c r="T384" i="9"/>
  <c r="S384" i="9"/>
  <c r="R384" i="9"/>
  <c r="Q384" i="9"/>
  <c r="P384" i="9"/>
  <c r="O384" i="9"/>
  <c r="M384" i="9"/>
  <c r="L384" i="9"/>
  <c r="K384" i="9"/>
  <c r="J384" i="9"/>
  <c r="I384" i="9"/>
  <c r="H384" i="9"/>
  <c r="G384" i="9"/>
  <c r="F384" i="9"/>
  <c r="E384" i="9"/>
  <c r="D384" i="9"/>
  <c r="C384" i="9"/>
  <c r="B384" i="9"/>
  <c r="AJ383" i="9"/>
  <c r="AI383" i="9"/>
  <c r="AH383" i="9"/>
  <c r="AG383" i="9"/>
  <c r="AF383" i="9"/>
  <c r="AE383" i="9"/>
  <c r="AD383" i="9"/>
  <c r="AC383" i="9"/>
  <c r="AB383" i="9"/>
  <c r="AA383" i="9"/>
  <c r="Z383" i="9"/>
  <c r="Y383" i="9"/>
  <c r="X383" i="9"/>
  <c r="W383" i="9"/>
  <c r="V383" i="9"/>
  <c r="U383" i="9"/>
  <c r="T383" i="9"/>
  <c r="S383" i="9"/>
  <c r="R383" i="9"/>
  <c r="Q383" i="9"/>
  <c r="P383" i="9"/>
  <c r="O383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AJ382" i="9"/>
  <c r="AI382" i="9"/>
  <c r="AH382" i="9"/>
  <c r="AG382" i="9"/>
  <c r="AF382" i="9"/>
  <c r="AE382" i="9"/>
  <c r="AD382" i="9"/>
  <c r="AC382" i="9"/>
  <c r="AB382" i="9"/>
  <c r="AA382" i="9"/>
  <c r="Z382" i="9"/>
  <c r="Y382" i="9"/>
  <c r="X382" i="9"/>
  <c r="W382" i="9"/>
  <c r="V382" i="9"/>
  <c r="U382" i="9"/>
  <c r="T382" i="9"/>
  <c r="S382" i="9"/>
  <c r="R382" i="9"/>
  <c r="Q382" i="9"/>
  <c r="P382" i="9"/>
  <c r="O382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AJ381" i="9"/>
  <c r="AI381" i="9"/>
  <c r="AH381" i="9"/>
  <c r="AG381" i="9"/>
  <c r="AF381" i="9"/>
  <c r="AE381" i="9"/>
  <c r="AD381" i="9"/>
  <c r="AC381" i="9"/>
  <c r="AB381" i="9"/>
  <c r="AA381" i="9"/>
  <c r="Z381" i="9"/>
  <c r="Y381" i="9"/>
  <c r="X381" i="9"/>
  <c r="W381" i="9"/>
  <c r="V381" i="9"/>
  <c r="U381" i="9"/>
  <c r="T381" i="9"/>
  <c r="S381" i="9"/>
  <c r="R381" i="9"/>
  <c r="Q381" i="9"/>
  <c r="P381" i="9"/>
  <c r="O381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AJ380" i="9"/>
  <c r="AI380" i="9"/>
  <c r="AH380" i="9"/>
  <c r="AG380" i="9"/>
  <c r="AF380" i="9"/>
  <c r="AE380" i="9"/>
  <c r="AD380" i="9"/>
  <c r="AC380" i="9"/>
  <c r="AB380" i="9"/>
  <c r="AA380" i="9"/>
  <c r="Z380" i="9"/>
  <c r="Y380" i="9"/>
  <c r="X380" i="9"/>
  <c r="W380" i="9"/>
  <c r="V380" i="9"/>
  <c r="U380" i="9"/>
  <c r="T380" i="9"/>
  <c r="S380" i="9"/>
  <c r="R380" i="9"/>
  <c r="Q380" i="9"/>
  <c r="P380" i="9"/>
  <c r="O380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AJ379" i="9"/>
  <c r="AI379" i="9"/>
  <c r="AH379" i="9"/>
  <c r="AG379" i="9"/>
  <c r="AF379" i="9"/>
  <c r="AE379" i="9"/>
  <c r="AD379" i="9"/>
  <c r="AC379" i="9"/>
  <c r="AB379" i="9"/>
  <c r="AA379" i="9"/>
  <c r="Z379" i="9"/>
  <c r="Y379" i="9"/>
  <c r="X379" i="9"/>
  <c r="W379" i="9"/>
  <c r="V379" i="9"/>
  <c r="U379" i="9"/>
  <c r="T379" i="9"/>
  <c r="S379" i="9"/>
  <c r="R379" i="9"/>
  <c r="Q379" i="9"/>
  <c r="P379" i="9"/>
  <c r="O379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AJ378" i="9"/>
  <c r="AI378" i="9"/>
  <c r="AH378" i="9"/>
  <c r="AG378" i="9"/>
  <c r="AF378" i="9"/>
  <c r="AE378" i="9"/>
  <c r="AD378" i="9"/>
  <c r="AC378" i="9"/>
  <c r="AB378" i="9"/>
  <c r="AA378" i="9"/>
  <c r="Z378" i="9"/>
  <c r="Y378" i="9"/>
  <c r="X378" i="9"/>
  <c r="W378" i="9"/>
  <c r="V378" i="9"/>
  <c r="U378" i="9"/>
  <c r="T378" i="9"/>
  <c r="S378" i="9"/>
  <c r="R378" i="9"/>
  <c r="Q378" i="9"/>
  <c r="P378" i="9"/>
  <c r="O378" i="9"/>
  <c r="M378" i="9"/>
  <c r="L378" i="9"/>
  <c r="K378" i="9"/>
  <c r="J378" i="9"/>
  <c r="I378" i="9"/>
  <c r="H378" i="9"/>
  <c r="G378" i="9"/>
  <c r="F378" i="9"/>
  <c r="E378" i="9"/>
  <c r="D378" i="9"/>
  <c r="C378" i="9"/>
  <c r="B378" i="9"/>
  <c r="AJ377" i="9"/>
  <c r="AI377" i="9"/>
  <c r="AH377" i="9"/>
  <c r="AG377" i="9"/>
  <c r="AF377" i="9"/>
  <c r="AE377" i="9"/>
  <c r="AD377" i="9"/>
  <c r="AC377" i="9"/>
  <c r="AB377" i="9"/>
  <c r="AA377" i="9"/>
  <c r="Z377" i="9"/>
  <c r="Y377" i="9"/>
  <c r="X377" i="9"/>
  <c r="W377" i="9"/>
  <c r="V377" i="9"/>
  <c r="U377" i="9"/>
  <c r="T377" i="9"/>
  <c r="S377" i="9"/>
  <c r="R377" i="9"/>
  <c r="Q377" i="9"/>
  <c r="P377" i="9"/>
  <c r="O377" i="9"/>
  <c r="M377" i="9"/>
  <c r="L377" i="9"/>
  <c r="K377" i="9"/>
  <c r="J377" i="9"/>
  <c r="I377" i="9"/>
  <c r="H377" i="9"/>
  <c r="G377" i="9"/>
  <c r="F377" i="9"/>
  <c r="E377" i="9"/>
  <c r="D377" i="9"/>
  <c r="C377" i="9"/>
  <c r="B377" i="9"/>
  <c r="AJ376" i="9"/>
  <c r="AI376" i="9"/>
  <c r="AH376" i="9"/>
  <c r="AG376" i="9"/>
  <c r="AF376" i="9"/>
  <c r="AE376" i="9"/>
  <c r="AD376" i="9"/>
  <c r="AC376" i="9"/>
  <c r="AB376" i="9"/>
  <c r="AA376" i="9"/>
  <c r="Z376" i="9"/>
  <c r="Y376" i="9"/>
  <c r="X376" i="9"/>
  <c r="W376" i="9"/>
  <c r="V376" i="9"/>
  <c r="U376" i="9"/>
  <c r="T376" i="9"/>
  <c r="S376" i="9"/>
  <c r="R376" i="9"/>
  <c r="Q376" i="9"/>
  <c r="P376" i="9"/>
  <c r="O376" i="9"/>
  <c r="M376" i="9"/>
  <c r="L376" i="9"/>
  <c r="K376" i="9"/>
  <c r="J376" i="9"/>
  <c r="I376" i="9"/>
  <c r="H376" i="9"/>
  <c r="G376" i="9"/>
  <c r="F376" i="9"/>
  <c r="E376" i="9"/>
  <c r="D376" i="9"/>
  <c r="C376" i="9"/>
  <c r="B376" i="9"/>
  <c r="AJ375" i="9"/>
  <c r="AI375" i="9"/>
  <c r="AH375" i="9"/>
  <c r="AG375" i="9"/>
  <c r="AF375" i="9"/>
  <c r="AE375" i="9"/>
  <c r="AD375" i="9"/>
  <c r="AC375" i="9"/>
  <c r="AB375" i="9"/>
  <c r="AA375" i="9"/>
  <c r="Z375" i="9"/>
  <c r="Y375" i="9"/>
  <c r="X375" i="9"/>
  <c r="W375" i="9"/>
  <c r="V375" i="9"/>
  <c r="U375" i="9"/>
  <c r="T375" i="9"/>
  <c r="S375" i="9"/>
  <c r="R375" i="9"/>
  <c r="Q375" i="9"/>
  <c r="P375" i="9"/>
  <c r="O375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AJ374" i="9"/>
  <c r="AI374" i="9"/>
  <c r="AH374" i="9"/>
  <c r="AG374" i="9"/>
  <c r="AF374" i="9"/>
  <c r="AE374" i="9"/>
  <c r="AD374" i="9"/>
  <c r="AC374" i="9"/>
  <c r="AB374" i="9"/>
  <c r="AA374" i="9"/>
  <c r="Z374" i="9"/>
  <c r="Y374" i="9"/>
  <c r="X374" i="9"/>
  <c r="W374" i="9"/>
  <c r="V374" i="9"/>
  <c r="U374" i="9"/>
  <c r="T374" i="9"/>
  <c r="S374" i="9"/>
  <c r="R374" i="9"/>
  <c r="Q374" i="9"/>
  <c r="P374" i="9"/>
  <c r="O374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AJ373" i="9"/>
  <c r="AI373" i="9"/>
  <c r="AH373" i="9"/>
  <c r="AG373" i="9"/>
  <c r="AF373" i="9"/>
  <c r="AE373" i="9"/>
  <c r="AD373" i="9"/>
  <c r="AC373" i="9"/>
  <c r="AB373" i="9"/>
  <c r="AA373" i="9"/>
  <c r="Z373" i="9"/>
  <c r="Y373" i="9"/>
  <c r="X373" i="9"/>
  <c r="W373" i="9"/>
  <c r="V373" i="9"/>
  <c r="U373" i="9"/>
  <c r="T373" i="9"/>
  <c r="S373" i="9"/>
  <c r="R373" i="9"/>
  <c r="Q373" i="9"/>
  <c r="P373" i="9"/>
  <c r="O373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AJ372" i="9"/>
  <c r="AI372" i="9"/>
  <c r="AH372" i="9"/>
  <c r="AG372" i="9"/>
  <c r="AF372" i="9"/>
  <c r="AE372" i="9"/>
  <c r="AD372" i="9"/>
  <c r="AC372" i="9"/>
  <c r="AB372" i="9"/>
  <c r="AA372" i="9"/>
  <c r="Z372" i="9"/>
  <c r="Y372" i="9"/>
  <c r="X372" i="9"/>
  <c r="W372" i="9"/>
  <c r="V372" i="9"/>
  <c r="U372" i="9"/>
  <c r="T372" i="9"/>
  <c r="S372" i="9"/>
  <c r="R372" i="9"/>
  <c r="Q372" i="9"/>
  <c r="P372" i="9"/>
  <c r="O372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AJ371" i="9"/>
  <c r="AI371" i="9"/>
  <c r="AH371" i="9"/>
  <c r="AG371" i="9"/>
  <c r="AF371" i="9"/>
  <c r="AE371" i="9"/>
  <c r="AD371" i="9"/>
  <c r="AC371" i="9"/>
  <c r="AB371" i="9"/>
  <c r="AA371" i="9"/>
  <c r="Z371" i="9"/>
  <c r="Y371" i="9"/>
  <c r="X371" i="9"/>
  <c r="W371" i="9"/>
  <c r="V371" i="9"/>
  <c r="U371" i="9"/>
  <c r="T371" i="9"/>
  <c r="S371" i="9"/>
  <c r="R371" i="9"/>
  <c r="Q371" i="9"/>
  <c r="P371" i="9"/>
  <c r="O371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AJ370" i="9"/>
  <c r="AI370" i="9"/>
  <c r="AH370" i="9"/>
  <c r="AG370" i="9"/>
  <c r="AF370" i="9"/>
  <c r="AE370" i="9"/>
  <c r="AD370" i="9"/>
  <c r="AC370" i="9"/>
  <c r="AB370" i="9"/>
  <c r="AA370" i="9"/>
  <c r="Z370" i="9"/>
  <c r="Y370" i="9"/>
  <c r="X370" i="9"/>
  <c r="W370" i="9"/>
  <c r="V370" i="9"/>
  <c r="U370" i="9"/>
  <c r="T370" i="9"/>
  <c r="S370" i="9"/>
  <c r="R370" i="9"/>
  <c r="Q370" i="9"/>
  <c r="P370" i="9"/>
  <c r="O370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AJ369" i="9"/>
  <c r="AI369" i="9"/>
  <c r="AH369" i="9"/>
  <c r="AG369" i="9"/>
  <c r="AF369" i="9"/>
  <c r="AE369" i="9"/>
  <c r="AD369" i="9"/>
  <c r="AC369" i="9"/>
  <c r="AB369" i="9"/>
  <c r="AA369" i="9"/>
  <c r="Z369" i="9"/>
  <c r="Y369" i="9"/>
  <c r="X369" i="9"/>
  <c r="W369" i="9"/>
  <c r="V369" i="9"/>
  <c r="U369" i="9"/>
  <c r="T369" i="9"/>
  <c r="S369" i="9"/>
  <c r="R369" i="9"/>
  <c r="Q369" i="9"/>
  <c r="P369" i="9"/>
  <c r="O369" i="9"/>
  <c r="M369" i="9"/>
  <c r="L369" i="9"/>
  <c r="K369" i="9"/>
  <c r="J369" i="9"/>
  <c r="I369" i="9"/>
  <c r="H369" i="9"/>
  <c r="G369" i="9"/>
  <c r="F369" i="9"/>
  <c r="E369" i="9"/>
  <c r="D369" i="9"/>
  <c r="C369" i="9"/>
  <c r="B369" i="9"/>
  <c r="AJ368" i="9"/>
  <c r="AI368" i="9"/>
  <c r="AH368" i="9"/>
  <c r="AG368" i="9"/>
  <c r="AF368" i="9"/>
  <c r="AE368" i="9"/>
  <c r="AD368" i="9"/>
  <c r="AC368" i="9"/>
  <c r="AB368" i="9"/>
  <c r="AA368" i="9"/>
  <c r="Z368" i="9"/>
  <c r="Y368" i="9"/>
  <c r="X368" i="9"/>
  <c r="W368" i="9"/>
  <c r="V368" i="9"/>
  <c r="U368" i="9"/>
  <c r="T368" i="9"/>
  <c r="S368" i="9"/>
  <c r="R368" i="9"/>
  <c r="Q368" i="9"/>
  <c r="P368" i="9"/>
  <c r="O368" i="9"/>
  <c r="M368" i="9"/>
  <c r="L368" i="9"/>
  <c r="K368" i="9"/>
  <c r="J368" i="9"/>
  <c r="I368" i="9"/>
  <c r="H368" i="9"/>
  <c r="G368" i="9"/>
  <c r="F368" i="9"/>
  <c r="E368" i="9"/>
  <c r="D368" i="9"/>
  <c r="C368" i="9"/>
  <c r="B368" i="9"/>
  <c r="AJ367" i="9"/>
  <c r="AI367" i="9"/>
  <c r="AH367" i="9"/>
  <c r="AG367" i="9"/>
  <c r="AF367" i="9"/>
  <c r="AE367" i="9"/>
  <c r="AD367" i="9"/>
  <c r="AC367" i="9"/>
  <c r="AB367" i="9"/>
  <c r="AA367" i="9"/>
  <c r="Z367" i="9"/>
  <c r="Y367" i="9"/>
  <c r="X367" i="9"/>
  <c r="W367" i="9"/>
  <c r="V367" i="9"/>
  <c r="U367" i="9"/>
  <c r="T367" i="9"/>
  <c r="S367" i="9"/>
  <c r="R367" i="9"/>
  <c r="Q367" i="9"/>
  <c r="P367" i="9"/>
  <c r="O367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AJ366" i="9"/>
  <c r="AI366" i="9"/>
  <c r="AH366" i="9"/>
  <c r="AG366" i="9"/>
  <c r="AF366" i="9"/>
  <c r="AE366" i="9"/>
  <c r="AD366" i="9"/>
  <c r="AC366" i="9"/>
  <c r="AB366" i="9"/>
  <c r="AA366" i="9"/>
  <c r="Z366" i="9"/>
  <c r="Y366" i="9"/>
  <c r="X366" i="9"/>
  <c r="W366" i="9"/>
  <c r="V366" i="9"/>
  <c r="U366" i="9"/>
  <c r="T366" i="9"/>
  <c r="S366" i="9"/>
  <c r="R366" i="9"/>
  <c r="Q366" i="9"/>
  <c r="P366" i="9"/>
  <c r="O366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AJ365" i="9"/>
  <c r="AI365" i="9"/>
  <c r="AH365" i="9"/>
  <c r="AG365" i="9"/>
  <c r="AF365" i="9"/>
  <c r="AE365" i="9"/>
  <c r="AD365" i="9"/>
  <c r="AC365" i="9"/>
  <c r="AB365" i="9"/>
  <c r="AA365" i="9"/>
  <c r="Z365" i="9"/>
  <c r="Y365" i="9"/>
  <c r="X365" i="9"/>
  <c r="W365" i="9"/>
  <c r="V365" i="9"/>
  <c r="U365" i="9"/>
  <c r="T365" i="9"/>
  <c r="S365" i="9"/>
  <c r="R365" i="9"/>
  <c r="Q365" i="9"/>
  <c r="P365" i="9"/>
  <c r="O365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AJ364" i="9"/>
  <c r="AI364" i="9"/>
  <c r="AH364" i="9"/>
  <c r="AG364" i="9"/>
  <c r="AF364" i="9"/>
  <c r="AE364" i="9"/>
  <c r="AD364" i="9"/>
  <c r="AC364" i="9"/>
  <c r="AB364" i="9"/>
  <c r="AA364" i="9"/>
  <c r="Z364" i="9"/>
  <c r="Y364" i="9"/>
  <c r="X364" i="9"/>
  <c r="W364" i="9"/>
  <c r="V364" i="9"/>
  <c r="U364" i="9"/>
  <c r="T364" i="9"/>
  <c r="S364" i="9"/>
  <c r="R364" i="9"/>
  <c r="Q364" i="9"/>
  <c r="P364" i="9"/>
  <c r="O364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AJ363" i="9"/>
  <c r="AI363" i="9"/>
  <c r="AH363" i="9"/>
  <c r="AG363" i="9"/>
  <c r="AF363" i="9"/>
  <c r="AE363" i="9"/>
  <c r="AD363" i="9"/>
  <c r="AC363" i="9"/>
  <c r="AB363" i="9"/>
  <c r="AA363" i="9"/>
  <c r="Z363" i="9"/>
  <c r="Y363" i="9"/>
  <c r="X363" i="9"/>
  <c r="W363" i="9"/>
  <c r="V363" i="9"/>
  <c r="U363" i="9"/>
  <c r="T363" i="9"/>
  <c r="S363" i="9"/>
  <c r="R363" i="9"/>
  <c r="Q363" i="9"/>
  <c r="P363" i="9"/>
  <c r="O363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AJ362" i="9"/>
  <c r="AI362" i="9"/>
  <c r="AH362" i="9"/>
  <c r="AG362" i="9"/>
  <c r="AF362" i="9"/>
  <c r="AE362" i="9"/>
  <c r="AD362" i="9"/>
  <c r="AC362" i="9"/>
  <c r="AB362" i="9"/>
  <c r="AA362" i="9"/>
  <c r="Z362" i="9"/>
  <c r="Y362" i="9"/>
  <c r="X362" i="9"/>
  <c r="W362" i="9"/>
  <c r="V362" i="9"/>
  <c r="U362" i="9"/>
  <c r="T362" i="9"/>
  <c r="S362" i="9"/>
  <c r="R362" i="9"/>
  <c r="Q362" i="9"/>
  <c r="P362" i="9"/>
  <c r="O362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AJ361" i="9"/>
  <c r="AI361" i="9"/>
  <c r="AH361" i="9"/>
  <c r="AG361" i="9"/>
  <c r="AF361" i="9"/>
  <c r="AE361" i="9"/>
  <c r="AD361" i="9"/>
  <c r="AC361" i="9"/>
  <c r="AB361" i="9"/>
  <c r="AA361" i="9"/>
  <c r="Z361" i="9"/>
  <c r="Y361" i="9"/>
  <c r="X361" i="9"/>
  <c r="W361" i="9"/>
  <c r="V361" i="9"/>
  <c r="U361" i="9"/>
  <c r="T361" i="9"/>
  <c r="S361" i="9"/>
  <c r="R361" i="9"/>
  <c r="Q361" i="9"/>
  <c r="P361" i="9"/>
  <c r="O361" i="9"/>
  <c r="M361" i="9"/>
  <c r="L361" i="9"/>
  <c r="K361" i="9"/>
  <c r="J361" i="9"/>
  <c r="I361" i="9"/>
  <c r="H361" i="9"/>
  <c r="G361" i="9"/>
  <c r="F361" i="9"/>
  <c r="E361" i="9"/>
  <c r="D361" i="9"/>
  <c r="C361" i="9"/>
  <c r="B361" i="9"/>
  <c r="AJ360" i="9"/>
  <c r="AI360" i="9"/>
  <c r="AH360" i="9"/>
  <c r="AG360" i="9"/>
  <c r="AF360" i="9"/>
  <c r="AE360" i="9"/>
  <c r="AD360" i="9"/>
  <c r="AC360" i="9"/>
  <c r="AB360" i="9"/>
  <c r="AA360" i="9"/>
  <c r="Z360" i="9"/>
  <c r="Y360" i="9"/>
  <c r="X360" i="9"/>
  <c r="W360" i="9"/>
  <c r="V360" i="9"/>
  <c r="U360" i="9"/>
  <c r="T360" i="9"/>
  <c r="S360" i="9"/>
  <c r="R360" i="9"/>
  <c r="Q360" i="9"/>
  <c r="P360" i="9"/>
  <c r="O360" i="9"/>
  <c r="M360" i="9"/>
  <c r="L360" i="9"/>
  <c r="K360" i="9"/>
  <c r="J360" i="9"/>
  <c r="I360" i="9"/>
  <c r="H360" i="9"/>
  <c r="G360" i="9"/>
  <c r="F360" i="9"/>
  <c r="E360" i="9"/>
  <c r="D360" i="9"/>
  <c r="C360" i="9"/>
  <c r="B360" i="9"/>
  <c r="AJ359" i="9"/>
  <c r="AI359" i="9"/>
  <c r="AH359" i="9"/>
  <c r="AG359" i="9"/>
  <c r="AF359" i="9"/>
  <c r="AE359" i="9"/>
  <c r="AD359" i="9"/>
  <c r="AC359" i="9"/>
  <c r="AB359" i="9"/>
  <c r="AA359" i="9"/>
  <c r="Z359" i="9"/>
  <c r="Y359" i="9"/>
  <c r="X359" i="9"/>
  <c r="W359" i="9"/>
  <c r="V359" i="9"/>
  <c r="U359" i="9"/>
  <c r="T359" i="9"/>
  <c r="S359" i="9"/>
  <c r="R359" i="9"/>
  <c r="Q359" i="9"/>
  <c r="P359" i="9"/>
  <c r="O359" i="9"/>
  <c r="M359" i="9"/>
  <c r="L359" i="9"/>
  <c r="K359" i="9"/>
  <c r="J359" i="9"/>
  <c r="I359" i="9"/>
  <c r="H359" i="9"/>
  <c r="G359" i="9"/>
  <c r="F359" i="9"/>
  <c r="E359" i="9"/>
  <c r="D359" i="9"/>
  <c r="C359" i="9"/>
  <c r="B359" i="9"/>
  <c r="AJ358" i="9"/>
  <c r="AI358" i="9"/>
  <c r="AH358" i="9"/>
  <c r="AG358" i="9"/>
  <c r="AF358" i="9"/>
  <c r="AE358" i="9"/>
  <c r="AD358" i="9"/>
  <c r="AC358" i="9"/>
  <c r="AB358" i="9"/>
  <c r="AA358" i="9"/>
  <c r="Z358" i="9"/>
  <c r="Y358" i="9"/>
  <c r="X358" i="9"/>
  <c r="W358" i="9"/>
  <c r="V358" i="9"/>
  <c r="U358" i="9"/>
  <c r="T358" i="9"/>
  <c r="S358" i="9"/>
  <c r="R358" i="9"/>
  <c r="Q358" i="9"/>
  <c r="P358" i="9"/>
  <c r="O358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AJ357" i="9"/>
  <c r="AI357" i="9"/>
  <c r="AH357" i="9"/>
  <c r="AG357" i="9"/>
  <c r="AF357" i="9"/>
  <c r="AE357" i="9"/>
  <c r="AD357" i="9"/>
  <c r="AC357" i="9"/>
  <c r="AB357" i="9"/>
  <c r="AA357" i="9"/>
  <c r="Z357" i="9"/>
  <c r="Y357" i="9"/>
  <c r="X357" i="9"/>
  <c r="W357" i="9"/>
  <c r="V357" i="9"/>
  <c r="U357" i="9"/>
  <c r="T357" i="9"/>
  <c r="S357" i="9"/>
  <c r="R357" i="9"/>
  <c r="Q357" i="9"/>
  <c r="P357" i="9"/>
  <c r="O357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AJ356" i="9"/>
  <c r="AI356" i="9"/>
  <c r="AH356" i="9"/>
  <c r="AG356" i="9"/>
  <c r="AF356" i="9"/>
  <c r="AE356" i="9"/>
  <c r="AD356" i="9"/>
  <c r="AC356" i="9"/>
  <c r="AB356" i="9"/>
  <c r="AA356" i="9"/>
  <c r="Z356" i="9"/>
  <c r="Y356" i="9"/>
  <c r="X356" i="9"/>
  <c r="W356" i="9"/>
  <c r="V356" i="9"/>
  <c r="U356" i="9"/>
  <c r="T356" i="9"/>
  <c r="S356" i="9"/>
  <c r="R356" i="9"/>
  <c r="Q356" i="9"/>
  <c r="P356" i="9"/>
  <c r="O356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AJ355" i="9"/>
  <c r="AI355" i="9"/>
  <c r="AH355" i="9"/>
  <c r="AG355" i="9"/>
  <c r="AF355" i="9"/>
  <c r="AE355" i="9"/>
  <c r="AD355" i="9"/>
  <c r="AC355" i="9"/>
  <c r="AB355" i="9"/>
  <c r="AA355" i="9"/>
  <c r="Z355" i="9"/>
  <c r="Y355" i="9"/>
  <c r="X355" i="9"/>
  <c r="W355" i="9"/>
  <c r="V355" i="9"/>
  <c r="U355" i="9"/>
  <c r="T355" i="9"/>
  <c r="S355" i="9"/>
  <c r="R355" i="9"/>
  <c r="Q355" i="9"/>
  <c r="P355" i="9"/>
  <c r="O355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AJ354" i="9"/>
  <c r="AI354" i="9"/>
  <c r="AH354" i="9"/>
  <c r="AG354" i="9"/>
  <c r="AF354" i="9"/>
  <c r="AE354" i="9"/>
  <c r="AD354" i="9"/>
  <c r="AC354" i="9"/>
  <c r="AB354" i="9"/>
  <c r="AA354" i="9"/>
  <c r="Z354" i="9"/>
  <c r="Y354" i="9"/>
  <c r="X354" i="9"/>
  <c r="W354" i="9"/>
  <c r="V354" i="9"/>
  <c r="U354" i="9"/>
  <c r="T354" i="9"/>
  <c r="S354" i="9"/>
  <c r="R354" i="9"/>
  <c r="Q354" i="9"/>
  <c r="P354" i="9"/>
  <c r="O354" i="9"/>
  <c r="M354" i="9"/>
  <c r="L354" i="9"/>
  <c r="K354" i="9"/>
  <c r="J354" i="9"/>
  <c r="I354" i="9"/>
  <c r="H354" i="9"/>
  <c r="G354" i="9"/>
  <c r="F354" i="9"/>
  <c r="E354" i="9"/>
  <c r="D354" i="9"/>
  <c r="C354" i="9"/>
  <c r="B354" i="9"/>
  <c r="AJ353" i="9"/>
  <c r="AI353" i="9"/>
  <c r="AH353" i="9"/>
  <c r="AG353" i="9"/>
  <c r="AF353" i="9"/>
  <c r="AE353" i="9"/>
  <c r="AD353" i="9"/>
  <c r="AC353" i="9"/>
  <c r="AB353" i="9"/>
  <c r="AA353" i="9"/>
  <c r="Z353" i="9"/>
  <c r="Y353" i="9"/>
  <c r="X353" i="9"/>
  <c r="W353" i="9"/>
  <c r="V353" i="9"/>
  <c r="U353" i="9"/>
  <c r="T353" i="9"/>
  <c r="S353" i="9"/>
  <c r="R353" i="9"/>
  <c r="Q353" i="9"/>
  <c r="P353" i="9"/>
  <c r="O353" i="9"/>
  <c r="M353" i="9"/>
  <c r="L353" i="9"/>
  <c r="K353" i="9"/>
  <c r="J353" i="9"/>
  <c r="I353" i="9"/>
  <c r="H353" i="9"/>
  <c r="G353" i="9"/>
  <c r="F353" i="9"/>
  <c r="E353" i="9"/>
  <c r="D353" i="9"/>
  <c r="C353" i="9"/>
  <c r="B353" i="9"/>
  <c r="AJ352" i="9"/>
  <c r="AI352" i="9"/>
  <c r="AH352" i="9"/>
  <c r="AG352" i="9"/>
  <c r="AF352" i="9"/>
  <c r="AE352" i="9"/>
  <c r="AD352" i="9"/>
  <c r="AC352" i="9"/>
  <c r="AB352" i="9"/>
  <c r="AA352" i="9"/>
  <c r="Z352" i="9"/>
  <c r="Y352" i="9"/>
  <c r="X352" i="9"/>
  <c r="W352" i="9"/>
  <c r="V352" i="9"/>
  <c r="U352" i="9"/>
  <c r="T352" i="9"/>
  <c r="S352" i="9"/>
  <c r="R352" i="9"/>
  <c r="Q352" i="9"/>
  <c r="P352" i="9"/>
  <c r="O352" i="9"/>
  <c r="M352" i="9"/>
  <c r="L352" i="9"/>
  <c r="K352" i="9"/>
  <c r="J352" i="9"/>
  <c r="I352" i="9"/>
  <c r="H352" i="9"/>
  <c r="G352" i="9"/>
  <c r="F352" i="9"/>
  <c r="E352" i="9"/>
  <c r="D352" i="9"/>
  <c r="C352" i="9"/>
  <c r="B352" i="9"/>
  <c r="AJ351" i="9"/>
  <c r="AI351" i="9"/>
  <c r="AH351" i="9"/>
  <c r="AG351" i="9"/>
  <c r="AF351" i="9"/>
  <c r="AE351" i="9"/>
  <c r="AD351" i="9"/>
  <c r="AC351" i="9"/>
  <c r="AB351" i="9"/>
  <c r="AA351" i="9"/>
  <c r="Z351" i="9"/>
  <c r="Y351" i="9"/>
  <c r="X351" i="9"/>
  <c r="W351" i="9"/>
  <c r="V351" i="9"/>
  <c r="U351" i="9"/>
  <c r="T351" i="9"/>
  <c r="S351" i="9"/>
  <c r="R351" i="9"/>
  <c r="Q351" i="9"/>
  <c r="P351" i="9"/>
  <c r="O351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AJ350" i="9"/>
  <c r="AI350" i="9"/>
  <c r="AH350" i="9"/>
  <c r="AG350" i="9"/>
  <c r="AF350" i="9"/>
  <c r="AE350" i="9"/>
  <c r="AD350" i="9"/>
  <c r="AC350" i="9"/>
  <c r="AB350" i="9"/>
  <c r="AA350" i="9"/>
  <c r="Z350" i="9"/>
  <c r="Y350" i="9"/>
  <c r="X350" i="9"/>
  <c r="W350" i="9"/>
  <c r="V350" i="9"/>
  <c r="U350" i="9"/>
  <c r="T350" i="9"/>
  <c r="S350" i="9"/>
  <c r="R350" i="9"/>
  <c r="Q350" i="9"/>
  <c r="P350" i="9"/>
  <c r="O350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AJ349" i="9"/>
  <c r="AI349" i="9"/>
  <c r="AH349" i="9"/>
  <c r="AG349" i="9"/>
  <c r="AF349" i="9"/>
  <c r="AE349" i="9"/>
  <c r="AD349" i="9"/>
  <c r="AC349" i="9"/>
  <c r="AB349" i="9"/>
  <c r="AA349" i="9"/>
  <c r="Z349" i="9"/>
  <c r="Y349" i="9"/>
  <c r="X349" i="9"/>
  <c r="W349" i="9"/>
  <c r="V349" i="9"/>
  <c r="U349" i="9"/>
  <c r="T349" i="9"/>
  <c r="S349" i="9"/>
  <c r="R349" i="9"/>
  <c r="Q349" i="9"/>
  <c r="P349" i="9"/>
  <c r="O349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AJ348" i="9"/>
  <c r="AI348" i="9"/>
  <c r="AH348" i="9"/>
  <c r="AG348" i="9"/>
  <c r="AF348" i="9"/>
  <c r="AE348" i="9"/>
  <c r="AD348" i="9"/>
  <c r="AC348" i="9"/>
  <c r="AB348" i="9"/>
  <c r="AA348" i="9"/>
  <c r="Z348" i="9"/>
  <c r="Y348" i="9"/>
  <c r="X348" i="9"/>
  <c r="W348" i="9"/>
  <c r="V348" i="9"/>
  <c r="U348" i="9"/>
  <c r="T348" i="9"/>
  <c r="S348" i="9"/>
  <c r="R348" i="9"/>
  <c r="Q348" i="9"/>
  <c r="P348" i="9"/>
  <c r="O348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AJ347" i="9"/>
  <c r="AI347" i="9"/>
  <c r="AH347" i="9"/>
  <c r="AG347" i="9"/>
  <c r="AF347" i="9"/>
  <c r="AE347" i="9"/>
  <c r="AD347" i="9"/>
  <c r="AC347" i="9"/>
  <c r="AB347" i="9"/>
  <c r="AA347" i="9"/>
  <c r="Z347" i="9"/>
  <c r="Y347" i="9"/>
  <c r="X347" i="9"/>
  <c r="W347" i="9"/>
  <c r="V347" i="9"/>
  <c r="U347" i="9"/>
  <c r="T347" i="9"/>
  <c r="S347" i="9"/>
  <c r="R347" i="9"/>
  <c r="Q347" i="9"/>
  <c r="P347" i="9"/>
  <c r="O347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AJ346" i="9"/>
  <c r="AI346" i="9"/>
  <c r="AH346" i="9"/>
  <c r="AG346" i="9"/>
  <c r="AF346" i="9"/>
  <c r="AE346" i="9"/>
  <c r="AD346" i="9"/>
  <c r="AC346" i="9"/>
  <c r="AB346" i="9"/>
  <c r="AA346" i="9"/>
  <c r="Z346" i="9"/>
  <c r="Y346" i="9"/>
  <c r="X346" i="9"/>
  <c r="W346" i="9"/>
  <c r="V346" i="9"/>
  <c r="U346" i="9"/>
  <c r="T346" i="9"/>
  <c r="S346" i="9"/>
  <c r="R346" i="9"/>
  <c r="Q346" i="9"/>
  <c r="P346" i="9"/>
  <c r="O346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AJ345" i="9"/>
  <c r="AI345" i="9"/>
  <c r="AH345" i="9"/>
  <c r="AG345" i="9"/>
  <c r="AF345" i="9"/>
  <c r="AE345" i="9"/>
  <c r="AD345" i="9"/>
  <c r="AC345" i="9"/>
  <c r="AB345" i="9"/>
  <c r="AA345" i="9"/>
  <c r="Z345" i="9"/>
  <c r="Y345" i="9"/>
  <c r="X345" i="9"/>
  <c r="W345" i="9"/>
  <c r="V345" i="9"/>
  <c r="U345" i="9"/>
  <c r="T345" i="9"/>
  <c r="S345" i="9"/>
  <c r="R345" i="9"/>
  <c r="Q345" i="9"/>
  <c r="P345" i="9"/>
  <c r="O345" i="9"/>
  <c r="M345" i="9"/>
  <c r="L345" i="9"/>
  <c r="K345" i="9"/>
  <c r="J345" i="9"/>
  <c r="I345" i="9"/>
  <c r="H345" i="9"/>
  <c r="G345" i="9"/>
  <c r="F345" i="9"/>
  <c r="E345" i="9"/>
  <c r="D345" i="9"/>
  <c r="C345" i="9"/>
  <c r="B345" i="9"/>
  <c r="AJ344" i="9"/>
  <c r="AI344" i="9"/>
  <c r="AH344" i="9"/>
  <c r="AG344" i="9"/>
  <c r="AF344" i="9"/>
  <c r="AE344" i="9"/>
  <c r="AD344" i="9"/>
  <c r="AC344" i="9"/>
  <c r="AB344" i="9"/>
  <c r="AA344" i="9"/>
  <c r="Z344" i="9"/>
  <c r="Y344" i="9"/>
  <c r="X344" i="9"/>
  <c r="W344" i="9"/>
  <c r="V344" i="9"/>
  <c r="U344" i="9"/>
  <c r="T344" i="9"/>
  <c r="S344" i="9"/>
  <c r="R344" i="9"/>
  <c r="Q344" i="9"/>
  <c r="P344" i="9"/>
  <c r="O344" i="9"/>
  <c r="M344" i="9"/>
  <c r="L344" i="9"/>
  <c r="K344" i="9"/>
  <c r="J344" i="9"/>
  <c r="I344" i="9"/>
  <c r="H344" i="9"/>
  <c r="G344" i="9"/>
  <c r="F344" i="9"/>
  <c r="E344" i="9"/>
  <c r="D344" i="9"/>
  <c r="C344" i="9"/>
  <c r="B344" i="9"/>
  <c r="AJ343" i="9"/>
  <c r="AI343" i="9"/>
  <c r="AH343" i="9"/>
  <c r="AG343" i="9"/>
  <c r="AF343" i="9"/>
  <c r="AE343" i="9"/>
  <c r="AD343" i="9"/>
  <c r="AC343" i="9"/>
  <c r="AB343" i="9"/>
  <c r="AA343" i="9"/>
  <c r="Z343" i="9"/>
  <c r="Y343" i="9"/>
  <c r="X343" i="9"/>
  <c r="W343" i="9"/>
  <c r="V343" i="9"/>
  <c r="U343" i="9"/>
  <c r="T343" i="9"/>
  <c r="S343" i="9"/>
  <c r="R343" i="9"/>
  <c r="Q343" i="9"/>
  <c r="P343" i="9"/>
  <c r="O343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AJ342" i="9"/>
  <c r="AI342" i="9"/>
  <c r="AH342" i="9"/>
  <c r="AG342" i="9"/>
  <c r="AF342" i="9"/>
  <c r="AE342" i="9"/>
  <c r="AD342" i="9"/>
  <c r="AC342" i="9"/>
  <c r="AB342" i="9"/>
  <c r="AA342" i="9"/>
  <c r="Z342" i="9"/>
  <c r="Y342" i="9"/>
  <c r="X342" i="9"/>
  <c r="W342" i="9"/>
  <c r="V342" i="9"/>
  <c r="U342" i="9"/>
  <c r="T342" i="9"/>
  <c r="S342" i="9"/>
  <c r="R342" i="9"/>
  <c r="Q342" i="9"/>
  <c r="P342" i="9"/>
  <c r="O342" i="9"/>
  <c r="M342" i="9"/>
  <c r="L342" i="9"/>
  <c r="K342" i="9"/>
  <c r="J342" i="9"/>
  <c r="I342" i="9"/>
  <c r="H342" i="9"/>
  <c r="G342" i="9"/>
  <c r="F342" i="9"/>
  <c r="E342" i="9"/>
  <c r="D342" i="9"/>
  <c r="C342" i="9"/>
  <c r="B342" i="9"/>
  <c r="AJ341" i="9"/>
  <c r="AI341" i="9"/>
  <c r="AH341" i="9"/>
  <c r="AG341" i="9"/>
  <c r="AF341" i="9"/>
  <c r="AE341" i="9"/>
  <c r="AD341" i="9"/>
  <c r="AC341" i="9"/>
  <c r="AB341" i="9"/>
  <c r="AA341" i="9"/>
  <c r="Z341" i="9"/>
  <c r="Y341" i="9"/>
  <c r="X341" i="9"/>
  <c r="W341" i="9"/>
  <c r="V341" i="9"/>
  <c r="U341" i="9"/>
  <c r="T341" i="9"/>
  <c r="S341" i="9"/>
  <c r="R341" i="9"/>
  <c r="Q341" i="9"/>
  <c r="P341" i="9"/>
  <c r="O341" i="9"/>
  <c r="M341" i="9"/>
  <c r="L341" i="9"/>
  <c r="K341" i="9"/>
  <c r="J341" i="9"/>
  <c r="I341" i="9"/>
  <c r="H341" i="9"/>
  <c r="G341" i="9"/>
  <c r="F341" i="9"/>
  <c r="E341" i="9"/>
  <c r="D341" i="9"/>
  <c r="C341" i="9"/>
  <c r="B341" i="9"/>
  <c r="AJ340" i="9"/>
  <c r="AI340" i="9"/>
  <c r="AH340" i="9"/>
  <c r="AG340" i="9"/>
  <c r="AF340" i="9"/>
  <c r="AE340" i="9"/>
  <c r="AD340" i="9"/>
  <c r="AC340" i="9"/>
  <c r="AB340" i="9"/>
  <c r="AA340" i="9"/>
  <c r="Z340" i="9"/>
  <c r="Y340" i="9"/>
  <c r="X340" i="9"/>
  <c r="W340" i="9"/>
  <c r="V340" i="9"/>
  <c r="U340" i="9"/>
  <c r="T340" i="9"/>
  <c r="S340" i="9"/>
  <c r="R340" i="9"/>
  <c r="Q340" i="9"/>
  <c r="P340" i="9"/>
  <c r="O340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AJ339" i="9"/>
  <c r="AI339" i="9"/>
  <c r="AH339" i="9"/>
  <c r="AG339" i="9"/>
  <c r="AF339" i="9"/>
  <c r="AE339" i="9"/>
  <c r="AD339" i="9"/>
  <c r="AC339" i="9"/>
  <c r="AB339" i="9"/>
  <c r="AA339" i="9"/>
  <c r="Z339" i="9"/>
  <c r="Y339" i="9"/>
  <c r="X339" i="9"/>
  <c r="W339" i="9"/>
  <c r="V339" i="9"/>
  <c r="U339" i="9"/>
  <c r="T339" i="9"/>
  <c r="S339" i="9"/>
  <c r="R339" i="9"/>
  <c r="Q339" i="9"/>
  <c r="P339" i="9"/>
  <c r="O339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AJ338" i="9"/>
  <c r="AI338" i="9"/>
  <c r="AH338" i="9"/>
  <c r="AG338" i="9"/>
  <c r="AF338" i="9"/>
  <c r="AE338" i="9"/>
  <c r="AD338" i="9"/>
  <c r="AC338" i="9"/>
  <c r="AB338" i="9"/>
  <c r="AA338" i="9"/>
  <c r="Z338" i="9"/>
  <c r="Y338" i="9"/>
  <c r="X338" i="9"/>
  <c r="W338" i="9"/>
  <c r="V338" i="9"/>
  <c r="U338" i="9"/>
  <c r="T338" i="9"/>
  <c r="S338" i="9"/>
  <c r="R338" i="9"/>
  <c r="Q338" i="9"/>
  <c r="P338" i="9"/>
  <c r="O338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AJ337" i="9"/>
  <c r="AI337" i="9"/>
  <c r="AH337" i="9"/>
  <c r="AG337" i="9"/>
  <c r="AF337" i="9"/>
  <c r="AE337" i="9"/>
  <c r="AD337" i="9"/>
  <c r="AC337" i="9"/>
  <c r="AB337" i="9"/>
  <c r="AA337" i="9"/>
  <c r="Z337" i="9"/>
  <c r="Y337" i="9"/>
  <c r="X337" i="9"/>
  <c r="W337" i="9"/>
  <c r="V337" i="9"/>
  <c r="U337" i="9"/>
  <c r="T337" i="9"/>
  <c r="S337" i="9"/>
  <c r="R337" i="9"/>
  <c r="Q337" i="9"/>
  <c r="P337" i="9"/>
  <c r="O337" i="9"/>
  <c r="M337" i="9"/>
  <c r="L337" i="9"/>
  <c r="K337" i="9"/>
  <c r="J337" i="9"/>
  <c r="I337" i="9"/>
  <c r="H337" i="9"/>
  <c r="G337" i="9"/>
  <c r="F337" i="9"/>
  <c r="E337" i="9"/>
  <c r="D337" i="9"/>
  <c r="C337" i="9"/>
  <c r="B337" i="9"/>
  <c r="AJ336" i="9"/>
  <c r="AI336" i="9"/>
  <c r="AH336" i="9"/>
  <c r="AG336" i="9"/>
  <c r="AF336" i="9"/>
  <c r="AE336" i="9"/>
  <c r="AD336" i="9"/>
  <c r="AC336" i="9"/>
  <c r="AB336" i="9"/>
  <c r="AA336" i="9"/>
  <c r="Z336" i="9"/>
  <c r="Y336" i="9"/>
  <c r="X336" i="9"/>
  <c r="W336" i="9"/>
  <c r="V336" i="9"/>
  <c r="U336" i="9"/>
  <c r="T336" i="9"/>
  <c r="S336" i="9"/>
  <c r="R336" i="9"/>
  <c r="Q336" i="9"/>
  <c r="P336" i="9"/>
  <c r="O336" i="9"/>
  <c r="M336" i="9"/>
  <c r="L336" i="9"/>
  <c r="K336" i="9"/>
  <c r="J336" i="9"/>
  <c r="I336" i="9"/>
  <c r="H336" i="9"/>
  <c r="G336" i="9"/>
  <c r="F336" i="9"/>
  <c r="E336" i="9"/>
  <c r="D336" i="9"/>
  <c r="C336" i="9"/>
  <c r="B336" i="9"/>
  <c r="AJ335" i="9"/>
  <c r="AI335" i="9"/>
  <c r="AH335" i="9"/>
  <c r="AG335" i="9"/>
  <c r="AF335" i="9"/>
  <c r="AE335" i="9"/>
  <c r="AD335" i="9"/>
  <c r="AC335" i="9"/>
  <c r="AB335" i="9"/>
  <c r="AA335" i="9"/>
  <c r="Z335" i="9"/>
  <c r="Y335" i="9"/>
  <c r="X335" i="9"/>
  <c r="W335" i="9"/>
  <c r="V335" i="9"/>
  <c r="U335" i="9"/>
  <c r="T335" i="9"/>
  <c r="S335" i="9"/>
  <c r="R335" i="9"/>
  <c r="Q335" i="9"/>
  <c r="P335" i="9"/>
  <c r="O335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AJ334" i="9"/>
  <c r="AI334" i="9"/>
  <c r="AH334" i="9"/>
  <c r="AG334" i="9"/>
  <c r="AF334" i="9"/>
  <c r="AE334" i="9"/>
  <c r="AD334" i="9"/>
  <c r="AC334" i="9"/>
  <c r="AB334" i="9"/>
  <c r="AA334" i="9"/>
  <c r="Z334" i="9"/>
  <c r="Y334" i="9"/>
  <c r="X334" i="9"/>
  <c r="W334" i="9"/>
  <c r="V334" i="9"/>
  <c r="U334" i="9"/>
  <c r="T334" i="9"/>
  <c r="S334" i="9"/>
  <c r="R334" i="9"/>
  <c r="Q334" i="9"/>
  <c r="P334" i="9"/>
  <c r="O334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AJ333" i="9"/>
  <c r="AI333" i="9"/>
  <c r="AH333" i="9"/>
  <c r="AG333" i="9"/>
  <c r="AF333" i="9"/>
  <c r="AE333" i="9"/>
  <c r="AD333" i="9"/>
  <c r="AC333" i="9"/>
  <c r="AB333" i="9"/>
  <c r="AA333" i="9"/>
  <c r="Z333" i="9"/>
  <c r="Y333" i="9"/>
  <c r="X333" i="9"/>
  <c r="W333" i="9"/>
  <c r="V333" i="9"/>
  <c r="U333" i="9"/>
  <c r="T333" i="9"/>
  <c r="S333" i="9"/>
  <c r="R333" i="9"/>
  <c r="Q333" i="9"/>
  <c r="P333" i="9"/>
  <c r="O333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AJ332" i="9"/>
  <c r="AI332" i="9"/>
  <c r="AH332" i="9"/>
  <c r="AG332" i="9"/>
  <c r="AF332" i="9"/>
  <c r="AE332" i="9"/>
  <c r="AD332" i="9"/>
  <c r="AC332" i="9"/>
  <c r="AB332" i="9"/>
  <c r="AA332" i="9"/>
  <c r="Z332" i="9"/>
  <c r="Y332" i="9"/>
  <c r="X332" i="9"/>
  <c r="W332" i="9"/>
  <c r="V332" i="9"/>
  <c r="U332" i="9"/>
  <c r="T332" i="9"/>
  <c r="S332" i="9"/>
  <c r="R332" i="9"/>
  <c r="Q332" i="9"/>
  <c r="P332" i="9"/>
  <c r="O332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AJ331" i="9"/>
  <c r="AI331" i="9"/>
  <c r="AH331" i="9"/>
  <c r="AG331" i="9"/>
  <c r="AF331" i="9"/>
  <c r="AE331" i="9"/>
  <c r="AD331" i="9"/>
  <c r="AC331" i="9"/>
  <c r="AB331" i="9"/>
  <c r="AA331" i="9"/>
  <c r="Z331" i="9"/>
  <c r="Y331" i="9"/>
  <c r="X331" i="9"/>
  <c r="W331" i="9"/>
  <c r="V331" i="9"/>
  <c r="U331" i="9"/>
  <c r="T331" i="9"/>
  <c r="S331" i="9"/>
  <c r="R331" i="9"/>
  <c r="Q331" i="9"/>
  <c r="P331" i="9"/>
  <c r="O331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AJ330" i="9"/>
  <c r="AI330" i="9"/>
  <c r="AH330" i="9"/>
  <c r="AG330" i="9"/>
  <c r="AF330" i="9"/>
  <c r="AE330" i="9"/>
  <c r="AD330" i="9"/>
  <c r="AC330" i="9"/>
  <c r="AB330" i="9"/>
  <c r="AA330" i="9"/>
  <c r="Z330" i="9"/>
  <c r="Y330" i="9"/>
  <c r="X330" i="9"/>
  <c r="W330" i="9"/>
  <c r="V330" i="9"/>
  <c r="U330" i="9"/>
  <c r="T330" i="9"/>
  <c r="S330" i="9"/>
  <c r="R330" i="9"/>
  <c r="Q330" i="9"/>
  <c r="P330" i="9"/>
  <c r="O330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AJ329" i="9"/>
  <c r="AI329" i="9"/>
  <c r="AH329" i="9"/>
  <c r="AG329" i="9"/>
  <c r="AF329" i="9"/>
  <c r="AE329" i="9"/>
  <c r="AD329" i="9"/>
  <c r="AC329" i="9"/>
  <c r="AB329" i="9"/>
  <c r="AA329" i="9"/>
  <c r="Z329" i="9"/>
  <c r="Y329" i="9"/>
  <c r="X329" i="9"/>
  <c r="W329" i="9"/>
  <c r="V329" i="9"/>
  <c r="U329" i="9"/>
  <c r="T329" i="9"/>
  <c r="S329" i="9"/>
  <c r="R329" i="9"/>
  <c r="Q329" i="9"/>
  <c r="P329" i="9"/>
  <c r="O329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AJ328" i="9"/>
  <c r="AI328" i="9"/>
  <c r="AH328" i="9"/>
  <c r="AG328" i="9"/>
  <c r="AF328" i="9"/>
  <c r="AE328" i="9"/>
  <c r="AD328" i="9"/>
  <c r="AC328" i="9"/>
  <c r="AB328" i="9"/>
  <c r="AA328" i="9"/>
  <c r="Z328" i="9"/>
  <c r="Y328" i="9"/>
  <c r="X328" i="9"/>
  <c r="W328" i="9"/>
  <c r="V328" i="9"/>
  <c r="U328" i="9"/>
  <c r="T328" i="9"/>
  <c r="S328" i="9"/>
  <c r="R328" i="9"/>
  <c r="Q328" i="9"/>
  <c r="P328" i="9"/>
  <c r="O328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AJ327" i="9"/>
  <c r="AI327" i="9"/>
  <c r="AH327" i="9"/>
  <c r="AG327" i="9"/>
  <c r="AF327" i="9"/>
  <c r="AE327" i="9"/>
  <c r="AD327" i="9"/>
  <c r="AC327" i="9"/>
  <c r="AB327" i="9"/>
  <c r="AA327" i="9"/>
  <c r="Z327" i="9"/>
  <c r="Y327" i="9"/>
  <c r="X327" i="9"/>
  <c r="W327" i="9"/>
  <c r="V327" i="9"/>
  <c r="U327" i="9"/>
  <c r="T327" i="9"/>
  <c r="S327" i="9"/>
  <c r="R327" i="9"/>
  <c r="Q327" i="9"/>
  <c r="P327" i="9"/>
  <c r="O327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AJ326" i="9"/>
  <c r="AI326" i="9"/>
  <c r="AH326" i="9"/>
  <c r="AG326" i="9"/>
  <c r="AF326" i="9"/>
  <c r="AE326" i="9"/>
  <c r="AD326" i="9"/>
  <c r="AC326" i="9"/>
  <c r="AB326" i="9"/>
  <c r="AA326" i="9"/>
  <c r="Z326" i="9"/>
  <c r="Y326" i="9"/>
  <c r="X326" i="9"/>
  <c r="W326" i="9"/>
  <c r="V326" i="9"/>
  <c r="U326" i="9"/>
  <c r="T326" i="9"/>
  <c r="S326" i="9"/>
  <c r="R326" i="9"/>
  <c r="Q326" i="9"/>
  <c r="P326" i="9"/>
  <c r="O326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AJ325" i="9"/>
  <c r="AI325" i="9"/>
  <c r="AH325" i="9"/>
  <c r="AG325" i="9"/>
  <c r="AF325" i="9"/>
  <c r="AE325" i="9"/>
  <c r="AD325" i="9"/>
  <c r="AC325" i="9"/>
  <c r="AB325" i="9"/>
  <c r="AA325" i="9"/>
  <c r="Z325" i="9"/>
  <c r="Y325" i="9"/>
  <c r="X325" i="9"/>
  <c r="W325" i="9"/>
  <c r="V325" i="9"/>
  <c r="U325" i="9"/>
  <c r="T325" i="9"/>
  <c r="S325" i="9"/>
  <c r="R325" i="9"/>
  <c r="Q325" i="9"/>
  <c r="P325" i="9"/>
  <c r="O325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AJ324" i="9"/>
  <c r="AI324" i="9"/>
  <c r="AH324" i="9"/>
  <c r="AG324" i="9"/>
  <c r="AF324" i="9"/>
  <c r="AE324" i="9"/>
  <c r="AD324" i="9"/>
  <c r="AC324" i="9"/>
  <c r="AB324" i="9"/>
  <c r="AA324" i="9"/>
  <c r="Z324" i="9"/>
  <c r="Y324" i="9"/>
  <c r="X324" i="9"/>
  <c r="W324" i="9"/>
  <c r="V324" i="9"/>
  <c r="U324" i="9"/>
  <c r="T324" i="9"/>
  <c r="S324" i="9"/>
  <c r="R324" i="9"/>
  <c r="Q324" i="9"/>
  <c r="P324" i="9"/>
  <c r="O324" i="9"/>
  <c r="M324" i="9"/>
  <c r="L324" i="9"/>
  <c r="K324" i="9"/>
  <c r="J324" i="9"/>
  <c r="I324" i="9"/>
  <c r="H324" i="9"/>
  <c r="G324" i="9"/>
  <c r="F324" i="9"/>
  <c r="E324" i="9"/>
  <c r="D324" i="9"/>
  <c r="C324" i="9"/>
  <c r="B324" i="9"/>
  <c r="AJ323" i="9"/>
  <c r="AI323" i="9"/>
  <c r="AH323" i="9"/>
  <c r="AG323" i="9"/>
  <c r="AF323" i="9"/>
  <c r="AE323" i="9"/>
  <c r="AD323" i="9"/>
  <c r="AC323" i="9"/>
  <c r="AB323" i="9"/>
  <c r="AA323" i="9"/>
  <c r="Z323" i="9"/>
  <c r="Y323" i="9"/>
  <c r="X323" i="9"/>
  <c r="W323" i="9"/>
  <c r="V323" i="9"/>
  <c r="U323" i="9"/>
  <c r="T323" i="9"/>
  <c r="S323" i="9"/>
  <c r="R323" i="9"/>
  <c r="Q323" i="9"/>
  <c r="P323" i="9"/>
  <c r="O323" i="9"/>
  <c r="M323" i="9"/>
  <c r="L323" i="9"/>
  <c r="K323" i="9"/>
  <c r="J323" i="9"/>
  <c r="I323" i="9"/>
  <c r="H323" i="9"/>
  <c r="G323" i="9"/>
  <c r="F323" i="9"/>
  <c r="E323" i="9"/>
  <c r="D323" i="9"/>
  <c r="C323" i="9"/>
  <c r="B323" i="9"/>
  <c r="AJ322" i="9"/>
  <c r="AI322" i="9"/>
  <c r="AH322" i="9"/>
  <c r="AG322" i="9"/>
  <c r="AF322" i="9"/>
  <c r="AE322" i="9"/>
  <c r="AD322" i="9"/>
  <c r="AC322" i="9"/>
  <c r="AB322" i="9"/>
  <c r="AA322" i="9"/>
  <c r="Z322" i="9"/>
  <c r="Y322" i="9"/>
  <c r="X322" i="9"/>
  <c r="W322" i="9"/>
  <c r="V322" i="9"/>
  <c r="U322" i="9"/>
  <c r="T322" i="9"/>
  <c r="S322" i="9"/>
  <c r="R322" i="9"/>
  <c r="Q322" i="9"/>
  <c r="P322" i="9"/>
  <c r="O322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AJ321" i="9"/>
  <c r="AI321" i="9"/>
  <c r="AH321" i="9"/>
  <c r="AG321" i="9"/>
  <c r="AF321" i="9"/>
  <c r="AE321" i="9"/>
  <c r="AD321" i="9"/>
  <c r="AC321" i="9"/>
  <c r="AB321" i="9"/>
  <c r="AA321" i="9"/>
  <c r="Z321" i="9"/>
  <c r="Y321" i="9"/>
  <c r="X321" i="9"/>
  <c r="W321" i="9"/>
  <c r="V321" i="9"/>
  <c r="U321" i="9"/>
  <c r="T321" i="9"/>
  <c r="S321" i="9"/>
  <c r="R321" i="9"/>
  <c r="Q321" i="9"/>
  <c r="P321" i="9"/>
  <c r="O321" i="9"/>
  <c r="M321" i="9"/>
  <c r="L321" i="9"/>
  <c r="K321" i="9"/>
  <c r="J321" i="9"/>
  <c r="I321" i="9"/>
  <c r="H321" i="9"/>
  <c r="G321" i="9"/>
  <c r="F321" i="9"/>
  <c r="E321" i="9"/>
  <c r="D321" i="9"/>
  <c r="C321" i="9"/>
  <c r="B321" i="9"/>
  <c r="AJ320" i="9"/>
  <c r="AI320" i="9"/>
  <c r="AH320" i="9"/>
  <c r="AG320" i="9"/>
  <c r="AF320" i="9"/>
  <c r="AE320" i="9"/>
  <c r="AD320" i="9"/>
  <c r="AC320" i="9"/>
  <c r="AB320" i="9"/>
  <c r="AA320" i="9"/>
  <c r="Z320" i="9"/>
  <c r="Y320" i="9"/>
  <c r="X320" i="9"/>
  <c r="W320" i="9"/>
  <c r="V320" i="9"/>
  <c r="U320" i="9"/>
  <c r="T320" i="9"/>
  <c r="S320" i="9"/>
  <c r="R320" i="9"/>
  <c r="Q320" i="9"/>
  <c r="P320" i="9"/>
  <c r="O320" i="9"/>
  <c r="M320" i="9"/>
  <c r="L320" i="9"/>
  <c r="K320" i="9"/>
  <c r="J320" i="9"/>
  <c r="I320" i="9"/>
  <c r="H320" i="9"/>
  <c r="G320" i="9"/>
  <c r="F320" i="9"/>
  <c r="E320" i="9"/>
  <c r="D320" i="9"/>
  <c r="C320" i="9"/>
  <c r="B320" i="9"/>
  <c r="AJ319" i="9"/>
  <c r="AI319" i="9"/>
  <c r="AH319" i="9"/>
  <c r="AG319" i="9"/>
  <c r="AF319" i="9"/>
  <c r="AE319" i="9"/>
  <c r="AD319" i="9"/>
  <c r="AC319" i="9"/>
  <c r="AB319" i="9"/>
  <c r="AA319" i="9"/>
  <c r="Z319" i="9"/>
  <c r="Y319" i="9"/>
  <c r="X319" i="9"/>
  <c r="W319" i="9"/>
  <c r="V319" i="9"/>
  <c r="U319" i="9"/>
  <c r="T319" i="9"/>
  <c r="S319" i="9"/>
  <c r="R319" i="9"/>
  <c r="Q319" i="9"/>
  <c r="P319" i="9"/>
  <c r="O319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AJ318" i="9"/>
  <c r="AI318" i="9"/>
  <c r="AH318" i="9"/>
  <c r="AG318" i="9"/>
  <c r="AF318" i="9"/>
  <c r="AE318" i="9"/>
  <c r="AD318" i="9"/>
  <c r="AC318" i="9"/>
  <c r="AB318" i="9"/>
  <c r="AA318" i="9"/>
  <c r="Z318" i="9"/>
  <c r="Y318" i="9"/>
  <c r="X318" i="9"/>
  <c r="W318" i="9"/>
  <c r="V318" i="9"/>
  <c r="U318" i="9"/>
  <c r="T318" i="9"/>
  <c r="S318" i="9"/>
  <c r="R318" i="9"/>
  <c r="Q318" i="9"/>
  <c r="P318" i="9"/>
  <c r="O318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AJ317" i="9"/>
  <c r="AI317" i="9"/>
  <c r="AH317" i="9"/>
  <c r="AG317" i="9"/>
  <c r="AF317" i="9"/>
  <c r="AE317" i="9"/>
  <c r="AD317" i="9"/>
  <c r="AC317" i="9"/>
  <c r="AB317" i="9"/>
  <c r="AA317" i="9"/>
  <c r="Z317" i="9"/>
  <c r="Y317" i="9"/>
  <c r="X317" i="9"/>
  <c r="W317" i="9"/>
  <c r="V317" i="9"/>
  <c r="U317" i="9"/>
  <c r="T317" i="9"/>
  <c r="S317" i="9"/>
  <c r="R317" i="9"/>
  <c r="Q317" i="9"/>
  <c r="P317" i="9"/>
  <c r="O317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AJ316" i="9"/>
  <c r="AI316" i="9"/>
  <c r="AH316" i="9"/>
  <c r="AG316" i="9"/>
  <c r="AF316" i="9"/>
  <c r="AE316" i="9"/>
  <c r="AD316" i="9"/>
  <c r="AC316" i="9"/>
  <c r="AB316" i="9"/>
  <c r="AA316" i="9"/>
  <c r="Z316" i="9"/>
  <c r="Y316" i="9"/>
  <c r="X316" i="9"/>
  <c r="W316" i="9"/>
  <c r="V316" i="9"/>
  <c r="U316" i="9"/>
  <c r="T316" i="9"/>
  <c r="S316" i="9"/>
  <c r="R316" i="9"/>
  <c r="Q316" i="9"/>
  <c r="P316" i="9"/>
  <c r="O316" i="9"/>
  <c r="M316" i="9"/>
  <c r="L316" i="9"/>
  <c r="K316" i="9"/>
  <c r="J316" i="9"/>
  <c r="I316" i="9"/>
  <c r="H316" i="9"/>
  <c r="G316" i="9"/>
  <c r="F316" i="9"/>
  <c r="E316" i="9"/>
  <c r="D316" i="9"/>
  <c r="C316" i="9"/>
  <c r="B316" i="9"/>
  <c r="AJ315" i="9"/>
  <c r="AI315" i="9"/>
  <c r="AH315" i="9"/>
  <c r="AG315" i="9"/>
  <c r="AF315" i="9"/>
  <c r="AE315" i="9"/>
  <c r="AD315" i="9"/>
  <c r="AC315" i="9"/>
  <c r="AB315" i="9"/>
  <c r="AA315" i="9"/>
  <c r="Z315" i="9"/>
  <c r="Y315" i="9"/>
  <c r="X315" i="9"/>
  <c r="W315" i="9"/>
  <c r="V315" i="9"/>
  <c r="U315" i="9"/>
  <c r="T315" i="9"/>
  <c r="S315" i="9"/>
  <c r="R315" i="9"/>
  <c r="Q315" i="9"/>
  <c r="P315" i="9"/>
  <c r="O315" i="9"/>
  <c r="M315" i="9"/>
  <c r="L315" i="9"/>
  <c r="K315" i="9"/>
  <c r="J315" i="9"/>
  <c r="I315" i="9"/>
  <c r="H315" i="9"/>
  <c r="G315" i="9"/>
  <c r="F315" i="9"/>
  <c r="E315" i="9"/>
  <c r="D315" i="9"/>
  <c r="C315" i="9"/>
  <c r="B315" i="9"/>
  <c r="AJ314" i="9"/>
  <c r="AI314" i="9"/>
  <c r="AH314" i="9"/>
  <c r="AG314" i="9"/>
  <c r="AF314" i="9"/>
  <c r="AE314" i="9"/>
  <c r="AD314" i="9"/>
  <c r="AC314" i="9"/>
  <c r="AB314" i="9"/>
  <c r="AA314" i="9"/>
  <c r="Z314" i="9"/>
  <c r="Y314" i="9"/>
  <c r="X314" i="9"/>
  <c r="W314" i="9"/>
  <c r="V314" i="9"/>
  <c r="U314" i="9"/>
  <c r="T314" i="9"/>
  <c r="S314" i="9"/>
  <c r="R314" i="9"/>
  <c r="Q314" i="9"/>
  <c r="P314" i="9"/>
  <c r="O314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AJ313" i="9"/>
  <c r="AI313" i="9"/>
  <c r="AH313" i="9"/>
  <c r="AG313" i="9"/>
  <c r="AF313" i="9"/>
  <c r="AE313" i="9"/>
  <c r="AD313" i="9"/>
  <c r="AC313" i="9"/>
  <c r="AB313" i="9"/>
  <c r="AA313" i="9"/>
  <c r="Z313" i="9"/>
  <c r="Y313" i="9"/>
  <c r="X313" i="9"/>
  <c r="W313" i="9"/>
  <c r="V313" i="9"/>
  <c r="U313" i="9"/>
  <c r="T313" i="9"/>
  <c r="S313" i="9"/>
  <c r="R313" i="9"/>
  <c r="Q313" i="9"/>
  <c r="P313" i="9"/>
  <c r="O313" i="9"/>
  <c r="M313" i="9"/>
  <c r="L313" i="9"/>
  <c r="K313" i="9"/>
  <c r="J313" i="9"/>
  <c r="I313" i="9"/>
  <c r="H313" i="9"/>
  <c r="G313" i="9"/>
  <c r="F313" i="9"/>
  <c r="E313" i="9"/>
  <c r="D313" i="9"/>
  <c r="C313" i="9"/>
  <c r="B313" i="9"/>
  <c r="AJ312" i="9"/>
  <c r="AI312" i="9"/>
  <c r="AH312" i="9"/>
  <c r="AG312" i="9"/>
  <c r="AF312" i="9"/>
  <c r="AE312" i="9"/>
  <c r="AD312" i="9"/>
  <c r="AC312" i="9"/>
  <c r="AB312" i="9"/>
  <c r="AA312" i="9"/>
  <c r="Z312" i="9"/>
  <c r="Y312" i="9"/>
  <c r="X312" i="9"/>
  <c r="W312" i="9"/>
  <c r="V312" i="9"/>
  <c r="U312" i="9"/>
  <c r="T312" i="9"/>
  <c r="S312" i="9"/>
  <c r="R312" i="9"/>
  <c r="Q312" i="9"/>
  <c r="P312" i="9"/>
  <c r="O312" i="9"/>
  <c r="M312" i="9"/>
  <c r="L312" i="9"/>
  <c r="K312" i="9"/>
  <c r="J312" i="9"/>
  <c r="I312" i="9"/>
  <c r="H312" i="9"/>
  <c r="G312" i="9"/>
  <c r="F312" i="9"/>
  <c r="E312" i="9"/>
  <c r="D312" i="9"/>
  <c r="C312" i="9"/>
  <c r="B312" i="9"/>
  <c r="AJ311" i="9"/>
  <c r="AI311" i="9"/>
  <c r="AH311" i="9"/>
  <c r="AG311" i="9"/>
  <c r="AF311" i="9"/>
  <c r="AE311" i="9"/>
  <c r="AD311" i="9"/>
  <c r="AC311" i="9"/>
  <c r="AB311" i="9"/>
  <c r="AA311" i="9"/>
  <c r="Z311" i="9"/>
  <c r="Y311" i="9"/>
  <c r="X311" i="9"/>
  <c r="W311" i="9"/>
  <c r="V311" i="9"/>
  <c r="U311" i="9"/>
  <c r="T311" i="9"/>
  <c r="S311" i="9"/>
  <c r="R311" i="9"/>
  <c r="Q311" i="9"/>
  <c r="P311" i="9"/>
  <c r="O311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AJ310" i="9"/>
  <c r="AI310" i="9"/>
  <c r="AH310" i="9"/>
  <c r="AG310" i="9"/>
  <c r="AF310" i="9"/>
  <c r="AE310" i="9"/>
  <c r="AD310" i="9"/>
  <c r="AC310" i="9"/>
  <c r="AB310" i="9"/>
  <c r="AA310" i="9"/>
  <c r="Z310" i="9"/>
  <c r="Y310" i="9"/>
  <c r="X310" i="9"/>
  <c r="W310" i="9"/>
  <c r="V310" i="9"/>
  <c r="U310" i="9"/>
  <c r="T310" i="9"/>
  <c r="S310" i="9"/>
  <c r="R310" i="9"/>
  <c r="Q310" i="9"/>
  <c r="P310" i="9"/>
  <c r="O310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AJ309" i="9"/>
  <c r="AI309" i="9"/>
  <c r="AH309" i="9"/>
  <c r="AG309" i="9"/>
  <c r="AF309" i="9"/>
  <c r="AE309" i="9"/>
  <c r="AD309" i="9"/>
  <c r="AC309" i="9"/>
  <c r="AB309" i="9"/>
  <c r="AA309" i="9"/>
  <c r="Z309" i="9"/>
  <c r="Y309" i="9"/>
  <c r="X309" i="9"/>
  <c r="W309" i="9"/>
  <c r="V309" i="9"/>
  <c r="U309" i="9"/>
  <c r="T309" i="9"/>
  <c r="S309" i="9"/>
  <c r="R309" i="9"/>
  <c r="Q309" i="9"/>
  <c r="P309" i="9"/>
  <c r="O309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AJ308" i="9"/>
  <c r="AI308" i="9"/>
  <c r="AH308" i="9"/>
  <c r="AG308" i="9"/>
  <c r="AF308" i="9"/>
  <c r="AE308" i="9"/>
  <c r="AD308" i="9"/>
  <c r="AC308" i="9"/>
  <c r="AB308" i="9"/>
  <c r="AA308" i="9"/>
  <c r="Z308" i="9"/>
  <c r="Y308" i="9"/>
  <c r="X308" i="9"/>
  <c r="W308" i="9"/>
  <c r="V308" i="9"/>
  <c r="U308" i="9"/>
  <c r="T308" i="9"/>
  <c r="S308" i="9"/>
  <c r="R308" i="9"/>
  <c r="Q308" i="9"/>
  <c r="P308" i="9"/>
  <c r="O308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AJ307" i="9"/>
  <c r="AI307" i="9"/>
  <c r="AH307" i="9"/>
  <c r="AG307" i="9"/>
  <c r="AF307" i="9"/>
  <c r="AE307" i="9"/>
  <c r="AD307" i="9"/>
  <c r="AC307" i="9"/>
  <c r="AB307" i="9"/>
  <c r="AA307" i="9"/>
  <c r="Z307" i="9"/>
  <c r="Y307" i="9"/>
  <c r="X307" i="9"/>
  <c r="W307" i="9"/>
  <c r="V307" i="9"/>
  <c r="U307" i="9"/>
  <c r="T307" i="9"/>
  <c r="S307" i="9"/>
  <c r="R307" i="9"/>
  <c r="Q307" i="9"/>
  <c r="P307" i="9"/>
  <c r="O307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AJ306" i="9"/>
  <c r="AI306" i="9"/>
  <c r="AH306" i="9"/>
  <c r="AG306" i="9"/>
  <c r="AF306" i="9"/>
  <c r="AE306" i="9"/>
  <c r="AD306" i="9"/>
  <c r="AC306" i="9"/>
  <c r="AB306" i="9"/>
  <c r="AA306" i="9"/>
  <c r="Z306" i="9"/>
  <c r="Y306" i="9"/>
  <c r="X306" i="9"/>
  <c r="W306" i="9"/>
  <c r="V306" i="9"/>
  <c r="U306" i="9"/>
  <c r="T306" i="9"/>
  <c r="S306" i="9"/>
  <c r="R306" i="9"/>
  <c r="Q306" i="9"/>
  <c r="P306" i="9"/>
  <c r="O306" i="9"/>
  <c r="M306" i="9"/>
  <c r="L306" i="9"/>
  <c r="K306" i="9"/>
  <c r="J306" i="9"/>
  <c r="I306" i="9"/>
  <c r="H306" i="9"/>
  <c r="G306" i="9"/>
  <c r="F306" i="9"/>
  <c r="E306" i="9"/>
  <c r="D306" i="9"/>
  <c r="C306" i="9"/>
  <c r="B306" i="9"/>
  <c r="AJ305" i="9"/>
  <c r="AI305" i="9"/>
  <c r="AH305" i="9"/>
  <c r="AG305" i="9"/>
  <c r="AF305" i="9"/>
  <c r="AE305" i="9"/>
  <c r="AD305" i="9"/>
  <c r="AC305" i="9"/>
  <c r="AB305" i="9"/>
  <c r="AA305" i="9"/>
  <c r="Z305" i="9"/>
  <c r="Y305" i="9"/>
  <c r="X305" i="9"/>
  <c r="W305" i="9"/>
  <c r="V305" i="9"/>
  <c r="U305" i="9"/>
  <c r="T305" i="9"/>
  <c r="S305" i="9"/>
  <c r="R305" i="9"/>
  <c r="Q305" i="9"/>
  <c r="P305" i="9"/>
  <c r="O305" i="9"/>
  <c r="M305" i="9"/>
  <c r="L305" i="9"/>
  <c r="K305" i="9"/>
  <c r="J305" i="9"/>
  <c r="I305" i="9"/>
  <c r="H305" i="9"/>
  <c r="G305" i="9"/>
  <c r="F305" i="9"/>
  <c r="E305" i="9"/>
  <c r="D305" i="9"/>
  <c r="C305" i="9"/>
  <c r="B305" i="9"/>
  <c r="AJ304" i="9"/>
  <c r="AI304" i="9"/>
  <c r="AH304" i="9"/>
  <c r="AG304" i="9"/>
  <c r="AF304" i="9"/>
  <c r="AE304" i="9"/>
  <c r="AD304" i="9"/>
  <c r="AC304" i="9"/>
  <c r="AB304" i="9"/>
  <c r="AA304" i="9"/>
  <c r="Z304" i="9"/>
  <c r="Y304" i="9"/>
  <c r="X304" i="9"/>
  <c r="W304" i="9"/>
  <c r="V304" i="9"/>
  <c r="U304" i="9"/>
  <c r="T304" i="9"/>
  <c r="S304" i="9"/>
  <c r="R304" i="9"/>
  <c r="Q304" i="9"/>
  <c r="P304" i="9"/>
  <c r="O304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AJ303" i="9"/>
  <c r="AI303" i="9"/>
  <c r="AH303" i="9"/>
  <c r="AG303" i="9"/>
  <c r="AF303" i="9"/>
  <c r="AE303" i="9"/>
  <c r="AD303" i="9"/>
  <c r="AC303" i="9"/>
  <c r="AB303" i="9"/>
  <c r="AA303" i="9"/>
  <c r="Z303" i="9"/>
  <c r="Y303" i="9"/>
  <c r="X303" i="9"/>
  <c r="W303" i="9"/>
  <c r="V303" i="9"/>
  <c r="U303" i="9"/>
  <c r="T303" i="9"/>
  <c r="S303" i="9"/>
  <c r="R303" i="9"/>
  <c r="Q303" i="9"/>
  <c r="P303" i="9"/>
  <c r="O303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AJ302" i="9"/>
  <c r="AI302" i="9"/>
  <c r="AH302" i="9"/>
  <c r="AG302" i="9"/>
  <c r="AF302" i="9"/>
  <c r="AE302" i="9"/>
  <c r="AD302" i="9"/>
  <c r="AC302" i="9"/>
  <c r="AB302" i="9"/>
  <c r="AA302" i="9"/>
  <c r="Z302" i="9"/>
  <c r="Y302" i="9"/>
  <c r="X302" i="9"/>
  <c r="W302" i="9"/>
  <c r="V302" i="9"/>
  <c r="U302" i="9"/>
  <c r="T302" i="9"/>
  <c r="S302" i="9"/>
  <c r="R302" i="9"/>
  <c r="Q302" i="9"/>
  <c r="P302" i="9"/>
  <c r="O302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AJ301" i="9"/>
  <c r="AI301" i="9"/>
  <c r="AH301" i="9"/>
  <c r="AG301" i="9"/>
  <c r="AF301" i="9"/>
  <c r="AE301" i="9"/>
  <c r="AD301" i="9"/>
  <c r="AC301" i="9"/>
  <c r="AB301" i="9"/>
  <c r="AA301" i="9"/>
  <c r="Z301" i="9"/>
  <c r="Y301" i="9"/>
  <c r="X301" i="9"/>
  <c r="W301" i="9"/>
  <c r="V301" i="9"/>
  <c r="U301" i="9"/>
  <c r="T301" i="9"/>
  <c r="S301" i="9"/>
  <c r="R301" i="9"/>
  <c r="Q301" i="9"/>
  <c r="P301" i="9"/>
  <c r="O301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AJ300" i="9"/>
  <c r="AI300" i="9"/>
  <c r="AH300" i="9"/>
  <c r="AG300" i="9"/>
  <c r="AF300" i="9"/>
  <c r="AE300" i="9"/>
  <c r="AD300" i="9"/>
  <c r="AC300" i="9"/>
  <c r="AB300" i="9"/>
  <c r="AA300" i="9"/>
  <c r="Z300" i="9"/>
  <c r="Y300" i="9"/>
  <c r="X300" i="9"/>
  <c r="W300" i="9"/>
  <c r="V300" i="9"/>
  <c r="U300" i="9"/>
  <c r="T300" i="9"/>
  <c r="S300" i="9"/>
  <c r="R300" i="9"/>
  <c r="Q300" i="9"/>
  <c r="P300" i="9"/>
  <c r="O300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AJ299" i="9"/>
  <c r="AI299" i="9"/>
  <c r="AH299" i="9"/>
  <c r="AG299" i="9"/>
  <c r="AF299" i="9"/>
  <c r="AE299" i="9"/>
  <c r="AD299" i="9"/>
  <c r="AC299" i="9"/>
  <c r="AB299" i="9"/>
  <c r="AA299" i="9"/>
  <c r="Z299" i="9"/>
  <c r="Y299" i="9"/>
  <c r="X299" i="9"/>
  <c r="W299" i="9"/>
  <c r="V299" i="9"/>
  <c r="U299" i="9"/>
  <c r="T299" i="9"/>
  <c r="S299" i="9"/>
  <c r="R299" i="9"/>
  <c r="Q299" i="9"/>
  <c r="P299" i="9"/>
  <c r="O299" i="9"/>
  <c r="M299" i="9"/>
  <c r="L299" i="9"/>
  <c r="K299" i="9"/>
  <c r="J299" i="9"/>
  <c r="I299" i="9"/>
  <c r="H299" i="9"/>
  <c r="G299" i="9"/>
  <c r="F299" i="9"/>
  <c r="E299" i="9"/>
  <c r="D299" i="9"/>
  <c r="C299" i="9"/>
  <c r="B299" i="9"/>
  <c r="AJ298" i="9"/>
  <c r="AI298" i="9"/>
  <c r="AH298" i="9"/>
  <c r="AG298" i="9"/>
  <c r="AF298" i="9"/>
  <c r="AE298" i="9"/>
  <c r="AD298" i="9"/>
  <c r="AC298" i="9"/>
  <c r="AB298" i="9"/>
  <c r="AA298" i="9"/>
  <c r="Z298" i="9"/>
  <c r="Y298" i="9"/>
  <c r="X298" i="9"/>
  <c r="W298" i="9"/>
  <c r="V298" i="9"/>
  <c r="U298" i="9"/>
  <c r="T298" i="9"/>
  <c r="S298" i="9"/>
  <c r="R298" i="9"/>
  <c r="Q298" i="9"/>
  <c r="P298" i="9"/>
  <c r="O298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AJ297" i="9"/>
  <c r="AI297" i="9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J296" i="9"/>
  <c r="AI296" i="9"/>
  <c r="AH296" i="9"/>
  <c r="AG296" i="9"/>
  <c r="AF296" i="9"/>
  <c r="AE296" i="9"/>
  <c r="AD296" i="9"/>
  <c r="AC296" i="9"/>
  <c r="AB296" i="9"/>
  <c r="AA296" i="9"/>
  <c r="Z296" i="9"/>
  <c r="Y296" i="9"/>
  <c r="X296" i="9"/>
  <c r="W296" i="9"/>
  <c r="V296" i="9"/>
  <c r="U296" i="9"/>
  <c r="T296" i="9"/>
  <c r="S296" i="9"/>
  <c r="R296" i="9"/>
  <c r="Q296" i="9"/>
  <c r="P296" i="9"/>
  <c r="O296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AJ295" i="9"/>
  <c r="AI295" i="9"/>
  <c r="AH295" i="9"/>
  <c r="AG295" i="9"/>
  <c r="AF295" i="9"/>
  <c r="AE295" i="9"/>
  <c r="AD295" i="9"/>
  <c r="AC295" i="9"/>
  <c r="AB295" i="9"/>
  <c r="AA295" i="9"/>
  <c r="Z295" i="9"/>
  <c r="Y295" i="9"/>
  <c r="X295" i="9"/>
  <c r="W295" i="9"/>
  <c r="V295" i="9"/>
  <c r="U295" i="9"/>
  <c r="T295" i="9"/>
  <c r="S295" i="9"/>
  <c r="R295" i="9"/>
  <c r="Q295" i="9"/>
  <c r="P295" i="9"/>
  <c r="O295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AJ294" i="9"/>
  <c r="AI294" i="9"/>
  <c r="AH294" i="9"/>
  <c r="AG294" i="9"/>
  <c r="AF294" i="9"/>
  <c r="AE294" i="9"/>
  <c r="AD294" i="9"/>
  <c r="AC294" i="9"/>
  <c r="AB294" i="9"/>
  <c r="AA294" i="9"/>
  <c r="Z294" i="9"/>
  <c r="Y294" i="9"/>
  <c r="X294" i="9"/>
  <c r="W294" i="9"/>
  <c r="V294" i="9"/>
  <c r="U294" i="9"/>
  <c r="T294" i="9"/>
  <c r="S294" i="9"/>
  <c r="R294" i="9"/>
  <c r="Q294" i="9"/>
  <c r="P294" i="9"/>
  <c r="O294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AJ293" i="9"/>
  <c r="AI293" i="9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J292" i="9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J291" i="9"/>
  <c r="AI291" i="9"/>
  <c r="AH291" i="9"/>
  <c r="AG291" i="9"/>
  <c r="AF291" i="9"/>
  <c r="AE291" i="9"/>
  <c r="AD291" i="9"/>
  <c r="AC291" i="9"/>
  <c r="AB291" i="9"/>
  <c r="AA291" i="9"/>
  <c r="Z291" i="9"/>
  <c r="Y291" i="9"/>
  <c r="X291" i="9"/>
  <c r="W291" i="9"/>
  <c r="V291" i="9"/>
  <c r="U291" i="9"/>
  <c r="T291" i="9"/>
  <c r="S291" i="9"/>
  <c r="R291" i="9"/>
  <c r="Q291" i="9"/>
  <c r="P291" i="9"/>
  <c r="O291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AJ290" i="9"/>
  <c r="AI290" i="9"/>
  <c r="AH290" i="9"/>
  <c r="AG290" i="9"/>
  <c r="AF290" i="9"/>
  <c r="AE290" i="9"/>
  <c r="AD290" i="9"/>
  <c r="AC290" i="9"/>
  <c r="AB290" i="9"/>
  <c r="AA290" i="9"/>
  <c r="Z290" i="9"/>
  <c r="Y290" i="9"/>
  <c r="X290" i="9"/>
  <c r="W290" i="9"/>
  <c r="V290" i="9"/>
  <c r="U290" i="9"/>
  <c r="T290" i="9"/>
  <c r="S290" i="9"/>
  <c r="R290" i="9"/>
  <c r="Q290" i="9"/>
  <c r="P290" i="9"/>
  <c r="O290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AJ289" i="9"/>
  <c r="AI289" i="9"/>
  <c r="AH289" i="9"/>
  <c r="AG289" i="9"/>
  <c r="AF289" i="9"/>
  <c r="AE289" i="9"/>
  <c r="AD289" i="9"/>
  <c r="AC289" i="9"/>
  <c r="AB289" i="9"/>
  <c r="AA289" i="9"/>
  <c r="Z289" i="9"/>
  <c r="Y289" i="9"/>
  <c r="X289" i="9"/>
  <c r="W289" i="9"/>
  <c r="V289" i="9"/>
  <c r="U289" i="9"/>
  <c r="T289" i="9"/>
  <c r="S289" i="9"/>
  <c r="R289" i="9"/>
  <c r="Q289" i="9"/>
  <c r="P289" i="9"/>
  <c r="O289" i="9"/>
  <c r="M289" i="9"/>
  <c r="L289" i="9"/>
  <c r="K289" i="9"/>
  <c r="J289" i="9"/>
  <c r="I289" i="9"/>
  <c r="H289" i="9"/>
  <c r="G289" i="9"/>
  <c r="F289" i="9"/>
  <c r="E289" i="9"/>
  <c r="D289" i="9"/>
  <c r="C289" i="9"/>
  <c r="B289" i="9"/>
  <c r="AJ288" i="9"/>
  <c r="AI288" i="9"/>
  <c r="AH288" i="9"/>
  <c r="AG288" i="9"/>
  <c r="AF288" i="9"/>
  <c r="AE288" i="9"/>
  <c r="AD288" i="9"/>
  <c r="AC288" i="9"/>
  <c r="AB288" i="9"/>
  <c r="AA288" i="9"/>
  <c r="Z288" i="9"/>
  <c r="Y288" i="9"/>
  <c r="X288" i="9"/>
  <c r="W288" i="9"/>
  <c r="V288" i="9"/>
  <c r="U288" i="9"/>
  <c r="T288" i="9"/>
  <c r="S288" i="9"/>
  <c r="R288" i="9"/>
  <c r="Q288" i="9"/>
  <c r="P288" i="9"/>
  <c r="O288" i="9"/>
  <c r="M288" i="9"/>
  <c r="L288" i="9"/>
  <c r="K288" i="9"/>
  <c r="J288" i="9"/>
  <c r="I288" i="9"/>
  <c r="H288" i="9"/>
  <c r="G288" i="9"/>
  <c r="F288" i="9"/>
  <c r="E288" i="9"/>
  <c r="D288" i="9"/>
  <c r="C288" i="9"/>
  <c r="B288" i="9"/>
  <c r="AJ287" i="9"/>
  <c r="AI287" i="9"/>
  <c r="AH287" i="9"/>
  <c r="AG287" i="9"/>
  <c r="AF287" i="9"/>
  <c r="AE287" i="9"/>
  <c r="AD287" i="9"/>
  <c r="AC287" i="9"/>
  <c r="AB287" i="9"/>
  <c r="AA287" i="9"/>
  <c r="Z287" i="9"/>
  <c r="Y287" i="9"/>
  <c r="X287" i="9"/>
  <c r="W287" i="9"/>
  <c r="V287" i="9"/>
  <c r="U287" i="9"/>
  <c r="T287" i="9"/>
  <c r="S287" i="9"/>
  <c r="R287" i="9"/>
  <c r="Q287" i="9"/>
  <c r="P287" i="9"/>
  <c r="O287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AJ286" i="9"/>
  <c r="AI286" i="9"/>
  <c r="AH286" i="9"/>
  <c r="AG286" i="9"/>
  <c r="AF286" i="9"/>
  <c r="AE286" i="9"/>
  <c r="AD286" i="9"/>
  <c r="AC286" i="9"/>
  <c r="AB286" i="9"/>
  <c r="AA286" i="9"/>
  <c r="Z286" i="9"/>
  <c r="Y286" i="9"/>
  <c r="X286" i="9"/>
  <c r="W286" i="9"/>
  <c r="V286" i="9"/>
  <c r="U286" i="9"/>
  <c r="T286" i="9"/>
  <c r="S286" i="9"/>
  <c r="R286" i="9"/>
  <c r="Q286" i="9"/>
  <c r="P286" i="9"/>
  <c r="O286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AJ285" i="9"/>
  <c r="AI285" i="9"/>
  <c r="AH285" i="9"/>
  <c r="AG285" i="9"/>
  <c r="AF285" i="9"/>
  <c r="AE285" i="9"/>
  <c r="AD285" i="9"/>
  <c r="AC285" i="9"/>
  <c r="AB285" i="9"/>
  <c r="AA285" i="9"/>
  <c r="Z285" i="9"/>
  <c r="Y285" i="9"/>
  <c r="X285" i="9"/>
  <c r="W285" i="9"/>
  <c r="V285" i="9"/>
  <c r="U285" i="9"/>
  <c r="T285" i="9"/>
  <c r="S285" i="9"/>
  <c r="R285" i="9"/>
  <c r="Q285" i="9"/>
  <c r="P285" i="9"/>
  <c r="O285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AJ284" i="9"/>
  <c r="AI284" i="9"/>
  <c r="AH284" i="9"/>
  <c r="AG284" i="9"/>
  <c r="AF284" i="9"/>
  <c r="AE284" i="9"/>
  <c r="AD284" i="9"/>
  <c r="AC284" i="9"/>
  <c r="AB284" i="9"/>
  <c r="AA284" i="9"/>
  <c r="Z284" i="9"/>
  <c r="Y284" i="9"/>
  <c r="X284" i="9"/>
  <c r="W284" i="9"/>
  <c r="V284" i="9"/>
  <c r="U284" i="9"/>
  <c r="T284" i="9"/>
  <c r="S284" i="9"/>
  <c r="R284" i="9"/>
  <c r="Q284" i="9"/>
  <c r="P284" i="9"/>
  <c r="O284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AJ283" i="9"/>
  <c r="AI283" i="9"/>
  <c r="AH283" i="9"/>
  <c r="AG283" i="9"/>
  <c r="AF283" i="9"/>
  <c r="AE283" i="9"/>
  <c r="AD283" i="9"/>
  <c r="AC283" i="9"/>
  <c r="AB283" i="9"/>
  <c r="AA283" i="9"/>
  <c r="Z283" i="9"/>
  <c r="Y283" i="9"/>
  <c r="X283" i="9"/>
  <c r="W283" i="9"/>
  <c r="V283" i="9"/>
  <c r="U283" i="9"/>
  <c r="T283" i="9"/>
  <c r="S283" i="9"/>
  <c r="R283" i="9"/>
  <c r="Q283" i="9"/>
  <c r="P283" i="9"/>
  <c r="O283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AJ282" i="9"/>
  <c r="AI282" i="9"/>
  <c r="AH282" i="9"/>
  <c r="AG282" i="9"/>
  <c r="AF282" i="9"/>
  <c r="AE282" i="9"/>
  <c r="AD282" i="9"/>
  <c r="AC282" i="9"/>
  <c r="AB282" i="9"/>
  <c r="AA282" i="9"/>
  <c r="Z282" i="9"/>
  <c r="Y282" i="9"/>
  <c r="X282" i="9"/>
  <c r="W282" i="9"/>
  <c r="V282" i="9"/>
  <c r="U282" i="9"/>
  <c r="T282" i="9"/>
  <c r="S282" i="9"/>
  <c r="R282" i="9"/>
  <c r="Q282" i="9"/>
  <c r="P282" i="9"/>
  <c r="O282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AJ281" i="9"/>
  <c r="AI281" i="9"/>
  <c r="AH281" i="9"/>
  <c r="AG281" i="9"/>
  <c r="AF281" i="9"/>
  <c r="AE281" i="9"/>
  <c r="AD281" i="9"/>
  <c r="AC281" i="9"/>
  <c r="AB281" i="9"/>
  <c r="AA281" i="9"/>
  <c r="Z281" i="9"/>
  <c r="Y281" i="9"/>
  <c r="X281" i="9"/>
  <c r="W281" i="9"/>
  <c r="V281" i="9"/>
  <c r="U281" i="9"/>
  <c r="T281" i="9"/>
  <c r="S281" i="9"/>
  <c r="R281" i="9"/>
  <c r="Q281" i="9"/>
  <c r="P281" i="9"/>
  <c r="O281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AJ280" i="9"/>
  <c r="AI280" i="9"/>
  <c r="AH280" i="9"/>
  <c r="AG280" i="9"/>
  <c r="AF280" i="9"/>
  <c r="AE280" i="9"/>
  <c r="AD280" i="9"/>
  <c r="AC280" i="9"/>
  <c r="AB280" i="9"/>
  <c r="AA280" i="9"/>
  <c r="Z280" i="9"/>
  <c r="Y280" i="9"/>
  <c r="X280" i="9"/>
  <c r="W280" i="9"/>
  <c r="V280" i="9"/>
  <c r="U280" i="9"/>
  <c r="T280" i="9"/>
  <c r="S280" i="9"/>
  <c r="R280" i="9"/>
  <c r="Q280" i="9"/>
  <c r="P280" i="9"/>
  <c r="O280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AJ279" i="9"/>
  <c r="AI279" i="9"/>
  <c r="AH279" i="9"/>
  <c r="AG279" i="9"/>
  <c r="AF279" i="9"/>
  <c r="AE279" i="9"/>
  <c r="AD279" i="9"/>
  <c r="AC279" i="9"/>
  <c r="AB279" i="9"/>
  <c r="AA279" i="9"/>
  <c r="Z279" i="9"/>
  <c r="Y279" i="9"/>
  <c r="X279" i="9"/>
  <c r="W279" i="9"/>
  <c r="V279" i="9"/>
  <c r="U279" i="9"/>
  <c r="T279" i="9"/>
  <c r="S279" i="9"/>
  <c r="R279" i="9"/>
  <c r="Q279" i="9"/>
  <c r="P279" i="9"/>
  <c r="O279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AJ278" i="9"/>
  <c r="AI278" i="9"/>
  <c r="AH278" i="9"/>
  <c r="AG278" i="9"/>
  <c r="AF278" i="9"/>
  <c r="AE278" i="9"/>
  <c r="AD278" i="9"/>
  <c r="AC278" i="9"/>
  <c r="AB278" i="9"/>
  <c r="AA278" i="9"/>
  <c r="Z278" i="9"/>
  <c r="Y278" i="9"/>
  <c r="X278" i="9"/>
  <c r="W278" i="9"/>
  <c r="V278" i="9"/>
  <c r="U278" i="9"/>
  <c r="T278" i="9"/>
  <c r="S278" i="9"/>
  <c r="R278" i="9"/>
  <c r="Q278" i="9"/>
  <c r="P278" i="9"/>
  <c r="O278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AJ277" i="9"/>
  <c r="AI277" i="9"/>
  <c r="AH277" i="9"/>
  <c r="AG277" i="9"/>
  <c r="AF277" i="9"/>
  <c r="AE277" i="9"/>
  <c r="AD277" i="9"/>
  <c r="AC277" i="9"/>
  <c r="AB277" i="9"/>
  <c r="AA277" i="9"/>
  <c r="Z277" i="9"/>
  <c r="Y277" i="9"/>
  <c r="X277" i="9"/>
  <c r="W277" i="9"/>
  <c r="V277" i="9"/>
  <c r="U277" i="9"/>
  <c r="T277" i="9"/>
  <c r="S277" i="9"/>
  <c r="R277" i="9"/>
  <c r="Q277" i="9"/>
  <c r="P277" i="9"/>
  <c r="O277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AJ276" i="9"/>
  <c r="AI276" i="9"/>
  <c r="AH276" i="9"/>
  <c r="AG276" i="9"/>
  <c r="AF276" i="9"/>
  <c r="AE276" i="9"/>
  <c r="AD276" i="9"/>
  <c r="AC276" i="9"/>
  <c r="AB276" i="9"/>
  <c r="AA276" i="9"/>
  <c r="Z276" i="9"/>
  <c r="Y276" i="9"/>
  <c r="X276" i="9"/>
  <c r="W276" i="9"/>
  <c r="V276" i="9"/>
  <c r="U276" i="9"/>
  <c r="T276" i="9"/>
  <c r="S276" i="9"/>
  <c r="R276" i="9"/>
  <c r="Q276" i="9"/>
  <c r="P276" i="9"/>
  <c r="O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AJ275" i="9"/>
  <c r="AI275" i="9"/>
  <c r="AH275" i="9"/>
  <c r="AG275" i="9"/>
  <c r="AF275" i="9"/>
  <c r="AE275" i="9"/>
  <c r="AD275" i="9"/>
  <c r="AC275" i="9"/>
  <c r="AB275" i="9"/>
  <c r="AA275" i="9"/>
  <c r="Z275" i="9"/>
  <c r="Y275" i="9"/>
  <c r="X275" i="9"/>
  <c r="W275" i="9"/>
  <c r="V275" i="9"/>
  <c r="U275" i="9"/>
  <c r="T275" i="9"/>
  <c r="S275" i="9"/>
  <c r="R275" i="9"/>
  <c r="Q275" i="9"/>
  <c r="P275" i="9"/>
  <c r="O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AJ274" i="9"/>
  <c r="AI274" i="9"/>
  <c r="AH274" i="9"/>
  <c r="AG274" i="9"/>
  <c r="AF274" i="9"/>
  <c r="AE274" i="9"/>
  <c r="AD274" i="9"/>
  <c r="AC274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J273" i="9"/>
  <c r="AI273" i="9"/>
  <c r="AH273" i="9"/>
  <c r="AG273" i="9"/>
  <c r="AF273" i="9"/>
  <c r="AE273" i="9"/>
  <c r="AD273" i="9"/>
  <c r="AC273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O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J272" i="9"/>
  <c r="AI272" i="9"/>
  <c r="AH272" i="9"/>
  <c r="AG272" i="9"/>
  <c r="AF272" i="9"/>
  <c r="AE272" i="9"/>
  <c r="AD272" i="9"/>
  <c r="AC272" i="9"/>
  <c r="AB272" i="9"/>
  <c r="AA272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J271" i="9"/>
  <c r="AI271" i="9"/>
  <c r="AH271" i="9"/>
  <c r="AG271" i="9"/>
  <c r="AF271" i="9"/>
  <c r="AE271" i="9"/>
  <c r="AD271" i="9"/>
  <c r="AC271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O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J270" i="9"/>
  <c r="AI270" i="9"/>
  <c r="AH270" i="9"/>
  <c r="AG270" i="9"/>
  <c r="AF270" i="9"/>
  <c r="AE270" i="9"/>
  <c r="AD270" i="9"/>
  <c r="AC270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O270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AJ269" i="9"/>
  <c r="AI269" i="9"/>
  <c r="AH269" i="9"/>
  <c r="AG269" i="9"/>
  <c r="AF269" i="9"/>
  <c r="AE269" i="9"/>
  <c r="AD269" i="9"/>
  <c r="AC269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O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AJ268" i="9"/>
  <c r="AI268" i="9"/>
  <c r="AH268" i="9"/>
  <c r="AG268" i="9"/>
  <c r="AF268" i="9"/>
  <c r="AE268" i="9"/>
  <c r="AD268" i="9"/>
  <c r="AC268" i="9"/>
  <c r="AB268" i="9"/>
  <c r="AA268" i="9"/>
  <c r="Z268" i="9"/>
  <c r="Y268" i="9"/>
  <c r="X268" i="9"/>
  <c r="W268" i="9"/>
  <c r="V268" i="9"/>
  <c r="U268" i="9"/>
  <c r="T268" i="9"/>
  <c r="S268" i="9"/>
  <c r="R268" i="9"/>
  <c r="Q268" i="9"/>
  <c r="P268" i="9"/>
  <c r="O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AJ267" i="9"/>
  <c r="AI267" i="9"/>
  <c r="AH267" i="9"/>
  <c r="AG267" i="9"/>
  <c r="AF267" i="9"/>
  <c r="AE267" i="9"/>
  <c r="AD267" i="9"/>
  <c r="AC267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O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AJ266" i="9"/>
  <c r="AI266" i="9"/>
  <c r="AH266" i="9"/>
  <c r="AG266" i="9"/>
  <c r="AF266" i="9"/>
  <c r="AE266" i="9"/>
  <c r="AD266" i="9"/>
  <c r="AC266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O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AJ265" i="9"/>
  <c r="AI265" i="9"/>
  <c r="AH265" i="9"/>
  <c r="AG265" i="9"/>
  <c r="AF265" i="9"/>
  <c r="AE265" i="9"/>
  <c r="AD265" i="9"/>
  <c r="AC265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O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AJ264" i="9"/>
  <c r="AI264" i="9"/>
  <c r="AH264" i="9"/>
  <c r="AG264" i="9"/>
  <c r="AF264" i="9"/>
  <c r="AE264" i="9"/>
  <c r="AD264" i="9"/>
  <c r="AC264" i="9"/>
  <c r="AB264" i="9"/>
  <c r="AA264" i="9"/>
  <c r="Z264" i="9"/>
  <c r="Y264" i="9"/>
  <c r="X264" i="9"/>
  <c r="W264" i="9"/>
  <c r="V264" i="9"/>
  <c r="U264" i="9"/>
  <c r="T264" i="9"/>
  <c r="S264" i="9"/>
  <c r="R264" i="9"/>
  <c r="Q264" i="9"/>
  <c r="P264" i="9"/>
  <c r="O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AJ263" i="9"/>
  <c r="AI263" i="9"/>
  <c r="AH263" i="9"/>
  <c r="AG263" i="9"/>
  <c r="AF263" i="9"/>
  <c r="AE263" i="9"/>
  <c r="AD263" i="9"/>
  <c r="AC263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O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AJ262" i="9"/>
  <c r="AI262" i="9"/>
  <c r="AH262" i="9"/>
  <c r="AG262" i="9"/>
  <c r="AF262" i="9"/>
  <c r="AE262" i="9"/>
  <c r="AD262" i="9"/>
  <c r="AC262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O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AJ261" i="9"/>
  <c r="AI261" i="9"/>
  <c r="AH261" i="9"/>
  <c r="AG261" i="9"/>
  <c r="AF261" i="9"/>
  <c r="AE261" i="9"/>
  <c r="AD261" i="9"/>
  <c r="AC261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O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AJ260" i="9"/>
  <c r="AI260" i="9"/>
  <c r="AH260" i="9"/>
  <c r="AG260" i="9"/>
  <c r="AF260" i="9"/>
  <c r="AE260" i="9"/>
  <c r="AD260" i="9"/>
  <c r="AC260" i="9"/>
  <c r="AB260" i="9"/>
  <c r="AA260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J259" i="9"/>
  <c r="AI259" i="9"/>
  <c r="AH259" i="9"/>
  <c r="AG259" i="9"/>
  <c r="AF259" i="9"/>
  <c r="AE259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O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AJ258" i="9"/>
  <c r="AI258" i="9"/>
  <c r="AH258" i="9"/>
  <c r="AG258" i="9"/>
  <c r="AF258" i="9"/>
  <c r="AE258" i="9"/>
  <c r="AD258" i="9"/>
  <c r="AC258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O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AJ257" i="9"/>
  <c r="AI257" i="9"/>
  <c r="AH257" i="9"/>
  <c r="AG257" i="9"/>
  <c r="AF257" i="9"/>
  <c r="AE257" i="9"/>
  <c r="AD257" i="9"/>
  <c r="AC257" i="9"/>
  <c r="AB257" i="9"/>
  <c r="AA257" i="9"/>
  <c r="Z257" i="9"/>
  <c r="Y257" i="9"/>
  <c r="X257" i="9"/>
  <c r="W257" i="9"/>
  <c r="V257" i="9"/>
  <c r="U257" i="9"/>
  <c r="T257" i="9"/>
  <c r="S257" i="9"/>
  <c r="R257" i="9"/>
  <c r="Q257" i="9"/>
  <c r="P257" i="9"/>
  <c r="O257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AJ256" i="9"/>
  <c r="AI256" i="9"/>
  <c r="AH256" i="9"/>
  <c r="AG256" i="9"/>
  <c r="AF256" i="9"/>
  <c r="AE256" i="9"/>
  <c r="AD256" i="9"/>
  <c r="AC256" i="9"/>
  <c r="AB256" i="9"/>
  <c r="AA256" i="9"/>
  <c r="Z256" i="9"/>
  <c r="Y256" i="9"/>
  <c r="X256" i="9"/>
  <c r="W256" i="9"/>
  <c r="V256" i="9"/>
  <c r="U256" i="9"/>
  <c r="T256" i="9"/>
  <c r="S256" i="9"/>
  <c r="R256" i="9"/>
  <c r="Q256" i="9"/>
  <c r="P256" i="9"/>
  <c r="O256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AJ255" i="9"/>
  <c r="AI255" i="9"/>
  <c r="AH255" i="9"/>
  <c r="AG255" i="9"/>
  <c r="AF255" i="9"/>
  <c r="AE255" i="9"/>
  <c r="AD255" i="9"/>
  <c r="AC255" i="9"/>
  <c r="AB255" i="9"/>
  <c r="AA255" i="9"/>
  <c r="Z255" i="9"/>
  <c r="Y255" i="9"/>
  <c r="X255" i="9"/>
  <c r="W255" i="9"/>
  <c r="V255" i="9"/>
  <c r="U255" i="9"/>
  <c r="T255" i="9"/>
  <c r="S255" i="9"/>
  <c r="R255" i="9"/>
  <c r="Q255" i="9"/>
  <c r="P255" i="9"/>
  <c r="O255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AJ254" i="9"/>
  <c r="AI254" i="9"/>
  <c r="AH254" i="9"/>
  <c r="AG254" i="9"/>
  <c r="AF254" i="9"/>
  <c r="AE254" i="9"/>
  <c r="AD254" i="9"/>
  <c r="AC254" i="9"/>
  <c r="AB254" i="9"/>
  <c r="AA254" i="9"/>
  <c r="Z254" i="9"/>
  <c r="Y254" i="9"/>
  <c r="X254" i="9"/>
  <c r="W254" i="9"/>
  <c r="V254" i="9"/>
  <c r="U254" i="9"/>
  <c r="T254" i="9"/>
  <c r="S254" i="9"/>
  <c r="R254" i="9"/>
  <c r="Q254" i="9"/>
  <c r="P254" i="9"/>
  <c r="O254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AJ253" i="9"/>
  <c r="AI253" i="9"/>
  <c r="AH253" i="9"/>
  <c r="AG253" i="9"/>
  <c r="AF253" i="9"/>
  <c r="AE253" i="9"/>
  <c r="AD253" i="9"/>
  <c r="AC253" i="9"/>
  <c r="AB253" i="9"/>
  <c r="AA253" i="9"/>
  <c r="Z253" i="9"/>
  <c r="Y253" i="9"/>
  <c r="X253" i="9"/>
  <c r="W253" i="9"/>
  <c r="V253" i="9"/>
  <c r="U253" i="9"/>
  <c r="T253" i="9"/>
  <c r="S253" i="9"/>
  <c r="R253" i="9"/>
  <c r="Q253" i="9"/>
  <c r="P253" i="9"/>
  <c r="O253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AJ252" i="9"/>
  <c r="AI252" i="9"/>
  <c r="AH252" i="9"/>
  <c r="AG252" i="9"/>
  <c r="AF252" i="9"/>
  <c r="AE252" i="9"/>
  <c r="AD252" i="9"/>
  <c r="AC252" i="9"/>
  <c r="AB252" i="9"/>
  <c r="AA252" i="9"/>
  <c r="Z252" i="9"/>
  <c r="Y252" i="9"/>
  <c r="X252" i="9"/>
  <c r="W252" i="9"/>
  <c r="V252" i="9"/>
  <c r="U252" i="9"/>
  <c r="T252" i="9"/>
  <c r="S252" i="9"/>
  <c r="R252" i="9"/>
  <c r="Q252" i="9"/>
  <c r="P252" i="9"/>
  <c r="O252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AJ251" i="9"/>
  <c r="AI251" i="9"/>
  <c r="AH251" i="9"/>
  <c r="AG251" i="9"/>
  <c r="AF251" i="9"/>
  <c r="AE251" i="9"/>
  <c r="AD251" i="9"/>
  <c r="AC251" i="9"/>
  <c r="AB251" i="9"/>
  <c r="AA251" i="9"/>
  <c r="Z251" i="9"/>
  <c r="Y251" i="9"/>
  <c r="X251" i="9"/>
  <c r="W251" i="9"/>
  <c r="V251" i="9"/>
  <c r="U251" i="9"/>
  <c r="T251" i="9"/>
  <c r="S251" i="9"/>
  <c r="R251" i="9"/>
  <c r="Q251" i="9"/>
  <c r="P251" i="9"/>
  <c r="O251" i="9"/>
  <c r="M251" i="9"/>
  <c r="L251" i="9"/>
  <c r="K251" i="9"/>
  <c r="J251" i="9"/>
  <c r="I251" i="9"/>
  <c r="H251" i="9"/>
  <c r="G251" i="9"/>
  <c r="F251" i="9"/>
  <c r="E251" i="9"/>
  <c r="D251" i="9"/>
  <c r="C251" i="9"/>
  <c r="B251" i="9"/>
  <c r="AJ250" i="9"/>
  <c r="AI250" i="9"/>
  <c r="AH250" i="9"/>
  <c r="AG250" i="9"/>
  <c r="AF250" i="9"/>
  <c r="AE250" i="9"/>
  <c r="AD250" i="9"/>
  <c r="AC250" i="9"/>
  <c r="AB250" i="9"/>
  <c r="AA250" i="9"/>
  <c r="Z250" i="9"/>
  <c r="Y250" i="9"/>
  <c r="X250" i="9"/>
  <c r="W250" i="9"/>
  <c r="V250" i="9"/>
  <c r="U250" i="9"/>
  <c r="T250" i="9"/>
  <c r="S250" i="9"/>
  <c r="R250" i="9"/>
  <c r="Q250" i="9"/>
  <c r="P250" i="9"/>
  <c r="O250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AJ249" i="9"/>
  <c r="AI249" i="9"/>
  <c r="AH249" i="9"/>
  <c r="AG249" i="9"/>
  <c r="AF249" i="9"/>
  <c r="AE249" i="9"/>
  <c r="AD249" i="9"/>
  <c r="AC249" i="9"/>
  <c r="AB249" i="9"/>
  <c r="AA249" i="9"/>
  <c r="Z249" i="9"/>
  <c r="Y249" i="9"/>
  <c r="X249" i="9"/>
  <c r="W249" i="9"/>
  <c r="V249" i="9"/>
  <c r="U249" i="9"/>
  <c r="T249" i="9"/>
  <c r="S249" i="9"/>
  <c r="R249" i="9"/>
  <c r="Q249" i="9"/>
  <c r="P249" i="9"/>
  <c r="O249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AJ248" i="9"/>
  <c r="AI248" i="9"/>
  <c r="AH248" i="9"/>
  <c r="AG248" i="9"/>
  <c r="AF248" i="9"/>
  <c r="AE248" i="9"/>
  <c r="AD248" i="9"/>
  <c r="AC248" i="9"/>
  <c r="AB248" i="9"/>
  <c r="AA248" i="9"/>
  <c r="Z248" i="9"/>
  <c r="Y248" i="9"/>
  <c r="X248" i="9"/>
  <c r="W248" i="9"/>
  <c r="V248" i="9"/>
  <c r="U248" i="9"/>
  <c r="T248" i="9"/>
  <c r="S248" i="9"/>
  <c r="R248" i="9"/>
  <c r="Q248" i="9"/>
  <c r="P248" i="9"/>
  <c r="O248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AJ247" i="9"/>
  <c r="AI247" i="9"/>
  <c r="AH247" i="9"/>
  <c r="AG247" i="9"/>
  <c r="AF247" i="9"/>
  <c r="AE247" i="9"/>
  <c r="AD247" i="9"/>
  <c r="AC247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O247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AJ246" i="9"/>
  <c r="AI246" i="9"/>
  <c r="AH246" i="9"/>
  <c r="AG246" i="9"/>
  <c r="AF246" i="9"/>
  <c r="AE246" i="9"/>
  <c r="AD246" i="9"/>
  <c r="AC246" i="9"/>
  <c r="AB246" i="9"/>
  <c r="AA246" i="9"/>
  <c r="Z246" i="9"/>
  <c r="Y246" i="9"/>
  <c r="X246" i="9"/>
  <c r="W246" i="9"/>
  <c r="V246" i="9"/>
  <c r="U246" i="9"/>
  <c r="T246" i="9"/>
  <c r="S246" i="9"/>
  <c r="R246" i="9"/>
  <c r="Q246" i="9"/>
  <c r="P246" i="9"/>
  <c r="O246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AJ245" i="9"/>
  <c r="AI245" i="9"/>
  <c r="AH245" i="9"/>
  <c r="AG245" i="9"/>
  <c r="AF245" i="9"/>
  <c r="AE245" i="9"/>
  <c r="AD245" i="9"/>
  <c r="AC245" i="9"/>
  <c r="AB245" i="9"/>
  <c r="AA245" i="9"/>
  <c r="Z245" i="9"/>
  <c r="Y245" i="9"/>
  <c r="X245" i="9"/>
  <c r="W245" i="9"/>
  <c r="V245" i="9"/>
  <c r="U245" i="9"/>
  <c r="T245" i="9"/>
  <c r="S245" i="9"/>
  <c r="R245" i="9"/>
  <c r="Q245" i="9"/>
  <c r="P245" i="9"/>
  <c r="O245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AJ244" i="9"/>
  <c r="AI244" i="9"/>
  <c r="AH244" i="9"/>
  <c r="AG244" i="9"/>
  <c r="AF244" i="9"/>
  <c r="AE244" i="9"/>
  <c r="AD244" i="9"/>
  <c r="AC244" i="9"/>
  <c r="AB244" i="9"/>
  <c r="AA244" i="9"/>
  <c r="Z244" i="9"/>
  <c r="Y244" i="9"/>
  <c r="X244" i="9"/>
  <c r="W244" i="9"/>
  <c r="V244" i="9"/>
  <c r="U244" i="9"/>
  <c r="T244" i="9"/>
  <c r="S244" i="9"/>
  <c r="R244" i="9"/>
  <c r="Q244" i="9"/>
  <c r="P244" i="9"/>
  <c r="O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J243" i="9"/>
  <c r="AI243" i="9"/>
  <c r="AH243" i="9"/>
  <c r="AG243" i="9"/>
  <c r="AF243" i="9"/>
  <c r="AE243" i="9"/>
  <c r="AD243" i="9"/>
  <c r="AC243" i="9"/>
  <c r="AB243" i="9"/>
  <c r="AA243" i="9"/>
  <c r="Z243" i="9"/>
  <c r="Y243" i="9"/>
  <c r="X243" i="9"/>
  <c r="W243" i="9"/>
  <c r="V243" i="9"/>
  <c r="U243" i="9"/>
  <c r="T243" i="9"/>
  <c r="S243" i="9"/>
  <c r="R243" i="9"/>
  <c r="Q243" i="9"/>
  <c r="P243" i="9"/>
  <c r="O243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AJ242" i="9"/>
  <c r="AI242" i="9"/>
  <c r="AH242" i="9"/>
  <c r="AG242" i="9"/>
  <c r="AF242" i="9"/>
  <c r="AE242" i="9"/>
  <c r="AD242" i="9"/>
  <c r="AC242" i="9"/>
  <c r="AB242" i="9"/>
  <c r="AA242" i="9"/>
  <c r="Z242" i="9"/>
  <c r="Y242" i="9"/>
  <c r="X242" i="9"/>
  <c r="W242" i="9"/>
  <c r="V242" i="9"/>
  <c r="U242" i="9"/>
  <c r="T242" i="9"/>
  <c r="S242" i="9"/>
  <c r="R242" i="9"/>
  <c r="Q242" i="9"/>
  <c r="P242" i="9"/>
  <c r="O242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AJ241" i="9"/>
  <c r="AI241" i="9"/>
  <c r="AH241" i="9"/>
  <c r="AG241" i="9"/>
  <c r="AF241" i="9"/>
  <c r="AE241" i="9"/>
  <c r="AD241" i="9"/>
  <c r="AC241" i="9"/>
  <c r="AB241" i="9"/>
  <c r="AA241" i="9"/>
  <c r="Z241" i="9"/>
  <c r="Y241" i="9"/>
  <c r="X241" i="9"/>
  <c r="W241" i="9"/>
  <c r="V241" i="9"/>
  <c r="U241" i="9"/>
  <c r="T241" i="9"/>
  <c r="S241" i="9"/>
  <c r="R241" i="9"/>
  <c r="Q241" i="9"/>
  <c r="P241" i="9"/>
  <c r="O241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AJ240" i="9"/>
  <c r="AI240" i="9"/>
  <c r="AH240" i="9"/>
  <c r="AG240" i="9"/>
  <c r="AF240" i="9"/>
  <c r="AE240" i="9"/>
  <c r="AD240" i="9"/>
  <c r="AC240" i="9"/>
  <c r="AB240" i="9"/>
  <c r="AA240" i="9"/>
  <c r="Z240" i="9"/>
  <c r="Y240" i="9"/>
  <c r="X240" i="9"/>
  <c r="W240" i="9"/>
  <c r="V240" i="9"/>
  <c r="U240" i="9"/>
  <c r="T240" i="9"/>
  <c r="S240" i="9"/>
  <c r="R240" i="9"/>
  <c r="Q240" i="9"/>
  <c r="P240" i="9"/>
  <c r="O240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AJ239" i="9"/>
  <c r="AI239" i="9"/>
  <c r="AH239" i="9"/>
  <c r="AG239" i="9"/>
  <c r="AF239" i="9"/>
  <c r="AE239" i="9"/>
  <c r="AD239" i="9"/>
  <c r="AC239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J238" i="9"/>
  <c r="AI238" i="9"/>
  <c r="AH238" i="9"/>
  <c r="AG238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J237" i="9"/>
  <c r="AI237" i="9"/>
  <c r="AH237" i="9"/>
  <c r="AG237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J236" i="9"/>
  <c r="AI236" i="9"/>
  <c r="AH236" i="9"/>
  <c r="AG236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J235" i="9"/>
  <c r="AI235" i="9"/>
  <c r="AH235" i="9"/>
  <c r="AG235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J234" i="9"/>
  <c r="AI234" i="9"/>
  <c r="AH234" i="9"/>
  <c r="AG234" i="9"/>
  <c r="AF234" i="9"/>
  <c r="AE234" i="9"/>
  <c r="AD234" i="9"/>
  <c r="AC234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O234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AJ233" i="9"/>
  <c r="AI233" i="9"/>
  <c r="AH233" i="9"/>
  <c r="AG233" i="9"/>
  <c r="AF233" i="9"/>
  <c r="AE233" i="9"/>
  <c r="AD233" i="9"/>
  <c r="AC233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O233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AJ232" i="9"/>
  <c r="AI232" i="9"/>
  <c r="AH232" i="9"/>
  <c r="AG232" i="9"/>
  <c r="AF232" i="9"/>
  <c r="AE232" i="9"/>
  <c r="AD232" i="9"/>
  <c r="AC232" i="9"/>
  <c r="AB232" i="9"/>
  <c r="AA232" i="9"/>
  <c r="Z232" i="9"/>
  <c r="Y232" i="9"/>
  <c r="X232" i="9"/>
  <c r="W232" i="9"/>
  <c r="V232" i="9"/>
  <c r="U232" i="9"/>
  <c r="T232" i="9"/>
  <c r="S232" i="9"/>
  <c r="R232" i="9"/>
  <c r="Q232" i="9"/>
  <c r="P232" i="9"/>
  <c r="O232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AJ231" i="9"/>
  <c r="AI231" i="9"/>
  <c r="AH231" i="9"/>
  <c r="AG231" i="9"/>
  <c r="AF231" i="9"/>
  <c r="AE231" i="9"/>
  <c r="AD231" i="9"/>
  <c r="AC231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O231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AJ230" i="9"/>
  <c r="AI230" i="9"/>
  <c r="AH230" i="9"/>
  <c r="AG230" i="9"/>
  <c r="AF230" i="9"/>
  <c r="AE230" i="9"/>
  <c r="AD230" i="9"/>
  <c r="AC230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O230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AJ229" i="9"/>
  <c r="AI229" i="9"/>
  <c r="AH229" i="9"/>
  <c r="AG229" i="9"/>
  <c r="AF229" i="9"/>
  <c r="AE229" i="9"/>
  <c r="AD229" i="9"/>
  <c r="AC229" i="9"/>
  <c r="AB229" i="9"/>
  <c r="AA229" i="9"/>
  <c r="Z229" i="9"/>
  <c r="Y229" i="9"/>
  <c r="X229" i="9"/>
  <c r="W229" i="9"/>
  <c r="V229" i="9"/>
  <c r="U229" i="9"/>
  <c r="T229" i="9"/>
  <c r="S229" i="9"/>
  <c r="R229" i="9"/>
  <c r="Q229" i="9"/>
  <c r="P229" i="9"/>
  <c r="O229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AJ228" i="9"/>
  <c r="AI228" i="9"/>
  <c r="AH228" i="9"/>
  <c r="AG228" i="9"/>
  <c r="AF228" i="9"/>
  <c r="AE228" i="9"/>
  <c r="AD228" i="9"/>
  <c r="AC228" i="9"/>
  <c r="AB228" i="9"/>
  <c r="AA228" i="9"/>
  <c r="Z228" i="9"/>
  <c r="Y228" i="9"/>
  <c r="X228" i="9"/>
  <c r="W228" i="9"/>
  <c r="V228" i="9"/>
  <c r="U228" i="9"/>
  <c r="T228" i="9"/>
  <c r="S228" i="9"/>
  <c r="R228" i="9"/>
  <c r="Q228" i="9"/>
  <c r="P228" i="9"/>
  <c r="O228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AJ227" i="9"/>
  <c r="AI227" i="9"/>
  <c r="AH227" i="9"/>
  <c r="AG227" i="9"/>
  <c r="AF227" i="9"/>
  <c r="AE227" i="9"/>
  <c r="AD227" i="9"/>
  <c r="AC227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O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AJ226" i="9"/>
  <c r="AI226" i="9"/>
  <c r="AH226" i="9"/>
  <c r="AG226" i="9"/>
  <c r="AF226" i="9"/>
  <c r="AE226" i="9"/>
  <c r="AD226" i="9"/>
  <c r="AC226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O226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AJ225" i="9"/>
  <c r="AI225" i="9"/>
  <c r="AH225" i="9"/>
  <c r="AG225" i="9"/>
  <c r="AF225" i="9"/>
  <c r="AE225" i="9"/>
  <c r="AD225" i="9"/>
  <c r="AC225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O225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AJ224" i="9"/>
  <c r="AI224" i="9"/>
  <c r="AH224" i="9"/>
  <c r="AG224" i="9"/>
  <c r="AF224" i="9"/>
  <c r="AE224" i="9"/>
  <c r="AD224" i="9"/>
  <c r="AC224" i="9"/>
  <c r="AB224" i="9"/>
  <c r="AA224" i="9"/>
  <c r="Z224" i="9"/>
  <c r="Y224" i="9"/>
  <c r="X224" i="9"/>
  <c r="W224" i="9"/>
  <c r="V224" i="9"/>
  <c r="U224" i="9"/>
  <c r="T224" i="9"/>
  <c r="S224" i="9"/>
  <c r="R224" i="9"/>
  <c r="Q224" i="9"/>
  <c r="P224" i="9"/>
  <c r="O224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AJ223" i="9"/>
  <c r="AI223" i="9"/>
  <c r="AH223" i="9"/>
  <c r="AG223" i="9"/>
  <c r="AF223" i="9"/>
  <c r="AE223" i="9"/>
  <c r="AD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AJ222" i="9"/>
  <c r="AI222" i="9"/>
  <c r="AH222" i="9"/>
  <c r="AG222" i="9"/>
  <c r="AF222" i="9"/>
  <c r="AE222" i="9"/>
  <c r="AD222" i="9"/>
  <c r="AC222" i="9"/>
  <c r="AB222" i="9"/>
  <c r="AA222" i="9"/>
  <c r="Z222" i="9"/>
  <c r="Y222" i="9"/>
  <c r="X222" i="9"/>
  <c r="W222" i="9"/>
  <c r="V222" i="9"/>
  <c r="U222" i="9"/>
  <c r="T222" i="9"/>
  <c r="S222" i="9"/>
  <c r="R222" i="9"/>
  <c r="Q222" i="9"/>
  <c r="P222" i="9"/>
  <c r="O222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AJ221" i="9"/>
  <c r="AI221" i="9"/>
  <c r="AH221" i="9"/>
  <c r="AG221" i="9"/>
  <c r="AF221" i="9"/>
  <c r="AE221" i="9"/>
  <c r="AD221" i="9"/>
  <c r="AC221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O221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AJ220" i="9"/>
  <c r="AI220" i="9"/>
  <c r="AH220" i="9"/>
  <c r="AG220" i="9"/>
  <c r="AF220" i="9"/>
  <c r="AE220" i="9"/>
  <c r="AD220" i="9"/>
  <c r="AC220" i="9"/>
  <c r="AB220" i="9"/>
  <c r="AA220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AJ219" i="9"/>
  <c r="AI219" i="9"/>
  <c r="AH219" i="9"/>
  <c r="AG219" i="9"/>
  <c r="AF219" i="9"/>
  <c r="AE219" i="9"/>
  <c r="AD219" i="9"/>
  <c r="AC219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O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AJ218" i="9"/>
  <c r="AI218" i="9"/>
  <c r="AH218" i="9"/>
  <c r="AG218" i="9"/>
  <c r="AF218" i="9"/>
  <c r="AE218" i="9"/>
  <c r="AD218" i="9"/>
  <c r="AC218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O218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AJ217" i="9"/>
  <c r="AI217" i="9"/>
  <c r="AH217" i="9"/>
  <c r="AG217" i="9"/>
  <c r="AF217" i="9"/>
  <c r="AE217" i="9"/>
  <c r="AD217" i="9"/>
  <c r="AC217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O217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AJ216" i="9"/>
  <c r="AI216" i="9"/>
  <c r="AH216" i="9"/>
  <c r="AG216" i="9"/>
  <c r="AF216" i="9"/>
  <c r="AE216" i="9"/>
  <c r="AD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J215" i="9"/>
  <c r="AI215" i="9"/>
  <c r="AH215" i="9"/>
  <c r="AG215" i="9"/>
  <c r="AF215" i="9"/>
  <c r="AE215" i="9"/>
  <c r="AD215" i="9"/>
  <c r="AC215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AJ214" i="9"/>
  <c r="AI214" i="9"/>
  <c r="AH214" i="9"/>
  <c r="AG214" i="9"/>
  <c r="AF214" i="9"/>
  <c r="AE214" i="9"/>
  <c r="AD214" i="9"/>
  <c r="AC214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O214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AJ213" i="9"/>
  <c r="AI213" i="9"/>
  <c r="AH213" i="9"/>
  <c r="AG213" i="9"/>
  <c r="AF213" i="9"/>
  <c r="AE213" i="9"/>
  <c r="AD213" i="9"/>
  <c r="AC213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O213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AJ212" i="9"/>
  <c r="AI212" i="9"/>
  <c r="AH212" i="9"/>
  <c r="AG212" i="9"/>
  <c r="AF212" i="9"/>
  <c r="AE212" i="9"/>
  <c r="AD212" i="9"/>
  <c r="AC212" i="9"/>
  <c r="AB212" i="9"/>
  <c r="AA212" i="9"/>
  <c r="Z212" i="9"/>
  <c r="Y212" i="9"/>
  <c r="X212" i="9"/>
  <c r="W212" i="9"/>
  <c r="V212" i="9"/>
  <c r="U212" i="9"/>
  <c r="T212" i="9"/>
  <c r="S212" i="9"/>
  <c r="R212" i="9"/>
  <c r="Q212" i="9"/>
  <c r="P212" i="9"/>
  <c r="O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AJ211" i="9"/>
  <c r="AI211" i="9"/>
  <c r="AH211" i="9"/>
  <c r="AG211" i="9"/>
  <c r="AF211" i="9"/>
  <c r="AE211" i="9"/>
  <c r="AD211" i="9"/>
  <c r="AC211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O211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AJ210" i="9"/>
  <c r="AI210" i="9"/>
  <c r="AH210" i="9"/>
  <c r="AG210" i="9"/>
  <c r="AF210" i="9"/>
  <c r="AE210" i="9"/>
  <c r="AD210" i="9"/>
  <c r="AC210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O210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AJ209" i="9"/>
  <c r="AI209" i="9"/>
  <c r="AH209" i="9"/>
  <c r="AG209" i="9"/>
  <c r="AF209" i="9"/>
  <c r="AE209" i="9"/>
  <c r="AD209" i="9"/>
  <c r="AC209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O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AJ208" i="9"/>
  <c r="AI208" i="9"/>
  <c r="AH208" i="9"/>
  <c r="AG208" i="9"/>
  <c r="AF208" i="9"/>
  <c r="AE208" i="9"/>
  <c r="AD208" i="9"/>
  <c r="AC208" i="9"/>
  <c r="AB208" i="9"/>
  <c r="AA208" i="9"/>
  <c r="Z208" i="9"/>
  <c r="Y208" i="9"/>
  <c r="X208" i="9"/>
  <c r="W208" i="9"/>
  <c r="V208" i="9"/>
  <c r="U208" i="9"/>
  <c r="T208" i="9"/>
  <c r="S208" i="9"/>
  <c r="R208" i="9"/>
  <c r="Q208" i="9"/>
  <c r="P208" i="9"/>
  <c r="O208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AJ207" i="9"/>
  <c r="AI207" i="9"/>
  <c r="AH207" i="9"/>
  <c r="AG207" i="9"/>
  <c r="AF207" i="9"/>
  <c r="AE207" i="9"/>
  <c r="AD207" i="9"/>
  <c r="AC207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O207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AJ206" i="9"/>
  <c r="AI206" i="9"/>
  <c r="AH206" i="9"/>
  <c r="AG206" i="9"/>
  <c r="AF206" i="9"/>
  <c r="AE206" i="9"/>
  <c r="AD206" i="9"/>
  <c r="AC206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AJ205" i="9"/>
  <c r="AI205" i="9"/>
  <c r="AH205" i="9"/>
  <c r="AG205" i="9"/>
  <c r="AF205" i="9"/>
  <c r="AE205" i="9"/>
  <c r="AD205" i="9"/>
  <c r="AC205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O205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AJ204" i="9"/>
  <c r="AI204" i="9"/>
  <c r="AH204" i="9"/>
  <c r="AG204" i="9"/>
  <c r="AF204" i="9"/>
  <c r="AE204" i="9"/>
  <c r="AD204" i="9"/>
  <c r="AC204" i="9"/>
  <c r="AB204" i="9"/>
  <c r="AA204" i="9"/>
  <c r="Z204" i="9"/>
  <c r="Y204" i="9"/>
  <c r="X204" i="9"/>
  <c r="W204" i="9"/>
  <c r="V204" i="9"/>
  <c r="U204" i="9"/>
  <c r="T204" i="9"/>
  <c r="S204" i="9"/>
  <c r="R204" i="9"/>
  <c r="Q204" i="9"/>
  <c r="P204" i="9"/>
  <c r="O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AJ203" i="9"/>
  <c r="AI203" i="9"/>
  <c r="AH203" i="9"/>
  <c r="AG203" i="9"/>
  <c r="AF203" i="9"/>
  <c r="AE203" i="9"/>
  <c r="AD203" i="9"/>
  <c r="AC203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O203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AJ202" i="9"/>
  <c r="AI202" i="9"/>
  <c r="AH202" i="9"/>
  <c r="AG202" i="9"/>
  <c r="AF202" i="9"/>
  <c r="AE202" i="9"/>
  <c r="AD202" i="9"/>
  <c r="AC202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O202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AJ201" i="9"/>
  <c r="AI201" i="9"/>
  <c r="AH201" i="9"/>
  <c r="AG201" i="9"/>
  <c r="AF201" i="9"/>
  <c r="AE201" i="9"/>
  <c r="AD201" i="9"/>
  <c r="AC201" i="9"/>
  <c r="AB201" i="9"/>
  <c r="AA201" i="9"/>
  <c r="Z201" i="9"/>
  <c r="Y201" i="9"/>
  <c r="X201" i="9"/>
  <c r="W201" i="9"/>
  <c r="V201" i="9"/>
  <c r="U201" i="9"/>
  <c r="T201" i="9"/>
  <c r="S201" i="9"/>
  <c r="R201" i="9"/>
  <c r="Q201" i="9"/>
  <c r="P201" i="9"/>
  <c r="O201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AJ200" i="9"/>
  <c r="AI200" i="9"/>
  <c r="AH200" i="9"/>
  <c r="AG200" i="9"/>
  <c r="AF200" i="9"/>
  <c r="AE200" i="9"/>
  <c r="AD200" i="9"/>
  <c r="AC200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AJ199" i="9"/>
  <c r="AI199" i="9"/>
  <c r="AH199" i="9"/>
  <c r="AG199" i="9"/>
  <c r="AF199" i="9"/>
  <c r="AE199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AJ198" i="9"/>
  <c r="AI198" i="9"/>
  <c r="AH198" i="9"/>
  <c r="AG198" i="9"/>
  <c r="AF198" i="9"/>
  <c r="AE198" i="9"/>
  <c r="AD198" i="9"/>
  <c r="AC198" i="9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AJ197" i="9"/>
  <c r="AI197" i="9"/>
  <c r="AH197" i="9"/>
  <c r="AG197" i="9"/>
  <c r="AF197" i="9"/>
  <c r="AE197" i="9"/>
  <c r="AD197" i="9"/>
  <c r="AC197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AJ196" i="9"/>
  <c r="AI196" i="9"/>
  <c r="AH196" i="9"/>
  <c r="AG196" i="9"/>
  <c r="AF196" i="9"/>
  <c r="AE196" i="9"/>
  <c r="AD196" i="9"/>
  <c r="AC196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AJ195" i="9"/>
  <c r="AI195" i="9"/>
  <c r="AH195" i="9"/>
  <c r="AG195" i="9"/>
  <c r="AF195" i="9"/>
  <c r="AE195" i="9"/>
  <c r="AD195" i="9"/>
  <c r="AC195" i="9"/>
  <c r="AB195" i="9"/>
  <c r="AA195" i="9"/>
  <c r="Z195" i="9"/>
  <c r="Y195" i="9"/>
  <c r="X195" i="9"/>
  <c r="W195" i="9"/>
  <c r="V195" i="9"/>
  <c r="U195" i="9"/>
  <c r="T195" i="9"/>
  <c r="S195" i="9"/>
  <c r="R195" i="9"/>
  <c r="Q195" i="9"/>
  <c r="P195" i="9"/>
  <c r="O195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AJ194" i="9"/>
  <c r="AI194" i="9"/>
  <c r="AH194" i="9"/>
  <c r="AG194" i="9"/>
  <c r="AF194" i="9"/>
  <c r="AE194" i="9"/>
  <c r="AD194" i="9"/>
  <c r="AC194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O194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AJ193" i="9"/>
  <c r="AI193" i="9"/>
  <c r="AH193" i="9"/>
  <c r="AG193" i="9"/>
  <c r="AF193" i="9"/>
  <c r="AE193" i="9"/>
  <c r="AD193" i="9"/>
  <c r="AC193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O193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AJ192" i="9"/>
  <c r="AI192" i="9"/>
  <c r="AH192" i="9"/>
  <c r="AG192" i="9"/>
  <c r="AF192" i="9"/>
  <c r="AE192" i="9"/>
  <c r="AD192" i="9"/>
  <c r="AC192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AJ191" i="9"/>
  <c r="AI191" i="9"/>
  <c r="AH191" i="9"/>
  <c r="AG191" i="9"/>
  <c r="AF191" i="9"/>
  <c r="AE191" i="9"/>
  <c r="AD191" i="9"/>
  <c r="AC191" i="9"/>
  <c r="AB191" i="9"/>
  <c r="AA191" i="9"/>
  <c r="Z191" i="9"/>
  <c r="Y191" i="9"/>
  <c r="X191" i="9"/>
  <c r="W191" i="9"/>
  <c r="V191" i="9"/>
  <c r="U191" i="9"/>
  <c r="T191" i="9"/>
  <c r="S191" i="9"/>
  <c r="R191" i="9"/>
  <c r="Q191" i="9"/>
  <c r="P191" i="9"/>
  <c r="O191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AJ190" i="9"/>
  <c r="AI190" i="9"/>
  <c r="AH190" i="9"/>
  <c r="AG190" i="9"/>
  <c r="AF190" i="9"/>
  <c r="AE190" i="9"/>
  <c r="AD190" i="9"/>
  <c r="AC190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AJ189" i="9"/>
  <c r="AI189" i="9"/>
  <c r="AH189" i="9"/>
  <c r="AG189" i="9"/>
  <c r="AF189" i="9"/>
  <c r="AE189" i="9"/>
  <c r="AD189" i="9"/>
  <c r="AC189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O189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AJ188" i="9"/>
  <c r="AI188" i="9"/>
  <c r="AH188" i="9"/>
  <c r="AG188" i="9"/>
  <c r="AF188" i="9"/>
  <c r="AE188" i="9"/>
  <c r="AD188" i="9"/>
  <c r="AC188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O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AJ187" i="9"/>
  <c r="AI187" i="9"/>
  <c r="AH187" i="9"/>
  <c r="AG187" i="9"/>
  <c r="AF187" i="9"/>
  <c r="AE187" i="9"/>
  <c r="AD187" i="9"/>
  <c r="AC187" i="9"/>
  <c r="AB187" i="9"/>
  <c r="AA187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AJ186" i="9"/>
  <c r="AI186" i="9"/>
  <c r="AH186" i="9"/>
  <c r="AG186" i="9"/>
  <c r="AF186" i="9"/>
  <c r="AE186" i="9"/>
  <c r="AD186" i="9"/>
  <c r="AC186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O186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AJ185" i="9"/>
  <c r="AI185" i="9"/>
  <c r="AH185" i="9"/>
  <c r="AG185" i="9"/>
  <c r="AF185" i="9"/>
  <c r="AE185" i="9"/>
  <c r="AD185" i="9"/>
  <c r="AC185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O185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AJ184" i="9"/>
  <c r="AI184" i="9"/>
  <c r="AH184" i="9"/>
  <c r="AG184" i="9"/>
  <c r="AF184" i="9"/>
  <c r="AE184" i="9"/>
  <c r="AD184" i="9"/>
  <c r="AC184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AJ183" i="9"/>
  <c r="AI183" i="9"/>
  <c r="AH183" i="9"/>
  <c r="AG183" i="9"/>
  <c r="AF183" i="9"/>
  <c r="AE183" i="9"/>
  <c r="AD183" i="9"/>
  <c r="AC183" i="9"/>
  <c r="AB183" i="9"/>
  <c r="AA183" i="9"/>
  <c r="Z183" i="9"/>
  <c r="Y183" i="9"/>
  <c r="X183" i="9"/>
  <c r="W183" i="9"/>
  <c r="V183" i="9"/>
  <c r="U183" i="9"/>
  <c r="T183" i="9"/>
  <c r="S183" i="9"/>
  <c r="R183" i="9"/>
  <c r="Q183" i="9"/>
  <c r="P183" i="9"/>
  <c r="O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AJ182" i="9"/>
  <c r="AI182" i="9"/>
  <c r="AH182" i="9"/>
  <c r="AG182" i="9"/>
  <c r="AF182" i="9"/>
  <c r="AE182" i="9"/>
  <c r="AD182" i="9"/>
  <c r="AC182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AJ181" i="9"/>
  <c r="AI181" i="9"/>
  <c r="AH181" i="9"/>
  <c r="AG181" i="9"/>
  <c r="AF181" i="9"/>
  <c r="AE181" i="9"/>
  <c r="AD181" i="9"/>
  <c r="AC181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O181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AJ180" i="9"/>
  <c r="AI180" i="9"/>
  <c r="AH180" i="9"/>
  <c r="AG180" i="9"/>
  <c r="AF180" i="9"/>
  <c r="AE180" i="9"/>
  <c r="AD180" i="9"/>
  <c r="AC180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O18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AJ179" i="9"/>
  <c r="AI179" i="9"/>
  <c r="AH179" i="9"/>
  <c r="AG179" i="9"/>
  <c r="AF179" i="9"/>
  <c r="AE179" i="9"/>
  <c r="AD179" i="9"/>
  <c r="AC179" i="9"/>
  <c r="AB179" i="9"/>
  <c r="AA179" i="9"/>
  <c r="Z179" i="9"/>
  <c r="Y179" i="9"/>
  <c r="X179" i="9"/>
  <c r="W179" i="9"/>
  <c r="V179" i="9"/>
  <c r="U179" i="9"/>
  <c r="T179" i="9"/>
  <c r="S179" i="9"/>
  <c r="R179" i="9"/>
  <c r="Q179" i="9"/>
  <c r="P179" i="9"/>
  <c r="O179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AJ178" i="9"/>
  <c r="AI178" i="9"/>
  <c r="AH178" i="9"/>
  <c r="AG178" i="9"/>
  <c r="AF178" i="9"/>
  <c r="AE178" i="9"/>
  <c r="AD178" i="9"/>
  <c r="AC178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AJ177" i="9"/>
  <c r="AI177" i="9"/>
  <c r="AH177" i="9"/>
  <c r="AG177" i="9"/>
  <c r="AF177" i="9"/>
  <c r="AE177" i="9"/>
  <c r="AD177" i="9"/>
  <c r="AC177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AJ176" i="9"/>
  <c r="AI176" i="9"/>
  <c r="AH176" i="9"/>
  <c r="AG176" i="9"/>
  <c r="AF176" i="9"/>
  <c r="AE176" i="9"/>
  <c r="AD176" i="9"/>
  <c r="AC176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O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AJ175" i="9"/>
  <c r="AI175" i="9"/>
  <c r="AH175" i="9"/>
  <c r="AG175" i="9"/>
  <c r="AF175" i="9"/>
  <c r="AE175" i="9"/>
  <c r="AD175" i="9"/>
  <c r="AC175" i="9"/>
  <c r="AB175" i="9"/>
  <c r="AA175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AJ174" i="9"/>
  <c r="AI174" i="9"/>
  <c r="AH174" i="9"/>
  <c r="AG174" i="9"/>
  <c r="AF174" i="9"/>
  <c r="AE174" i="9"/>
  <c r="AD174" i="9"/>
  <c r="AC174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O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AJ173" i="9"/>
  <c r="AI173" i="9"/>
  <c r="AH173" i="9"/>
  <c r="AG173" i="9"/>
  <c r="AF173" i="9"/>
  <c r="AE173" i="9"/>
  <c r="AD173" i="9"/>
  <c r="AC173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AJ172" i="9"/>
  <c r="AI172" i="9"/>
  <c r="AH172" i="9"/>
  <c r="AG172" i="9"/>
  <c r="AF172" i="9"/>
  <c r="AE172" i="9"/>
  <c r="AD172" i="9"/>
  <c r="AC172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O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AJ171" i="9"/>
  <c r="AI171" i="9"/>
  <c r="AH171" i="9"/>
  <c r="AG171" i="9"/>
  <c r="AF171" i="9"/>
  <c r="AE171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AJ170" i="9"/>
  <c r="AI170" i="9"/>
  <c r="AH170" i="9"/>
  <c r="AG170" i="9"/>
  <c r="AF170" i="9"/>
  <c r="AE170" i="9"/>
  <c r="AD170" i="9"/>
  <c r="AC170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O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AJ169" i="9"/>
  <c r="AI169" i="9"/>
  <c r="AH169" i="9"/>
  <c r="AG169" i="9"/>
  <c r="AF169" i="9"/>
  <c r="AE169" i="9"/>
  <c r="AD169" i="9"/>
  <c r="AC169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O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AJ168" i="9"/>
  <c r="AI168" i="9"/>
  <c r="AH168" i="9"/>
  <c r="AG168" i="9"/>
  <c r="AF168" i="9"/>
  <c r="AE168" i="9"/>
  <c r="AD168" i="9"/>
  <c r="AC168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O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AJ167" i="9"/>
  <c r="AI167" i="9"/>
  <c r="AH167" i="9"/>
  <c r="AG167" i="9"/>
  <c r="AF167" i="9"/>
  <c r="AE167" i="9"/>
  <c r="AD167" i="9"/>
  <c r="AC167" i="9"/>
  <c r="AB167" i="9"/>
  <c r="AA167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AJ166" i="9"/>
  <c r="AI166" i="9"/>
  <c r="AH166" i="9"/>
  <c r="AG166" i="9"/>
  <c r="AF166" i="9"/>
  <c r="AE166" i="9"/>
  <c r="AD166" i="9"/>
  <c r="AC166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O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AJ165" i="9"/>
  <c r="AI165" i="9"/>
  <c r="AH165" i="9"/>
  <c r="AG165" i="9"/>
  <c r="AF165" i="9"/>
  <c r="AE165" i="9"/>
  <c r="AD165" i="9"/>
  <c r="AC165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O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AJ164" i="9"/>
  <c r="AI164" i="9"/>
  <c r="AH164" i="9"/>
  <c r="AG164" i="9"/>
  <c r="AF164" i="9"/>
  <c r="AE164" i="9"/>
  <c r="AD164" i="9"/>
  <c r="AC164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O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AJ163" i="9"/>
  <c r="AI163" i="9"/>
  <c r="AH163" i="9"/>
  <c r="AG163" i="9"/>
  <c r="AF163" i="9"/>
  <c r="AE163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AJ162" i="9"/>
  <c r="AI162" i="9"/>
  <c r="AH162" i="9"/>
  <c r="AG162" i="9"/>
  <c r="AF162" i="9"/>
  <c r="AE162" i="9"/>
  <c r="AD162" i="9"/>
  <c r="AC162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O162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AJ161" i="9"/>
  <c r="AI161" i="9"/>
  <c r="AH161" i="9"/>
  <c r="AG161" i="9"/>
  <c r="AF161" i="9"/>
  <c r="AE161" i="9"/>
  <c r="AD161" i="9"/>
  <c r="AC161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O161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AJ160" i="9"/>
  <c r="AI160" i="9"/>
  <c r="AH160" i="9"/>
  <c r="AG160" i="9"/>
  <c r="AF160" i="9"/>
  <c r="AE160" i="9"/>
  <c r="AD160" i="9"/>
  <c r="AC160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AJ159" i="9"/>
  <c r="AI159" i="9"/>
  <c r="AH159" i="9"/>
  <c r="AG159" i="9"/>
  <c r="AF159" i="9"/>
  <c r="AE159" i="9"/>
  <c r="AD159" i="9"/>
  <c r="AC159" i="9"/>
  <c r="AB159" i="9"/>
  <c r="AA159" i="9"/>
  <c r="Z159" i="9"/>
  <c r="Y159" i="9"/>
  <c r="X159" i="9"/>
  <c r="W159" i="9"/>
  <c r="V159" i="9"/>
  <c r="U159" i="9"/>
  <c r="T159" i="9"/>
  <c r="S159" i="9"/>
  <c r="R159" i="9"/>
  <c r="Q159" i="9"/>
  <c r="P159" i="9"/>
  <c r="O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AJ158" i="9"/>
  <c r="AI158" i="9"/>
  <c r="AH158" i="9"/>
  <c r="AG158" i="9"/>
  <c r="AF158" i="9"/>
  <c r="AE158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J157" i="9"/>
  <c r="AI157" i="9"/>
  <c r="AH157" i="9"/>
  <c r="AG157" i="9"/>
  <c r="AF157" i="9"/>
  <c r="AE157" i="9"/>
  <c r="AD157" i="9"/>
  <c r="AC157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O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AJ156" i="9"/>
  <c r="AI156" i="9"/>
  <c r="AH156" i="9"/>
  <c r="AG156" i="9"/>
  <c r="AF156" i="9"/>
  <c r="AE156" i="9"/>
  <c r="AD156" i="9"/>
  <c r="AC156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O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J155" i="9"/>
  <c r="AI155" i="9"/>
  <c r="AH155" i="9"/>
  <c r="AG155" i="9"/>
  <c r="AF155" i="9"/>
  <c r="AE155" i="9"/>
  <c r="AD155" i="9"/>
  <c r="AC155" i="9"/>
  <c r="AB155" i="9"/>
  <c r="AA155" i="9"/>
  <c r="Z155" i="9"/>
  <c r="Y155" i="9"/>
  <c r="X155" i="9"/>
  <c r="W155" i="9"/>
  <c r="V155" i="9"/>
  <c r="U155" i="9"/>
  <c r="T155" i="9"/>
  <c r="S155" i="9"/>
  <c r="R155" i="9"/>
  <c r="Q155" i="9"/>
  <c r="P155" i="9"/>
  <c r="O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AJ154" i="9"/>
  <c r="AI154" i="9"/>
  <c r="AH154" i="9"/>
  <c r="AG154" i="9"/>
  <c r="AF154" i="9"/>
  <c r="AE154" i="9"/>
  <c r="AD154" i="9"/>
  <c r="AC154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O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J153" i="9"/>
  <c r="AI153" i="9"/>
  <c r="AH153" i="9"/>
  <c r="AG153" i="9"/>
  <c r="AF153" i="9"/>
  <c r="AE153" i="9"/>
  <c r="AD153" i="9"/>
  <c r="AC153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J152" i="9"/>
  <c r="AI152" i="9"/>
  <c r="AH152" i="9"/>
  <c r="AG152" i="9"/>
  <c r="AF152" i="9"/>
  <c r="AE152" i="9"/>
  <c r="AD152" i="9"/>
  <c r="AC152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J151" i="9"/>
  <c r="AI151" i="9"/>
  <c r="AH151" i="9"/>
  <c r="AG151" i="9"/>
  <c r="AF151" i="9"/>
  <c r="AE151" i="9"/>
  <c r="AD151" i="9"/>
  <c r="AC151" i="9"/>
  <c r="AB151" i="9"/>
  <c r="AA151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J150" i="9"/>
  <c r="AI150" i="9"/>
  <c r="AH150" i="9"/>
  <c r="AG150" i="9"/>
  <c r="AF150" i="9"/>
  <c r="AE150" i="9"/>
  <c r="AD150" i="9"/>
  <c r="AC150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J149" i="9"/>
  <c r="AI149" i="9"/>
  <c r="AH149" i="9"/>
  <c r="AG149" i="9"/>
  <c r="AF149" i="9"/>
  <c r="AE149" i="9"/>
  <c r="AD149" i="9"/>
  <c r="AC149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J148" i="9"/>
  <c r="AI148" i="9"/>
  <c r="AH148" i="9"/>
  <c r="AG148" i="9"/>
  <c r="AF148" i="9"/>
  <c r="AE148" i="9"/>
  <c r="AD148" i="9"/>
  <c r="AC148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J147" i="9"/>
  <c r="AI147" i="9"/>
  <c r="AH147" i="9"/>
  <c r="AG147" i="9"/>
  <c r="AF147" i="9"/>
  <c r="AE147" i="9"/>
  <c r="AD147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J146" i="9"/>
  <c r="AI146" i="9"/>
  <c r="AH146" i="9"/>
  <c r="AG146" i="9"/>
  <c r="AF146" i="9"/>
  <c r="AE146" i="9"/>
  <c r="AD146" i="9"/>
  <c r="AC146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J145" i="9"/>
  <c r="AI145" i="9"/>
  <c r="AH145" i="9"/>
  <c r="AG145" i="9"/>
  <c r="AF145" i="9"/>
  <c r="AE145" i="9"/>
  <c r="AD145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J144" i="9"/>
  <c r="AI144" i="9"/>
  <c r="AH144" i="9"/>
  <c r="AG144" i="9"/>
  <c r="AF144" i="9"/>
  <c r="AE144" i="9"/>
  <c r="AD144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J143" i="9"/>
  <c r="AI143" i="9"/>
  <c r="AH143" i="9"/>
  <c r="AG143" i="9"/>
  <c r="AF143" i="9"/>
  <c r="AE143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J142" i="9"/>
  <c r="AI142" i="9"/>
  <c r="AH142" i="9"/>
  <c r="AG142" i="9"/>
  <c r="AF142" i="9"/>
  <c r="AE142" i="9"/>
  <c r="AD142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J141" i="9"/>
  <c r="AI141" i="9"/>
  <c r="AH141" i="9"/>
  <c r="AG141" i="9"/>
  <c r="AF141" i="9"/>
  <c r="AE141" i="9"/>
  <c r="AD141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J140" i="9"/>
  <c r="AI140" i="9"/>
  <c r="AH140" i="9"/>
  <c r="AG140" i="9"/>
  <c r="AF140" i="9"/>
  <c r="AE140" i="9"/>
  <c r="AD140" i="9"/>
  <c r="AC140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J139" i="9"/>
  <c r="AI139" i="9"/>
  <c r="AH139" i="9"/>
  <c r="AG139" i="9"/>
  <c r="AF139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J138" i="9"/>
  <c r="AI138" i="9"/>
  <c r="AH138" i="9"/>
  <c r="AG138" i="9"/>
  <c r="AF138" i="9"/>
  <c r="AE138" i="9"/>
  <c r="AD138" i="9"/>
  <c r="AC138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J137" i="9"/>
  <c r="AI137" i="9"/>
  <c r="AH137" i="9"/>
  <c r="AG137" i="9"/>
  <c r="AF137" i="9"/>
  <c r="AE137" i="9"/>
  <c r="AD137" i="9"/>
  <c r="AC137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J136" i="9"/>
  <c r="AI136" i="9"/>
  <c r="AH136" i="9"/>
  <c r="AG136" i="9"/>
  <c r="AF136" i="9"/>
  <c r="AE136" i="9"/>
  <c r="AD136" i="9"/>
  <c r="AC136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J135" i="9"/>
  <c r="AI135" i="9"/>
  <c r="AH135" i="9"/>
  <c r="AG135" i="9"/>
  <c r="AF135" i="9"/>
  <c r="AE135" i="9"/>
  <c r="AD135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J134" i="9"/>
  <c r="AI134" i="9"/>
  <c r="AH134" i="9"/>
  <c r="AG134" i="9"/>
  <c r="AF134" i="9"/>
  <c r="AE134" i="9"/>
  <c r="AD134" i="9"/>
  <c r="AC134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J133" i="9"/>
  <c r="AI133" i="9"/>
  <c r="AH133" i="9"/>
  <c r="AG133" i="9"/>
  <c r="AF133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J132" i="9"/>
  <c r="AI132" i="9"/>
  <c r="AH132" i="9"/>
  <c r="AG132" i="9"/>
  <c r="AF132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J131" i="9"/>
  <c r="AI131" i="9"/>
  <c r="AH131" i="9"/>
  <c r="AG131" i="9"/>
  <c r="AF131" i="9"/>
  <c r="AE131" i="9"/>
  <c r="AD131" i="9"/>
  <c r="AC131" i="9"/>
  <c r="AB131" i="9"/>
  <c r="AA131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J130" i="9"/>
  <c r="AI130" i="9"/>
  <c r="AH130" i="9"/>
  <c r="AG130" i="9"/>
  <c r="AF130" i="9"/>
  <c r="AE130" i="9"/>
  <c r="AD130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J129" i="9"/>
  <c r="AI129" i="9"/>
  <c r="AH129" i="9"/>
  <c r="AG129" i="9"/>
  <c r="AF129" i="9"/>
  <c r="AE129" i="9"/>
  <c r="AD129" i="9"/>
  <c r="AC129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J128" i="9"/>
  <c r="AI128" i="9"/>
  <c r="AH128" i="9"/>
  <c r="AG128" i="9"/>
  <c r="AF128" i="9"/>
  <c r="AE128" i="9"/>
  <c r="AD128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J127" i="9"/>
  <c r="AI127" i="9"/>
  <c r="AH127" i="9"/>
  <c r="AG127" i="9"/>
  <c r="AF127" i="9"/>
  <c r="AE127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J126" i="9"/>
  <c r="AI126" i="9"/>
  <c r="AH126" i="9"/>
  <c r="AG126" i="9"/>
  <c r="AF126" i="9"/>
  <c r="AE126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J125" i="9"/>
  <c r="AI125" i="9"/>
  <c r="AH125" i="9"/>
  <c r="AG125" i="9"/>
  <c r="AF125" i="9"/>
  <c r="AE125" i="9"/>
  <c r="AD125" i="9"/>
  <c r="AC125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J124" i="9"/>
  <c r="AI124" i="9"/>
  <c r="AH124" i="9"/>
  <c r="AG124" i="9"/>
  <c r="AF124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J123" i="9"/>
  <c r="AI123" i="9"/>
  <c r="AH123" i="9"/>
  <c r="AG123" i="9"/>
  <c r="AF123" i="9"/>
  <c r="AE123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J122" i="9"/>
  <c r="AI122" i="9"/>
  <c r="AH122" i="9"/>
  <c r="AG122" i="9"/>
  <c r="AF122" i="9"/>
  <c r="AE122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J121" i="9"/>
  <c r="AI121" i="9"/>
  <c r="AH121" i="9"/>
  <c r="AG121" i="9"/>
  <c r="AF121" i="9"/>
  <c r="AE121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J120" i="9"/>
  <c r="AI120" i="9"/>
  <c r="AH120" i="9"/>
  <c r="AG120" i="9"/>
  <c r="AF120" i="9"/>
  <c r="AE120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J119" i="9"/>
  <c r="AI119" i="9"/>
  <c r="AH119" i="9"/>
  <c r="AG119" i="9"/>
  <c r="AF119" i="9"/>
  <c r="AE119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J118" i="9"/>
  <c r="AI118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J117" i="9"/>
  <c r="AI117" i="9"/>
  <c r="AH117" i="9"/>
  <c r="AG117" i="9"/>
  <c r="AF117" i="9"/>
  <c r="AE117" i="9"/>
  <c r="AD117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J116" i="9"/>
  <c r="AI116" i="9"/>
  <c r="AH116" i="9"/>
  <c r="AG116" i="9"/>
  <c r="AF116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J115" i="9"/>
  <c r="AI115" i="9"/>
  <c r="AH115" i="9"/>
  <c r="AG115" i="9"/>
  <c r="AF115" i="9"/>
  <c r="AE115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J114" i="9"/>
  <c r="AI114" i="9"/>
  <c r="AH114" i="9"/>
  <c r="AG114" i="9"/>
  <c r="AF114" i="9"/>
  <c r="AE114" i="9"/>
  <c r="AD114" i="9"/>
  <c r="AC114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J113" i="9"/>
  <c r="AI113" i="9"/>
  <c r="AH113" i="9"/>
  <c r="AG113" i="9"/>
  <c r="AF113" i="9"/>
  <c r="AE113" i="9"/>
  <c r="AD113" i="9"/>
  <c r="AC113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J112" i="9"/>
  <c r="AI112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J111" i="9"/>
  <c r="AI111" i="9"/>
  <c r="AH111" i="9"/>
  <c r="AG111" i="9"/>
  <c r="AF111" i="9"/>
  <c r="AE111" i="9"/>
  <c r="AD111" i="9"/>
  <c r="AC111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J110" i="9"/>
  <c r="AI110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J109" i="9"/>
  <c r="AI109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J108" i="9"/>
  <c r="AI108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J107" i="9"/>
  <c r="AI107" i="9"/>
  <c r="AH107" i="9"/>
  <c r="AG107" i="9"/>
  <c r="AF107" i="9"/>
  <c r="AE107" i="9"/>
  <c r="AD107" i="9"/>
  <c r="AC107" i="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J106" i="9"/>
  <c r="AI106" i="9"/>
  <c r="AH106" i="9"/>
  <c r="AG106" i="9"/>
  <c r="AF106" i="9"/>
  <c r="AE106" i="9"/>
  <c r="AD106" i="9"/>
  <c r="AC106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J105" i="9"/>
  <c r="AI105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J104" i="9"/>
  <c r="AI104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J103" i="9"/>
  <c r="AI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J102" i="9"/>
  <c r="AI102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J101" i="9"/>
  <c r="AI101" i="9"/>
  <c r="AH101" i="9"/>
  <c r="AG101" i="9"/>
  <c r="AF101" i="9"/>
  <c r="AE101" i="9"/>
  <c r="AD101" i="9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J100" i="9"/>
  <c r="AI100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J99" i="9"/>
  <c r="AI99" i="9"/>
  <c r="AH99" i="9"/>
  <c r="AG99" i="9"/>
  <c r="AF99" i="9"/>
  <c r="AE99" i="9"/>
  <c r="AD99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M99" i="9"/>
  <c r="L99" i="9"/>
  <c r="K99" i="9"/>
  <c r="J99" i="9"/>
  <c r="I99" i="9"/>
  <c r="H99" i="9"/>
  <c r="G99" i="9"/>
  <c r="F99" i="9"/>
  <c r="E99" i="9"/>
  <c r="D99" i="9"/>
  <c r="C99" i="9"/>
  <c r="B99" i="9"/>
  <c r="AJ98" i="9"/>
  <c r="AI98" i="9"/>
  <c r="AH98" i="9"/>
  <c r="AG98" i="9"/>
  <c r="AF98" i="9"/>
  <c r="AE98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M98" i="9"/>
  <c r="L98" i="9"/>
  <c r="K98" i="9"/>
  <c r="J98" i="9"/>
  <c r="I98" i="9"/>
  <c r="H98" i="9"/>
  <c r="G98" i="9"/>
  <c r="F98" i="9"/>
  <c r="E98" i="9"/>
  <c r="D98" i="9"/>
  <c r="C98" i="9"/>
  <c r="B98" i="9"/>
  <c r="AJ97" i="9"/>
  <c r="AI97" i="9"/>
  <c r="AH97" i="9"/>
  <c r="AG97" i="9"/>
  <c r="AF97" i="9"/>
  <c r="AE97" i="9"/>
  <c r="AD97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M97" i="9"/>
  <c r="L97" i="9"/>
  <c r="K97" i="9"/>
  <c r="J97" i="9"/>
  <c r="I97" i="9"/>
  <c r="H97" i="9"/>
  <c r="G97" i="9"/>
  <c r="F97" i="9"/>
  <c r="E97" i="9"/>
  <c r="D97" i="9"/>
  <c r="C97" i="9"/>
  <c r="B97" i="9"/>
  <c r="AJ96" i="9"/>
  <c r="AI96" i="9"/>
  <c r="AH96" i="9"/>
  <c r="AG96" i="9"/>
  <c r="AF96" i="9"/>
  <c r="AE96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M96" i="9"/>
  <c r="L96" i="9"/>
  <c r="K96" i="9"/>
  <c r="J96" i="9"/>
  <c r="I96" i="9"/>
  <c r="H96" i="9"/>
  <c r="G96" i="9"/>
  <c r="F96" i="9"/>
  <c r="E96" i="9"/>
  <c r="D96" i="9"/>
  <c r="C96" i="9"/>
  <c r="B96" i="9"/>
  <c r="AJ95" i="9"/>
  <c r="AI95" i="9"/>
  <c r="AH95" i="9"/>
  <c r="AG95" i="9"/>
  <c r="AF95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M95" i="9"/>
  <c r="L95" i="9"/>
  <c r="K95" i="9"/>
  <c r="J95" i="9"/>
  <c r="I95" i="9"/>
  <c r="H95" i="9"/>
  <c r="G95" i="9"/>
  <c r="F95" i="9"/>
  <c r="E95" i="9"/>
  <c r="D95" i="9"/>
  <c r="C95" i="9"/>
  <c r="B95" i="9"/>
  <c r="AJ94" i="9"/>
  <c r="AI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M94" i="9"/>
  <c r="L94" i="9"/>
  <c r="K94" i="9"/>
  <c r="J94" i="9"/>
  <c r="I94" i="9"/>
  <c r="H94" i="9"/>
  <c r="G94" i="9"/>
  <c r="F94" i="9"/>
  <c r="E94" i="9"/>
  <c r="D94" i="9"/>
  <c r="C94" i="9"/>
  <c r="B94" i="9"/>
  <c r="AJ93" i="9"/>
  <c r="AI93" i="9"/>
  <c r="AH93" i="9"/>
  <c r="AG93" i="9"/>
  <c r="AF93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M93" i="9"/>
  <c r="L93" i="9"/>
  <c r="K93" i="9"/>
  <c r="J93" i="9"/>
  <c r="I93" i="9"/>
  <c r="H93" i="9"/>
  <c r="G93" i="9"/>
  <c r="F93" i="9"/>
  <c r="E93" i="9"/>
  <c r="D93" i="9"/>
  <c r="C93" i="9"/>
  <c r="B93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M92" i="9"/>
  <c r="L92" i="9"/>
  <c r="K92" i="9"/>
  <c r="J92" i="9"/>
  <c r="I92" i="9"/>
  <c r="H92" i="9"/>
  <c r="G92" i="9"/>
  <c r="F92" i="9"/>
  <c r="E92" i="9"/>
  <c r="D92" i="9"/>
  <c r="C92" i="9"/>
  <c r="B92" i="9"/>
  <c r="AJ91" i="9"/>
  <c r="AI91" i="9"/>
  <c r="AH91" i="9"/>
  <c r="AG91" i="9"/>
  <c r="AF91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M91" i="9"/>
  <c r="L91" i="9"/>
  <c r="K91" i="9"/>
  <c r="J91" i="9"/>
  <c r="I91" i="9"/>
  <c r="H91" i="9"/>
  <c r="G91" i="9"/>
  <c r="F91" i="9"/>
  <c r="E91" i="9"/>
  <c r="D91" i="9"/>
  <c r="C91" i="9"/>
  <c r="B91" i="9"/>
  <c r="AJ90" i="9"/>
  <c r="AI90" i="9"/>
  <c r="AH90" i="9"/>
  <c r="AG90" i="9"/>
  <c r="AF90" i="9"/>
  <c r="AE90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M90" i="9"/>
  <c r="L90" i="9"/>
  <c r="K90" i="9"/>
  <c r="J90" i="9"/>
  <c r="I90" i="9"/>
  <c r="H90" i="9"/>
  <c r="G90" i="9"/>
  <c r="F90" i="9"/>
  <c r="E90" i="9"/>
  <c r="D90" i="9"/>
  <c r="C90" i="9"/>
  <c r="B90" i="9"/>
  <c r="AJ89" i="9"/>
  <c r="AI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M89" i="9"/>
  <c r="L89" i="9"/>
  <c r="K89" i="9"/>
  <c r="J89" i="9"/>
  <c r="I89" i="9"/>
  <c r="H89" i="9"/>
  <c r="G89" i="9"/>
  <c r="F89" i="9"/>
  <c r="E89" i="9"/>
  <c r="D89" i="9"/>
  <c r="C89" i="9"/>
  <c r="B89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M88" i="9"/>
  <c r="L88" i="9"/>
  <c r="K88" i="9"/>
  <c r="J88" i="9"/>
  <c r="I88" i="9"/>
  <c r="H88" i="9"/>
  <c r="G88" i="9"/>
  <c r="F88" i="9"/>
  <c r="E88" i="9"/>
  <c r="D88" i="9"/>
  <c r="C88" i="9"/>
  <c r="B88" i="9"/>
  <c r="AJ87" i="9"/>
  <c r="AI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M87" i="9"/>
  <c r="L87" i="9"/>
  <c r="K87" i="9"/>
  <c r="J87" i="9"/>
  <c r="I87" i="9"/>
  <c r="H87" i="9"/>
  <c r="G87" i="9"/>
  <c r="F87" i="9"/>
  <c r="E87" i="9"/>
  <c r="D87" i="9"/>
  <c r="C87" i="9"/>
  <c r="B87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M86" i="9"/>
  <c r="L86" i="9"/>
  <c r="K86" i="9"/>
  <c r="J86" i="9"/>
  <c r="I86" i="9"/>
  <c r="H86" i="9"/>
  <c r="G86" i="9"/>
  <c r="F86" i="9"/>
  <c r="E86" i="9"/>
  <c r="D86" i="9"/>
  <c r="C86" i="9"/>
  <c r="B86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M85" i="9"/>
  <c r="L85" i="9"/>
  <c r="K85" i="9"/>
  <c r="J85" i="9"/>
  <c r="I85" i="9"/>
  <c r="H85" i="9"/>
  <c r="G85" i="9"/>
  <c r="F85" i="9"/>
  <c r="E85" i="9"/>
  <c r="D85" i="9"/>
  <c r="C85" i="9"/>
  <c r="B85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M84" i="9"/>
  <c r="L84" i="9"/>
  <c r="K84" i="9"/>
  <c r="J84" i="9"/>
  <c r="I84" i="9"/>
  <c r="H84" i="9"/>
  <c r="G84" i="9"/>
  <c r="F84" i="9"/>
  <c r="E84" i="9"/>
  <c r="D84" i="9"/>
  <c r="C84" i="9"/>
  <c r="B84" i="9"/>
  <c r="AJ83" i="9"/>
  <c r="AI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M83" i="9"/>
  <c r="L83" i="9"/>
  <c r="K83" i="9"/>
  <c r="J83" i="9"/>
  <c r="I83" i="9"/>
  <c r="H83" i="9"/>
  <c r="G83" i="9"/>
  <c r="F83" i="9"/>
  <c r="E83" i="9"/>
  <c r="D83" i="9"/>
  <c r="C83" i="9"/>
  <c r="B83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M82" i="9"/>
  <c r="L82" i="9"/>
  <c r="K82" i="9"/>
  <c r="J82" i="9"/>
  <c r="I82" i="9"/>
  <c r="H82" i="9"/>
  <c r="G82" i="9"/>
  <c r="F82" i="9"/>
  <c r="E82" i="9"/>
  <c r="D82" i="9"/>
  <c r="C82" i="9"/>
  <c r="B82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M81" i="9"/>
  <c r="L81" i="9"/>
  <c r="K81" i="9"/>
  <c r="J81" i="9"/>
  <c r="I81" i="9"/>
  <c r="H81" i="9"/>
  <c r="G81" i="9"/>
  <c r="F81" i="9"/>
  <c r="E81" i="9"/>
  <c r="D81" i="9"/>
  <c r="C81" i="9"/>
  <c r="B81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M80" i="9"/>
  <c r="L80" i="9"/>
  <c r="K80" i="9"/>
  <c r="J80" i="9"/>
  <c r="I80" i="9"/>
  <c r="H80" i="9"/>
  <c r="G80" i="9"/>
  <c r="F80" i="9"/>
  <c r="E80" i="9"/>
  <c r="D80" i="9"/>
  <c r="C80" i="9"/>
  <c r="B80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M79" i="9"/>
  <c r="L79" i="9"/>
  <c r="K79" i="9"/>
  <c r="J79" i="9"/>
  <c r="I79" i="9"/>
  <c r="H79" i="9"/>
  <c r="G79" i="9"/>
  <c r="F79" i="9"/>
  <c r="E79" i="9"/>
  <c r="D79" i="9"/>
  <c r="C79" i="9"/>
  <c r="B79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M78" i="9"/>
  <c r="L78" i="9"/>
  <c r="K78" i="9"/>
  <c r="J78" i="9"/>
  <c r="I78" i="9"/>
  <c r="H78" i="9"/>
  <c r="G78" i="9"/>
  <c r="F78" i="9"/>
  <c r="E78" i="9"/>
  <c r="D78" i="9"/>
  <c r="C78" i="9"/>
  <c r="B78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M77" i="9"/>
  <c r="L77" i="9"/>
  <c r="K77" i="9"/>
  <c r="J77" i="9"/>
  <c r="I77" i="9"/>
  <c r="H77" i="9"/>
  <c r="G77" i="9"/>
  <c r="F77" i="9"/>
  <c r="E77" i="9"/>
  <c r="D77" i="9"/>
  <c r="C77" i="9"/>
  <c r="B77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M76" i="9"/>
  <c r="L76" i="9"/>
  <c r="K76" i="9"/>
  <c r="J76" i="9"/>
  <c r="I76" i="9"/>
  <c r="H76" i="9"/>
  <c r="G76" i="9"/>
  <c r="F76" i="9"/>
  <c r="E76" i="9"/>
  <c r="D76" i="9"/>
  <c r="C76" i="9"/>
  <c r="B76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M75" i="9"/>
  <c r="L75" i="9"/>
  <c r="K75" i="9"/>
  <c r="J75" i="9"/>
  <c r="I75" i="9"/>
  <c r="H75" i="9"/>
  <c r="G75" i="9"/>
  <c r="F75" i="9"/>
  <c r="E75" i="9"/>
  <c r="D75" i="9"/>
  <c r="C75" i="9"/>
  <c r="B75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M74" i="9"/>
  <c r="L74" i="9"/>
  <c r="K74" i="9"/>
  <c r="J74" i="9"/>
  <c r="I74" i="9"/>
  <c r="H74" i="9"/>
  <c r="G74" i="9"/>
  <c r="F74" i="9"/>
  <c r="E74" i="9"/>
  <c r="D74" i="9"/>
  <c r="C74" i="9"/>
  <c r="B74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M73" i="9"/>
  <c r="L73" i="9"/>
  <c r="K73" i="9"/>
  <c r="J73" i="9"/>
  <c r="I73" i="9"/>
  <c r="H73" i="9"/>
  <c r="G73" i="9"/>
  <c r="F73" i="9"/>
  <c r="E73" i="9"/>
  <c r="D73" i="9"/>
  <c r="C73" i="9"/>
  <c r="B73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M72" i="9"/>
  <c r="L72" i="9"/>
  <c r="K72" i="9"/>
  <c r="J72" i="9"/>
  <c r="I72" i="9"/>
  <c r="H72" i="9"/>
  <c r="G72" i="9"/>
  <c r="F72" i="9"/>
  <c r="E72" i="9"/>
  <c r="D72" i="9"/>
  <c r="C72" i="9"/>
  <c r="B72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M71" i="9"/>
  <c r="L71" i="9"/>
  <c r="K71" i="9"/>
  <c r="J71" i="9"/>
  <c r="I71" i="9"/>
  <c r="H71" i="9"/>
  <c r="G71" i="9"/>
  <c r="F71" i="9"/>
  <c r="E71" i="9"/>
  <c r="D71" i="9"/>
  <c r="C71" i="9"/>
  <c r="B71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M70" i="9"/>
  <c r="L70" i="9"/>
  <c r="K70" i="9"/>
  <c r="J70" i="9"/>
  <c r="I70" i="9"/>
  <c r="H70" i="9"/>
  <c r="G70" i="9"/>
  <c r="F70" i="9"/>
  <c r="E70" i="9"/>
  <c r="D70" i="9"/>
  <c r="C70" i="9"/>
  <c r="B70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M69" i="9"/>
  <c r="L69" i="9"/>
  <c r="K69" i="9"/>
  <c r="J69" i="9"/>
  <c r="I69" i="9"/>
  <c r="H69" i="9"/>
  <c r="G69" i="9"/>
  <c r="F69" i="9"/>
  <c r="E69" i="9"/>
  <c r="D69" i="9"/>
  <c r="C69" i="9"/>
  <c r="B69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M68" i="9"/>
  <c r="L68" i="9"/>
  <c r="K68" i="9"/>
  <c r="J68" i="9"/>
  <c r="I68" i="9"/>
  <c r="H68" i="9"/>
  <c r="G68" i="9"/>
  <c r="F68" i="9"/>
  <c r="E68" i="9"/>
  <c r="D68" i="9"/>
  <c r="C68" i="9"/>
  <c r="B68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M67" i="9"/>
  <c r="L67" i="9"/>
  <c r="K67" i="9"/>
  <c r="J67" i="9"/>
  <c r="I67" i="9"/>
  <c r="H67" i="9"/>
  <c r="G67" i="9"/>
  <c r="F67" i="9"/>
  <c r="E67" i="9"/>
  <c r="D67" i="9"/>
  <c r="C67" i="9"/>
  <c r="B67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M66" i="9"/>
  <c r="L66" i="9"/>
  <c r="K66" i="9"/>
  <c r="J66" i="9"/>
  <c r="I66" i="9"/>
  <c r="H66" i="9"/>
  <c r="G66" i="9"/>
  <c r="F66" i="9"/>
  <c r="E66" i="9"/>
  <c r="D66" i="9"/>
  <c r="C66" i="9"/>
  <c r="B66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M65" i="9"/>
  <c r="L65" i="9"/>
  <c r="K65" i="9"/>
  <c r="J65" i="9"/>
  <c r="I65" i="9"/>
  <c r="H65" i="9"/>
  <c r="G65" i="9"/>
  <c r="F65" i="9"/>
  <c r="E65" i="9"/>
  <c r="D65" i="9"/>
  <c r="C65" i="9"/>
  <c r="B65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M64" i="9"/>
  <c r="L64" i="9"/>
  <c r="K64" i="9"/>
  <c r="J64" i="9"/>
  <c r="I64" i="9"/>
  <c r="H64" i="9"/>
  <c r="G64" i="9"/>
  <c r="F64" i="9"/>
  <c r="E64" i="9"/>
  <c r="D64" i="9"/>
  <c r="C64" i="9"/>
  <c r="B64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M63" i="9"/>
  <c r="L63" i="9"/>
  <c r="K63" i="9"/>
  <c r="J63" i="9"/>
  <c r="I63" i="9"/>
  <c r="H63" i="9"/>
  <c r="G63" i="9"/>
  <c r="F63" i="9"/>
  <c r="E63" i="9"/>
  <c r="D63" i="9"/>
  <c r="C63" i="9"/>
  <c r="B63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M62" i="9"/>
  <c r="L62" i="9"/>
  <c r="K62" i="9"/>
  <c r="J62" i="9"/>
  <c r="I62" i="9"/>
  <c r="H62" i="9"/>
  <c r="G62" i="9"/>
  <c r="F62" i="9"/>
  <c r="E62" i="9"/>
  <c r="D62" i="9"/>
  <c r="C62" i="9"/>
  <c r="B62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M61" i="9"/>
  <c r="L61" i="9"/>
  <c r="K61" i="9"/>
  <c r="J61" i="9"/>
  <c r="I61" i="9"/>
  <c r="H61" i="9"/>
  <c r="G61" i="9"/>
  <c r="F61" i="9"/>
  <c r="E61" i="9"/>
  <c r="D61" i="9"/>
  <c r="C61" i="9"/>
  <c r="B61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M60" i="9"/>
  <c r="L60" i="9"/>
  <c r="K60" i="9"/>
  <c r="J60" i="9"/>
  <c r="I60" i="9"/>
  <c r="H60" i="9"/>
  <c r="G60" i="9"/>
  <c r="F60" i="9"/>
  <c r="E60" i="9"/>
  <c r="D60" i="9"/>
  <c r="C60" i="9"/>
  <c r="B60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M59" i="9"/>
  <c r="L59" i="9"/>
  <c r="K59" i="9"/>
  <c r="J59" i="9"/>
  <c r="I59" i="9"/>
  <c r="H59" i="9"/>
  <c r="G59" i="9"/>
  <c r="F59" i="9"/>
  <c r="E59" i="9"/>
  <c r="D59" i="9"/>
  <c r="C59" i="9"/>
  <c r="B59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M58" i="9"/>
  <c r="L58" i="9"/>
  <c r="K58" i="9"/>
  <c r="J58" i="9"/>
  <c r="I58" i="9"/>
  <c r="H58" i="9"/>
  <c r="G58" i="9"/>
  <c r="F58" i="9"/>
  <c r="E58" i="9"/>
  <c r="D58" i="9"/>
  <c r="C58" i="9"/>
  <c r="B58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M57" i="9"/>
  <c r="L57" i="9"/>
  <c r="K57" i="9"/>
  <c r="J57" i="9"/>
  <c r="I57" i="9"/>
  <c r="H57" i="9"/>
  <c r="G57" i="9"/>
  <c r="F57" i="9"/>
  <c r="E57" i="9"/>
  <c r="D57" i="9"/>
  <c r="C57" i="9"/>
  <c r="B57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M56" i="9"/>
  <c r="L56" i="9"/>
  <c r="K56" i="9"/>
  <c r="J56" i="9"/>
  <c r="I56" i="9"/>
  <c r="H56" i="9"/>
  <c r="G56" i="9"/>
  <c r="F56" i="9"/>
  <c r="E56" i="9"/>
  <c r="D56" i="9"/>
  <c r="C56" i="9"/>
  <c r="B56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M55" i="9"/>
  <c r="L55" i="9"/>
  <c r="K55" i="9"/>
  <c r="J55" i="9"/>
  <c r="I55" i="9"/>
  <c r="H55" i="9"/>
  <c r="G55" i="9"/>
  <c r="F55" i="9"/>
  <c r="E55" i="9"/>
  <c r="D55" i="9"/>
  <c r="C55" i="9"/>
  <c r="B55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M54" i="9"/>
  <c r="L54" i="9"/>
  <c r="K54" i="9"/>
  <c r="J54" i="9"/>
  <c r="I54" i="9"/>
  <c r="H54" i="9"/>
  <c r="G54" i="9"/>
  <c r="F54" i="9"/>
  <c r="E54" i="9"/>
  <c r="D54" i="9"/>
  <c r="C54" i="9"/>
  <c r="B54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M53" i="9"/>
  <c r="L53" i="9"/>
  <c r="K53" i="9"/>
  <c r="J53" i="9"/>
  <c r="I53" i="9"/>
  <c r="H53" i="9"/>
  <c r="G53" i="9"/>
  <c r="F53" i="9"/>
  <c r="E53" i="9"/>
  <c r="D53" i="9"/>
  <c r="C53" i="9"/>
  <c r="B53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M52" i="9"/>
  <c r="L52" i="9"/>
  <c r="K52" i="9"/>
  <c r="J52" i="9"/>
  <c r="I52" i="9"/>
  <c r="H52" i="9"/>
  <c r="G52" i="9"/>
  <c r="F52" i="9"/>
  <c r="E52" i="9"/>
  <c r="D52" i="9"/>
  <c r="C52" i="9"/>
  <c r="B52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M51" i="9"/>
  <c r="L51" i="9"/>
  <c r="K51" i="9"/>
  <c r="J51" i="9"/>
  <c r="I51" i="9"/>
  <c r="H51" i="9"/>
  <c r="G51" i="9"/>
  <c r="F51" i="9"/>
  <c r="E51" i="9"/>
  <c r="D51" i="9"/>
  <c r="C51" i="9"/>
  <c r="B51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M50" i="9"/>
  <c r="L50" i="9"/>
  <c r="K50" i="9"/>
  <c r="J50" i="9"/>
  <c r="I50" i="9"/>
  <c r="H50" i="9"/>
  <c r="G50" i="9"/>
  <c r="F50" i="9"/>
  <c r="E50" i="9"/>
  <c r="D50" i="9"/>
  <c r="C50" i="9"/>
  <c r="B50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M49" i="9"/>
  <c r="L49" i="9"/>
  <c r="K49" i="9"/>
  <c r="J49" i="9"/>
  <c r="I49" i="9"/>
  <c r="H49" i="9"/>
  <c r="G49" i="9"/>
  <c r="F49" i="9"/>
  <c r="E49" i="9"/>
  <c r="D49" i="9"/>
  <c r="C49" i="9"/>
  <c r="B49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M48" i="9"/>
  <c r="L48" i="9"/>
  <c r="K48" i="9"/>
  <c r="J48" i="9"/>
  <c r="I48" i="9"/>
  <c r="H48" i="9"/>
  <c r="G48" i="9"/>
  <c r="F48" i="9"/>
  <c r="E48" i="9"/>
  <c r="D48" i="9"/>
  <c r="C48" i="9"/>
  <c r="B48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M47" i="9"/>
  <c r="L47" i="9"/>
  <c r="K47" i="9"/>
  <c r="J47" i="9"/>
  <c r="I47" i="9"/>
  <c r="H47" i="9"/>
  <c r="G47" i="9"/>
  <c r="F47" i="9"/>
  <c r="E47" i="9"/>
  <c r="D47" i="9"/>
  <c r="C47" i="9"/>
  <c r="B47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M46" i="9"/>
  <c r="L46" i="9"/>
  <c r="K46" i="9"/>
  <c r="J46" i="9"/>
  <c r="I46" i="9"/>
  <c r="H46" i="9"/>
  <c r="G46" i="9"/>
  <c r="F46" i="9"/>
  <c r="E46" i="9"/>
  <c r="D46" i="9"/>
  <c r="C46" i="9"/>
  <c r="B46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M45" i="9"/>
  <c r="L45" i="9"/>
  <c r="K45" i="9"/>
  <c r="J45" i="9"/>
  <c r="I45" i="9"/>
  <c r="H45" i="9"/>
  <c r="G45" i="9"/>
  <c r="F45" i="9"/>
  <c r="E45" i="9"/>
  <c r="D45" i="9"/>
  <c r="C45" i="9"/>
  <c r="B45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M44" i="9"/>
  <c r="L44" i="9"/>
  <c r="K44" i="9"/>
  <c r="J44" i="9"/>
  <c r="I44" i="9"/>
  <c r="H44" i="9"/>
  <c r="G44" i="9"/>
  <c r="F44" i="9"/>
  <c r="E44" i="9"/>
  <c r="D44" i="9"/>
  <c r="C44" i="9"/>
  <c r="B44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M43" i="9"/>
  <c r="L43" i="9"/>
  <c r="K43" i="9"/>
  <c r="J43" i="9"/>
  <c r="I43" i="9"/>
  <c r="H43" i="9"/>
  <c r="G43" i="9"/>
  <c r="F43" i="9"/>
  <c r="E43" i="9"/>
  <c r="D43" i="9"/>
  <c r="C43" i="9"/>
  <c r="B43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M42" i="9"/>
  <c r="L42" i="9"/>
  <c r="K42" i="9"/>
  <c r="J42" i="9"/>
  <c r="I42" i="9"/>
  <c r="H42" i="9"/>
  <c r="G42" i="9"/>
  <c r="F42" i="9"/>
  <c r="E42" i="9"/>
  <c r="D42" i="9"/>
  <c r="C42" i="9"/>
  <c r="B42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M41" i="9"/>
  <c r="L41" i="9"/>
  <c r="K41" i="9"/>
  <c r="J41" i="9"/>
  <c r="I41" i="9"/>
  <c r="H41" i="9"/>
  <c r="G41" i="9"/>
  <c r="F41" i="9"/>
  <c r="E41" i="9"/>
  <c r="D41" i="9"/>
  <c r="C41" i="9"/>
  <c r="B41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M40" i="9"/>
  <c r="L40" i="9"/>
  <c r="K40" i="9"/>
  <c r="J40" i="9"/>
  <c r="I40" i="9"/>
  <c r="H40" i="9"/>
  <c r="G40" i="9"/>
  <c r="F40" i="9"/>
  <c r="E40" i="9"/>
  <c r="D40" i="9"/>
  <c r="C40" i="9"/>
  <c r="B40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M39" i="9"/>
  <c r="L39" i="9"/>
  <c r="K39" i="9"/>
  <c r="J39" i="9"/>
  <c r="I39" i="9"/>
  <c r="H39" i="9"/>
  <c r="G39" i="9"/>
  <c r="F39" i="9"/>
  <c r="E39" i="9"/>
  <c r="D39" i="9"/>
  <c r="C39" i="9"/>
  <c r="B39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M38" i="9"/>
  <c r="L38" i="9"/>
  <c r="K38" i="9"/>
  <c r="J38" i="9"/>
  <c r="I38" i="9"/>
  <c r="H38" i="9"/>
  <c r="G38" i="9"/>
  <c r="F38" i="9"/>
  <c r="E38" i="9"/>
  <c r="D38" i="9"/>
  <c r="C38" i="9"/>
  <c r="B38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M37" i="9"/>
  <c r="L37" i="9"/>
  <c r="K37" i="9"/>
  <c r="J37" i="9"/>
  <c r="I37" i="9"/>
  <c r="H37" i="9"/>
  <c r="G37" i="9"/>
  <c r="F37" i="9"/>
  <c r="E37" i="9"/>
  <c r="D37" i="9"/>
  <c r="C37" i="9"/>
  <c r="B37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M36" i="9"/>
  <c r="L36" i="9"/>
  <c r="K36" i="9"/>
  <c r="J36" i="9"/>
  <c r="I36" i="9"/>
  <c r="H36" i="9"/>
  <c r="G36" i="9"/>
  <c r="F36" i="9"/>
  <c r="E36" i="9"/>
  <c r="D36" i="9"/>
  <c r="C36" i="9"/>
  <c r="B36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M35" i="9"/>
  <c r="L35" i="9"/>
  <c r="K35" i="9"/>
  <c r="J35" i="9"/>
  <c r="I35" i="9"/>
  <c r="H35" i="9"/>
  <c r="G35" i="9"/>
  <c r="F35" i="9"/>
  <c r="E35" i="9"/>
  <c r="D35" i="9"/>
  <c r="C35" i="9"/>
  <c r="B35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M34" i="9"/>
  <c r="L34" i="9"/>
  <c r="K34" i="9"/>
  <c r="J34" i="9"/>
  <c r="I34" i="9"/>
  <c r="H34" i="9"/>
  <c r="G34" i="9"/>
  <c r="F34" i="9"/>
  <c r="E34" i="9"/>
  <c r="D34" i="9"/>
  <c r="C34" i="9"/>
  <c r="B34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M33" i="9"/>
  <c r="L33" i="9"/>
  <c r="K33" i="9"/>
  <c r="J33" i="9"/>
  <c r="I33" i="9"/>
  <c r="H33" i="9"/>
  <c r="G33" i="9"/>
  <c r="F33" i="9"/>
  <c r="E33" i="9"/>
  <c r="D33" i="9"/>
  <c r="C33" i="9"/>
  <c r="B33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M32" i="9"/>
  <c r="L32" i="9"/>
  <c r="K32" i="9"/>
  <c r="J32" i="9"/>
  <c r="I32" i="9"/>
  <c r="H32" i="9"/>
  <c r="G32" i="9"/>
  <c r="F32" i="9"/>
  <c r="E32" i="9"/>
  <c r="D32" i="9"/>
  <c r="C32" i="9"/>
  <c r="B32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M31" i="9"/>
  <c r="L31" i="9"/>
  <c r="K31" i="9"/>
  <c r="J31" i="9"/>
  <c r="I31" i="9"/>
  <c r="H31" i="9"/>
  <c r="G31" i="9"/>
  <c r="F31" i="9"/>
  <c r="E31" i="9"/>
  <c r="D31" i="9"/>
  <c r="C31" i="9"/>
  <c r="B31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M30" i="9"/>
  <c r="L30" i="9"/>
  <c r="K30" i="9"/>
  <c r="J30" i="9"/>
  <c r="I30" i="9"/>
  <c r="H30" i="9"/>
  <c r="G30" i="9"/>
  <c r="F30" i="9"/>
  <c r="E30" i="9"/>
  <c r="D30" i="9"/>
  <c r="C30" i="9"/>
  <c r="B30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M29" i="9"/>
  <c r="L29" i="9"/>
  <c r="K29" i="9"/>
  <c r="J29" i="9"/>
  <c r="I29" i="9"/>
  <c r="H29" i="9"/>
  <c r="G29" i="9"/>
  <c r="F29" i="9"/>
  <c r="E29" i="9"/>
  <c r="D29" i="9"/>
  <c r="C29" i="9"/>
  <c r="B29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M28" i="9"/>
  <c r="L28" i="9"/>
  <c r="K28" i="9"/>
  <c r="J28" i="9"/>
  <c r="I28" i="9"/>
  <c r="H28" i="9"/>
  <c r="G28" i="9"/>
  <c r="F28" i="9"/>
  <c r="E28" i="9"/>
  <c r="D28" i="9"/>
  <c r="C28" i="9"/>
  <c r="B28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M27" i="9"/>
  <c r="L27" i="9"/>
  <c r="K27" i="9"/>
  <c r="J27" i="9"/>
  <c r="I27" i="9"/>
  <c r="H27" i="9"/>
  <c r="G27" i="9"/>
  <c r="F27" i="9"/>
  <c r="E27" i="9"/>
  <c r="D27" i="9"/>
  <c r="C27" i="9"/>
  <c r="B27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M26" i="9"/>
  <c r="L26" i="9"/>
  <c r="K26" i="9"/>
  <c r="J26" i="9"/>
  <c r="I26" i="9"/>
  <c r="H26" i="9"/>
  <c r="G26" i="9"/>
  <c r="F26" i="9"/>
  <c r="E26" i="9"/>
  <c r="D26" i="9"/>
  <c r="C26" i="9"/>
  <c r="B26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M25" i="9"/>
  <c r="L25" i="9"/>
  <c r="K25" i="9"/>
  <c r="J25" i="9"/>
  <c r="I25" i="9"/>
  <c r="H25" i="9"/>
  <c r="G25" i="9"/>
  <c r="F25" i="9"/>
  <c r="E25" i="9"/>
  <c r="D25" i="9"/>
  <c r="C25" i="9"/>
  <c r="B25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M24" i="9"/>
  <c r="L24" i="9"/>
  <c r="K24" i="9"/>
  <c r="J24" i="9"/>
  <c r="I24" i="9"/>
  <c r="H24" i="9"/>
  <c r="G24" i="9"/>
  <c r="F24" i="9"/>
  <c r="E24" i="9"/>
  <c r="D24" i="9"/>
  <c r="C24" i="9"/>
  <c r="B24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M23" i="9"/>
  <c r="L23" i="9"/>
  <c r="K23" i="9"/>
  <c r="J23" i="9"/>
  <c r="I23" i="9"/>
  <c r="H23" i="9"/>
  <c r="G23" i="9"/>
  <c r="F23" i="9"/>
  <c r="E23" i="9"/>
  <c r="D23" i="9"/>
  <c r="C23" i="9"/>
  <c r="B23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M22" i="9"/>
  <c r="L22" i="9"/>
  <c r="K22" i="9"/>
  <c r="J22" i="9"/>
  <c r="I22" i="9"/>
  <c r="H22" i="9"/>
  <c r="G22" i="9"/>
  <c r="F22" i="9"/>
  <c r="E22" i="9"/>
  <c r="D22" i="9"/>
  <c r="C22" i="9"/>
  <c r="B22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M21" i="9"/>
  <c r="L21" i="9"/>
  <c r="K21" i="9"/>
  <c r="J21" i="9"/>
  <c r="I21" i="9"/>
  <c r="H21" i="9"/>
  <c r="G21" i="9"/>
  <c r="F21" i="9"/>
  <c r="E21" i="9"/>
  <c r="D21" i="9"/>
  <c r="C21" i="9"/>
  <c r="B21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M20" i="9"/>
  <c r="L20" i="9"/>
  <c r="K20" i="9"/>
  <c r="J20" i="9"/>
  <c r="I20" i="9"/>
  <c r="H20" i="9"/>
  <c r="G20" i="9"/>
  <c r="F20" i="9"/>
  <c r="E20" i="9"/>
  <c r="D20" i="9"/>
  <c r="C20" i="9"/>
  <c r="B20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M19" i="9"/>
  <c r="L19" i="9"/>
  <c r="K19" i="9"/>
  <c r="J19" i="9"/>
  <c r="I19" i="9"/>
  <c r="H19" i="9"/>
  <c r="G19" i="9"/>
  <c r="F19" i="9"/>
  <c r="E19" i="9"/>
  <c r="D19" i="9"/>
  <c r="C19" i="9"/>
  <c r="B19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M18" i="9"/>
  <c r="L18" i="9"/>
  <c r="K18" i="9"/>
  <c r="J18" i="9"/>
  <c r="I18" i="9"/>
  <c r="H18" i="9"/>
  <c r="G18" i="9"/>
  <c r="F18" i="9"/>
  <c r="E18" i="9"/>
  <c r="D18" i="9"/>
  <c r="C18" i="9"/>
  <c r="B18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M17" i="9"/>
  <c r="L17" i="9"/>
  <c r="K17" i="9"/>
  <c r="J17" i="9"/>
  <c r="I17" i="9"/>
  <c r="H17" i="9"/>
  <c r="G17" i="9"/>
  <c r="F17" i="9"/>
  <c r="E17" i="9"/>
  <c r="D17" i="9"/>
  <c r="C17" i="9"/>
  <c r="B17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M16" i="9"/>
  <c r="L16" i="9"/>
  <c r="K16" i="9"/>
  <c r="J16" i="9"/>
  <c r="I16" i="9"/>
  <c r="H16" i="9"/>
  <c r="G16" i="9"/>
  <c r="F16" i="9"/>
  <c r="E16" i="9"/>
  <c r="D16" i="9"/>
  <c r="C16" i="9"/>
  <c r="B16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M15" i="9"/>
  <c r="L15" i="9"/>
  <c r="K15" i="9"/>
  <c r="J15" i="9"/>
  <c r="I15" i="9"/>
  <c r="H15" i="9"/>
  <c r="G15" i="9"/>
  <c r="F15" i="9"/>
  <c r="E15" i="9"/>
  <c r="D15" i="9"/>
  <c r="C15" i="9"/>
  <c r="B15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M14" i="9"/>
  <c r="L14" i="9"/>
  <c r="K14" i="9"/>
  <c r="J14" i="9"/>
  <c r="I14" i="9"/>
  <c r="H14" i="9"/>
  <c r="G14" i="9"/>
  <c r="F14" i="9"/>
  <c r="E14" i="9"/>
  <c r="D14" i="9"/>
  <c r="C14" i="9"/>
  <c r="B14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M13" i="9"/>
  <c r="L13" i="9"/>
  <c r="K13" i="9"/>
  <c r="J13" i="9"/>
  <c r="I13" i="9"/>
  <c r="H13" i="9"/>
  <c r="G13" i="9"/>
  <c r="F13" i="9"/>
  <c r="E13" i="9"/>
  <c r="D13" i="9"/>
  <c r="C13" i="9"/>
  <c r="B13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M12" i="9"/>
  <c r="L12" i="9"/>
  <c r="K12" i="9"/>
  <c r="J12" i="9"/>
  <c r="I12" i="9"/>
  <c r="H12" i="9"/>
  <c r="G12" i="9"/>
  <c r="F12" i="9"/>
  <c r="E12" i="9"/>
  <c r="D12" i="9"/>
  <c r="C12" i="9"/>
  <c r="B12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M11" i="9"/>
  <c r="L11" i="9"/>
  <c r="K11" i="9"/>
  <c r="J11" i="9"/>
  <c r="I11" i="9"/>
  <c r="H11" i="9"/>
  <c r="G11" i="9"/>
  <c r="F11" i="9"/>
  <c r="E11" i="9"/>
  <c r="D11" i="9"/>
  <c r="C11" i="9"/>
  <c r="B11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M10" i="9"/>
  <c r="L10" i="9"/>
  <c r="K10" i="9"/>
  <c r="J10" i="9"/>
  <c r="I10" i="9"/>
  <c r="H10" i="9"/>
  <c r="G10" i="9"/>
  <c r="F10" i="9"/>
  <c r="E10" i="9"/>
  <c r="D10" i="9"/>
  <c r="C10" i="9"/>
  <c r="B10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M9" i="9"/>
  <c r="L9" i="9"/>
  <c r="K9" i="9"/>
  <c r="J9" i="9"/>
  <c r="I9" i="9"/>
  <c r="H9" i="9"/>
  <c r="G9" i="9"/>
  <c r="F9" i="9"/>
  <c r="E9" i="9"/>
  <c r="D9" i="9"/>
  <c r="C9" i="9"/>
  <c r="B9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L8" i="9"/>
  <c r="K8" i="9"/>
  <c r="J8" i="9"/>
  <c r="I8" i="9"/>
  <c r="H8" i="9"/>
  <c r="G8" i="9"/>
  <c r="F8" i="9"/>
  <c r="E8" i="9"/>
  <c r="D8" i="9"/>
  <c r="C8" i="9"/>
  <c r="B8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M7" i="9"/>
  <c r="L7" i="9"/>
  <c r="K7" i="9"/>
  <c r="J7" i="9"/>
  <c r="I7" i="9"/>
  <c r="H7" i="9"/>
  <c r="G7" i="9"/>
  <c r="F7" i="9"/>
  <c r="E7" i="9"/>
  <c r="D7" i="9"/>
  <c r="C7" i="9"/>
  <c r="B7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M6" i="9"/>
  <c r="L6" i="9"/>
  <c r="K6" i="9"/>
  <c r="J6" i="9"/>
  <c r="I6" i="9"/>
  <c r="H6" i="9"/>
  <c r="G6" i="9"/>
  <c r="F6" i="9"/>
  <c r="E6" i="9"/>
  <c r="D6" i="9"/>
  <c r="C6" i="9"/>
  <c r="B6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L5" i="9"/>
  <c r="K5" i="9"/>
  <c r="J5" i="9"/>
  <c r="I5" i="9"/>
  <c r="H5" i="9"/>
  <c r="G5" i="9"/>
  <c r="F5" i="9"/>
  <c r="E5" i="9"/>
  <c r="D5" i="9"/>
  <c r="C5" i="9"/>
  <c r="B5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M4" i="9"/>
  <c r="L4" i="9"/>
  <c r="K4" i="9"/>
  <c r="J4" i="9"/>
  <c r="I4" i="9"/>
  <c r="H4" i="9"/>
  <c r="G4" i="9"/>
  <c r="F4" i="9"/>
  <c r="E4" i="9"/>
  <c r="D4" i="9"/>
  <c r="C4" i="9"/>
  <c r="B4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L3" i="9"/>
  <c r="K3" i="9"/>
  <c r="J3" i="9"/>
  <c r="I3" i="9"/>
  <c r="H3" i="9"/>
  <c r="G3" i="9"/>
  <c r="F3" i="9"/>
  <c r="E3" i="9"/>
  <c r="D3" i="9"/>
  <c r="C3" i="9"/>
  <c r="B3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L2" i="9"/>
  <c r="K2" i="9"/>
  <c r="J2" i="9"/>
  <c r="I2" i="9"/>
  <c r="H2" i="9"/>
  <c r="G2" i="9"/>
  <c r="F2" i="9"/>
  <c r="E2" i="9"/>
  <c r="D2" i="9"/>
  <c r="C2" i="9"/>
  <c r="B2" i="9"/>
</calcChain>
</file>

<file path=xl/sharedStrings.xml><?xml version="1.0" encoding="utf-8"?>
<sst xmlns="http://schemas.openxmlformats.org/spreadsheetml/2006/main" count="37" uniqueCount="37">
  <si>
    <t>datasets</t>
  </si>
  <si>
    <t>patterns</t>
  </si>
  <si>
    <t>rates</t>
  </si>
  <si>
    <t>TRMF</t>
  </si>
  <si>
    <t>SVT</t>
  </si>
  <si>
    <t>SharePriceIncrease</t>
  </si>
  <si>
    <t>SyntheticControl</t>
  </si>
  <si>
    <t>Dynammo</t>
  </si>
  <si>
    <t>MICE</t>
  </si>
  <si>
    <t>GRIN</t>
  </si>
  <si>
    <t>Moment</t>
  </si>
  <si>
    <t>SoftImpute</t>
  </si>
  <si>
    <t>SAITS</t>
  </si>
  <si>
    <t>GPT4TS</t>
  </si>
  <si>
    <t>IterativeSVD</t>
  </si>
  <si>
    <t>GROUSE</t>
  </si>
  <si>
    <t>SPIRIT</t>
  </si>
  <si>
    <t>ROSL</t>
  </si>
  <si>
    <t>STMVL</t>
  </si>
  <si>
    <t>IIM</t>
  </si>
  <si>
    <t>MissForest</t>
  </si>
  <si>
    <t>XGBOOST</t>
  </si>
  <si>
    <t>MissNet</t>
  </si>
  <si>
    <t>BRITS</t>
  </si>
  <si>
    <t>BayOTIDE</t>
  </si>
  <si>
    <t>MRNN</t>
  </si>
  <si>
    <t>BitGraph</t>
  </si>
  <si>
    <t>MPIN</t>
  </si>
  <si>
    <t>DeepMVI</t>
  </si>
  <si>
    <t>GAIN</t>
  </si>
  <si>
    <t>TimesNet</t>
  </si>
  <si>
    <t>CSDI</t>
  </si>
  <si>
    <t>PriSTI</t>
  </si>
  <si>
    <t>HKMFT</t>
  </si>
  <si>
    <t>NuwaTS</t>
  </si>
  <si>
    <t>MeanImpute</t>
  </si>
  <si>
    <t>CDRec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</si>
</sst>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6"/>
      <color theme="1"/>
      <name val="Calibri"/>
    </font>
    <font>
      <i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5" fillId="0" borderId="4" xfId="0" applyFont="1" applyBorder="1" applyAlignment="1">
      <alignment vertical="top"/>
    </xf>
    <xf numFmtId="0" fontId="5" fillId="0" borderId="0" xfId="0" applyFont="1"/>
    <xf numFmtId="0" fontId="2" fillId="0" borderId="6" xfId="0" applyFont="1" applyBorder="1"/>
    <xf numFmtId="0" fontId="4" fillId="2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5" fillId="2" borderId="5" xfId="0" applyFont="1" applyFill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7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2" fillId="0" borderId="8" xfId="0" applyFont="1" applyBorder="1"/>
    <xf numFmtId="0" fontId="5" fillId="0" borderId="6" xfId="0" applyFont="1" applyBorder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28" Type="http://schemas.openxmlformats.org/officeDocument/2006/relationships/theme" Target="theme/theme1.xml"/><Relationship Id="rId31" Type="http://schemas.openxmlformats.org/officeDocument/2006/relationships/calcChain" Target="calcChain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126"/>
  <sheetViews>
    <sheetView tabSelected="1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E1" sqref="E1:E1048576"/>
    </sheetView>
  </sheetViews>
  <sheetFormatPr defaultColWidth="14.3984375" defaultRowHeight="15" customHeight="1" x14ac:dyDescent="0.45"/>
  <cols>
    <col min="1" max="1" width="0.73046875" customWidth="1"/>
    <col min="2" max="2" width="30" customWidth="1"/>
    <col min="3" max="3" width="18.265625" customWidth="1"/>
    <col min="4" max="4" width="11.86328125" customWidth="1"/>
    <col min="5" max="5" width="25.3984375" customWidth="1"/>
    <col min="6" max="13" width="20.86328125" customWidth="1"/>
    <col min="14" max="14" width="18.86328125" customWidth="1"/>
    <col min="15" max="15" width="20.86328125" customWidth="1"/>
    <col min="16" max="19" width="25.53125" customWidth="1"/>
    <col min="20" max="21" width="22.73046875" customWidth="1"/>
    <col min="22" max="32" width="21.3984375" customWidth="1"/>
    <col min="33" max="33" width="20.86328125" customWidth="1"/>
    <col min="34" max="35" width="21.86328125" customWidth="1"/>
    <col min="36" max="36" width="24.1328125" customWidth="1"/>
  </cols>
  <sheetData>
    <row r="1" spans="2:36" ht="15.75" customHeight="1" thickBot="1" x14ac:dyDescent="0.5">
      <c r="B1" s="7" t="s">
        <v>0</v>
      </c>
      <c r="C1" s="8" t="s">
        <v>1</v>
      </c>
      <c r="D1" s="8" t="s">
        <v>2</v>
      </c>
      <c r="E1" s="4" t="s">
        <v>35</v>
      </c>
      <c r="F1" s="13" t="s">
        <v>11</v>
      </c>
      <c r="G1" s="13" t="s">
        <v>14</v>
      </c>
      <c r="H1" s="13" t="s">
        <v>15</v>
      </c>
      <c r="I1" s="14" t="s">
        <v>4</v>
      </c>
      <c r="J1" s="13" t="s">
        <v>17</v>
      </c>
      <c r="K1" s="13" t="s">
        <v>16</v>
      </c>
      <c r="L1" s="13" t="s">
        <v>3</v>
      </c>
      <c r="M1" s="13" t="s">
        <v>36</v>
      </c>
      <c r="N1" s="15" t="s">
        <v>18</v>
      </c>
      <c r="O1" s="15" t="s">
        <v>7</v>
      </c>
      <c r="P1" s="4" t="s">
        <v>21</v>
      </c>
      <c r="Q1" s="4" t="s">
        <v>20</v>
      </c>
      <c r="R1" s="12" t="s">
        <v>8</v>
      </c>
      <c r="S1" s="16" t="s">
        <v>19</v>
      </c>
      <c r="T1" s="4" t="s">
        <v>25</v>
      </c>
      <c r="U1" s="4" t="s">
        <v>23</v>
      </c>
      <c r="V1" s="4" t="s">
        <v>12</v>
      </c>
      <c r="W1" s="4" t="s">
        <v>26</v>
      </c>
      <c r="X1" s="4" t="s">
        <v>24</v>
      </c>
      <c r="Y1" s="4" t="s">
        <v>9</v>
      </c>
      <c r="Z1" s="4" t="s">
        <v>27</v>
      </c>
      <c r="AA1" s="12" t="s">
        <v>22</v>
      </c>
      <c r="AB1" s="4" t="s">
        <v>29</v>
      </c>
      <c r="AC1" s="4" t="s">
        <v>32</v>
      </c>
      <c r="AD1" s="4" t="s">
        <v>31</v>
      </c>
      <c r="AE1" s="4" t="s">
        <v>33</v>
      </c>
      <c r="AF1" s="4" t="s">
        <v>28</v>
      </c>
      <c r="AG1" s="4" t="s">
        <v>30</v>
      </c>
      <c r="AH1" s="13" t="s">
        <v>10</v>
      </c>
      <c r="AI1" s="13" t="s">
        <v>34</v>
      </c>
      <c r="AJ1" s="13" t="s">
        <v>13</v>
      </c>
    </row>
    <row r="2" spans="2:36" ht="15.75" customHeight="1" x14ac:dyDescent="0.45">
      <c r="B2" s="10" t="str">
        <f ca="1">IFERROR(__xludf.DUMMYFUNCTION("FILTER(
'_c_UpstreamFull'!B28:CQ1122,
ISNA(MATCH(
'_c_UpstreamFull'!B28:B1122,
{""ACSF1"",
""ChlorineConcentration"",
""FaceAll"",
""InsectWingbeatSound"",
""Plane""},
0
))
)"),"Adiac")</f>
        <v>Adiac</v>
      </c>
      <c r="C2" s="10" t="str">
        <f ca="1">IFERROR(__xludf.DUMMYFUNCTION("""COMPUTED_VALUE"""),"aligned_series")</f>
        <v>aligned_series</v>
      </c>
      <c r="D2" s="10">
        <f ca="1">IFERROR(__xludf.DUMMYFUNCTION("""COMPUTED_VALUE"""),0.1)</f>
        <v>0.1</v>
      </c>
      <c r="E2" s="17">
        <f ca="1">IFERROR(__xludf.DUMMYFUNCTION("""COMPUTED_VALUE"""),0.820311332501961)</f>
        <v>0.82031133250196098</v>
      </c>
      <c r="F2" s="17">
        <f ca="1">IFERROR(__xludf.DUMMYFUNCTION("""COMPUTED_VALUE"""),0.0682170669253667)</f>
        <v>6.8217066925366707E-2</v>
      </c>
      <c r="G2" s="17">
        <f ca="1">IFERROR(__xludf.DUMMYFUNCTION("""COMPUTED_VALUE"""),0.0793052046639458)</f>
        <v>7.9305204663945805E-2</v>
      </c>
      <c r="H2" s="17">
        <f ca="1">IFERROR(__xludf.DUMMYFUNCTION("""COMPUTED_VALUE"""),0.108884487137723)</f>
        <v>0.108884487137723</v>
      </c>
      <c r="I2" s="17">
        <f ca="1">IFERROR(__xludf.DUMMYFUNCTION("""COMPUTED_VALUE"""),0.0451242487386908)</f>
        <v>4.5124248738690802E-2</v>
      </c>
      <c r="J2" s="17">
        <f ca="1">IFERROR(__xludf.DUMMYFUNCTION("""COMPUTED_VALUE"""),1.43882260771334)</f>
        <v>1.4388226077133399</v>
      </c>
      <c r="K2" s="17" t="str">
        <f ca="1">IFERROR(__xludf.DUMMYFUNCTION("""COMPUTED_VALUE"""),"nan")</f>
        <v>nan</v>
      </c>
      <c r="L2" s="17">
        <f ca="1">IFERROR(__xludf.DUMMYFUNCTION("""COMPUTED_VALUE"""),0.0862793105260484)</f>
        <v>8.6279310526048397E-2</v>
      </c>
      <c r="M2" s="17">
        <f ca="1">IFERROR(__xludf.DUMMYFUNCTION("""COMPUTED_VALUE"""),0.0616905791526783)</f>
        <v>6.1690579152678303E-2</v>
      </c>
      <c r="N2" s="17">
        <f ca="1">IFERROR(__xludf.DUMMYFUNCTION("""COMPUTED_VALUE"""),0.0929493226856563)</f>
        <v>9.2949322685656297E-2</v>
      </c>
      <c r="O2" s="17">
        <f ca="1">IFERROR(__xludf.DUMMYFUNCTION("""COMPUTED_VALUE"""),0.071663841688067)</f>
        <v>7.1663841688066998E-2</v>
      </c>
      <c r="P2" s="17">
        <f ca="1">IFERROR(__xludf.DUMMYFUNCTION("""COMPUTED_VALUE"""),0.570023136018945)</f>
        <v>0.57002313601894505</v>
      </c>
      <c r="Q2" s="17">
        <f ca="1">IFERROR(__xludf.DUMMYFUNCTION("""COMPUTED_VALUE"""),0.105434405032679)</f>
        <v>0.10543440503267899</v>
      </c>
      <c r="R2" s="17">
        <f ca="1">IFERROR(__xludf.DUMMYFUNCTION("""COMPUTED_VALUE"""),0.160754075466798)</f>
        <v>0.16075407546679801</v>
      </c>
      <c r="S2" s="17">
        <f ca="1">IFERROR(__xludf.DUMMYFUNCTION("""COMPUTED_VALUE"""),0.165168784303004)</f>
        <v>0.165168784303004</v>
      </c>
      <c r="T2" s="17">
        <f ca="1">IFERROR(__xludf.DUMMYFUNCTION("""COMPUTED_VALUE"""),0.395541009948198)</f>
        <v>0.39554100994819802</v>
      </c>
      <c r="U2" s="17">
        <f ca="1">IFERROR(__xludf.DUMMYFUNCTION("""COMPUTED_VALUE"""),0.145839912761035)</f>
        <v>0.145839912761035</v>
      </c>
      <c r="V2" s="17">
        <f ca="1">IFERROR(__xludf.DUMMYFUNCTION("""COMPUTED_VALUE"""),0.0744790841433581)</f>
        <v>7.4479084143358104E-2</v>
      </c>
      <c r="W2" s="17">
        <f ca="1">IFERROR(__xludf.DUMMYFUNCTION("""COMPUTED_VALUE"""),0.103144300611892)</f>
        <v>0.103144300611892</v>
      </c>
      <c r="X2" s="17">
        <f ca="1">IFERROR(__xludf.DUMMYFUNCTION("""COMPUTED_VALUE"""),0.239809135193278)</f>
        <v>0.23980913519327801</v>
      </c>
      <c r="Y2" s="17">
        <f ca="1">IFERROR(__xludf.DUMMYFUNCTION("""COMPUTED_VALUE"""),0.102809166343415)</f>
        <v>0.102809166343415</v>
      </c>
      <c r="Z2" s="17">
        <f ca="1">IFERROR(__xludf.DUMMYFUNCTION("""COMPUTED_VALUE"""),0.148233282484176)</f>
        <v>0.148233282484176</v>
      </c>
      <c r="AA2" s="17">
        <f ca="1">IFERROR(__xludf.DUMMYFUNCTION("""COMPUTED_VALUE"""),0.0524111622047629)</f>
        <v>5.2411162204762898E-2</v>
      </c>
      <c r="AB2" s="17">
        <f ca="1">IFERROR(__xludf.DUMMYFUNCTION("""COMPUTED_VALUE"""),0.135954743612009)</f>
        <v>0.13595474361200899</v>
      </c>
      <c r="AC2" s="17">
        <f ca="1">IFERROR(__xludf.DUMMYFUNCTION("""COMPUTED_VALUE"""),0.380473261421417)</f>
        <v>0.38047326142141702</v>
      </c>
      <c r="AD2" s="17">
        <f ca="1">IFERROR(__xludf.DUMMYFUNCTION("""COMPUTED_VALUE"""),0.166789433260409)</f>
        <v>0.16678943326040899</v>
      </c>
      <c r="AE2" s="17">
        <f ca="1">IFERROR(__xludf.DUMMYFUNCTION("""COMPUTED_VALUE"""),0.998002809690341)</f>
        <v>0.99800280969034105</v>
      </c>
      <c r="AF2" s="17">
        <f ca="1">IFERROR(__xludf.DUMMYFUNCTION("""COMPUTED_VALUE"""),0.101639736877574)</f>
        <v>0.10163973687757399</v>
      </c>
      <c r="AG2" s="17">
        <f ca="1">IFERROR(__xludf.DUMMYFUNCTION("""COMPUTED_VALUE"""),0.396153777153781)</f>
        <v>0.39615377715378097</v>
      </c>
      <c r="AH2" s="17">
        <f ca="1">IFERROR(__xludf.DUMMYFUNCTION("""COMPUTED_VALUE"""),0.501609737353485)</f>
        <v>0.50160973735348502</v>
      </c>
      <c r="AI2" s="17">
        <f ca="1">IFERROR(__xludf.DUMMYFUNCTION("""COMPUTED_VALUE"""),0.436875989476219)</f>
        <v>0.43687598947621897</v>
      </c>
      <c r="AJ2" s="17">
        <f ca="1">IFERROR(__xludf.DUMMYFUNCTION("""COMPUTED_VALUE"""),0.278695816959603)</f>
        <v>0.27869581695960299</v>
      </c>
    </row>
    <row r="3" spans="2:36" ht="15.75" customHeight="1" x14ac:dyDescent="0.45">
      <c r="B3" s="10" t="str">
        <f ca="1">IFERROR(__xludf.DUMMYFUNCTION("""COMPUTED_VALUE"""),"Adiac")</f>
        <v>Adiac</v>
      </c>
      <c r="C3" s="10" t="str">
        <f ca="1">IFERROR(__xludf.DUMMYFUNCTION("""COMPUTED_VALUE"""),"aligned_series")</f>
        <v>aligned_series</v>
      </c>
      <c r="D3" s="10">
        <f ca="1">IFERROR(__xludf.DUMMYFUNCTION("""COMPUTED_VALUE"""),0.2)</f>
        <v>0.2</v>
      </c>
      <c r="E3" s="17">
        <f ca="1">IFERROR(__xludf.DUMMYFUNCTION("""COMPUTED_VALUE"""),0.82285322694554)</f>
        <v>0.82285322694553997</v>
      </c>
      <c r="F3" s="17">
        <f ca="1">IFERROR(__xludf.DUMMYFUNCTION("""COMPUTED_VALUE"""),0.0663340954952709)</f>
        <v>6.6334095495270903E-2</v>
      </c>
      <c r="G3" s="17">
        <f ca="1">IFERROR(__xludf.DUMMYFUNCTION("""COMPUTED_VALUE"""),0.0879461068908998)</f>
        <v>8.7946106890899794E-2</v>
      </c>
      <c r="H3" s="17">
        <f ca="1">IFERROR(__xludf.DUMMYFUNCTION("""COMPUTED_VALUE"""),0.0975799359741864)</f>
        <v>9.7579935974186405E-2</v>
      </c>
      <c r="I3" s="17">
        <f ca="1">IFERROR(__xludf.DUMMYFUNCTION("""COMPUTED_VALUE"""),0.0484702388967494)</f>
        <v>4.8470238896749403E-2</v>
      </c>
      <c r="J3" s="17">
        <f ca="1">IFERROR(__xludf.DUMMYFUNCTION("""COMPUTED_VALUE"""),1.56616474906496)</f>
        <v>1.5661647490649599</v>
      </c>
      <c r="K3" s="17" t="str">
        <f ca="1">IFERROR(__xludf.DUMMYFUNCTION("""COMPUTED_VALUE"""),"nan")</f>
        <v>nan</v>
      </c>
      <c r="L3" s="17">
        <f ca="1">IFERROR(__xludf.DUMMYFUNCTION("""COMPUTED_VALUE"""),0.0814789584360134)</f>
        <v>8.1478958436013396E-2</v>
      </c>
      <c r="M3" s="17">
        <f ca="1">IFERROR(__xludf.DUMMYFUNCTION("""COMPUTED_VALUE"""),0.0813065116704594)</f>
        <v>8.1306511670459394E-2</v>
      </c>
      <c r="N3" s="17">
        <f ca="1">IFERROR(__xludf.DUMMYFUNCTION("""COMPUTED_VALUE"""),0.0845645914183541)</f>
        <v>8.4564591418354096E-2</v>
      </c>
      <c r="O3" s="17">
        <f ca="1">IFERROR(__xludf.DUMMYFUNCTION("""COMPUTED_VALUE"""),0.440692269814862)</f>
        <v>0.44069226981486198</v>
      </c>
      <c r="P3" s="17">
        <f ca="1">IFERROR(__xludf.DUMMYFUNCTION("""COMPUTED_VALUE"""),0.809017375038695)</f>
        <v>0.80901737503869497</v>
      </c>
      <c r="Q3" s="17">
        <f ca="1">IFERROR(__xludf.DUMMYFUNCTION("""COMPUTED_VALUE"""),0.126132829210248)</f>
        <v>0.12613282921024799</v>
      </c>
      <c r="R3" s="17">
        <f ca="1">IFERROR(__xludf.DUMMYFUNCTION("""COMPUTED_VALUE"""),0.327817545416431)</f>
        <v>0.32781754541643099</v>
      </c>
      <c r="S3" s="17">
        <f ca="1">IFERROR(__xludf.DUMMYFUNCTION("""COMPUTED_VALUE"""),0.230373041496685)</f>
        <v>0.230373041496685</v>
      </c>
      <c r="T3" s="17">
        <f ca="1">IFERROR(__xludf.DUMMYFUNCTION("""COMPUTED_VALUE"""),0.431254144727353)</f>
        <v>0.43125414472735302</v>
      </c>
      <c r="U3" s="17">
        <f ca="1">IFERROR(__xludf.DUMMYFUNCTION("""COMPUTED_VALUE"""),0.130808167100643)</f>
        <v>0.130808167100643</v>
      </c>
      <c r="V3" s="17">
        <f ca="1">IFERROR(__xludf.DUMMYFUNCTION("""COMPUTED_VALUE"""),0.0845002149167924)</f>
        <v>8.4500214916792396E-2</v>
      </c>
      <c r="W3" s="17">
        <f ca="1">IFERROR(__xludf.DUMMYFUNCTION("""COMPUTED_VALUE"""),0.107672992014454)</f>
        <v>0.107672992014454</v>
      </c>
      <c r="X3" s="17">
        <f ca="1">IFERROR(__xludf.DUMMYFUNCTION("""COMPUTED_VALUE"""),0.331994555181316)</f>
        <v>0.33199455518131599</v>
      </c>
      <c r="Y3" s="17">
        <f ca="1">IFERROR(__xludf.DUMMYFUNCTION("""COMPUTED_VALUE"""),0.102648104062249)</f>
        <v>0.102648104062249</v>
      </c>
      <c r="Z3" s="17">
        <f ca="1">IFERROR(__xludf.DUMMYFUNCTION("""COMPUTED_VALUE"""),0.144713047339441)</f>
        <v>0.14471304733944099</v>
      </c>
      <c r="AA3" s="17">
        <f ca="1">IFERROR(__xludf.DUMMYFUNCTION("""COMPUTED_VALUE"""),0.04834243493308)</f>
        <v>4.8342434933079999E-2</v>
      </c>
      <c r="AB3" s="17">
        <f ca="1">IFERROR(__xludf.DUMMYFUNCTION("""COMPUTED_VALUE"""),0.164972344358531)</f>
        <v>0.164972344358531</v>
      </c>
      <c r="AC3" s="17">
        <f ca="1">IFERROR(__xludf.DUMMYFUNCTION("""COMPUTED_VALUE"""),0.318347951840548)</f>
        <v>0.31834795184054798</v>
      </c>
      <c r="AD3" s="17">
        <f ca="1">IFERROR(__xludf.DUMMYFUNCTION("""COMPUTED_VALUE"""),0.154545125612827)</f>
        <v>0.15454512561282699</v>
      </c>
      <c r="AE3" s="17">
        <f ca="1">IFERROR(__xludf.DUMMYFUNCTION("""COMPUTED_VALUE"""),0.998210765854607)</f>
        <v>0.998210765854607</v>
      </c>
      <c r="AF3" s="17">
        <f ca="1">IFERROR(__xludf.DUMMYFUNCTION("""COMPUTED_VALUE"""),0.0924003137164749)</f>
        <v>9.2400313716474905E-2</v>
      </c>
      <c r="AG3" s="17">
        <f ca="1">IFERROR(__xludf.DUMMYFUNCTION("""COMPUTED_VALUE"""),0.381499825111646)</f>
        <v>0.38149982511164598</v>
      </c>
      <c r="AH3" s="17">
        <f ca="1">IFERROR(__xludf.DUMMYFUNCTION("""COMPUTED_VALUE"""),0.501024845097731)</f>
        <v>0.50102484509773104</v>
      </c>
      <c r="AI3" s="17">
        <f ca="1">IFERROR(__xludf.DUMMYFUNCTION("""COMPUTED_VALUE"""),0.440492928923251)</f>
        <v>0.44049292892325098</v>
      </c>
      <c r="AJ3" s="17">
        <f ca="1">IFERROR(__xludf.DUMMYFUNCTION("""COMPUTED_VALUE"""),0.291257275025237)</f>
        <v>0.29125727502523702</v>
      </c>
    </row>
    <row r="4" spans="2:36" ht="15.75" customHeight="1" x14ac:dyDescent="0.45">
      <c r="B4" s="10" t="str">
        <f ca="1">IFERROR(__xludf.DUMMYFUNCTION("""COMPUTED_VALUE"""),"Adiac")</f>
        <v>Adiac</v>
      </c>
      <c r="C4" s="10" t="str">
        <f ca="1">IFERROR(__xludf.DUMMYFUNCTION("""COMPUTED_VALUE"""),"aligned_series")</f>
        <v>aligned_series</v>
      </c>
      <c r="D4" s="10">
        <f ca="1">IFERROR(__xludf.DUMMYFUNCTION("""COMPUTED_VALUE"""),0.4)</f>
        <v>0.4</v>
      </c>
      <c r="E4" s="17">
        <f ca="1">IFERROR(__xludf.DUMMYFUNCTION("""COMPUTED_VALUE"""),0.831327015236885)</f>
        <v>0.83132701523688501</v>
      </c>
      <c r="F4" s="17">
        <f ca="1">IFERROR(__xludf.DUMMYFUNCTION("""COMPUTED_VALUE"""),0.0661052309080559)</f>
        <v>6.6105230908055895E-2</v>
      </c>
      <c r="G4" s="17">
        <f ca="1">IFERROR(__xludf.DUMMYFUNCTION("""COMPUTED_VALUE"""),0.223462178793726)</f>
        <v>0.22346217879372601</v>
      </c>
      <c r="H4" s="17">
        <f ca="1">IFERROR(__xludf.DUMMYFUNCTION("""COMPUTED_VALUE"""),0.105774622138891)</f>
        <v>0.10577462213889099</v>
      </c>
      <c r="I4" s="17">
        <f ca="1">IFERROR(__xludf.DUMMYFUNCTION("""COMPUTED_VALUE"""),0.0558987194037875)</f>
        <v>5.5898719403787503E-2</v>
      </c>
      <c r="J4" s="17">
        <f ca="1">IFERROR(__xludf.DUMMYFUNCTION("""COMPUTED_VALUE"""),1.5908111572925)</f>
        <v>1.5908111572925001</v>
      </c>
      <c r="K4" s="17" t="str">
        <f ca="1">IFERROR(__xludf.DUMMYFUNCTION("""COMPUTED_VALUE"""),"nan")</f>
        <v>nan</v>
      </c>
      <c r="L4" s="17">
        <f ca="1">IFERROR(__xludf.DUMMYFUNCTION("""COMPUTED_VALUE"""),0.0798932990258621)</f>
        <v>7.9893299025862105E-2</v>
      </c>
      <c r="M4" s="17">
        <f ca="1">IFERROR(__xludf.DUMMYFUNCTION("""COMPUTED_VALUE"""),0.0571298606391161)</f>
        <v>5.7129860639116098E-2</v>
      </c>
      <c r="N4" s="17">
        <f ca="1">IFERROR(__xludf.DUMMYFUNCTION("""COMPUTED_VALUE"""),0.0887848540052003)</f>
        <v>8.8784854005200295E-2</v>
      </c>
      <c r="O4" s="17">
        <f ca="1">IFERROR(__xludf.DUMMYFUNCTION("""COMPUTED_VALUE"""),0.78200802833037)</f>
        <v>0.78200802833036998</v>
      </c>
      <c r="P4" s="17">
        <f ca="1">IFERROR(__xludf.DUMMYFUNCTION("""COMPUTED_VALUE"""),0.988263370980016)</f>
        <v>0.98826337098001604</v>
      </c>
      <c r="Q4" s="17">
        <f ca="1">IFERROR(__xludf.DUMMYFUNCTION("""COMPUTED_VALUE"""),0.121829091885402)</f>
        <v>0.121829091885402</v>
      </c>
      <c r="R4" s="17">
        <f ca="1">IFERROR(__xludf.DUMMYFUNCTION("""COMPUTED_VALUE"""),0.492105001898597)</f>
        <v>0.49210500189859702</v>
      </c>
      <c r="S4" s="17">
        <f ca="1">IFERROR(__xludf.DUMMYFUNCTION("""COMPUTED_VALUE"""),0.387387981972125)</f>
        <v>0.38738798197212498</v>
      </c>
      <c r="T4" s="17">
        <f ca="1">IFERROR(__xludf.DUMMYFUNCTION("""COMPUTED_VALUE"""),0.383878076829876)</f>
        <v>0.38387807682987601</v>
      </c>
      <c r="U4" s="17">
        <f ca="1">IFERROR(__xludf.DUMMYFUNCTION("""COMPUTED_VALUE"""),0.148917351664693)</f>
        <v>0.148917351664693</v>
      </c>
      <c r="V4" s="17">
        <f ca="1">IFERROR(__xludf.DUMMYFUNCTION("""COMPUTED_VALUE"""),0.118478315103838)</f>
        <v>0.11847831510383799</v>
      </c>
      <c r="W4" s="17">
        <f ca="1">IFERROR(__xludf.DUMMYFUNCTION("""COMPUTED_VALUE"""),0.117098568120091)</f>
        <v>0.11709856812009101</v>
      </c>
      <c r="X4" s="17">
        <f ca="1">IFERROR(__xludf.DUMMYFUNCTION("""COMPUTED_VALUE"""),0.912838676748488)</f>
        <v>0.91283867674848795</v>
      </c>
      <c r="Y4" s="17">
        <f ca="1">IFERROR(__xludf.DUMMYFUNCTION("""COMPUTED_VALUE"""),0.110018211811028)</f>
        <v>0.110018211811028</v>
      </c>
      <c r="Z4" s="17">
        <f ca="1">IFERROR(__xludf.DUMMYFUNCTION("""COMPUTED_VALUE"""),0.1580939807491)</f>
        <v>0.1580939807491</v>
      </c>
      <c r="AA4" s="17">
        <f ca="1">IFERROR(__xludf.DUMMYFUNCTION("""COMPUTED_VALUE"""),0.051972620352728)</f>
        <v>5.1972620352727997E-2</v>
      </c>
      <c r="AB4" s="17">
        <f ca="1">IFERROR(__xludf.DUMMYFUNCTION("""COMPUTED_VALUE"""),0.506453940447559)</f>
        <v>0.50645394044755898</v>
      </c>
      <c r="AC4" s="17">
        <f ca="1">IFERROR(__xludf.DUMMYFUNCTION("""COMPUTED_VALUE"""),0.324022074320683)</f>
        <v>0.32402207432068297</v>
      </c>
      <c r="AD4" s="17">
        <f ca="1">IFERROR(__xludf.DUMMYFUNCTION("""COMPUTED_VALUE"""),0.161075360512522)</f>
        <v>0.161075360512522</v>
      </c>
      <c r="AE4" s="17">
        <f ca="1">IFERROR(__xludf.DUMMYFUNCTION("""COMPUTED_VALUE"""),1.00200236741071)</f>
        <v>1.0020023674107099</v>
      </c>
      <c r="AF4" s="17">
        <f ca="1">IFERROR(__xludf.DUMMYFUNCTION("""COMPUTED_VALUE"""),0.10606013140641)</f>
        <v>0.10606013140641</v>
      </c>
      <c r="AG4" s="17">
        <f ca="1">IFERROR(__xludf.DUMMYFUNCTION("""COMPUTED_VALUE"""),0.405415975009702)</f>
        <v>0.405415975009702</v>
      </c>
      <c r="AH4" s="17">
        <f ca="1">IFERROR(__xludf.DUMMYFUNCTION("""COMPUTED_VALUE"""),0.500738015229128)</f>
        <v>0.50073801522912798</v>
      </c>
      <c r="AI4" s="17">
        <f ca="1">IFERROR(__xludf.DUMMYFUNCTION("""COMPUTED_VALUE"""),0.443085097428542)</f>
        <v>0.44308509742854202</v>
      </c>
      <c r="AJ4" s="17">
        <f ca="1">IFERROR(__xludf.DUMMYFUNCTION("""COMPUTED_VALUE"""),0.318796779664338)</f>
        <v>0.318796779664338</v>
      </c>
    </row>
    <row r="5" spans="2:36" ht="15.75" customHeight="1" x14ac:dyDescent="0.45">
      <c r="B5" s="10" t="str">
        <f ca="1">IFERROR(__xludf.DUMMYFUNCTION("""COMPUTED_VALUE"""),"Adiac")</f>
        <v>Adiac</v>
      </c>
      <c r="C5" s="10" t="str">
        <f ca="1">IFERROR(__xludf.DUMMYFUNCTION("""COMPUTED_VALUE"""),"aligned_series")</f>
        <v>aligned_series</v>
      </c>
      <c r="D5" s="10">
        <f ca="1">IFERROR(__xludf.DUMMYFUNCTION("""COMPUTED_VALUE"""),0.6)</f>
        <v>0.6</v>
      </c>
      <c r="E5" s="17">
        <f ca="1">IFERROR(__xludf.DUMMYFUNCTION("""COMPUTED_VALUE"""),0.839852633313198)</f>
        <v>0.83985263331319804</v>
      </c>
      <c r="F5" s="17">
        <f ca="1">IFERROR(__xludf.DUMMYFUNCTION("""COMPUTED_VALUE"""),0.0899914600417164)</f>
        <v>8.9991460041716403E-2</v>
      </c>
      <c r="G5" s="17">
        <f ca="1">IFERROR(__xludf.DUMMYFUNCTION("""COMPUTED_VALUE"""),0.419374770642909)</f>
        <v>0.41937477064290901</v>
      </c>
      <c r="H5" s="17">
        <f ca="1">IFERROR(__xludf.DUMMYFUNCTION("""COMPUTED_VALUE"""),0.178763118612088)</f>
        <v>0.17876311861208799</v>
      </c>
      <c r="I5" s="17">
        <f ca="1">IFERROR(__xludf.DUMMYFUNCTION("""COMPUTED_VALUE"""),0.136710883029058)</f>
        <v>0.13671088302905801</v>
      </c>
      <c r="J5" s="17">
        <f ca="1">IFERROR(__xludf.DUMMYFUNCTION("""COMPUTED_VALUE"""),1.63152860992633)</f>
        <v>1.63152860992633</v>
      </c>
      <c r="K5" s="17" t="str">
        <f ca="1">IFERROR(__xludf.DUMMYFUNCTION("""COMPUTED_VALUE"""),"nan")</f>
        <v>nan</v>
      </c>
      <c r="L5" s="17">
        <f ca="1">IFERROR(__xludf.DUMMYFUNCTION("""COMPUTED_VALUE"""),0.114593576707888)</f>
        <v>0.114593576707888</v>
      </c>
      <c r="M5" s="17">
        <f ca="1">IFERROR(__xludf.DUMMYFUNCTION("""COMPUTED_VALUE"""),0.0868507531935469)</f>
        <v>8.6850753193546903E-2</v>
      </c>
      <c r="N5" s="17">
        <f ca="1">IFERROR(__xludf.DUMMYFUNCTION("""COMPUTED_VALUE"""),0.101956896046357)</f>
        <v>0.10195689604635701</v>
      </c>
      <c r="O5" s="17">
        <f ca="1">IFERROR(__xludf.DUMMYFUNCTION("""COMPUTED_VALUE"""),0.691540963324375)</f>
        <v>0.69154096332437498</v>
      </c>
      <c r="P5" s="17">
        <f ca="1">IFERROR(__xludf.DUMMYFUNCTION("""COMPUTED_VALUE"""),1.0609530619395)</f>
        <v>1.0609530619395</v>
      </c>
      <c r="Q5" s="17">
        <f ca="1">IFERROR(__xludf.DUMMYFUNCTION("""COMPUTED_VALUE"""),0.542194236124064)</f>
        <v>0.54219423612406403</v>
      </c>
      <c r="R5" s="17">
        <f ca="1">IFERROR(__xludf.DUMMYFUNCTION("""COMPUTED_VALUE"""),0.694801490621305)</f>
        <v>0.69480149062130503</v>
      </c>
      <c r="S5" s="17">
        <f ca="1">IFERROR(__xludf.DUMMYFUNCTION("""COMPUTED_VALUE"""),0.534846116427813)</f>
        <v>0.53484611642781299</v>
      </c>
      <c r="T5" s="17">
        <f ca="1">IFERROR(__xludf.DUMMYFUNCTION("""COMPUTED_VALUE"""),0.323690907150007)</f>
        <v>0.32369090715000698</v>
      </c>
      <c r="U5" s="17">
        <f ca="1">IFERROR(__xludf.DUMMYFUNCTION("""COMPUTED_VALUE"""),0.151170976062324)</f>
        <v>0.15117097606232399</v>
      </c>
      <c r="V5" s="17">
        <f ca="1">IFERROR(__xludf.DUMMYFUNCTION("""COMPUTED_VALUE"""),0.15240945725467)</f>
        <v>0.15240945725467001</v>
      </c>
      <c r="W5" s="17">
        <f ca="1">IFERROR(__xludf.DUMMYFUNCTION("""COMPUTED_VALUE"""),0.122090823813315)</f>
        <v>0.122090823813315</v>
      </c>
      <c r="X5" s="17">
        <f ca="1">IFERROR(__xludf.DUMMYFUNCTION("""COMPUTED_VALUE"""),0.206670785213705)</f>
        <v>0.20667078521370499</v>
      </c>
      <c r="Y5" s="17">
        <f ca="1">IFERROR(__xludf.DUMMYFUNCTION("""COMPUTED_VALUE"""),0.157008638228728)</f>
        <v>0.15700863822872799</v>
      </c>
      <c r="Z5" s="17">
        <f ca="1">IFERROR(__xludf.DUMMYFUNCTION("""COMPUTED_VALUE"""),0.19763652380264)</f>
        <v>0.19763652380263999</v>
      </c>
      <c r="AA5" s="17">
        <f ca="1">IFERROR(__xludf.DUMMYFUNCTION("""COMPUTED_VALUE"""),0.0487617273698448)</f>
        <v>4.8761727369844798E-2</v>
      </c>
      <c r="AB5" s="17">
        <f ca="1">IFERROR(__xludf.DUMMYFUNCTION("""COMPUTED_VALUE"""),1.1228047430775)</f>
        <v>1.1228047430774999</v>
      </c>
      <c r="AC5" s="17">
        <f ca="1">IFERROR(__xludf.DUMMYFUNCTION("""COMPUTED_VALUE"""),0.404808666661749)</f>
        <v>0.40480866666174897</v>
      </c>
      <c r="AD5" s="17">
        <f ca="1">IFERROR(__xludf.DUMMYFUNCTION("""COMPUTED_VALUE"""),0.231473975050021)</f>
        <v>0.23147397505002101</v>
      </c>
      <c r="AE5" s="17">
        <f ca="1">IFERROR(__xludf.DUMMYFUNCTION("""COMPUTED_VALUE"""),1.01278164848763)</f>
        <v>1.01278164848763</v>
      </c>
      <c r="AF5" s="17">
        <f ca="1">IFERROR(__xludf.DUMMYFUNCTION("""COMPUTED_VALUE"""),0.140354046387653)</f>
        <v>0.140354046387653</v>
      </c>
      <c r="AG5" s="17">
        <f ca="1">IFERROR(__xludf.DUMMYFUNCTION("""COMPUTED_VALUE"""),0.345559269027631)</f>
        <v>0.34555926902763101</v>
      </c>
      <c r="AH5" s="17">
        <f ca="1">IFERROR(__xludf.DUMMYFUNCTION("""COMPUTED_VALUE"""),0.50110612581172)</f>
        <v>0.50110612581171998</v>
      </c>
      <c r="AI5" s="17">
        <f ca="1">IFERROR(__xludf.DUMMYFUNCTION("""COMPUTED_VALUE"""),0.444118431177969)</f>
        <v>0.44411843117796901</v>
      </c>
      <c r="AJ5" s="17">
        <f ca="1">IFERROR(__xludf.DUMMYFUNCTION("""COMPUTED_VALUE"""),0.349165152738031)</f>
        <v>0.349165152738031</v>
      </c>
    </row>
    <row r="6" spans="2:36" ht="15.75" customHeight="1" x14ac:dyDescent="0.45">
      <c r="B6" s="10" t="str">
        <f ca="1">IFERROR(__xludf.DUMMYFUNCTION("""COMPUTED_VALUE"""),"Adiac")</f>
        <v>Adiac</v>
      </c>
      <c r="C6" s="10" t="str">
        <f ca="1">IFERROR(__xludf.DUMMYFUNCTION("""COMPUTED_VALUE"""),"aligned_series")</f>
        <v>aligned_series</v>
      </c>
      <c r="D6" s="10">
        <f ca="1">IFERROR(__xludf.DUMMYFUNCTION("""COMPUTED_VALUE"""),0.8)</f>
        <v>0.8</v>
      </c>
      <c r="E6" s="17">
        <f ca="1">IFERROR(__xludf.DUMMYFUNCTION("""COMPUTED_VALUE"""),0.850473832501241)</f>
        <v>0.85047383250124098</v>
      </c>
      <c r="F6" s="17">
        <f ca="1">IFERROR(__xludf.DUMMYFUNCTION("""COMPUTED_VALUE"""),0.198885823019518)</f>
        <v>0.19888582301951799</v>
      </c>
      <c r="G6" s="17">
        <f ca="1">IFERROR(__xludf.DUMMYFUNCTION("""COMPUTED_VALUE"""),0.645485403880714)</f>
        <v>0.64548540388071396</v>
      </c>
      <c r="H6" s="17">
        <f ca="1">IFERROR(__xludf.DUMMYFUNCTION("""COMPUTED_VALUE"""),100)</f>
        <v>100</v>
      </c>
      <c r="I6" s="17">
        <f ca="1">IFERROR(__xludf.DUMMYFUNCTION("""COMPUTED_VALUE"""),0.404860632703881)</f>
        <v>0.40486063270388101</v>
      </c>
      <c r="J6" s="17">
        <f ca="1">IFERROR(__xludf.DUMMYFUNCTION("""COMPUTED_VALUE"""),1.6375316365936)</f>
        <v>1.6375316365935999</v>
      </c>
      <c r="K6" s="17" t="str">
        <f ca="1">IFERROR(__xludf.DUMMYFUNCTION("""COMPUTED_VALUE"""),"nan")</f>
        <v>nan</v>
      </c>
      <c r="L6" s="17">
        <f ca="1">IFERROR(__xludf.DUMMYFUNCTION("""COMPUTED_VALUE"""),0.233364596600357)</f>
        <v>0.23336459660035699</v>
      </c>
      <c r="M6" s="17">
        <f ca="1">IFERROR(__xludf.DUMMYFUNCTION("""COMPUTED_VALUE"""),0.180071706208463)</f>
        <v>0.18007170620846299</v>
      </c>
      <c r="N6" s="17">
        <f ca="1">IFERROR(__xludf.DUMMYFUNCTION("""COMPUTED_VALUE"""),0.131531750689102)</f>
        <v>0.131531750689102</v>
      </c>
      <c r="O6" s="17">
        <f ca="1">IFERROR(__xludf.DUMMYFUNCTION("""COMPUTED_VALUE"""),0.959784985073252)</f>
        <v>0.95978498507325205</v>
      </c>
      <c r="P6" s="17">
        <f ca="1">IFERROR(__xludf.DUMMYFUNCTION("""COMPUTED_VALUE"""),1.10531767098958)</f>
        <v>1.10531767098958</v>
      </c>
      <c r="Q6" s="17">
        <f ca="1">IFERROR(__xludf.DUMMYFUNCTION("""COMPUTED_VALUE"""),0.75493823352439)</f>
        <v>0.75493823352439005</v>
      </c>
      <c r="R6" s="17">
        <f ca="1">IFERROR(__xludf.DUMMYFUNCTION("""COMPUTED_VALUE"""),0.788109294765669)</f>
        <v>0.78810929476566904</v>
      </c>
      <c r="S6" s="17">
        <f ca="1">IFERROR(__xludf.DUMMYFUNCTION("""COMPUTED_VALUE"""),0.703626828738192)</f>
        <v>0.70362682873819204</v>
      </c>
      <c r="T6" s="17">
        <f ca="1">IFERROR(__xludf.DUMMYFUNCTION("""COMPUTED_VALUE"""),0.395958285213158)</f>
        <v>0.39595828521315801</v>
      </c>
      <c r="U6" s="17">
        <f ca="1">IFERROR(__xludf.DUMMYFUNCTION("""COMPUTED_VALUE"""),0.209720246429744)</f>
        <v>0.20972024642974399</v>
      </c>
      <c r="V6" s="17">
        <f ca="1">IFERROR(__xludf.DUMMYFUNCTION("""COMPUTED_VALUE"""),0.208554202921181)</f>
        <v>0.20855420292118099</v>
      </c>
      <c r="W6" s="17">
        <f ca="1">IFERROR(__xludf.DUMMYFUNCTION("""COMPUTED_VALUE"""),0.133807347522376)</f>
        <v>0.133807347522376</v>
      </c>
      <c r="X6" s="17">
        <f ca="1">IFERROR(__xludf.DUMMYFUNCTION("""COMPUTED_VALUE"""),0.215921877217637)</f>
        <v>0.215921877217637</v>
      </c>
      <c r="Y6" s="17">
        <f ca="1">IFERROR(__xludf.DUMMYFUNCTION("""COMPUTED_VALUE"""),0.224736206232965)</f>
        <v>0.224736206232965</v>
      </c>
      <c r="Z6" s="17">
        <f ca="1">IFERROR(__xludf.DUMMYFUNCTION("""COMPUTED_VALUE"""),0.331255289595749)</f>
        <v>0.33125528959574901</v>
      </c>
      <c r="AA6" s="17">
        <f ca="1">IFERROR(__xludf.DUMMYFUNCTION("""COMPUTED_VALUE"""),0.0991039929781914)</f>
        <v>9.9103992978191405E-2</v>
      </c>
      <c r="AB6" s="17">
        <f ca="1">IFERROR(__xludf.DUMMYFUNCTION("""COMPUTED_VALUE"""),1.45381710674784)</f>
        <v>1.45381710674784</v>
      </c>
      <c r="AC6" s="17">
        <f ca="1">IFERROR(__xludf.DUMMYFUNCTION("""COMPUTED_VALUE"""),0.496183326758971)</f>
        <v>0.49618332675897098</v>
      </c>
      <c r="AD6" s="17">
        <f ca="1">IFERROR(__xludf.DUMMYFUNCTION("""COMPUTED_VALUE"""),0.430322341307594)</f>
        <v>0.430322341307594</v>
      </c>
      <c r="AE6" s="17">
        <f ca="1">IFERROR(__xludf.DUMMYFUNCTION("""COMPUTED_VALUE"""),1.01282111216501)</f>
        <v>1.0128211121650099</v>
      </c>
      <c r="AF6" s="17">
        <f ca="1">IFERROR(__xludf.DUMMYFUNCTION("""COMPUTED_VALUE"""),0.359348357803942)</f>
        <v>0.35934835780394198</v>
      </c>
      <c r="AG6" s="17">
        <f ca="1">IFERROR(__xludf.DUMMYFUNCTION("""COMPUTED_VALUE"""),0.4237491685762)</f>
        <v>0.42374916857619999</v>
      </c>
      <c r="AH6" s="17">
        <f ca="1">IFERROR(__xludf.DUMMYFUNCTION("""COMPUTED_VALUE"""),0.501715317207935)</f>
        <v>0.50171531720793505</v>
      </c>
      <c r="AI6" s="17">
        <f ca="1">IFERROR(__xludf.DUMMYFUNCTION("""COMPUTED_VALUE"""),0.443233900087681)</f>
        <v>0.44323390008768099</v>
      </c>
      <c r="AJ6" s="17">
        <f ca="1">IFERROR(__xludf.DUMMYFUNCTION("""COMPUTED_VALUE"""),0.530416154011276)</f>
        <v>0.53041615401127595</v>
      </c>
    </row>
    <row r="7" spans="2:36" ht="15.75" customHeight="1" x14ac:dyDescent="0.45">
      <c r="B7" s="10" t="str">
        <f ca="1">IFERROR(__xludf.DUMMYFUNCTION("""COMPUTED_VALUE"""),"Adiac")</f>
        <v>Adiac</v>
      </c>
      <c r="C7" s="10" t="str">
        <f ca="1">IFERROR(__xludf.DUMMYFUNCTION("""COMPUTED_VALUE"""),"aligned_timestamps")</f>
        <v>aligned_timestamps</v>
      </c>
      <c r="D7" s="10">
        <f ca="1">IFERROR(__xludf.DUMMYFUNCTION("""COMPUTED_VALUE"""),0.1)</f>
        <v>0.1</v>
      </c>
      <c r="E7" s="17">
        <f ca="1">IFERROR(__xludf.DUMMYFUNCTION("""COMPUTED_VALUE"""),0.568249500117299)</f>
        <v>0.56824950011729902</v>
      </c>
      <c r="F7" s="17">
        <f ca="1">IFERROR(__xludf.DUMMYFUNCTION("""COMPUTED_VALUE"""),0.0637543283619518)</f>
        <v>6.3754328361951801E-2</v>
      </c>
      <c r="G7" s="17">
        <f ca="1">IFERROR(__xludf.DUMMYFUNCTION("""COMPUTED_VALUE"""),0.0600597939998004)</f>
        <v>6.0059793999800402E-2</v>
      </c>
      <c r="H7" s="17">
        <f ca="1">IFERROR(__xludf.DUMMYFUNCTION("""COMPUTED_VALUE"""),0.103741838368065)</f>
        <v>0.103741838368065</v>
      </c>
      <c r="I7" s="17">
        <f ca="1">IFERROR(__xludf.DUMMYFUNCTION("""COMPUTED_VALUE"""),0.0479526115876781)</f>
        <v>4.79526115876781E-2</v>
      </c>
      <c r="J7" s="17">
        <f ca="1">IFERROR(__xludf.DUMMYFUNCTION("""COMPUTED_VALUE"""),0.6773765796701)</f>
        <v>0.67737657967010001</v>
      </c>
      <c r="K7" s="17" t="str">
        <f ca="1">IFERROR(__xludf.DUMMYFUNCTION("""COMPUTED_VALUE"""),"nan")</f>
        <v>nan</v>
      </c>
      <c r="L7" s="17">
        <f ca="1">IFERROR(__xludf.DUMMYFUNCTION("""COMPUTED_VALUE"""),0.0874596747376437)</f>
        <v>8.7459674737643697E-2</v>
      </c>
      <c r="M7" s="17">
        <f ca="1">IFERROR(__xludf.DUMMYFUNCTION("""COMPUTED_VALUE"""),0.052612844458973)</f>
        <v>5.2612844458972997E-2</v>
      </c>
      <c r="N7" s="17">
        <f ca="1">IFERROR(__xludf.DUMMYFUNCTION("""COMPUTED_VALUE"""),0.111221878851747)</f>
        <v>0.111221878851747</v>
      </c>
      <c r="O7" s="17">
        <f ca="1">IFERROR(__xludf.DUMMYFUNCTION("""COMPUTED_VALUE"""),0.0527994988280248)</f>
        <v>5.2799498828024802E-2</v>
      </c>
      <c r="P7" s="17">
        <f ca="1">IFERROR(__xludf.DUMMYFUNCTION("""COMPUTED_VALUE"""),0.395538320205123)</f>
        <v>0.39553832020512297</v>
      </c>
      <c r="Q7" s="17">
        <f ca="1">IFERROR(__xludf.DUMMYFUNCTION("""COMPUTED_VALUE"""),0.141337002835096)</f>
        <v>0.14133700283509601</v>
      </c>
      <c r="R7" s="17">
        <f ca="1">IFERROR(__xludf.DUMMYFUNCTION("""COMPUTED_VALUE"""),0.218017545346225)</f>
        <v>0.218017545346225</v>
      </c>
      <c r="S7" s="17">
        <f ca="1">IFERROR(__xludf.DUMMYFUNCTION("""COMPUTED_VALUE"""),0.173118129966035)</f>
        <v>0.17311812996603501</v>
      </c>
      <c r="T7" s="17">
        <f ca="1">IFERROR(__xludf.DUMMYFUNCTION("""COMPUTED_VALUE"""),0.211012981605697)</f>
        <v>0.21101298160569701</v>
      </c>
      <c r="U7" s="17">
        <f ca="1">IFERROR(__xludf.DUMMYFUNCTION("""COMPUTED_VALUE"""),0.111330001148487)</f>
        <v>0.111330001148487</v>
      </c>
      <c r="V7" s="17">
        <f ca="1">IFERROR(__xludf.DUMMYFUNCTION("""COMPUTED_VALUE"""),0.0819121602725899)</f>
        <v>8.1912160272589907E-2</v>
      </c>
      <c r="W7" s="17">
        <f ca="1">IFERROR(__xludf.DUMMYFUNCTION("""COMPUTED_VALUE"""),0.116975929517824)</f>
        <v>0.116975929517824</v>
      </c>
      <c r="X7" s="17">
        <f ca="1">IFERROR(__xludf.DUMMYFUNCTION("""COMPUTED_VALUE"""),0.524109395612866)</f>
        <v>0.52410939561286596</v>
      </c>
      <c r="Y7" s="17">
        <f ca="1">IFERROR(__xludf.DUMMYFUNCTION("""COMPUTED_VALUE"""),0.115435508005997)</f>
        <v>0.115435508005997</v>
      </c>
      <c r="Z7" s="17">
        <f ca="1">IFERROR(__xludf.DUMMYFUNCTION("""COMPUTED_VALUE"""),0.0969307580414604)</f>
        <v>9.6930758041460396E-2</v>
      </c>
      <c r="AA7" s="17">
        <f ca="1">IFERROR(__xludf.DUMMYFUNCTION("""COMPUTED_VALUE"""),0.0363575736371316)</f>
        <v>3.6357573637131602E-2</v>
      </c>
      <c r="AB7" s="17">
        <f ca="1">IFERROR(__xludf.DUMMYFUNCTION("""COMPUTED_VALUE"""),0.163435438202531)</f>
        <v>0.16343543820253101</v>
      </c>
      <c r="AC7" s="17">
        <f ca="1">IFERROR(__xludf.DUMMYFUNCTION("""COMPUTED_VALUE"""),0.29550749021731)</f>
        <v>0.29550749021730999</v>
      </c>
      <c r="AD7" s="17">
        <f ca="1">IFERROR(__xludf.DUMMYFUNCTION("""COMPUTED_VALUE"""),0.111667644529418)</f>
        <v>0.11166764452941801</v>
      </c>
      <c r="AE7" s="17">
        <f ca="1">IFERROR(__xludf.DUMMYFUNCTION("""COMPUTED_VALUE"""),0.266737553848001)</f>
        <v>0.26673755384800102</v>
      </c>
      <c r="AF7" s="17">
        <f ca="1">IFERROR(__xludf.DUMMYFUNCTION("""COMPUTED_VALUE"""),0.06295685997856)</f>
        <v>6.2956859978560001E-2</v>
      </c>
      <c r="AG7" s="17">
        <f ca="1">IFERROR(__xludf.DUMMYFUNCTION("""COMPUTED_VALUE"""),0.203127732098779)</f>
        <v>0.20312773209877899</v>
      </c>
      <c r="AH7" s="17">
        <f ca="1">IFERROR(__xludf.DUMMYFUNCTION("""COMPUTED_VALUE"""),0.354886517009518)</f>
        <v>0.35488651700951801</v>
      </c>
      <c r="AI7" s="17">
        <f ca="1">IFERROR(__xludf.DUMMYFUNCTION("""COMPUTED_VALUE"""),0.0970462494923694)</f>
        <v>9.7046249492369396E-2</v>
      </c>
      <c r="AJ7" s="17">
        <f ca="1">IFERROR(__xludf.DUMMYFUNCTION("""COMPUTED_VALUE"""),0.100052923313699)</f>
        <v>0.100052923313699</v>
      </c>
    </row>
    <row r="8" spans="2:36" ht="15.75" customHeight="1" x14ac:dyDescent="0.45">
      <c r="B8" s="10" t="str">
        <f ca="1">IFERROR(__xludf.DUMMYFUNCTION("""COMPUTED_VALUE"""),"Adiac")</f>
        <v>Adiac</v>
      </c>
      <c r="C8" s="10" t="str">
        <f ca="1">IFERROR(__xludf.DUMMYFUNCTION("""COMPUTED_VALUE"""),"aligned_timestamps")</f>
        <v>aligned_timestamps</v>
      </c>
      <c r="D8" s="10">
        <f ca="1">IFERROR(__xludf.DUMMYFUNCTION("""COMPUTED_VALUE"""),0.2)</f>
        <v>0.2</v>
      </c>
      <c r="E8" s="17">
        <f ca="1">IFERROR(__xludf.DUMMYFUNCTION("""COMPUTED_VALUE"""),0.82285322694554)</f>
        <v>0.82285322694553997</v>
      </c>
      <c r="F8" s="17">
        <f ca="1">IFERROR(__xludf.DUMMYFUNCTION("""COMPUTED_VALUE"""),0.0663340954952709)</f>
        <v>6.6334095495270903E-2</v>
      </c>
      <c r="G8" s="17">
        <f ca="1">IFERROR(__xludf.DUMMYFUNCTION("""COMPUTED_VALUE"""),0.0879461068908998)</f>
        <v>8.7946106890899794E-2</v>
      </c>
      <c r="H8" s="17">
        <f ca="1">IFERROR(__xludf.DUMMYFUNCTION("""COMPUTED_VALUE"""),0.0975799359741864)</f>
        <v>9.7579935974186405E-2</v>
      </c>
      <c r="I8" s="17">
        <f ca="1">IFERROR(__xludf.DUMMYFUNCTION("""COMPUTED_VALUE"""),0.0484702388967494)</f>
        <v>4.8470238896749403E-2</v>
      </c>
      <c r="J8" s="17">
        <f ca="1">IFERROR(__xludf.DUMMYFUNCTION("""COMPUTED_VALUE"""),1.56616474906496)</f>
        <v>1.5661647490649599</v>
      </c>
      <c r="K8" s="17" t="str">
        <f ca="1">IFERROR(__xludf.DUMMYFUNCTION("""COMPUTED_VALUE"""),"nan")</f>
        <v>nan</v>
      </c>
      <c r="L8" s="17">
        <f ca="1">IFERROR(__xludf.DUMMYFUNCTION("""COMPUTED_VALUE"""),0.0814789584360134)</f>
        <v>8.1478958436013396E-2</v>
      </c>
      <c r="M8" s="17">
        <f ca="1">IFERROR(__xludf.DUMMYFUNCTION("""COMPUTED_VALUE"""),0.0813065116704594)</f>
        <v>8.1306511670459394E-2</v>
      </c>
      <c r="N8" s="17">
        <f ca="1">IFERROR(__xludf.DUMMYFUNCTION("""COMPUTED_VALUE"""),0.0845645914183541)</f>
        <v>8.4564591418354096E-2</v>
      </c>
      <c r="O8" s="17">
        <f ca="1">IFERROR(__xludf.DUMMYFUNCTION("""COMPUTED_VALUE"""),0.440692269814862)</f>
        <v>0.44069226981486198</v>
      </c>
      <c r="P8" s="17">
        <f ca="1">IFERROR(__xludf.DUMMYFUNCTION("""COMPUTED_VALUE"""),0.809017375038695)</f>
        <v>0.80901737503869497</v>
      </c>
      <c r="Q8" s="17">
        <f ca="1">IFERROR(__xludf.DUMMYFUNCTION("""COMPUTED_VALUE"""),0.126132829210248)</f>
        <v>0.12613282921024799</v>
      </c>
      <c r="R8" s="17">
        <f ca="1">IFERROR(__xludf.DUMMYFUNCTION("""COMPUTED_VALUE"""),0.327817545416431)</f>
        <v>0.32781754541643099</v>
      </c>
      <c r="S8" s="17">
        <f ca="1">IFERROR(__xludf.DUMMYFUNCTION("""COMPUTED_VALUE"""),0.230373041496685)</f>
        <v>0.230373041496685</v>
      </c>
      <c r="T8" s="17">
        <f ca="1">IFERROR(__xludf.DUMMYFUNCTION("""COMPUTED_VALUE"""),0.431254144727353)</f>
        <v>0.43125414472735302</v>
      </c>
      <c r="U8" s="17">
        <f ca="1">IFERROR(__xludf.DUMMYFUNCTION("""COMPUTED_VALUE"""),0.130808167100643)</f>
        <v>0.130808167100643</v>
      </c>
      <c r="V8" s="17">
        <f ca="1">IFERROR(__xludf.DUMMYFUNCTION("""COMPUTED_VALUE"""),0.0845002149167924)</f>
        <v>8.4500214916792396E-2</v>
      </c>
      <c r="W8" s="17">
        <f ca="1">IFERROR(__xludf.DUMMYFUNCTION("""COMPUTED_VALUE"""),0.104653756680912)</f>
        <v>0.10465375668091199</v>
      </c>
      <c r="X8" s="17">
        <f ca="1">IFERROR(__xludf.DUMMYFUNCTION("""COMPUTED_VALUE"""),0.262002811962611)</f>
        <v>0.26200281196261099</v>
      </c>
      <c r="Y8" s="17">
        <f ca="1">IFERROR(__xludf.DUMMYFUNCTION("""COMPUTED_VALUE"""),0.102648104062249)</f>
        <v>0.102648104062249</v>
      </c>
      <c r="Z8" s="17">
        <f ca="1">IFERROR(__xludf.DUMMYFUNCTION("""COMPUTED_VALUE"""),0.144713047339441)</f>
        <v>0.14471304733944099</v>
      </c>
      <c r="AA8" s="17">
        <f ca="1">IFERROR(__xludf.DUMMYFUNCTION("""COMPUTED_VALUE"""),0.04834243493308)</f>
        <v>4.8342434933079999E-2</v>
      </c>
      <c r="AB8" s="17">
        <f ca="1">IFERROR(__xludf.DUMMYFUNCTION("""COMPUTED_VALUE"""),0.150361213379812)</f>
        <v>0.15036121337981201</v>
      </c>
      <c r="AC8" s="17">
        <f ca="1">IFERROR(__xludf.DUMMYFUNCTION("""COMPUTED_VALUE"""),0.318347951840548)</f>
        <v>0.31834795184054798</v>
      </c>
      <c r="AD8" s="17">
        <f ca="1">IFERROR(__xludf.DUMMYFUNCTION("""COMPUTED_VALUE"""),0.148684806054953)</f>
        <v>0.14868480605495299</v>
      </c>
      <c r="AE8" s="17">
        <f ca="1">IFERROR(__xludf.DUMMYFUNCTION("""COMPUTED_VALUE"""),1.00447688917771)</f>
        <v>1.0044768891777101</v>
      </c>
      <c r="AF8" s="17">
        <f ca="1">IFERROR(__xludf.DUMMYFUNCTION("""COMPUTED_VALUE"""),0.0924003137164749)</f>
        <v>9.2400313716474905E-2</v>
      </c>
      <c r="AG8" s="17">
        <f ca="1">IFERROR(__xludf.DUMMYFUNCTION("""COMPUTED_VALUE"""),0.392824462686057)</f>
        <v>0.39282446268605697</v>
      </c>
      <c r="AH8" s="17">
        <f ca="1">IFERROR(__xludf.DUMMYFUNCTION("""COMPUTED_VALUE"""),0.501024845097731)</f>
        <v>0.50102484509773104</v>
      </c>
      <c r="AI8" s="17">
        <f ca="1">IFERROR(__xludf.DUMMYFUNCTION("""COMPUTED_VALUE"""),0.440492928923251)</f>
        <v>0.44049292892325098</v>
      </c>
      <c r="AJ8" s="17">
        <f ca="1">IFERROR(__xludf.DUMMYFUNCTION("""COMPUTED_VALUE"""),0.292203329502468)</f>
        <v>0.29220332950246802</v>
      </c>
    </row>
    <row r="9" spans="2:36" ht="15.75" customHeight="1" x14ac:dyDescent="0.45">
      <c r="B9" s="10" t="str">
        <f ca="1">IFERROR(__xludf.DUMMYFUNCTION("""COMPUTED_VALUE"""),"Adiac")</f>
        <v>Adiac</v>
      </c>
      <c r="C9" s="10" t="str">
        <f ca="1">IFERROR(__xludf.DUMMYFUNCTION("""COMPUTED_VALUE"""),"aligned_timestamps")</f>
        <v>aligned_timestamps</v>
      </c>
      <c r="D9" s="10">
        <f ca="1">IFERROR(__xludf.DUMMYFUNCTION("""COMPUTED_VALUE"""),0.4)</f>
        <v>0.4</v>
      </c>
      <c r="E9" s="17">
        <f ca="1">IFERROR(__xludf.DUMMYFUNCTION("""COMPUTED_VALUE"""),0.844418731365875)</f>
        <v>0.84441873136587497</v>
      </c>
      <c r="F9" s="17">
        <f ca="1">IFERROR(__xludf.DUMMYFUNCTION("""COMPUTED_VALUE"""),0.0739388820673839)</f>
        <v>7.3938882067383901E-2</v>
      </c>
      <c r="G9" s="17">
        <f ca="1">IFERROR(__xludf.DUMMYFUNCTION("""COMPUTED_VALUE"""),0.189683938698948)</f>
        <v>0.18968393869894801</v>
      </c>
      <c r="H9" s="17">
        <f ca="1">IFERROR(__xludf.DUMMYFUNCTION("""COMPUTED_VALUE"""),0.105407009954527)</f>
        <v>0.105407009954527</v>
      </c>
      <c r="I9" s="17">
        <f ca="1">IFERROR(__xludf.DUMMYFUNCTION("""COMPUTED_VALUE"""),0.0660075715757951)</f>
        <v>6.6007571575795093E-2</v>
      </c>
      <c r="J9" s="17">
        <f ca="1">IFERROR(__xludf.DUMMYFUNCTION("""COMPUTED_VALUE"""),1.65452987258757)</f>
        <v>1.6545298725875699</v>
      </c>
      <c r="K9" s="17" t="str">
        <f ca="1">IFERROR(__xludf.DUMMYFUNCTION("""COMPUTED_VALUE"""),"nan")</f>
        <v>nan</v>
      </c>
      <c r="L9" s="17">
        <f ca="1">IFERROR(__xludf.DUMMYFUNCTION("""COMPUTED_VALUE"""),0.0889385827366557)</f>
        <v>8.8938582736655697E-2</v>
      </c>
      <c r="M9" s="17">
        <f ca="1">IFERROR(__xludf.DUMMYFUNCTION("""COMPUTED_VALUE"""),1.60044762152965)</f>
        <v>1.6004476215296499</v>
      </c>
      <c r="N9" s="17">
        <f ca="1">IFERROR(__xludf.DUMMYFUNCTION("""COMPUTED_VALUE"""),0.096230021900544)</f>
        <v>9.6230021900543999E-2</v>
      </c>
      <c r="O9" s="17">
        <f ca="1">IFERROR(__xludf.DUMMYFUNCTION("""COMPUTED_VALUE"""),0.864538673201037)</f>
        <v>0.86453867320103694</v>
      </c>
      <c r="P9" s="17">
        <f ca="1">IFERROR(__xludf.DUMMYFUNCTION("""COMPUTED_VALUE"""),0.915329048514857)</f>
        <v>0.91532904851485697</v>
      </c>
      <c r="Q9" s="17">
        <f ca="1">IFERROR(__xludf.DUMMYFUNCTION("""COMPUTED_VALUE"""),0.131007379299292)</f>
        <v>0.13100737929929199</v>
      </c>
      <c r="R9" s="17">
        <f ca="1">IFERROR(__xludf.DUMMYFUNCTION("""COMPUTED_VALUE"""),0.362061220179699)</f>
        <v>0.36206122017969899</v>
      </c>
      <c r="S9" s="17">
        <f ca="1">IFERROR(__xludf.DUMMYFUNCTION("""COMPUTED_VALUE"""),0.228041434419643)</f>
        <v>0.228041434419643</v>
      </c>
      <c r="T9" s="17">
        <f ca="1">IFERROR(__xludf.DUMMYFUNCTION("""COMPUTED_VALUE"""),0.495327912012109)</f>
        <v>0.49532791201210902</v>
      </c>
      <c r="U9" s="17">
        <f ca="1">IFERROR(__xludf.DUMMYFUNCTION("""COMPUTED_VALUE"""),0.34223344054226)</f>
        <v>0.34223344054226001</v>
      </c>
      <c r="V9" s="17">
        <f ca="1">IFERROR(__xludf.DUMMYFUNCTION("""COMPUTED_VALUE"""),0.235726152352919)</f>
        <v>0.23572615235291899</v>
      </c>
      <c r="W9" s="17">
        <f ca="1">IFERROR(__xludf.DUMMYFUNCTION("""COMPUTED_VALUE"""),0.113971727432832)</f>
        <v>0.113971727432832</v>
      </c>
      <c r="X9" s="17">
        <f ca="1">IFERROR(__xludf.DUMMYFUNCTION("""COMPUTED_VALUE"""),0.462774891060302)</f>
        <v>0.46277489106030201</v>
      </c>
      <c r="Y9" s="17">
        <f ca="1">IFERROR(__xludf.DUMMYFUNCTION("""COMPUTED_VALUE"""),0.125369159358379)</f>
        <v>0.125369159358379</v>
      </c>
      <c r="Z9" s="17">
        <f ca="1">IFERROR(__xludf.DUMMYFUNCTION("""COMPUTED_VALUE"""),0.71979951099891)</f>
        <v>0.71979951099891004</v>
      </c>
      <c r="AA9" s="17">
        <f ca="1">IFERROR(__xludf.DUMMYFUNCTION("""COMPUTED_VALUE"""),0.0793125763746148)</f>
        <v>7.9312576374614793E-2</v>
      </c>
      <c r="AB9" s="17">
        <f ca="1">IFERROR(__xludf.DUMMYFUNCTION("""COMPUTED_VALUE"""),0.178405549971633)</f>
        <v>0.17840554997163299</v>
      </c>
      <c r="AC9" s="17">
        <f ca="1">IFERROR(__xludf.DUMMYFUNCTION("""COMPUTED_VALUE"""),0.539266509522422)</f>
        <v>0.53926650952242206</v>
      </c>
      <c r="AD9" s="17">
        <f ca="1">IFERROR(__xludf.DUMMYFUNCTION("""COMPUTED_VALUE"""),0.353636092097436)</f>
        <v>0.35363609209743602</v>
      </c>
      <c r="AE9" s="17">
        <f ca="1">IFERROR(__xludf.DUMMYFUNCTION("""COMPUTED_VALUE"""),1.40160505197461)</f>
        <v>1.4016050519746099</v>
      </c>
      <c r="AF9" s="17">
        <f ca="1">IFERROR(__xludf.DUMMYFUNCTION("""COMPUTED_VALUE"""),0.233851079439503)</f>
        <v>0.23385107943950301</v>
      </c>
      <c r="AG9" s="17">
        <f ca="1">IFERROR(__xludf.DUMMYFUNCTION("""COMPUTED_VALUE"""),1.46915620891133)</f>
        <v>1.4691562089113299</v>
      </c>
      <c r="AH9" s="17">
        <f ca="1">IFERROR(__xludf.DUMMYFUNCTION("""COMPUTED_VALUE"""),1.46955874391104)</f>
        <v>1.46955874391104</v>
      </c>
      <c r="AI9" s="17">
        <f ca="1">IFERROR(__xludf.DUMMYFUNCTION("""COMPUTED_VALUE"""),1.47957219188082)</f>
        <v>1.47957219188082</v>
      </c>
      <c r="AJ9" s="17">
        <f ca="1">IFERROR(__xludf.DUMMYFUNCTION("""COMPUTED_VALUE"""),1.51942325751063)</f>
        <v>1.5194232575106299</v>
      </c>
    </row>
    <row r="10" spans="2:36" ht="15.75" customHeight="1" x14ac:dyDescent="0.45">
      <c r="B10" s="10" t="str">
        <f ca="1">IFERROR(__xludf.DUMMYFUNCTION("""COMPUTED_VALUE"""),"Adiac")</f>
        <v>Adiac</v>
      </c>
      <c r="C10" s="10" t="str">
        <f ca="1">IFERROR(__xludf.DUMMYFUNCTION("""COMPUTED_VALUE"""),"aligned_timestamps")</f>
        <v>aligned_timestamps</v>
      </c>
      <c r="D10" s="10">
        <f ca="1">IFERROR(__xludf.DUMMYFUNCTION("""COMPUTED_VALUE"""),0.6)</f>
        <v>0.6</v>
      </c>
      <c r="E10" s="17">
        <f ca="1">IFERROR(__xludf.DUMMYFUNCTION("""COMPUTED_VALUE"""),0.936426681791518)</f>
        <v>0.936426681791518</v>
      </c>
      <c r="F10" s="17">
        <f ca="1">IFERROR(__xludf.DUMMYFUNCTION("""COMPUTED_VALUE"""),0.101235127152592)</f>
        <v>0.101235127152592</v>
      </c>
      <c r="G10" s="17">
        <f ca="1">IFERROR(__xludf.DUMMYFUNCTION("""COMPUTED_VALUE"""),0.402597241249473)</f>
        <v>0.40259724124947299</v>
      </c>
      <c r="H10" s="17">
        <f ca="1">IFERROR(__xludf.DUMMYFUNCTION("""COMPUTED_VALUE"""),0.124434366170381)</f>
        <v>0.12443436617038101</v>
      </c>
      <c r="I10" s="17">
        <f ca="1">IFERROR(__xludf.DUMMYFUNCTION("""COMPUTED_VALUE"""),0.199158007356585)</f>
        <v>0.19915800735658501</v>
      </c>
      <c r="J10" s="17">
        <f ca="1">IFERROR(__xludf.DUMMYFUNCTION("""COMPUTED_VALUE"""),1.41677904699793)</f>
        <v>1.41677904699793</v>
      </c>
      <c r="K10" s="17" t="str">
        <f ca="1">IFERROR(__xludf.DUMMYFUNCTION("""COMPUTED_VALUE"""),"nan")</f>
        <v>nan</v>
      </c>
      <c r="L10" s="17">
        <f ca="1">IFERROR(__xludf.DUMMYFUNCTION("""COMPUTED_VALUE"""),0.112565327139394)</f>
        <v>0.112565327139394</v>
      </c>
      <c r="M10" s="17">
        <f ca="1">IFERROR(__xludf.DUMMYFUNCTION("""COMPUTED_VALUE"""),1.1957410180267)</f>
        <v>1.1957410180267001</v>
      </c>
      <c r="N10" s="17">
        <f ca="1">IFERROR(__xludf.DUMMYFUNCTION("""COMPUTED_VALUE"""),0.0963255911659456)</f>
        <v>9.6325591165945607E-2</v>
      </c>
      <c r="O10" s="17">
        <f ca="1">IFERROR(__xludf.DUMMYFUNCTION("""COMPUTED_VALUE"""),0.799714023703999)</f>
        <v>0.79971402370399902</v>
      </c>
      <c r="P10" s="17">
        <f ca="1">IFERROR(__xludf.DUMMYFUNCTION("""COMPUTED_VALUE"""),0.983819883350181)</f>
        <v>0.983819883350181</v>
      </c>
      <c r="Q10" s="17">
        <f ca="1">IFERROR(__xludf.DUMMYFUNCTION("""COMPUTED_VALUE"""),0.134591220231857)</f>
        <v>0.13459122023185699</v>
      </c>
      <c r="R10" s="17">
        <f ca="1">IFERROR(__xludf.DUMMYFUNCTION("""COMPUTED_VALUE"""),0.352768143304555)</f>
        <v>0.35276814330455503</v>
      </c>
      <c r="S10" s="17">
        <f ca="1">IFERROR(__xludf.DUMMYFUNCTION("""COMPUTED_VALUE"""),0.265405783420162)</f>
        <v>0.26540578342016202</v>
      </c>
      <c r="T10" s="17">
        <f ca="1">IFERROR(__xludf.DUMMYFUNCTION("""COMPUTED_VALUE"""),0.394015350182637)</f>
        <v>0.394015350182637</v>
      </c>
      <c r="U10" s="17">
        <f ca="1">IFERROR(__xludf.DUMMYFUNCTION("""COMPUTED_VALUE"""),0.234520856975178)</f>
        <v>0.23452085697517799</v>
      </c>
      <c r="V10" s="17">
        <f ca="1">IFERROR(__xludf.DUMMYFUNCTION("""COMPUTED_VALUE"""),0.209362589031385)</f>
        <v>0.20936258903138499</v>
      </c>
      <c r="W10" s="17">
        <f ca="1">IFERROR(__xludf.DUMMYFUNCTION("""COMPUTED_VALUE"""),0.255841038277911)</f>
        <v>0.25584103827791099</v>
      </c>
      <c r="X10" s="17">
        <f ca="1">IFERROR(__xludf.DUMMYFUNCTION("""COMPUTED_VALUE"""),0.195785601552373)</f>
        <v>0.19578560155237301</v>
      </c>
      <c r="Y10" s="17">
        <f ca="1">IFERROR(__xludf.DUMMYFUNCTION("""COMPUTED_VALUE"""),0.127157538007895)</f>
        <v>0.127157538007895</v>
      </c>
      <c r="Z10" s="17">
        <f ca="1">IFERROR(__xludf.DUMMYFUNCTION("""COMPUTED_VALUE"""),0.838394249658514)</f>
        <v>0.83839424965851395</v>
      </c>
      <c r="AA10" s="17">
        <f ca="1">IFERROR(__xludf.DUMMYFUNCTION("""COMPUTED_VALUE"""),0.143688492668229)</f>
        <v>0.143688492668229</v>
      </c>
      <c r="AB10" s="17">
        <f ca="1">IFERROR(__xludf.DUMMYFUNCTION("""COMPUTED_VALUE"""),0.235806967672039)</f>
        <v>0.23580696767203899</v>
      </c>
      <c r="AC10" s="17">
        <f ca="1">IFERROR(__xludf.DUMMYFUNCTION("""COMPUTED_VALUE"""),0.581959029207512)</f>
        <v>0.58195902920751197</v>
      </c>
      <c r="AD10" s="17">
        <f ca="1">IFERROR(__xludf.DUMMYFUNCTION("""COMPUTED_VALUE"""),0.320734367491042)</f>
        <v>0.32073436749104201</v>
      </c>
      <c r="AE10" s="17">
        <f ca="1">IFERROR(__xludf.DUMMYFUNCTION("""COMPUTED_VALUE"""),1.32151118234668)</f>
        <v>1.3215111823466801</v>
      </c>
      <c r="AF10" s="17">
        <f ca="1">IFERROR(__xludf.DUMMYFUNCTION("""COMPUTED_VALUE"""),0.163967591751942)</f>
        <v>0.163967591751942</v>
      </c>
      <c r="AG10" s="17">
        <f ca="1">IFERROR(__xludf.DUMMYFUNCTION("""COMPUTED_VALUE"""),1.09070240887316)</f>
        <v>1.0907024088731601</v>
      </c>
      <c r="AH10" s="17">
        <f ca="1">IFERROR(__xludf.DUMMYFUNCTION("""COMPUTED_VALUE"""),1.02929781665186)</f>
        <v>1.02929781665186</v>
      </c>
      <c r="AI10" s="17">
        <f ca="1">IFERROR(__xludf.DUMMYFUNCTION("""COMPUTED_VALUE"""),1.05690127160842)</f>
        <v>1.0569012716084201</v>
      </c>
      <c r="AJ10" s="17">
        <f ca="1">IFERROR(__xludf.DUMMYFUNCTION("""COMPUTED_VALUE"""),1.07606706899841)</f>
        <v>1.07606706899841</v>
      </c>
    </row>
    <row r="11" spans="2:36" ht="15.75" customHeight="1" x14ac:dyDescent="0.45">
      <c r="B11" s="10" t="str">
        <f ca="1">IFERROR(__xludf.DUMMYFUNCTION("""COMPUTED_VALUE"""),"Adiac")</f>
        <v>Adiac</v>
      </c>
      <c r="C11" s="10" t="str">
        <f ca="1">IFERROR(__xludf.DUMMYFUNCTION("""COMPUTED_VALUE"""),"aligned_timestamps")</f>
        <v>aligned_timestamps</v>
      </c>
      <c r="D11" s="10">
        <f ca="1">IFERROR(__xludf.DUMMYFUNCTION("""COMPUTED_VALUE"""),0.8)</f>
        <v>0.8</v>
      </c>
      <c r="E11" s="17">
        <f ca="1">IFERROR(__xludf.DUMMYFUNCTION("""COMPUTED_VALUE"""),0.987082052202452)</f>
        <v>0.98708205220245204</v>
      </c>
      <c r="F11" s="17">
        <f ca="1">IFERROR(__xludf.DUMMYFUNCTION("""COMPUTED_VALUE"""),0.158619128930919)</f>
        <v>0.15861912893091901</v>
      </c>
      <c r="G11" s="17">
        <f ca="1">IFERROR(__xludf.DUMMYFUNCTION("""COMPUTED_VALUE"""),0.692286241357211)</f>
        <v>0.69228624135721095</v>
      </c>
      <c r="H11" s="17">
        <f ca="1">IFERROR(__xludf.DUMMYFUNCTION("""COMPUTED_VALUE"""),0.131510099598296)</f>
        <v>0.13151009959829599</v>
      </c>
      <c r="I11" s="17">
        <f ca="1">IFERROR(__xludf.DUMMYFUNCTION("""COMPUTED_VALUE"""),0.484429583944557)</f>
        <v>0.48442958394455699</v>
      </c>
      <c r="J11" s="17">
        <f ca="1">IFERROR(__xludf.DUMMYFUNCTION("""COMPUTED_VALUE"""),1.64191688948166)</f>
        <v>1.64191688948166</v>
      </c>
      <c r="K11" s="17" t="str">
        <f ca="1">IFERROR(__xludf.DUMMYFUNCTION("""COMPUTED_VALUE"""),"nan")</f>
        <v>nan</v>
      </c>
      <c r="L11" s="17">
        <f ca="1">IFERROR(__xludf.DUMMYFUNCTION("""COMPUTED_VALUE"""),0.195286093408902)</f>
        <v>0.19528609340890199</v>
      </c>
      <c r="M11" s="17">
        <f ca="1">IFERROR(__xludf.DUMMYFUNCTION("""COMPUTED_VALUE"""),1.11996632634032)</f>
        <v>1.1199663263403199</v>
      </c>
      <c r="N11" s="17">
        <f ca="1">IFERROR(__xludf.DUMMYFUNCTION("""COMPUTED_VALUE"""),0.0958602474800856)</f>
        <v>9.5860247480085606E-2</v>
      </c>
      <c r="O11" s="17">
        <f ca="1">IFERROR(__xludf.DUMMYFUNCTION("""COMPUTED_VALUE"""),1.15149531907168)</f>
        <v>1.1514953190716799</v>
      </c>
      <c r="P11" s="17">
        <f ca="1">IFERROR(__xludf.DUMMYFUNCTION("""COMPUTED_VALUE"""),1.51112878148064)</f>
        <v>1.51112878148064</v>
      </c>
      <c r="Q11" s="17">
        <f ca="1">IFERROR(__xludf.DUMMYFUNCTION("""COMPUTED_VALUE"""),0.128980874304932)</f>
        <v>0.12898087430493199</v>
      </c>
      <c r="R11" s="17">
        <f ca="1">IFERROR(__xludf.DUMMYFUNCTION("""COMPUTED_VALUE"""),0.407517459948035)</f>
        <v>0.40751745994803501</v>
      </c>
      <c r="S11" s="17">
        <f ca="1">IFERROR(__xludf.DUMMYFUNCTION("""COMPUTED_VALUE"""),0.518823203568251)</f>
        <v>0.51882320356825096</v>
      </c>
      <c r="T11" s="17">
        <f ca="1">IFERROR(__xludf.DUMMYFUNCTION("""COMPUTED_VALUE"""),0.48969382503337)</f>
        <v>0.48969382503337</v>
      </c>
      <c r="U11" s="17">
        <f ca="1">IFERROR(__xludf.DUMMYFUNCTION("""COMPUTED_VALUE"""),0.639478934636218)</f>
        <v>0.63947893463621797</v>
      </c>
      <c r="V11" s="17">
        <f ca="1">IFERROR(__xludf.DUMMYFUNCTION("""COMPUTED_VALUE"""),0.983261379975694)</f>
        <v>0.98326137997569396</v>
      </c>
      <c r="W11" s="17">
        <f ca="1">IFERROR(__xludf.DUMMYFUNCTION("""COMPUTED_VALUE"""),0.709581300301784)</f>
        <v>0.70958130030178401</v>
      </c>
      <c r="X11" s="17">
        <f ca="1">IFERROR(__xludf.DUMMYFUNCTION("""COMPUTED_VALUE"""),0.215608865285095)</f>
        <v>0.21560886528509501</v>
      </c>
      <c r="Y11" s="17">
        <f ca="1">IFERROR(__xludf.DUMMYFUNCTION("""COMPUTED_VALUE"""),0.460367342089714)</f>
        <v>0.46036734208971403</v>
      </c>
      <c r="Z11" s="17">
        <f ca="1">IFERROR(__xludf.DUMMYFUNCTION("""COMPUTED_VALUE"""),0.950478834639562)</f>
        <v>0.95047883463956195</v>
      </c>
      <c r="AA11" s="17">
        <f ca="1">IFERROR(__xludf.DUMMYFUNCTION("""COMPUTED_VALUE"""),0.171137109948494)</f>
        <v>0.17113710994849399</v>
      </c>
      <c r="AB11" s="17">
        <f ca="1">IFERROR(__xludf.DUMMYFUNCTION("""COMPUTED_VALUE"""),0.657860463752015)</f>
        <v>0.65786046375201501</v>
      </c>
      <c r="AC11" s="17">
        <f ca="1">IFERROR(__xludf.DUMMYFUNCTION("""COMPUTED_VALUE"""),0.581358797018736)</f>
        <v>0.58135879701873605</v>
      </c>
      <c r="AD11" s="17">
        <f ca="1">IFERROR(__xludf.DUMMYFUNCTION("""COMPUTED_VALUE"""),0.405715785210616)</f>
        <v>0.40571578521061602</v>
      </c>
      <c r="AE11" s="17">
        <f ca="1">IFERROR(__xludf.DUMMYFUNCTION("""COMPUTED_VALUE"""),1.8677831252504)</f>
        <v>1.8677831252504</v>
      </c>
      <c r="AF11" s="17">
        <f ca="1">IFERROR(__xludf.DUMMYFUNCTION("""COMPUTED_VALUE"""),0.973414254910526)</f>
        <v>0.97341425491052602</v>
      </c>
      <c r="AG11" s="17">
        <f ca="1">IFERROR(__xludf.DUMMYFUNCTION("""COMPUTED_VALUE"""),1.0778005091865)</f>
        <v>1.0778005091864999</v>
      </c>
      <c r="AH11" s="17">
        <f ca="1">IFERROR(__xludf.DUMMYFUNCTION("""COMPUTED_VALUE"""),1.02476727371034)</f>
        <v>1.0247672737103399</v>
      </c>
      <c r="AI11" s="17">
        <f ca="1">IFERROR(__xludf.DUMMYFUNCTION("""COMPUTED_VALUE"""),1.07111475105662)</f>
        <v>1.0711147510566199</v>
      </c>
      <c r="AJ11" s="17">
        <f ca="1">IFERROR(__xludf.DUMMYFUNCTION("""COMPUTED_VALUE"""),1.09219975775183)</f>
        <v>1.0921997577518301</v>
      </c>
    </row>
    <row r="12" spans="2:36" ht="15.75" customHeight="1" x14ac:dyDescent="0.45">
      <c r="B12" s="10" t="str">
        <f ca="1">IFERROR(__xludf.DUMMYFUNCTION("""COMPUTED_VALUE"""),"Adiac")</f>
        <v>Adiac</v>
      </c>
      <c r="C12" s="10" t="str">
        <f ca="1">IFERROR(__xludf.DUMMYFUNCTION("""COMPUTED_VALUE"""),"mcar")</f>
        <v>mcar</v>
      </c>
      <c r="D12" s="10">
        <f ca="1">IFERROR(__xludf.DUMMYFUNCTION("""COMPUTED_VALUE"""),0.1)</f>
        <v>0.1</v>
      </c>
      <c r="E12" s="17">
        <f ca="1">IFERROR(__xludf.DUMMYFUNCTION("""COMPUTED_VALUE"""),0.99708330170649)</f>
        <v>0.99708330170648996</v>
      </c>
      <c r="F12" s="17">
        <f ca="1">IFERROR(__xludf.DUMMYFUNCTION("""COMPUTED_VALUE"""),0.0977073740595959)</f>
        <v>9.7707374059595897E-2</v>
      </c>
      <c r="G12" s="17">
        <f ca="1">IFERROR(__xludf.DUMMYFUNCTION("""COMPUTED_VALUE"""),0.0669705617858256)</f>
        <v>6.6970561785825597E-2</v>
      </c>
      <c r="H12" s="17">
        <f ca="1">IFERROR(__xludf.DUMMYFUNCTION("""COMPUTED_VALUE"""),0.145792815459711)</f>
        <v>0.14579281545971101</v>
      </c>
      <c r="I12" s="17">
        <f ca="1">IFERROR(__xludf.DUMMYFUNCTION("""COMPUTED_VALUE"""),0.0991878118740013)</f>
        <v>9.9187811874001303E-2</v>
      </c>
      <c r="J12" s="17">
        <f ca="1">IFERROR(__xludf.DUMMYFUNCTION("""COMPUTED_VALUE"""),0.19063349118942)</f>
        <v>0.19063349118942</v>
      </c>
      <c r="K12" s="17" t="str">
        <f ca="1">IFERROR(__xludf.DUMMYFUNCTION("""COMPUTED_VALUE"""),"nan")</f>
        <v>nan</v>
      </c>
      <c r="L12" s="17">
        <f ca="1">IFERROR(__xludf.DUMMYFUNCTION("""COMPUTED_VALUE"""),0.158108656955804)</f>
        <v>0.15810865695580401</v>
      </c>
      <c r="M12" s="17">
        <f ca="1">IFERROR(__xludf.DUMMYFUNCTION("""COMPUTED_VALUE"""),0.0651628113749149)</f>
        <v>6.5162811374914906E-2</v>
      </c>
      <c r="N12" s="17">
        <f ca="1">IFERROR(__xludf.DUMMYFUNCTION("""COMPUTED_VALUE"""),0.100771011292547)</f>
        <v>0.10077101129254699</v>
      </c>
      <c r="O12" s="17">
        <f ca="1">IFERROR(__xludf.DUMMYFUNCTION("""COMPUTED_VALUE"""),0.0773226390215933)</f>
        <v>7.7322639021593295E-2</v>
      </c>
      <c r="P12" s="17">
        <f ca="1">IFERROR(__xludf.DUMMYFUNCTION("""COMPUTED_VALUE"""),0.541997912158198)</f>
        <v>0.54199791215819804</v>
      </c>
      <c r="Q12" s="17">
        <f ca="1">IFERROR(__xludf.DUMMYFUNCTION("""COMPUTED_VALUE"""),0.153533890945368)</f>
        <v>0.15353389094536801</v>
      </c>
      <c r="R12" s="17">
        <f ca="1">IFERROR(__xludf.DUMMYFUNCTION("""COMPUTED_VALUE"""),0.160826687701503)</f>
        <v>0.16082668770150299</v>
      </c>
      <c r="S12" s="17">
        <f ca="1">IFERROR(__xludf.DUMMYFUNCTION("""COMPUTED_VALUE"""),0.259465981063788)</f>
        <v>0.25946598106378799</v>
      </c>
      <c r="T12" s="17">
        <f ca="1">IFERROR(__xludf.DUMMYFUNCTION("""COMPUTED_VALUE"""),0.213140660297069)</f>
        <v>0.21314066029706899</v>
      </c>
      <c r="U12" s="17">
        <f ca="1">IFERROR(__xludf.DUMMYFUNCTION("""COMPUTED_VALUE"""),0.175642040344461)</f>
        <v>0.17564204034446099</v>
      </c>
      <c r="V12" s="17">
        <f ca="1">IFERROR(__xludf.DUMMYFUNCTION("""COMPUTED_VALUE"""),0.0965138053494801)</f>
        <v>9.6513805349480106E-2</v>
      </c>
      <c r="W12" s="17">
        <f ca="1">IFERROR(__xludf.DUMMYFUNCTION("""COMPUTED_VALUE"""),0.13381154923651)</f>
        <v>0.13381154923651001</v>
      </c>
      <c r="X12" s="17">
        <f ca="1">IFERROR(__xludf.DUMMYFUNCTION("""COMPUTED_VALUE"""),0.202481609707031)</f>
        <v>0.202481609707031</v>
      </c>
      <c r="Y12" s="17">
        <f ca="1">IFERROR(__xludf.DUMMYFUNCTION("""COMPUTED_VALUE"""),0.166409332556339)</f>
        <v>0.166409332556339</v>
      </c>
      <c r="Z12" s="17">
        <f ca="1">IFERROR(__xludf.DUMMYFUNCTION("""COMPUTED_VALUE"""),0.159559985581365)</f>
        <v>0.159559985581365</v>
      </c>
      <c r="AA12" s="17">
        <f ca="1">IFERROR(__xludf.DUMMYFUNCTION("""COMPUTED_VALUE"""),0.0704621773330315)</f>
        <v>7.0462177333031506E-2</v>
      </c>
      <c r="AB12" s="17">
        <f ca="1">IFERROR(__xludf.DUMMYFUNCTION("""COMPUTED_VALUE"""),0.196307354725018)</f>
        <v>0.19630735472501801</v>
      </c>
      <c r="AC12" s="17">
        <f ca="1">IFERROR(__xludf.DUMMYFUNCTION("""COMPUTED_VALUE"""),0.400405189499514)</f>
        <v>0.40040518949951398</v>
      </c>
      <c r="AD12" s="17">
        <f ca="1">IFERROR(__xludf.DUMMYFUNCTION("""COMPUTED_VALUE"""),0.159680668836232)</f>
        <v>0.159680668836232</v>
      </c>
      <c r="AE12" s="17">
        <f ca="1">IFERROR(__xludf.DUMMYFUNCTION("""COMPUTED_VALUE"""),0.552779035424132)</f>
        <v>0.55277903542413198</v>
      </c>
      <c r="AF12" s="17">
        <f ca="1">IFERROR(__xludf.DUMMYFUNCTION("""COMPUTED_VALUE"""),0.257444454352438)</f>
        <v>0.25744445435243801</v>
      </c>
      <c r="AG12" s="17">
        <f ca="1">IFERROR(__xludf.DUMMYFUNCTION("""COMPUTED_VALUE"""),0.326609193382302)</f>
        <v>0.32660919338230199</v>
      </c>
      <c r="AH12" s="17">
        <f ca="1">IFERROR(__xludf.DUMMYFUNCTION("""COMPUTED_VALUE"""),0.307502127504919)</f>
        <v>0.30750212750491901</v>
      </c>
      <c r="AI12" s="17">
        <f ca="1">IFERROR(__xludf.DUMMYFUNCTION("""COMPUTED_VALUE"""),0.307065429718301)</f>
        <v>0.30706542971830098</v>
      </c>
      <c r="AJ12" s="17">
        <f ca="1">IFERROR(__xludf.DUMMYFUNCTION("""COMPUTED_VALUE"""),0.287871657205141)</f>
        <v>0.28787165720514102</v>
      </c>
    </row>
    <row r="13" spans="2:36" ht="15.75" customHeight="1" x14ac:dyDescent="0.45">
      <c r="B13" s="10" t="str">
        <f ca="1">IFERROR(__xludf.DUMMYFUNCTION("""COMPUTED_VALUE"""),"Adiac")</f>
        <v>Adiac</v>
      </c>
      <c r="C13" s="10" t="str">
        <f ca="1">IFERROR(__xludf.DUMMYFUNCTION("""COMPUTED_VALUE"""),"mcar")</f>
        <v>mcar</v>
      </c>
      <c r="D13" s="10">
        <f ca="1">IFERROR(__xludf.DUMMYFUNCTION("""COMPUTED_VALUE"""),0.2)</f>
        <v>0.2</v>
      </c>
      <c r="E13" s="17">
        <f ca="1">IFERROR(__xludf.DUMMYFUNCTION("""COMPUTED_VALUE"""),0.980581491253464)</f>
        <v>0.98058149125346405</v>
      </c>
      <c r="F13" s="17">
        <f ca="1">IFERROR(__xludf.DUMMYFUNCTION("""COMPUTED_VALUE"""),0.0811529619310766)</f>
        <v>8.11529619310766E-2</v>
      </c>
      <c r="G13" s="17">
        <f ca="1">IFERROR(__xludf.DUMMYFUNCTION("""COMPUTED_VALUE"""),0.0851590499216659)</f>
        <v>8.5159049921665897E-2</v>
      </c>
      <c r="H13" s="17">
        <f ca="1">IFERROR(__xludf.DUMMYFUNCTION("""COMPUTED_VALUE"""),0.130647239700183)</f>
        <v>0.13064723970018299</v>
      </c>
      <c r="I13" s="17">
        <f ca="1">IFERROR(__xludf.DUMMYFUNCTION("""COMPUTED_VALUE"""),0.0829865224377465)</f>
        <v>8.2986522437746499E-2</v>
      </c>
      <c r="J13" s="17">
        <f ca="1">IFERROR(__xludf.DUMMYFUNCTION("""COMPUTED_VALUE"""),0.284148919825856)</f>
        <v>0.28414891982585599</v>
      </c>
      <c r="K13" s="17" t="str">
        <f ca="1">IFERROR(__xludf.DUMMYFUNCTION("""COMPUTED_VALUE"""),"nan")</f>
        <v>nan</v>
      </c>
      <c r="L13" s="17">
        <f ca="1">IFERROR(__xludf.DUMMYFUNCTION("""COMPUTED_VALUE"""),0.14522199116999)</f>
        <v>0.14522199116998999</v>
      </c>
      <c r="M13" s="17">
        <f ca="1">IFERROR(__xludf.DUMMYFUNCTION("""COMPUTED_VALUE"""),0.0629724964719178)</f>
        <v>6.2972496471917799E-2</v>
      </c>
      <c r="N13" s="17">
        <f ca="1">IFERROR(__xludf.DUMMYFUNCTION("""COMPUTED_VALUE"""),0.102309599975276)</f>
        <v>0.102309599975276</v>
      </c>
      <c r="O13" s="17">
        <f ca="1">IFERROR(__xludf.DUMMYFUNCTION("""COMPUTED_VALUE"""),0.0606970563507179)</f>
        <v>6.0697056350717898E-2</v>
      </c>
      <c r="P13" s="17">
        <f ca="1">IFERROR(__xludf.DUMMYFUNCTION("""COMPUTED_VALUE"""),0.539678686514091)</f>
        <v>0.53967868651409101</v>
      </c>
      <c r="Q13" s="17">
        <f ca="1">IFERROR(__xludf.DUMMYFUNCTION("""COMPUTED_VALUE"""),0.164302149311694)</f>
        <v>0.16430214931169401</v>
      </c>
      <c r="R13" s="17">
        <f ca="1">IFERROR(__xludf.DUMMYFUNCTION("""COMPUTED_VALUE"""),0.066767733984998)</f>
        <v>6.6767733984997996E-2</v>
      </c>
      <c r="S13" s="17">
        <f ca="1">IFERROR(__xludf.DUMMYFUNCTION("""COMPUTED_VALUE"""),0.217869264548427)</f>
        <v>0.21786926454842701</v>
      </c>
      <c r="T13" s="17">
        <f ca="1">IFERROR(__xludf.DUMMYFUNCTION("""COMPUTED_VALUE"""),0.246203606326358)</f>
        <v>0.24620360632635799</v>
      </c>
      <c r="U13" s="17">
        <f ca="1">IFERROR(__xludf.DUMMYFUNCTION("""COMPUTED_VALUE"""),0.163248949928885)</f>
        <v>0.163248949928885</v>
      </c>
      <c r="V13" s="17">
        <f ca="1">IFERROR(__xludf.DUMMYFUNCTION("""COMPUTED_VALUE"""),0.0910851967371108)</f>
        <v>9.1085196737110796E-2</v>
      </c>
      <c r="W13" s="17">
        <f ca="1">IFERROR(__xludf.DUMMYFUNCTION("""COMPUTED_VALUE"""),0.12643931992247)</f>
        <v>0.12643931992247001</v>
      </c>
      <c r="X13" s="17">
        <f ca="1">IFERROR(__xludf.DUMMYFUNCTION("""COMPUTED_VALUE"""),0.172198734327332)</f>
        <v>0.17219873432733199</v>
      </c>
      <c r="Y13" s="17">
        <f ca="1">IFERROR(__xludf.DUMMYFUNCTION("""COMPUTED_VALUE"""),0.218526972552906)</f>
        <v>0.21852697255290601</v>
      </c>
      <c r="Z13" s="17">
        <f ca="1">IFERROR(__xludf.DUMMYFUNCTION("""COMPUTED_VALUE"""),0.154361605749538)</f>
        <v>0.154361605749538</v>
      </c>
      <c r="AA13" s="17">
        <f ca="1">IFERROR(__xludf.DUMMYFUNCTION("""COMPUTED_VALUE"""),0.0511108700391058)</f>
        <v>5.1110870039105798E-2</v>
      </c>
      <c r="AB13" s="17">
        <f ca="1">IFERROR(__xludf.DUMMYFUNCTION("""COMPUTED_VALUE"""),0.150460677796212)</f>
        <v>0.150460677796212</v>
      </c>
      <c r="AC13" s="17">
        <f ca="1">IFERROR(__xludf.DUMMYFUNCTION("""COMPUTED_VALUE"""),0.341909921052055)</f>
        <v>0.34190992105205498</v>
      </c>
      <c r="AD13" s="17">
        <f ca="1">IFERROR(__xludf.DUMMYFUNCTION("""COMPUTED_VALUE"""),0.191573653857053)</f>
        <v>0.19157365385705299</v>
      </c>
      <c r="AE13" s="17">
        <f ca="1">IFERROR(__xludf.DUMMYFUNCTION("""COMPUTED_VALUE"""),0.560119682941008)</f>
        <v>0.560119682941008</v>
      </c>
      <c r="AF13" s="17">
        <f ca="1">IFERROR(__xludf.DUMMYFUNCTION("""COMPUTED_VALUE"""),0.156880857567605)</f>
        <v>0.156880857567605</v>
      </c>
      <c r="AG13" s="17">
        <f ca="1">IFERROR(__xludf.DUMMYFUNCTION("""COMPUTED_VALUE"""),0.549034179498346)</f>
        <v>0.54903417949834599</v>
      </c>
      <c r="AH13" s="17">
        <f ca="1">IFERROR(__xludf.DUMMYFUNCTION("""COMPUTED_VALUE"""),0.21761852034175)</f>
        <v>0.21761852034175</v>
      </c>
      <c r="AI13" s="17">
        <f ca="1">IFERROR(__xludf.DUMMYFUNCTION("""COMPUTED_VALUE"""),0.645437490529896)</f>
        <v>0.64543749052989596</v>
      </c>
      <c r="AJ13" s="17">
        <f ca="1">IFERROR(__xludf.DUMMYFUNCTION("""COMPUTED_VALUE"""),0.429325279800048)</f>
        <v>0.42932527980004798</v>
      </c>
    </row>
    <row r="14" spans="2:36" ht="15.75" customHeight="1" x14ac:dyDescent="0.45">
      <c r="B14" s="10" t="str">
        <f ca="1">IFERROR(__xludf.DUMMYFUNCTION("""COMPUTED_VALUE"""),"Adiac")</f>
        <v>Adiac</v>
      </c>
      <c r="C14" s="10" t="str">
        <f ca="1">IFERROR(__xludf.DUMMYFUNCTION("""COMPUTED_VALUE"""),"mcar")</f>
        <v>mcar</v>
      </c>
      <c r="D14" s="10">
        <f ca="1">IFERROR(__xludf.DUMMYFUNCTION("""COMPUTED_VALUE"""),0.4)</f>
        <v>0.4</v>
      </c>
      <c r="E14" s="17">
        <f ca="1">IFERROR(__xludf.DUMMYFUNCTION("""COMPUTED_VALUE"""),0.96377413876511)</f>
        <v>0.96377413876510998</v>
      </c>
      <c r="F14" s="17">
        <f ca="1">IFERROR(__xludf.DUMMYFUNCTION("""COMPUTED_VALUE"""),0.0862424932749573)</f>
        <v>8.6242493274957296E-2</v>
      </c>
      <c r="G14" s="17">
        <f ca="1">IFERROR(__xludf.DUMMYFUNCTION("""COMPUTED_VALUE"""),0.210829024854037)</f>
        <v>0.21082902485403701</v>
      </c>
      <c r="H14" s="17">
        <f ca="1">IFERROR(__xludf.DUMMYFUNCTION("""COMPUTED_VALUE"""),0.131746592039695)</f>
        <v>0.13174659203969499</v>
      </c>
      <c r="I14" s="17">
        <f ca="1">IFERROR(__xludf.DUMMYFUNCTION("""COMPUTED_VALUE"""),0.095262257634614)</f>
        <v>9.5262257634614003E-2</v>
      </c>
      <c r="J14" s="17">
        <f ca="1">IFERROR(__xludf.DUMMYFUNCTION("""COMPUTED_VALUE"""),0.750285633690197)</f>
        <v>0.75028563369019696</v>
      </c>
      <c r="K14" s="17" t="str">
        <f ca="1">IFERROR(__xludf.DUMMYFUNCTION("""COMPUTED_VALUE"""),"nan")</f>
        <v>nan</v>
      </c>
      <c r="L14" s="17">
        <f ca="1">IFERROR(__xludf.DUMMYFUNCTION("""COMPUTED_VALUE"""),0.13449126798886)</f>
        <v>0.13449126798885999</v>
      </c>
      <c r="M14" s="17">
        <f ca="1">IFERROR(__xludf.DUMMYFUNCTION("""COMPUTED_VALUE"""),0.510845188687077)</f>
        <v>0.51084518868707696</v>
      </c>
      <c r="N14" s="17">
        <f ca="1">IFERROR(__xludf.DUMMYFUNCTION("""COMPUTED_VALUE"""),0.103316524783458)</f>
        <v>0.103316524783458</v>
      </c>
      <c r="O14" s="17">
        <f ca="1">IFERROR(__xludf.DUMMYFUNCTION("""COMPUTED_VALUE"""),0.115942279634597)</f>
        <v>0.115942279634597</v>
      </c>
      <c r="P14" s="17">
        <f ca="1">IFERROR(__xludf.DUMMYFUNCTION("""COMPUTED_VALUE"""),0.566941452980255)</f>
        <v>0.566941452980255</v>
      </c>
      <c r="Q14" s="17">
        <f ca="1">IFERROR(__xludf.DUMMYFUNCTION("""COMPUTED_VALUE"""),0.343106750356474)</f>
        <v>0.34310675035647398</v>
      </c>
      <c r="R14" s="17">
        <f ca="1">IFERROR(__xludf.DUMMYFUNCTION("""COMPUTED_VALUE"""),0.0710642789940903)</f>
        <v>7.1064278994090305E-2</v>
      </c>
      <c r="S14" s="17">
        <f ca="1">IFERROR(__xludf.DUMMYFUNCTION("""COMPUTED_VALUE"""),0.354547945301365)</f>
        <v>0.35454794530136502</v>
      </c>
      <c r="T14" s="17">
        <f ca="1">IFERROR(__xludf.DUMMYFUNCTION("""COMPUTED_VALUE"""),0.341405502977324)</f>
        <v>0.34140550297732403</v>
      </c>
      <c r="U14" s="17">
        <f ca="1">IFERROR(__xludf.DUMMYFUNCTION("""COMPUTED_VALUE"""),0.178179623847119)</f>
        <v>0.178179623847119</v>
      </c>
      <c r="V14" s="17">
        <f ca="1">IFERROR(__xludf.DUMMYFUNCTION("""COMPUTED_VALUE"""),0.110776194789326)</f>
        <v>0.110776194789326</v>
      </c>
      <c r="W14" s="17">
        <f ca="1">IFERROR(__xludf.DUMMYFUNCTION("""COMPUTED_VALUE"""),0.16741349744187)</f>
        <v>0.16741349744187001</v>
      </c>
      <c r="X14" s="17">
        <f ca="1">IFERROR(__xludf.DUMMYFUNCTION("""COMPUTED_VALUE"""),0.166813771920725)</f>
        <v>0.166813771920725</v>
      </c>
      <c r="Y14" s="17">
        <f ca="1">IFERROR(__xludf.DUMMYFUNCTION("""COMPUTED_VALUE"""),0.172162296108882)</f>
        <v>0.17216229610888201</v>
      </c>
      <c r="Z14" s="17">
        <f ca="1">IFERROR(__xludf.DUMMYFUNCTION("""COMPUTED_VALUE"""),0.471068830584635)</f>
        <v>0.471068830584635</v>
      </c>
      <c r="AA14" s="17">
        <f ca="1">IFERROR(__xludf.DUMMYFUNCTION("""COMPUTED_VALUE"""),0.0715998469547098)</f>
        <v>7.1599846954709806E-2</v>
      </c>
      <c r="AB14" s="17">
        <f ca="1">IFERROR(__xludf.DUMMYFUNCTION("""COMPUTED_VALUE"""),0.18523266095453)</f>
        <v>0.18523266095453</v>
      </c>
      <c r="AC14" s="17">
        <f ca="1">IFERROR(__xludf.DUMMYFUNCTION("""COMPUTED_VALUE"""),0.472054782512846)</f>
        <v>0.47205478251284599</v>
      </c>
      <c r="AD14" s="17">
        <f ca="1">IFERROR(__xludf.DUMMYFUNCTION("""COMPUTED_VALUE"""),0.199589752958184)</f>
        <v>0.19958975295818401</v>
      </c>
      <c r="AE14" s="17">
        <f ca="1">IFERROR(__xludf.DUMMYFUNCTION("""COMPUTED_VALUE"""),1.25205479373908)</f>
        <v>1.25205479373908</v>
      </c>
      <c r="AF14" s="17">
        <f ca="1">IFERROR(__xludf.DUMMYFUNCTION("""COMPUTED_VALUE"""),0.183900530260229)</f>
        <v>0.18390053026022901</v>
      </c>
      <c r="AG14" s="17">
        <f ca="1">IFERROR(__xludf.DUMMYFUNCTION("""COMPUTED_VALUE"""),1.14220857421974)</f>
        <v>1.1422085742197401</v>
      </c>
      <c r="AH14" s="17">
        <f ca="1">IFERROR(__xludf.DUMMYFUNCTION("""COMPUTED_VALUE"""),0.989901901616233)</f>
        <v>0.98990190161623304</v>
      </c>
      <c r="AI14" s="17">
        <f ca="1">IFERROR(__xludf.DUMMYFUNCTION("""COMPUTED_VALUE"""),1.14229395341701)</f>
        <v>1.14229395341701</v>
      </c>
      <c r="AJ14" s="17">
        <f ca="1">IFERROR(__xludf.DUMMYFUNCTION("""COMPUTED_VALUE"""),0.799480614634644)</f>
        <v>0.79948061463464404</v>
      </c>
    </row>
    <row r="15" spans="2:36" ht="15.75" customHeight="1" x14ac:dyDescent="0.45">
      <c r="B15" s="10" t="str">
        <f ca="1">IFERROR(__xludf.DUMMYFUNCTION("""COMPUTED_VALUE"""),"Adiac")</f>
        <v>Adiac</v>
      </c>
      <c r="C15" s="10" t="str">
        <f ca="1">IFERROR(__xludf.DUMMYFUNCTION("""COMPUTED_VALUE"""),"mcar")</f>
        <v>mcar</v>
      </c>
      <c r="D15" s="10">
        <f ca="1">IFERROR(__xludf.DUMMYFUNCTION("""COMPUTED_VALUE"""),0.6)</f>
        <v>0.6</v>
      </c>
      <c r="E15" s="17">
        <f ca="1">IFERROR(__xludf.DUMMYFUNCTION("""COMPUTED_VALUE"""),0.967859835912612)</f>
        <v>0.96785983591261204</v>
      </c>
      <c r="F15" s="17">
        <f ca="1">IFERROR(__xludf.DUMMYFUNCTION("""COMPUTED_VALUE"""),0.105974805076189)</f>
        <v>0.105974805076189</v>
      </c>
      <c r="G15" s="17">
        <f ca="1">IFERROR(__xludf.DUMMYFUNCTION("""COMPUTED_VALUE"""),0.359491329481036)</f>
        <v>0.35949132948103601</v>
      </c>
      <c r="H15" s="17">
        <f ca="1">IFERROR(__xludf.DUMMYFUNCTION("""COMPUTED_VALUE"""),0.141191386379946)</f>
        <v>0.14119138637994599</v>
      </c>
      <c r="I15" s="17">
        <f ca="1">IFERROR(__xludf.DUMMYFUNCTION("""COMPUTED_VALUE"""),0.136346152004918)</f>
        <v>0.13634615200491801</v>
      </c>
      <c r="J15" s="17">
        <f ca="1">IFERROR(__xludf.DUMMYFUNCTION("""COMPUTED_VALUE"""),0.937914852091032)</f>
        <v>0.93791485209103198</v>
      </c>
      <c r="K15" s="17" t="str">
        <f ca="1">IFERROR(__xludf.DUMMYFUNCTION("""COMPUTED_VALUE"""),"nan")</f>
        <v>nan</v>
      </c>
      <c r="L15" s="17">
        <f ca="1">IFERROR(__xludf.DUMMYFUNCTION("""COMPUTED_VALUE"""),0.143206795817498)</f>
        <v>0.14320679581749801</v>
      </c>
      <c r="M15" s="17">
        <f ca="1">IFERROR(__xludf.DUMMYFUNCTION("""COMPUTED_VALUE"""),0.617795706133371)</f>
        <v>0.61779570613337098</v>
      </c>
      <c r="N15" s="17">
        <f ca="1">IFERROR(__xludf.DUMMYFUNCTION("""COMPUTED_VALUE"""),0.108196345677799)</f>
        <v>0.108196345677799</v>
      </c>
      <c r="O15" s="17">
        <f ca="1">IFERROR(__xludf.DUMMYFUNCTION("""COMPUTED_VALUE"""),0.134506574059893)</f>
        <v>0.134506574059893</v>
      </c>
      <c r="P15" s="17">
        <f ca="1">IFERROR(__xludf.DUMMYFUNCTION("""COMPUTED_VALUE"""),0.646342675532439)</f>
        <v>0.64634267553243896</v>
      </c>
      <c r="Q15" s="17">
        <f ca="1">IFERROR(__xludf.DUMMYFUNCTION("""COMPUTED_VALUE"""),0.519201361392504)</f>
        <v>0.51920136139250395</v>
      </c>
      <c r="R15" s="17">
        <f ca="1">IFERROR(__xludf.DUMMYFUNCTION("""COMPUTED_VALUE"""),0.0927883755536485)</f>
        <v>9.2788375553648494E-2</v>
      </c>
      <c r="S15" s="17">
        <f ca="1">IFERROR(__xludf.DUMMYFUNCTION("""COMPUTED_VALUE"""),0.601695903955561)</f>
        <v>0.60169590395556105</v>
      </c>
      <c r="T15" s="17">
        <f ca="1">IFERROR(__xludf.DUMMYFUNCTION("""COMPUTED_VALUE"""),0.298534161206077)</f>
        <v>0.29853416120607701</v>
      </c>
      <c r="U15" s="17">
        <f ca="1">IFERROR(__xludf.DUMMYFUNCTION("""COMPUTED_VALUE"""),0.20013139031545)</f>
        <v>0.20013139031544999</v>
      </c>
      <c r="V15" s="17">
        <f ca="1">IFERROR(__xludf.DUMMYFUNCTION("""COMPUTED_VALUE"""),0.128550669043767)</f>
        <v>0.128550669043767</v>
      </c>
      <c r="W15" s="17">
        <f ca="1">IFERROR(__xludf.DUMMYFUNCTION("""COMPUTED_VALUE"""),0.150400820544774)</f>
        <v>0.15040082054477399</v>
      </c>
      <c r="X15" s="17">
        <f ca="1">IFERROR(__xludf.DUMMYFUNCTION("""COMPUTED_VALUE"""),0.180934168643566)</f>
        <v>0.18093416864356601</v>
      </c>
      <c r="Y15" s="17">
        <f ca="1">IFERROR(__xludf.DUMMYFUNCTION("""COMPUTED_VALUE"""),0.176338598489187)</f>
        <v>0.17633859848918701</v>
      </c>
      <c r="Z15" s="17">
        <f ca="1">IFERROR(__xludf.DUMMYFUNCTION("""COMPUTED_VALUE"""),0.50977577996868)</f>
        <v>0.50977577996867995</v>
      </c>
      <c r="AA15" s="17">
        <f ca="1">IFERROR(__xludf.DUMMYFUNCTION("""COMPUTED_VALUE"""),0.0872897590724832)</f>
        <v>8.7289759072483195E-2</v>
      </c>
      <c r="AB15" s="17">
        <f ca="1">IFERROR(__xludf.DUMMYFUNCTION("""COMPUTED_VALUE"""),0.344013642044457)</f>
        <v>0.344013642044457</v>
      </c>
      <c r="AC15" s="17">
        <f ca="1">IFERROR(__xludf.DUMMYFUNCTION("""COMPUTED_VALUE"""),0.461134639555802)</f>
        <v>0.46113463955580197</v>
      </c>
      <c r="AD15" s="17">
        <f ca="1">IFERROR(__xludf.DUMMYFUNCTION("""COMPUTED_VALUE"""),0.209779477877893)</f>
        <v>0.209779477877893</v>
      </c>
      <c r="AE15" s="17">
        <f ca="1">IFERROR(__xludf.DUMMYFUNCTION("""COMPUTED_VALUE"""),1.97348671230524)</f>
        <v>1.97348671230524</v>
      </c>
      <c r="AF15" s="17">
        <f ca="1">IFERROR(__xludf.DUMMYFUNCTION("""COMPUTED_VALUE"""),0.284049065549621)</f>
        <v>0.284049065549621</v>
      </c>
      <c r="AG15" s="17">
        <f ca="1">IFERROR(__xludf.DUMMYFUNCTION("""COMPUTED_VALUE"""),0.978970278621217)</f>
        <v>0.97897027862121699</v>
      </c>
      <c r="AH15" s="17">
        <f ca="1">IFERROR(__xludf.DUMMYFUNCTION("""COMPUTED_VALUE"""),1.06067583360173)</f>
        <v>1.0606758336017299</v>
      </c>
      <c r="AI15" s="17">
        <f ca="1">IFERROR(__xludf.DUMMYFUNCTION("""COMPUTED_VALUE"""),0.940924204126637)</f>
        <v>0.94092420412663702</v>
      </c>
      <c r="AJ15" s="17">
        <f ca="1">IFERROR(__xludf.DUMMYFUNCTION("""COMPUTED_VALUE"""),1.07371966954734)</f>
        <v>1.0737196695473401</v>
      </c>
    </row>
    <row r="16" spans="2:36" ht="15.75" customHeight="1" x14ac:dyDescent="0.45">
      <c r="B16" s="10" t="str">
        <f ca="1">IFERROR(__xludf.DUMMYFUNCTION("""COMPUTED_VALUE"""),"Adiac")</f>
        <v>Adiac</v>
      </c>
      <c r="C16" s="10" t="str">
        <f ca="1">IFERROR(__xludf.DUMMYFUNCTION("""COMPUTED_VALUE"""),"mcar")</f>
        <v>mcar</v>
      </c>
      <c r="D16" s="10">
        <f ca="1">IFERROR(__xludf.DUMMYFUNCTION("""COMPUTED_VALUE"""),0.8)</f>
        <v>0.8</v>
      </c>
      <c r="E16" s="17">
        <f ca="1">IFERROR(__xludf.DUMMYFUNCTION("""COMPUTED_VALUE"""),0.964607532815121)</f>
        <v>0.96460753281512102</v>
      </c>
      <c r="F16" s="17">
        <f ca="1">IFERROR(__xludf.DUMMYFUNCTION("""COMPUTED_VALUE"""),0.138249553888339)</f>
        <v>0.13824955388833901</v>
      </c>
      <c r="G16" s="17">
        <f ca="1">IFERROR(__xludf.DUMMYFUNCTION("""COMPUTED_VALUE"""),0.528859277712313)</f>
        <v>0.528859277712313</v>
      </c>
      <c r="H16" s="17">
        <f ca="1">IFERROR(__xludf.DUMMYFUNCTION("""COMPUTED_VALUE"""),0.14666933966385)</f>
        <v>0.14666933966385001</v>
      </c>
      <c r="I16" s="17">
        <f ca="1">IFERROR(__xludf.DUMMYFUNCTION("""COMPUTED_VALUE"""),0.272769458227703)</f>
        <v>0.27276945822770299</v>
      </c>
      <c r="J16" s="17">
        <f ca="1">IFERROR(__xludf.DUMMYFUNCTION("""COMPUTED_VALUE"""),1.2540685194194)</f>
        <v>1.2540685194193999</v>
      </c>
      <c r="K16" s="17" t="str">
        <f ca="1">IFERROR(__xludf.DUMMYFUNCTION("""COMPUTED_VALUE"""),"nan")</f>
        <v>nan</v>
      </c>
      <c r="L16" s="17">
        <f ca="1">IFERROR(__xludf.DUMMYFUNCTION("""COMPUTED_VALUE"""),0.171469857961773)</f>
        <v>0.171469857961773</v>
      </c>
      <c r="M16" s="17">
        <f ca="1">IFERROR(__xludf.DUMMYFUNCTION("""COMPUTED_VALUE"""),0.899531282804502)</f>
        <v>0.89953128280450201</v>
      </c>
      <c r="N16" s="17">
        <f ca="1">IFERROR(__xludf.DUMMYFUNCTION("""COMPUTED_VALUE"""),0.127017966171376)</f>
        <v>0.12701796617137601</v>
      </c>
      <c r="O16" s="17">
        <f ca="1">IFERROR(__xludf.DUMMYFUNCTION("""COMPUTED_VALUE"""),0.518978996813435)</f>
        <v>0.51897899681343496</v>
      </c>
      <c r="P16" s="17">
        <f ca="1">IFERROR(__xludf.DUMMYFUNCTION("""COMPUTED_VALUE"""),0.809726709349563)</f>
        <v>0.80972670934956303</v>
      </c>
      <c r="Q16" s="17">
        <f ca="1">IFERROR(__xludf.DUMMYFUNCTION("""COMPUTED_VALUE"""),0.873078638996176)</f>
        <v>0.87307863899617599</v>
      </c>
      <c r="R16" s="17">
        <f ca="1">IFERROR(__xludf.DUMMYFUNCTION("""COMPUTED_VALUE"""),0.161273339780042)</f>
        <v>0.16127333978004199</v>
      </c>
      <c r="S16" s="17">
        <f ca="1">IFERROR(__xludf.DUMMYFUNCTION("""COMPUTED_VALUE"""),1.37076264598362)</f>
        <v>1.37076264598362</v>
      </c>
      <c r="T16" s="17">
        <f ca="1">IFERROR(__xludf.DUMMYFUNCTION("""COMPUTED_VALUE"""),0.403550077881568)</f>
        <v>0.40355007788156799</v>
      </c>
      <c r="U16" s="17">
        <f ca="1">IFERROR(__xludf.DUMMYFUNCTION("""COMPUTED_VALUE"""),0.48118731502663)</f>
        <v>0.48118731502662998</v>
      </c>
      <c r="V16" s="17">
        <f ca="1">IFERROR(__xludf.DUMMYFUNCTION("""COMPUTED_VALUE"""),0.288842653253378)</f>
        <v>0.28884265325337799</v>
      </c>
      <c r="W16" s="17">
        <f ca="1">IFERROR(__xludf.DUMMYFUNCTION("""COMPUTED_VALUE"""),0.169069222467172)</f>
        <v>0.16906922246717199</v>
      </c>
      <c r="X16" s="17">
        <f ca="1">IFERROR(__xludf.DUMMYFUNCTION("""COMPUTED_VALUE"""),0.401279079945589)</f>
        <v>0.40127907994558898</v>
      </c>
      <c r="Y16" s="17">
        <f ca="1">IFERROR(__xludf.DUMMYFUNCTION("""COMPUTED_VALUE"""),0.403860958091718)</f>
        <v>0.40386095809171801</v>
      </c>
      <c r="Z16" s="17">
        <f ca="1">IFERROR(__xludf.DUMMYFUNCTION("""COMPUTED_VALUE"""),0.750222594771839)</f>
        <v>0.75022259477183895</v>
      </c>
      <c r="AA16" s="17">
        <f ca="1">IFERROR(__xludf.DUMMYFUNCTION("""COMPUTED_VALUE"""),0.117971380983366)</f>
        <v>0.117971380983366</v>
      </c>
      <c r="AB16" s="17">
        <f ca="1">IFERROR(__xludf.DUMMYFUNCTION("""COMPUTED_VALUE"""),0.796466155058585)</f>
        <v>0.79646615505858498</v>
      </c>
      <c r="AC16" s="17">
        <f ca="1">IFERROR(__xludf.DUMMYFUNCTION("""COMPUTED_VALUE"""),0.505759402772135)</f>
        <v>0.50575940277213505</v>
      </c>
      <c r="AD16" s="17">
        <f ca="1">IFERROR(__xludf.DUMMYFUNCTION("""COMPUTED_VALUE"""),0.238577520017461)</f>
        <v>0.23857752001746099</v>
      </c>
      <c r="AE16" s="17">
        <f ca="1">IFERROR(__xludf.DUMMYFUNCTION("""COMPUTED_VALUE"""),2.40551075062406)</f>
        <v>2.4055107506240598</v>
      </c>
      <c r="AF16" s="17">
        <f ca="1">IFERROR(__xludf.DUMMYFUNCTION("""COMPUTED_VALUE"""),0.702181557957109)</f>
        <v>0.70218155795710901</v>
      </c>
      <c r="AG16" s="17">
        <f ca="1">IFERROR(__xludf.DUMMYFUNCTION("""COMPUTED_VALUE"""),1.07971569264901)</f>
        <v>1.0797156926490099</v>
      </c>
      <c r="AH16" s="17">
        <f ca="1">IFERROR(__xludf.DUMMYFUNCTION("""COMPUTED_VALUE"""),0.991638709403476)</f>
        <v>0.99163870940347598</v>
      </c>
      <c r="AI16" s="17">
        <f ca="1">IFERROR(__xludf.DUMMYFUNCTION("""COMPUTED_VALUE"""),0.943632716837027)</f>
        <v>0.94363271683702699</v>
      </c>
      <c r="AJ16" s="17">
        <f ca="1">IFERROR(__xludf.DUMMYFUNCTION("""COMPUTED_VALUE"""),1.10046974726965)</f>
        <v>1.1004697472696501</v>
      </c>
    </row>
    <row r="17" spans="2:36" ht="15.75" customHeight="1" x14ac:dyDescent="0.45">
      <c r="B17" s="10" t="str">
        <f ca="1">IFERROR(__xludf.DUMMYFUNCTION("""COMPUTED_VALUE"""),"ArrowHead")</f>
        <v>ArrowHead</v>
      </c>
      <c r="C17" s="10" t="str">
        <f ca="1">IFERROR(__xludf.DUMMYFUNCTION("""COMPUTED_VALUE"""),"aligned_series")</f>
        <v>aligned_series</v>
      </c>
      <c r="D17" s="10">
        <f ca="1">IFERROR(__xludf.DUMMYFUNCTION("""COMPUTED_VALUE"""),0.1)</f>
        <v>0.1</v>
      </c>
      <c r="E17" s="17">
        <f ca="1">IFERROR(__xludf.DUMMYFUNCTION("""COMPUTED_VALUE"""),1.04878633709861)</f>
        <v>1.0487863370986099</v>
      </c>
      <c r="F17" s="17">
        <f ca="1">IFERROR(__xludf.DUMMYFUNCTION("""COMPUTED_VALUE"""),0.117480811127951)</f>
        <v>0.117480811127951</v>
      </c>
      <c r="G17" s="17">
        <f ca="1">IFERROR(__xludf.DUMMYFUNCTION("""COMPUTED_VALUE"""),0.0976357442435764)</f>
        <v>9.7635744243576406E-2</v>
      </c>
      <c r="H17" s="17">
        <f ca="1">IFERROR(__xludf.DUMMYFUNCTION("""COMPUTED_VALUE"""),0.125824913018197)</f>
        <v>0.12582491301819701</v>
      </c>
      <c r="I17" s="17">
        <f ca="1">IFERROR(__xludf.DUMMYFUNCTION("""COMPUTED_VALUE"""),0.133790369377936)</f>
        <v>0.13379036937793601</v>
      </c>
      <c r="J17" s="17">
        <f ca="1">IFERROR(__xludf.DUMMYFUNCTION("""COMPUTED_VALUE"""),0.122329000245817)</f>
        <v>0.122329000245817</v>
      </c>
      <c r="K17" s="17" t="str">
        <f ca="1">IFERROR(__xludf.DUMMYFUNCTION("""COMPUTED_VALUE"""),"nan")</f>
        <v>nan</v>
      </c>
      <c r="L17" s="17">
        <f ca="1">IFERROR(__xludf.DUMMYFUNCTION("""COMPUTED_VALUE"""),0.145398993985874)</f>
        <v>0.145398993985874</v>
      </c>
      <c r="M17" s="17">
        <f ca="1">IFERROR(__xludf.DUMMYFUNCTION("""COMPUTED_VALUE"""),0.0974864111564788)</f>
        <v>9.7486411156478797E-2</v>
      </c>
      <c r="N17" s="17">
        <f ca="1">IFERROR(__xludf.DUMMYFUNCTION("""COMPUTED_VALUE"""),0.130093298772306)</f>
        <v>0.13009329877230599</v>
      </c>
      <c r="O17" s="17">
        <f ca="1">IFERROR(__xludf.DUMMYFUNCTION("""COMPUTED_VALUE"""),0.0932739385607079)</f>
        <v>9.3273938560707897E-2</v>
      </c>
      <c r="P17" s="17">
        <f ca="1">IFERROR(__xludf.DUMMYFUNCTION("""COMPUTED_VALUE"""),0.616676941882132)</f>
        <v>0.61667694188213196</v>
      </c>
      <c r="Q17" s="17">
        <f ca="1">IFERROR(__xludf.DUMMYFUNCTION("""COMPUTED_VALUE"""),0.161556195370085)</f>
        <v>0.161556195370085</v>
      </c>
      <c r="R17" s="17">
        <f ca="1">IFERROR(__xludf.DUMMYFUNCTION("""COMPUTED_VALUE"""),0.298563290764993)</f>
        <v>0.29856329076499299</v>
      </c>
      <c r="S17" s="17">
        <f ca="1">IFERROR(__xludf.DUMMYFUNCTION("""COMPUTED_VALUE"""),0.330725747157278)</f>
        <v>0.33072574715727798</v>
      </c>
      <c r="T17" s="17">
        <f ca="1">IFERROR(__xludf.DUMMYFUNCTION("""COMPUTED_VALUE"""),0.190253487434369)</f>
        <v>0.19025348743436901</v>
      </c>
      <c r="U17" s="17">
        <f ca="1">IFERROR(__xludf.DUMMYFUNCTION("""COMPUTED_VALUE"""),0.297162309268061)</f>
        <v>0.29716230926806098</v>
      </c>
      <c r="V17" s="17">
        <f ca="1">IFERROR(__xludf.DUMMYFUNCTION("""COMPUTED_VALUE"""),0.19518699938026)</f>
        <v>0.19518699938025999</v>
      </c>
      <c r="W17" s="17">
        <f ca="1">IFERROR(__xludf.DUMMYFUNCTION("""COMPUTED_VALUE"""),0.259454870196178)</f>
        <v>0.25945487019617802</v>
      </c>
      <c r="X17" s="17">
        <f ca="1">IFERROR(__xludf.DUMMYFUNCTION("""COMPUTED_VALUE"""),100)</f>
        <v>100</v>
      </c>
      <c r="Y17" s="17">
        <f ca="1">IFERROR(__xludf.DUMMYFUNCTION("""COMPUTED_VALUE"""),0.181394927554179)</f>
        <v>0.18139492755417899</v>
      </c>
      <c r="Z17" s="17">
        <f ca="1">IFERROR(__xludf.DUMMYFUNCTION("""COMPUTED_VALUE"""),0.338120811973434)</f>
        <v>0.33812081197343402</v>
      </c>
      <c r="AA17" s="17">
        <f ca="1">IFERROR(__xludf.DUMMYFUNCTION("""COMPUTED_VALUE"""),0.0944009957410384)</f>
        <v>9.4400995741038399E-2</v>
      </c>
      <c r="AB17" s="17">
        <f ca="1">IFERROR(__xludf.DUMMYFUNCTION("""COMPUTED_VALUE"""),0.168737906391456)</f>
        <v>0.168737906391456</v>
      </c>
      <c r="AC17" s="17">
        <f ca="1">IFERROR(__xludf.DUMMYFUNCTION("""COMPUTED_VALUE"""),0.625116332037057)</f>
        <v>0.62511633203705697</v>
      </c>
      <c r="AD17" s="17">
        <f ca="1">IFERROR(__xludf.DUMMYFUNCTION("""COMPUTED_VALUE"""),0.405095618224292)</f>
        <v>0.40509561822429202</v>
      </c>
      <c r="AE17" s="17">
        <f ca="1">IFERROR(__xludf.DUMMYFUNCTION("""COMPUTED_VALUE"""),0.745563172125281)</f>
        <v>0.745563172125281</v>
      </c>
      <c r="AF17" s="17">
        <f ca="1">IFERROR(__xludf.DUMMYFUNCTION("""COMPUTED_VALUE"""),0.170463457530356)</f>
        <v>0.17046345753035599</v>
      </c>
      <c r="AG17" s="17">
        <f ca="1">IFERROR(__xludf.DUMMYFUNCTION("""COMPUTED_VALUE"""),0.698994873791342)</f>
        <v>0.69899487379134195</v>
      </c>
      <c r="AH17" s="17">
        <f ca="1">IFERROR(__xludf.DUMMYFUNCTION("""COMPUTED_VALUE"""),0.733793020884935)</f>
        <v>0.73379302088493503</v>
      </c>
      <c r="AI17" s="17">
        <f ca="1">IFERROR(__xludf.DUMMYFUNCTION("""COMPUTED_VALUE"""),0.834903037383168)</f>
        <v>0.83490303738316796</v>
      </c>
      <c r="AJ17" s="17">
        <f ca="1">IFERROR(__xludf.DUMMYFUNCTION("""COMPUTED_VALUE"""),0.345118275797321)</f>
        <v>0.34511827579732102</v>
      </c>
    </row>
    <row r="18" spans="2:36" ht="15.75" customHeight="1" x14ac:dyDescent="0.45">
      <c r="B18" s="10" t="str">
        <f ca="1">IFERROR(__xludf.DUMMYFUNCTION("""COMPUTED_VALUE"""),"ArrowHead")</f>
        <v>ArrowHead</v>
      </c>
      <c r="C18" s="10" t="str">
        <f ca="1">IFERROR(__xludf.DUMMYFUNCTION("""COMPUTED_VALUE"""),"aligned_series")</f>
        <v>aligned_series</v>
      </c>
      <c r="D18" s="10">
        <f ca="1">IFERROR(__xludf.DUMMYFUNCTION("""COMPUTED_VALUE"""),0.2)</f>
        <v>0.2</v>
      </c>
      <c r="E18" s="17">
        <f ca="1">IFERROR(__xludf.DUMMYFUNCTION("""COMPUTED_VALUE"""),1.03362852599302)</f>
        <v>1.03362852599302</v>
      </c>
      <c r="F18" s="17">
        <f ca="1">IFERROR(__xludf.DUMMYFUNCTION("""COMPUTED_VALUE"""),0.119963465061165)</f>
        <v>0.11996346506116499</v>
      </c>
      <c r="G18" s="17">
        <f ca="1">IFERROR(__xludf.DUMMYFUNCTION("""COMPUTED_VALUE"""),0.121407701381925)</f>
        <v>0.121407701381925</v>
      </c>
      <c r="H18" s="17">
        <f ca="1">IFERROR(__xludf.DUMMYFUNCTION("""COMPUTED_VALUE"""),0.141572239972529)</f>
        <v>0.14157223997252899</v>
      </c>
      <c r="I18" s="17">
        <f ca="1">IFERROR(__xludf.DUMMYFUNCTION("""COMPUTED_VALUE"""),0.149329649508904)</f>
        <v>0.14932964950890401</v>
      </c>
      <c r="J18" s="17">
        <f ca="1">IFERROR(__xludf.DUMMYFUNCTION("""COMPUTED_VALUE"""),1.6555656917871)</f>
        <v>1.6555656917871</v>
      </c>
      <c r="K18" s="17" t="str">
        <f ca="1">IFERROR(__xludf.DUMMYFUNCTION("""COMPUTED_VALUE"""),"nan")</f>
        <v>nan</v>
      </c>
      <c r="L18" s="17">
        <f ca="1">IFERROR(__xludf.DUMMYFUNCTION("""COMPUTED_VALUE"""),0.16104437442867)</f>
        <v>0.16104437442867001</v>
      </c>
      <c r="M18" s="17">
        <f ca="1">IFERROR(__xludf.DUMMYFUNCTION("""COMPUTED_VALUE"""),0.119184927522495)</f>
        <v>0.119184927522495</v>
      </c>
      <c r="N18" s="17">
        <f ca="1">IFERROR(__xludf.DUMMYFUNCTION("""COMPUTED_VALUE"""),0.150054692386576)</f>
        <v>0.15005469238657601</v>
      </c>
      <c r="O18" s="17">
        <f ca="1">IFERROR(__xludf.DUMMYFUNCTION("""COMPUTED_VALUE"""),0.411474099032669)</f>
        <v>0.41147409903266902</v>
      </c>
      <c r="P18" s="17">
        <f ca="1">IFERROR(__xludf.DUMMYFUNCTION("""COMPUTED_VALUE"""),0.615373049115765)</f>
        <v>0.61537304911576496</v>
      </c>
      <c r="Q18" s="17">
        <f ca="1">IFERROR(__xludf.DUMMYFUNCTION("""COMPUTED_VALUE"""),0.212850450599027)</f>
        <v>0.21285045059902699</v>
      </c>
      <c r="R18" s="17">
        <f ca="1">IFERROR(__xludf.DUMMYFUNCTION("""COMPUTED_VALUE"""),0.319169377607894)</f>
        <v>0.31916937760789399</v>
      </c>
      <c r="S18" s="17">
        <f ca="1">IFERROR(__xludf.DUMMYFUNCTION("""COMPUTED_VALUE"""),0.432279166196643)</f>
        <v>0.43227916619664303</v>
      </c>
      <c r="T18" s="17">
        <f ca="1">IFERROR(__xludf.DUMMYFUNCTION("""COMPUTED_VALUE"""),0.347897253965458)</f>
        <v>0.34789725396545801</v>
      </c>
      <c r="U18" s="17">
        <f ca="1">IFERROR(__xludf.DUMMYFUNCTION("""COMPUTED_VALUE"""),0.245142721984797)</f>
        <v>0.245142721984797</v>
      </c>
      <c r="V18" s="17">
        <f ca="1">IFERROR(__xludf.DUMMYFUNCTION("""COMPUTED_VALUE"""),0.294556225606683)</f>
        <v>0.29455622560668299</v>
      </c>
      <c r="W18" s="17">
        <f ca="1">IFERROR(__xludf.DUMMYFUNCTION("""COMPUTED_VALUE"""),0.293038570220424)</f>
        <v>0.29303857022042401</v>
      </c>
      <c r="X18" s="17">
        <f ca="1">IFERROR(__xludf.DUMMYFUNCTION("""COMPUTED_VALUE"""),0.348231944640623)</f>
        <v>0.34823194464062301</v>
      </c>
      <c r="Y18" s="17">
        <f ca="1">IFERROR(__xludf.DUMMYFUNCTION("""COMPUTED_VALUE"""),0.189044548552129)</f>
        <v>0.18904454855212899</v>
      </c>
      <c r="Z18" s="17">
        <f ca="1">IFERROR(__xludf.DUMMYFUNCTION("""COMPUTED_VALUE"""),0.354608265846162)</f>
        <v>0.35460826584616201</v>
      </c>
      <c r="AA18" s="17">
        <f ca="1">IFERROR(__xludf.DUMMYFUNCTION("""COMPUTED_VALUE"""),0.16111405115925)</f>
        <v>0.16111405115925001</v>
      </c>
      <c r="AB18" s="17">
        <f ca="1">IFERROR(__xludf.DUMMYFUNCTION("""COMPUTED_VALUE"""),0.19586253654053)</f>
        <v>0.19586253654053001</v>
      </c>
      <c r="AC18" s="17">
        <f ca="1">IFERROR(__xludf.DUMMYFUNCTION("""COMPUTED_VALUE"""),0.626795705805561)</f>
        <v>0.62679570580556099</v>
      </c>
      <c r="AD18" s="17">
        <f ca="1">IFERROR(__xludf.DUMMYFUNCTION("""COMPUTED_VALUE"""),0.297186893504856)</f>
        <v>0.297186893504856</v>
      </c>
      <c r="AE18" s="17">
        <f ca="1">IFERROR(__xludf.DUMMYFUNCTION("""COMPUTED_VALUE"""),0.775093148843269)</f>
        <v>0.77509314884326896</v>
      </c>
      <c r="AF18" s="17">
        <f ca="1">IFERROR(__xludf.DUMMYFUNCTION("""COMPUTED_VALUE"""),0.194054733333368)</f>
        <v>0.19405473333336801</v>
      </c>
      <c r="AG18" s="17">
        <f ca="1">IFERROR(__xludf.DUMMYFUNCTION("""COMPUTED_VALUE"""),0.751168496024275)</f>
        <v>0.75116849602427505</v>
      </c>
      <c r="AH18" s="17">
        <f ca="1">IFERROR(__xludf.DUMMYFUNCTION("""COMPUTED_VALUE"""),0.728746754699128)</f>
        <v>0.72874675469912797</v>
      </c>
      <c r="AI18" s="17">
        <f ca="1">IFERROR(__xludf.DUMMYFUNCTION("""COMPUTED_VALUE"""),0.822400709975849)</f>
        <v>0.82240070997584902</v>
      </c>
      <c r="AJ18" s="17">
        <f ca="1">IFERROR(__xludf.DUMMYFUNCTION("""COMPUTED_VALUE"""),0.397906211385461)</f>
        <v>0.39790621138546101</v>
      </c>
    </row>
    <row r="19" spans="2:36" ht="15.75" customHeight="1" x14ac:dyDescent="0.45">
      <c r="B19" s="10" t="str">
        <f ca="1">IFERROR(__xludf.DUMMYFUNCTION("""COMPUTED_VALUE"""),"ArrowHead")</f>
        <v>ArrowHead</v>
      </c>
      <c r="C19" s="10" t="str">
        <f ca="1">IFERROR(__xludf.DUMMYFUNCTION("""COMPUTED_VALUE"""),"aligned_series")</f>
        <v>aligned_series</v>
      </c>
      <c r="D19" s="10">
        <f ca="1">IFERROR(__xludf.DUMMYFUNCTION("""COMPUTED_VALUE"""),0.4)</f>
        <v>0.4</v>
      </c>
      <c r="E19" s="17">
        <f ca="1">IFERROR(__xludf.DUMMYFUNCTION("""COMPUTED_VALUE"""),1.03096468918768)</f>
        <v>1.03096468918768</v>
      </c>
      <c r="F19" s="17">
        <f ca="1">IFERROR(__xludf.DUMMYFUNCTION("""COMPUTED_VALUE"""),0.146492253923583)</f>
        <v>0.146492253923583</v>
      </c>
      <c r="G19" s="17">
        <f ca="1">IFERROR(__xludf.DUMMYFUNCTION("""COMPUTED_VALUE"""),0.146118091337431)</f>
        <v>0.14611809133743101</v>
      </c>
      <c r="H19" s="17">
        <f ca="1">IFERROR(__xludf.DUMMYFUNCTION("""COMPUTED_VALUE"""),0.326580614378876)</f>
        <v>0.32658061437887598</v>
      </c>
      <c r="I19" s="17">
        <f ca="1">IFERROR(__xludf.DUMMYFUNCTION("""COMPUTED_VALUE"""),0.188941858817123)</f>
        <v>0.188941858817123</v>
      </c>
      <c r="J19" s="17">
        <f ca="1">IFERROR(__xludf.DUMMYFUNCTION("""COMPUTED_VALUE"""),2.07634461648886)</f>
        <v>2.0763446164888602</v>
      </c>
      <c r="K19" s="17" t="str">
        <f ca="1">IFERROR(__xludf.DUMMYFUNCTION("""COMPUTED_VALUE"""),"nan")</f>
        <v>nan</v>
      </c>
      <c r="L19" s="17">
        <f ca="1">IFERROR(__xludf.DUMMYFUNCTION("""COMPUTED_VALUE"""),0.163415398128509)</f>
        <v>0.163415398128509</v>
      </c>
      <c r="M19" s="17">
        <f ca="1">IFERROR(__xludf.DUMMYFUNCTION("""COMPUTED_VALUE"""),0.143234459985149)</f>
        <v>0.143234459985149</v>
      </c>
      <c r="N19" s="17">
        <f ca="1">IFERROR(__xludf.DUMMYFUNCTION("""COMPUTED_VALUE"""),0.181913414268632)</f>
        <v>0.181913414268632</v>
      </c>
      <c r="O19" s="17">
        <f ca="1">IFERROR(__xludf.DUMMYFUNCTION("""COMPUTED_VALUE"""),0.569575804235587)</f>
        <v>0.56957580423558696</v>
      </c>
      <c r="P19" s="17">
        <f ca="1">IFERROR(__xludf.DUMMYFUNCTION("""COMPUTED_VALUE"""),0.698482240184462)</f>
        <v>0.69848224018446203</v>
      </c>
      <c r="Q19" s="17">
        <f ca="1">IFERROR(__xludf.DUMMYFUNCTION("""COMPUTED_VALUE"""),0.293161894250328)</f>
        <v>0.29316189425032801</v>
      </c>
      <c r="R19" s="17">
        <f ca="1">IFERROR(__xludf.DUMMYFUNCTION("""COMPUTED_VALUE"""),0.592235128164602)</f>
        <v>0.592235128164602</v>
      </c>
      <c r="S19" s="17">
        <f ca="1">IFERROR(__xludf.DUMMYFUNCTION("""COMPUTED_VALUE"""),0.5721885975639)</f>
        <v>0.57218859756389995</v>
      </c>
      <c r="T19" s="17">
        <f ca="1">IFERROR(__xludf.DUMMYFUNCTION("""COMPUTED_VALUE"""),0.266878441100575)</f>
        <v>0.26687844110057501</v>
      </c>
      <c r="U19" s="17">
        <f ca="1">IFERROR(__xludf.DUMMYFUNCTION("""COMPUTED_VALUE"""),0.26836069719585)</f>
        <v>0.26836069719584998</v>
      </c>
      <c r="V19" s="17">
        <f ca="1">IFERROR(__xludf.DUMMYFUNCTION("""COMPUTED_VALUE"""),0.42406235298279)</f>
        <v>0.42406235298278999</v>
      </c>
      <c r="W19" s="17">
        <f ca="1">IFERROR(__xludf.DUMMYFUNCTION("""COMPUTED_VALUE"""),0.17773444614352)</f>
        <v>0.17773444614351999</v>
      </c>
      <c r="X19" s="17">
        <f ca="1">IFERROR(__xludf.DUMMYFUNCTION("""COMPUTED_VALUE"""),0.339114284406567)</f>
        <v>0.33911428440656699</v>
      </c>
      <c r="Y19" s="17">
        <f ca="1">IFERROR(__xludf.DUMMYFUNCTION("""COMPUTED_VALUE"""),0.275430702304229)</f>
        <v>0.275430702304229</v>
      </c>
      <c r="Z19" s="17">
        <f ca="1">IFERROR(__xludf.DUMMYFUNCTION("""COMPUTED_VALUE"""),0.352534581987207)</f>
        <v>0.352534581987207</v>
      </c>
      <c r="AA19" s="17">
        <f ca="1">IFERROR(__xludf.DUMMYFUNCTION("""COMPUTED_VALUE"""),0.147376663199551)</f>
        <v>0.14737666319955101</v>
      </c>
      <c r="AB19" s="17">
        <f ca="1">IFERROR(__xludf.DUMMYFUNCTION("""COMPUTED_VALUE"""),0.366049033521507)</f>
        <v>0.36604903352150697</v>
      </c>
      <c r="AC19" s="17">
        <f ca="1">IFERROR(__xludf.DUMMYFUNCTION("""COMPUTED_VALUE"""),0.466084391064221)</f>
        <v>0.466084391064221</v>
      </c>
      <c r="AD19" s="17">
        <f ca="1">IFERROR(__xludf.DUMMYFUNCTION("""COMPUTED_VALUE"""),0.308179174439242)</f>
        <v>0.30817917443924198</v>
      </c>
      <c r="AE19" s="17">
        <f ca="1">IFERROR(__xludf.DUMMYFUNCTION("""COMPUTED_VALUE"""),0.706781936450913)</f>
        <v>0.70678193645091303</v>
      </c>
      <c r="AF19" s="17">
        <f ca="1">IFERROR(__xludf.DUMMYFUNCTION("""COMPUTED_VALUE"""),0.268020716888657)</f>
        <v>0.26802071688865697</v>
      </c>
      <c r="AG19" s="17">
        <f ca="1">IFERROR(__xludf.DUMMYFUNCTION("""COMPUTED_VALUE"""),0.64370509188714)</f>
        <v>0.64370509188713998</v>
      </c>
      <c r="AH19" s="17">
        <f ca="1">IFERROR(__xludf.DUMMYFUNCTION("""COMPUTED_VALUE"""),0.738797689529004)</f>
        <v>0.73879768952900404</v>
      </c>
      <c r="AI19" s="17">
        <f ca="1">IFERROR(__xludf.DUMMYFUNCTION("""COMPUTED_VALUE"""),0.817882288952615)</f>
        <v>0.81788228895261506</v>
      </c>
      <c r="AJ19" s="17">
        <f ca="1">IFERROR(__xludf.DUMMYFUNCTION("""COMPUTED_VALUE"""),0.519744162165857)</f>
        <v>0.51974416216585695</v>
      </c>
    </row>
    <row r="20" spans="2:36" ht="15.75" customHeight="1" x14ac:dyDescent="0.45">
      <c r="B20" s="10" t="str">
        <f ca="1">IFERROR(__xludf.DUMMYFUNCTION("""COMPUTED_VALUE"""),"ArrowHead")</f>
        <v>ArrowHead</v>
      </c>
      <c r="C20" s="10" t="str">
        <f ca="1">IFERROR(__xludf.DUMMYFUNCTION("""COMPUTED_VALUE"""),"aligned_series")</f>
        <v>aligned_series</v>
      </c>
      <c r="D20" s="10">
        <f ca="1">IFERROR(__xludf.DUMMYFUNCTION("""COMPUTED_VALUE"""),0.6)</f>
        <v>0.6</v>
      </c>
      <c r="E20" s="17">
        <f ca="1">IFERROR(__xludf.DUMMYFUNCTION("""COMPUTED_VALUE"""),1.02638691859906)</f>
        <v>1.0263869185990599</v>
      </c>
      <c r="F20" s="17">
        <f ca="1">IFERROR(__xludf.DUMMYFUNCTION("""COMPUTED_VALUE"""),0.199939292880479)</f>
        <v>0.19993929288047901</v>
      </c>
      <c r="G20" s="17">
        <f ca="1">IFERROR(__xludf.DUMMYFUNCTION("""COMPUTED_VALUE"""),0.217306018624298)</f>
        <v>0.21730601862429799</v>
      </c>
      <c r="H20" s="17">
        <f ca="1">IFERROR(__xludf.DUMMYFUNCTION("""COMPUTED_VALUE"""),0.493407280139318)</f>
        <v>0.49340728013931801</v>
      </c>
      <c r="I20" s="17">
        <f ca="1">IFERROR(__xludf.DUMMYFUNCTION("""COMPUTED_VALUE"""),0.38554002046423)</f>
        <v>0.38554002046423003</v>
      </c>
      <c r="J20" s="17">
        <f ca="1">IFERROR(__xludf.DUMMYFUNCTION("""COMPUTED_VALUE"""),2.04244888257537)</f>
        <v>2.0424488825753699</v>
      </c>
      <c r="K20" s="17" t="str">
        <f ca="1">IFERROR(__xludf.DUMMYFUNCTION("""COMPUTED_VALUE"""),"nan")</f>
        <v>nan</v>
      </c>
      <c r="L20" s="17">
        <f ca="1">IFERROR(__xludf.DUMMYFUNCTION("""COMPUTED_VALUE"""),0.289392692287028)</f>
        <v>0.28939269228702802</v>
      </c>
      <c r="M20" s="17">
        <f ca="1">IFERROR(__xludf.DUMMYFUNCTION("""COMPUTED_VALUE"""),0.367145971330104)</f>
        <v>0.36714597133010402</v>
      </c>
      <c r="N20" s="17">
        <f ca="1">IFERROR(__xludf.DUMMYFUNCTION("""COMPUTED_VALUE"""),0.249930810744033)</f>
        <v>0.24993081074403301</v>
      </c>
      <c r="O20" s="17">
        <f ca="1">IFERROR(__xludf.DUMMYFUNCTION("""COMPUTED_VALUE"""),0.705090789710876)</f>
        <v>0.70509078971087602</v>
      </c>
      <c r="P20" s="17">
        <f ca="1">IFERROR(__xludf.DUMMYFUNCTION("""COMPUTED_VALUE"""),0.755304332042881)</f>
        <v>0.75530433204288105</v>
      </c>
      <c r="Q20" s="17">
        <f ca="1">IFERROR(__xludf.DUMMYFUNCTION("""COMPUTED_VALUE"""),0.731643973249047)</f>
        <v>0.73164397324904695</v>
      </c>
      <c r="R20" s="17">
        <f ca="1">IFERROR(__xludf.DUMMYFUNCTION("""COMPUTED_VALUE"""),0.903250065260072)</f>
        <v>0.90325006526007201</v>
      </c>
      <c r="S20" s="17">
        <f ca="1">IFERROR(__xludf.DUMMYFUNCTION("""COMPUTED_VALUE"""),0.698532369756648)</f>
        <v>0.69853236975664801</v>
      </c>
      <c r="T20" s="17">
        <f ca="1">IFERROR(__xludf.DUMMYFUNCTION("""COMPUTED_VALUE"""),0.429992895521855)</f>
        <v>0.42999289552185499</v>
      </c>
      <c r="U20" s="17">
        <f ca="1">IFERROR(__xludf.DUMMYFUNCTION("""COMPUTED_VALUE"""),0.370221187370889)</f>
        <v>0.37022118737088899</v>
      </c>
      <c r="V20" s="17">
        <f ca="1">IFERROR(__xludf.DUMMYFUNCTION("""COMPUTED_VALUE"""),0.413156257585514)</f>
        <v>0.413156257585514</v>
      </c>
      <c r="W20" s="17">
        <f ca="1">IFERROR(__xludf.DUMMYFUNCTION("""COMPUTED_VALUE"""),0.268332914947489)</f>
        <v>0.26833291494748901</v>
      </c>
      <c r="X20" s="17">
        <f ca="1">IFERROR(__xludf.DUMMYFUNCTION("""COMPUTED_VALUE"""),0.33876044984857)</f>
        <v>0.33876044984857001</v>
      </c>
      <c r="Y20" s="17">
        <f ca="1">IFERROR(__xludf.DUMMYFUNCTION("""COMPUTED_VALUE"""),0.333742324103827)</f>
        <v>0.33374232410382698</v>
      </c>
      <c r="Z20" s="17">
        <f ca="1">IFERROR(__xludf.DUMMYFUNCTION("""COMPUTED_VALUE"""),0.4343067960943)</f>
        <v>0.43430679609430001</v>
      </c>
      <c r="AA20" s="17">
        <f ca="1">IFERROR(__xludf.DUMMYFUNCTION("""COMPUTED_VALUE"""),0.288047046410674)</f>
        <v>0.28804704641067402</v>
      </c>
      <c r="AB20" s="17">
        <f ca="1">IFERROR(__xludf.DUMMYFUNCTION("""COMPUTED_VALUE"""),1.39505585523871)</f>
        <v>1.39505585523871</v>
      </c>
      <c r="AC20" s="17">
        <f ca="1">IFERROR(__xludf.DUMMYFUNCTION("""COMPUTED_VALUE"""),0.593199202218599)</f>
        <v>0.59319920221859901</v>
      </c>
      <c r="AD20" s="17">
        <f ca="1">IFERROR(__xludf.DUMMYFUNCTION("""COMPUTED_VALUE"""),0.384081376208676)</f>
        <v>0.384081376208676</v>
      </c>
      <c r="AE20" s="17">
        <f ca="1">IFERROR(__xludf.DUMMYFUNCTION("""COMPUTED_VALUE"""),0.722579430340318)</f>
        <v>0.72257943034031802</v>
      </c>
      <c r="AF20" s="17">
        <f ca="1">IFERROR(__xludf.DUMMYFUNCTION("""COMPUTED_VALUE"""),0.323122943471906)</f>
        <v>0.32312294347190601</v>
      </c>
      <c r="AG20" s="17">
        <f ca="1">IFERROR(__xludf.DUMMYFUNCTION("""COMPUTED_VALUE"""),0.750883247605306)</f>
        <v>0.750883247605306</v>
      </c>
      <c r="AH20" s="17">
        <f ca="1">IFERROR(__xludf.DUMMYFUNCTION("""COMPUTED_VALUE"""),0.717369239145791)</f>
        <v>0.71736923914579098</v>
      </c>
      <c r="AI20" s="17">
        <f ca="1">IFERROR(__xludf.DUMMYFUNCTION("""COMPUTED_VALUE"""),0.795952279539839)</f>
        <v>0.79595227953983905</v>
      </c>
      <c r="AJ20" s="17">
        <f ca="1">IFERROR(__xludf.DUMMYFUNCTION("""COMPUTED_VALUE"""),0.569186783355793)</f>
        <v>0.56918678335579298</v>
      </c>
    </row>
    <row r="21" spans="2:36" ht="15.75" customHeight="1" x14ac:dyDescent="0.45">
      <c r="B21" s="10" t="str">
        <f ca="1">IFERROR(__xludf.DUMMYFUNCTION("""COMPUTED_VALUE"""),"ArrowHead")</f>
        <v>ArrowHead</v>
      </c>
      <c r="C21" s="10" t="str">
        <f ca="1">IFERROR(__xludf.DUMMYFUNCTION("""COMPUTED_VALUE"""),"aligned_series")</f>
        <v>aligned_series</v>
      </c>
      <c r="D21" s="10">
        <f ca="1">IFERROR(__xludf.DUMMYFUNCTION("""COMPUTED_VALUE"""),0.8)</f>
        <v>0.8</v>
      </c>
      <c r="E21" s="17">
        <f ca="1">IFERROR(__xludf.DUMMYFUNCTION("""COMPUTED_VALUE"""),1.04934386684315)</f>
        <v>1.0493438668431501</v>
      </c>
      <c r="F21" s="17">
        <f ca="1">IFERROR(__xludf.DUMMYFUNCTION("""COMPUTED_VALUE"""),0.240502739973209)</f>
        <v>0.24050273997320901</v>
      </c>
      <c r="G21" s="17">
        <f ca="1">IFERROR(__xludf.DUMMYFUNCTION("""COMPUTED_VALUE"""),0.511976636492521)</f>
        <v>0.51197663649252101</v>
      </c>
      <c r="H21" s="17">
        <f ca="1">IFERROR(__xludf.DUMMYFUNCTION("""COMPUTED_VALUE"""),0.340198328057236)</f>
        <v>0.34019832805723599</v>
      </c>
      <c r="I21" s="17">
        <f ca="1">IFERROR(__xludf.DUMMYFUNCTION("""COMPUTED_VALUE"""),0.584367651120717)</f>
        <v>0.58436765112071698</v>
      </c>
      <c r="J21" s="17">
        <f ca="1">IFERROR(__xludf.DUMMYFUNCTION("""COMPUTED_VALUE"""),2.06985741385576)</f>
        <v>2.0698574138557602</v>
      </c>
      <c r="K21" s="17" t="str">
        <f ca="1">IFERROR(__xludf.DUMMYFUNCTION("""COMPUTED_VALUE"""),"nan")</f>
        <v>nan</v>
      </c>
      <c r="L21" s="17">
        <f ca="1">IFERROR(__xludf.DUMMYFUNCTION("""COMPUTED_VALUE"""),0.270515416268855)</f>
        <v>0.270515416268855</v>
      </c>
      <c r="M21" s="17">
        <f ca="1">IFERROR(__xludf.DUMMYFUNCTION("""COMPUTED_VALUE"""),0.336747279949088)</f>
        <v>0.33674727994908799</v>
      </c>
      <c r="N21" s="17">
        <f ca="1">IFERROR(__xludf.DUMMYFUNCTION("""COMPUTED_VALUE"""),0.223273850514865)</f>
        <v>0.22327385051486501</v>
      </c>
      <c r="O21" s="17">
        <f ca="1">IFERROR(__xludf.DUMMYFUNCTION("""COMPUTED_VALUE"""),1.27304484640717)</f>
        <v>1.27304484640717</v>
      </c>
      <c r="P21" s="17">
        <f ca="1">IFERROR(__xludf.DUMMYFUNCTION("""COMPUTED_VALUE"""),0.820373694925087)</f>
        <v>0.82037369492508705</v>
      </c>
      <c r="Q21" s="17">
        <f ca="1">IFERROR(__xludf.DUMMYFUNCTION("""COMPUTED_VALUE"""),0.934372459381767)</f>
        <v>0.93437245938176705</v>
      </c>
      <c r="R21" s="17">
        <f ca="1">IFERROR(__xludf.DUMMYFUNCTION("""COMPUTED_VALUE"""),0.974552738823817)</f>
        <v>0.97455273882381699</v>
      </c>
      <c r="S21" s="17">
        <f ca="1">IFERROR(__xludf.DUMMYFUNCTION("""COMPUTED_VALUE"""),0.8346057369352)</f>
        <v>0.83460573693520002</v>
      </c>
      <c r="T21" s="17">
        <f ca="1">IFERROR(__xludf.DUMMYFUNCTION("""COMPUTED_VALUE"""),0.525395655666604)</f>
        <v>0.52539565566660396</v>
      </c>
      <c r="U21" s="17">
        <f ca="1">IFERROR(__xludf.DUMMYFUNCTION("""COMPUTED_VALUE"""),0.390696644960886)</f>
        <v>0.39069664496088602</v>
      </c>
      <c r="V21" s="17">
        <f ca="1">IFERROR(__xludf.DUMMYFUNCTION("""COMPUTED_VALUE"""),0.570240136738714)</f>
        <v>0.57024013673871399</v>
      </c>
      <c r="W21" s="17">
        <f ca="1">IFERROR(__xludf.DUMMYFUNCTION("""COMPUTED_VALUE"""),0.353901261834639)</f>
        <v>0.35390126183463899</v>
      </c>
      <c r="X21" s="17">
        <f ca="1">IFERROR(__xludf.DUMMYFUNCTION("""COMPUTED_VALUE"""),0.334077623195328)</f>
        <v>0.33407762319532802</v>
      </c>
      <c r="Y21" s="17">
        <f ca="1">IFERROR(__xludf.DUMMYFUNCTION("""COMPUTED_VALUE"""),0.385362300745634)</f>
        <v>0.38536230074563399</v>
      </c>
      <c r="Z21" s="17">
        <f ca="1">IFERROR(__xludf.DUMMYFUNCTION("""COMPUTED_VALUE"""),0.523751039469312)</f>
        <v>0.52375103946931201</v>
      </c>
      <c r="AA21" s="17">
        <f ca="1">IFERROR(__xludf.DUMMYFUNCTION("""COMPUTED_VALUE"""),0.220356915492778)</f>
        <v>0.220356915492778</v>
      </c>
      <c r="AB21" s="17">
        <f ca="1">IFERROR(__xludf.DUMMYFUNCTION("""COMPUTED_VALUE"""),1.9061489708446)</f>
        <v>1.9061489708446</v>
      </c>
      <c r="AC21" s="17">
        <f ca="1">IFERROR(__xludf.DUMMYFUNCTION("""COMPUTED_VALUE"""),0.705171106099314)</f>
        <v>0.70517110609931399</v>
      </c>
      <c r="AD21" s="17">
        <f ca="1">IFERROR(__xludf.DUMMYFUNCTION("""COMPUTED_VALUE"""),0.508844055250428)</f>
        <v>0.50884405525042797</v>
      </c>
      <c r="AE21" s="17">
        <f ca="1">IFERROR(__xludf.DUMMYFUNCTION("""COMPUTED_VALUE"""),0.729605279743724)</f>
        <v>0.72960527974372402</v>
      </c>
      <c r="AF21" s="17">
        <f ca="1">IFERROR(__xludf.DUMMYFUNCTION("""COMPUTED_VALUE"""),0.286771801351797)</f>
        <v>0.28677180135179697</v>
      </c>
      <c r="AG21" s="17">
        <f ca="1">IFERROR(__xludf.DUMMYFUNCTION("""COMPUTED_VALUE"""),0.77666440854024)</f>
        <v>0.77666440854023999</v>
      </c>
      <c r="AH21" s="17">
        <f ca="1">IFERROR(__xludf.DUMMYFUNCTION("""COMPUTED_VALUE"""),0.727961244055605)</f>
        <v>0.72796124405560503</v>
      </c>
      <c r="AI21" s="17">
        <f ca="1">IFERROR(__xludf.DUMMYFUNCTION("""COMPUTED_VALUE"""),0.807223826410167)</f>
        <v>0.80722382641016699</v>
      </c>
      <c r="AJ21" s="17">
        <f ca="1">IFERROR(__xludf.DUMMYFUNCTION("""COMPUTED_VALUE"""),0.711719504077918)</f>
        <v>0.71171950407791795</v>
      </c>
    </row>
    <row r="22" spans="2:36" ht="15.75" customHeight="1" x14ac:dyDescent="0.45">
      <c r="B22" s="10" t="str">
        <f ca="1">IFERROR(__xludf.DUMMYFUNCTION("""COMPUTED_VALUE"""),"ArrowHead")</f>
        <v>ArrowHead</v>
      </c>
      <c r="C22" s="10" t="str">
        <f ca="1">IFERROR(__xludf.DUMMYFUNCTION("""COMPUTED_VALUE"""),"aligned_timestamps")</f>
        <v>aligned_timestamps</v>
      </c>
      <c r="D22" s="10">
        <f ca="1">IFERROR(__xludf.DUMMYFUNCTION("""COMPUTED_VALUE"""),0.1)</f>
        <v>0.1</v>
      </c>
      <c r="E22" s="17">
        <f ca="1">IFERROR(__xludf.DUMMYFUNCTION("""COMPUTED_VALUE"""),0.685075299696008)</f>
        <v>0.685075299696008</v>
      </c>
      <c r="F22" s="17">
        <f ca="1">IFERROR(__xludf.DUMMYFUNCTION("""COMPUTED_VALUE"""),0.0920017933848627)</f>
        <v>9.2001793384862696E-2</v>
      </c>
      <c r="G22" s="17">
        <f ca="1">IFERROR(__xludf.DUMMYFUNCTION("""COMPUTED_VALUE"""),0.106670041402803)</f>
        <v>0.10667004140280301</v>
      </c>
      <c r="H22" s="17">
        <f ca="1">IFERROR(__xludf.DUMMYFUNCTION("""COMPUTED_VALUE"""),0.104332432987678)</f>
        <v>0.104332432987678</v>
      </c>
      <c r="I22" s="17">
        <f ca="1">IFERROR(__xludf.DUMMYFUNCTION("""COMPUTED_VALUE"""),0.072144208144318)</f>
        <v>7.2144208144318003E-2</v>
      </c>
      <c r="J22" s="17">
        <f ca="1">IFERROR(__xludf.DUMMYFUNCTION("""COMPUTED_VALUE"""),0.154031984757978)</f>
        <v>0.154031984757978</v>
      </c>
      <c r="K22" s="17" t="str">
        <f ca="1">IFERROR(__xludf.DUMMYFUNCTION("""COMPUTED_VALUE"""),"nan")</f>
        <v>nan</v>
      </c>
      <c r="L22" s="17">
        <f ca="1">IFERROR(__xludf.DUMMYFUNCTION("""COMPUTED_VALUE"""),0.11016702964531)</f>
        <v>0.11016702964531</v>
      </c>
      <c r="M22" s="17">
        <f ca="1">IFERROR(__xludf.DUMMYFUNCTION("""COMPUTED_VALUE"""),0.10515191111801)</f>
        <v>0.10515191111801001</v>
      </c>
      <c r="N22" s="17">
        <f ca="1">IFERROR(__xludf.DUMMYFUNCTION("""COMPUTED_VALUE"""),0.135315400602923)</f>
        <v>0.13531540060292299</v>
      </c>
      <c r="O22" s="17">
        <f ca="1">IFERROR(__xludf.DUMMYFUNCTION("""COMPUTED_VALUE"""),0.11340092224806)</f>
        <v>0.11340092224806</v>
      </c>
      <c r="P22" s="17">
        <f ca="1">IFERROR(__xludf.DUMMYFUNCTION("""COMPUTED_VALUE"""),0.435821409887061)</f>
        <v>0.43582140988706097</v>
      </c>
      <c r="Q22" s="17">
        <f ca="1">IFERROR(__xludf.DUMMYFUNCTION("""COMPUTED_VALUE"""),0.19312938111851)</f>
        <v>0.19312938111851</v>
      </c>
      <c r="R22" s="17">
        <f ca="1">IFERROR(__xludf.DUMMYFUNCTION("""COMPUTED_VALUE"""),0.190367013430774)</f>
        <v>0.190367013430774</v>
      </c>
      <c r="S22" s="17">
        <f ca="1">IFERROR(__xludf.DUMMYFUNCTION("""COMPUTED_VALUE"""),0.282787033356989)</f>
        <v>0.28278703335698901</v>
      </c>
      <c r="T22" s="17">
        <f ca="1">IFERROR(__xludf.DUMMYFUNCTION("""COMPUTED_VALUE"""),0.211845474302867)</f>
        <v>0.21184547430286699</v>
      </c>
      <c r="U22" s="17">
        <f ca="1">IFERROR(__xludf.DUMMYFUNCTION("""COMPUTED_VALUE"""),0.14754188996921)</f>
        <v>0.14754188996921</v>
      </c>
      <c r="V22" s="17">
        <f ca="1">IFERROR(__xludf.DUMMYFUNCTION("""COMPUTED_VALUE"""),0.140941386323899)</f>
        <v>0.14094138632389899</v>
      </c>
      <c r="W22" s="17">
        <f ca="1">IFERROR(__xludf.DUMMYFUNCTION("""COMPUTED_VALUE"""),0.201191164986066)</f>
        <v>0.20119116498606601</v>
      </c>
      <c r="X22" s="17">
        <f ca="1">IFERROR(__xludf.DUMMYFUNCTION("""COMPUTED_VALUE"""),0.253177854897109)</f>
        <v>0.25317785489710898</v>
      </c>
      <c r="Y22" s="17">
        <f ca="1">IFERROR(__xludf.DUMMYFUNCTION("""COMPUTED_VALUE"""),0.0878513048521371)</f>
        <v>8.7851304852137102E-2</v>
      </c>
      <c r="Z22" s="17">
        <f ca="1">IFERROR(__xludf.DUMMYFUNCTION("""COMPUTED_VALUE"""),0.127923349706485)</f>
        <v>0.127923349706485</v>
      </c>
      <c r="AA22" s="17">
        <f ca="1">IFERROR(__xludf.DUMMYFUNCTION("""COMPUTED_VALUE"""),0.094914775465493)</f>
        <v>9.4914775465492998E-2</v>
      </c>
      <c r="AB22" s="17">
        <f ca="1">IFERROR(__xludf.DUMMYFUNCTION("""COMPUTED_VALUE"""),0.160136973422857)</f>
        <v>0.16013697342285699</v>
      </c>
      <c r="AC22" s="17">
        <f ca="1">IFERROR(__xludf.DUMMYFUNCTION("""COMPUTED_VALUE"""),0.317112827211517)</f>
        <v>0.31711282721151701</v>
      </c>
      <c r="AD22" s="17">
        <f ca="1">IFERROR(__xludf.DUMMYFUNCTION("""COMPUTED_VALUE"""),0.131965733158849)</f>
        <v>0.13196573315884899</v>
      </c>
      <c r="AE22" s="17">
        <f ca="1">IFERROR(__xludf.DUMMYFUNCTION("""COMPUTED_VALUE"""),0.293774694731066)</f>
        <v>0.29377469473106599</v>
      </c>
      <c r="AF22" s="17">
        <f ca="1">IFERROR(__xludf.DUMMYFUNCTION("""COMPUTED_VALUE"""),0.0797687510382037)</f>
        <v>7.9768751038203703E-2</v>
      </c>
      <c r="AG22" s="17">
        <f ca="1">IFERROR(__xludf.DUMMYFUNCTION("""COMPUTED_VALUE"""),0.938683900359164)</f>
        <v>0.93868390035916405</v>
      </c>
      <c r="AH22" s="17">
        <f ca="1">IFERROR(__xludf.DUMMYFUNCTION("""COMPUTED_VALUE"""),0.348824607158467)</f>
        <v>0.34882460715846703</v>
      </c>
      <c r="AI22" s="17">
        <f ca="1">IFERROR(__xludf.DUMMYFUNCTION("""COMPUTED_VALUE"""),1.25059560657538)</f>
        <v>1.25059560657538</v>
      </c>
      <c r="AJ22" s="17">
        <f ca="1">IFERROR(__xludf.DUMMYFUNCTION("""COMPUTED_VALUE"""),0.502142853106738)</f>
        <v>0.50214285310673801</v>
      </c>
    </row>
    <row r="23" spans="2:36" ht="15.75" customHeight="1" x14ac:dyDescent="0.45">
      <c r="B23" s="10" t="str">
        <f ca="1">IFERROR(__xludf.DUMMYFUNCTION("""COMPUTED_VALUE"""),"ArrowHead")</f>
        <v>ArrowHead</v>
      </c>
      <c r="C23" s="10" t="str">
        <f ca="1">IFERROR(__xludf.DUMMYFUNCTION("""COMPUTED_VALUE"""),"aligned_timestamps")</f>
        <v>aligned_timestamps</v>
      </c>
      <c r="D23" s="10">
        <f ca="1">IFERROR(__xludf.DUMMYFUNCTION("""COMPUTED_VALUE"""),0.2)</f>
        <v>0.2</v>
      </c>
      <c r="E23" s="17">
        <f ca="1">IFERROR(__xludf.DUMMYFUNCTION("""COMPUTED_VALUE"""),1.03362852599302)</f>
        <v>1.03362852599302</v>
      </c>
      <c r="F23" s="17">
        <f ca="1">IFERROR(__xludf.DUMMYFUNCTION("""COMPUTED_VALUE"""),0.119963465061165)</f>
        <v>0.11996346506116499</v>
      </c>
      <c r="G23" s="17">
        <f ca="1">IFERROR(__xludf.DUMMYFUNCTION("""COMPUTED_VALUE"""),0.121407701381925)</f>
        <v>0.121407701381925</v>
      </c>
      <c r="H23" s="17">
        <f ca="1">IFERROR(__xludf.DUMMYFUNCTION("""COMPUTED_VALUE"""),0.141572239972529)</f>
        <v>0.14157223997252899</v>
      </c>
      <c r="I23" s="17">
        <f ca="1">IFERROR(__xludf.DUMMYFUNCTION("""COMPUTED_VALUE"""),0.149329649508904)</f>
        <v>0.14932964950890401</v>
      </c>
      <c r="J23" s="17">
        <f ca="1">IFERROR(__xludf.DUMMYFUNCTION("""COMPUTED_VALUE"""),1.6555656917871)</f>
        <v>1.6555656917871</v>
      </c>
      <c r="K23" s="17" t="str">
        <f ca="1">IFERROR(__xludf.DUMMYFUNCTION("""COMPUTED_VALUE"""),"nan")</f>
        <v>nan</v>
      </c>
      <c r="L23" s="17">
        <f ca="1">IFERROR(__xludf.DUMMYFUNCTION("""COMPUTED_VALUE"""),0.16104437442867)</f>
        <v>0.16104437442867001</v>
      </c>
      <c r="M23" s="17">
        <f ca="1">IFERROR(__xludf.DUMMYFUNCTION("""COMPUTED_VALUE"""),0.119184927522495)</f>
        <v>0.119184927522495</v>
      </c>
      <c r="N23" s="17">
        <f ca="1">IFERROR(__xludf.DUMMYFUNCTION("""COMPUTED_VALUE"""),0.150054692386576)</f>
        <v>0.15005469238657601</v>
      </c>
      <c r="O23" s="17">
        <f ca="1">IFERROR(__xludf.DUMMYFUNCTION("""COMPUTED_VALUE"""),0.411474099032669)</f>
        <v>0.41147409903266902</v>
      </c>
      <c r="P23" s="17">
        <f ca="1">IFERROR(__xludf.DUMMYFUNCTION("""COMPUTED_VALUE"""),0.615373049115765)</f>
        <v>0.61537304911576496</v>
      </c>
      <c r="Q23" s="17">
        <f ca="1">IFERROR(__xludf.DUMMYFUNCTION("""COMPUTED_VALUE"""),0.212850450599027)</f>
        <v>0.21285045059902699</v>
      </c>
      <c r="R23" s="17">
        <f ca="1">IFERROR(__xludf.DUMMYFUNCTION("""COMPUTED_VALUE"""),0.319169377607894)</f>
        <v>0.31916937760789399</v>
      </c>
      <c r="S23" s="17">
        <f ca="1">IFERROR(__xludf.DUMMYFUNCTION("""COMPUTED_VALUE"""),0.432279166196643)</f>
        <v>0.43227916619664303</v>
      </c>
      <c r="T23" s="17">
        <f ca="1">IFERROR(__xludf.DUMMYFUNCTION("""COMPUTED_VALUE"""),0.347897253965458)</f>
        <v>0.34789725396545801</v>
      </c>
      <c r="U23" s="17">
        <f ca="1">IFERROR(__xludf.DUMMYFUNCTION("""COMPUTED_VALUE"""),0.245142721984797)</f>
        <v>0.245142721984797</v>
      </c>
      <c r="V23" s="17">
        <f ca="1">IFERROR(__xludf.DUMMYFUNCTION("""COMPUTED_VALUE"""),0.294556225606683)</f>
        <v>0.29455622560668299</v>
      </c>
      <c r="W23" s="17">
        <f ca="1">IFERROR(__xludf.DUMMYFUNCTION("""COMPUTED_VALUE"""),0.32991321263967)</f>
        <v>0.32991321263966999</v>
      </c>
      <c r="X23" s="17">
        <f ca="1">IFERROR(__xludf.DUMMYFUNCTION("""COMPUTED_VALUE"""),0.33813088862934)</f>
        <v>0.33813088862933999</v>
      </c>
      <c r="Y23" s="17">
        <f ca="1">IFERROR(__xludf.DUMMYFUNCTION("""COMPUTED_VALUE"""),0.189044548552129)</f>
        <v>0.18904454855212899</v>
      </c>
      <c r="Z23" s="17">
        <f ca="1">IFERROR(__xludf.DUMMYFUNCTION("""COMPUTED_VALUE"""),0.354608265846162)</f>
        <v>0.35460826584616201</v>
      </c>
      <c r="AA23" s="17">
        <f ca="1">IFERROR(__xludf.DUMMYFUNCTION("""COMPUTED_VALUE"""),0.16111405115925)</f>
        <v>0.16111405115925001</v>
      </c>
      <c r="AB23" s="17">
        <f ca="1">IFERROR(__xludf.DUMMYFUNCTION("""COMPUTED_VALUE"""),0.227972743077945)</f>
        <v>0.22797274307794499</v>
      </c>
      <c r="AC23" s="17">
        <f ca="1">IFERROR(__xludf.DUMMYFUNCTION("""COMPUTED_VALUE"""),0.626795705805561)</f>
        <v>0.62679570580556099</v>
      </c>
      <c r="AD23" s="17">
        <f ca="1">IFERROR(__xludf.DUMMYFUNCTION("""COMPUTED_VALUE"""),0.306306402121432)</f>
        <v>0.30630640212143201</v>
      </c>
      <c r="AE23" s="17">
        <f ca="1">IFERROR(__xludf.DUMMYFUNCTION("""COMPUTED_VALUE"""),0.746458323464251)</f>
        <v>0.74645832346425101</v>
      </c>
      <c r="AF23" s="17">
        <f ca="1">IFERROR(__xludf.DUMMYFUNCTION("""COMPUTED_VALUE"""),0.194054733333368)</f>
        <v>0.19405473333336801</v>
      </c>
      <c r="AG23" s="17">
        <f ca="1">IFERROR(__xludf.DUMMYFUNCTION("""COMPUTED_VALUE"""),0.606064865928497)</f>
        <v>0.60606486592849695</v>
      </c>
      <c r="AH23" s="17">
        <f ca="1">IFERROR(__xludf.DUMMYFUNCTION("""COMPUTED_VALUE"""),0.728746754699128)</f>
        <v>0.72874675469912797</v>
      </c>
      <c r="AI23" s="17">
        <f ca="1">IFERROR(__xludf.DUMMYFUNCTION("""COMPUTED_VALUE"""),0.822400709975849)</f>
        <v>0.82240070997584902</v>
      </c>
      <c r="AJ23" s="17">
        <f ca="1">IFERROR(__xludf.DUMMYFUNCTION("""COMPUTED_VALUE"""),0.417918150130504)</f>
        <v>0.41791815013050398</v>
      </c>
    </row>
    <row r="24" spans="2:36" ht="15.75" customHeight="1" x14ac:dyDescent="0.45">
      <c r="B24" s="10" t="str">
        <f ca="1">IFERROR(__xludf.DUMMYFUNCTION("""COMPUTED_VALUE"""),"ArrowHead")</f>
        <v>ArrowHead</v>
      </c>
      <c r="C24" s="10" t="str">
        <f ca="1">IFERROR(__xludf.DUMMYFUNCTION("""COMPUTED_VALUE"""),"aligned_timestamps")</f>
        <v>aligned_timestamps</v>
      </c>
      <c r="D24" s="10">
        <f ca="1">IFERROR(__xludf.DUMMYFUNCTION("""COMPUTED_VALUE"""),0.4)</f>
        <v>0.4</v>
      </c>
      <c r="E24" s="17">
        <f ca="1">IFERROR(__xludf.DUMMYFUNCTION("""COMPUTED_VALUE"""),0.879972986282565)</f>
        <v>0.87997298628256504</v>
      </c>
      <c r="F24" s="17">
        <f ca="1">IFERROR(__xludf.DUMMYFUNCTION("""COMPUTED_VALUE"""),0.170938857321192)</f>
        <v>0.17093885732119199</v>
      </c>
      <c r="G24" s="17">
        <f ca="1">IFERROR(__xludf.DUMMYFUNCTION("""COMPUTED_VALUE"""),0.168259885935973)</f>
        <v>0.16825988593597299</v>
      </c>
      <c r="H24" s="17">
        <f ca="1">IFERROR(__xludf.DUMMYFUNCTION("""COMPUTED_VALUE"""),0.198379911763417)</f>
        <v>0.19837991176341699</v>
      </c>
      <c r="I24" s="17">
        <f ca="1">IFERROR(__xludf.DUMMYFUNCTION("""COMPUTED_VALUE"""),0.186720765581016)</f>
        <v>0.186720765581016</v>
      </c>
      <c r="J24" s="17">
        <f ca="1">IFERROR(__xludf.DUMMYFUNCTION("""COMPUTED_VALUE"""),1.43324580052406)</f>
        <v>1.43324580052406</v>
      </c>
      <c r="K24" s="17" t="str">
        <f ca="1">IFERROR(__xludf.DUMMYFUNCTION("""COMPUTED_VALUE"""),"nan")</f>
        <v>nan</v>
      </c>
      <c r="L24" s="17">
        <f ca="1">IFERROR(__xludf.DUMMYFUNCTION("""COMPUTED_VALUE"""),0.199584181228037)</f>
        <v>0.19958418122803701</v>
      </c>
      <c r="M24" s="17">
        <f ca="1">IFERROR(__xludf.DUMMYFUNCTION("""COMPUTED_VALUE"""),0.97357103533057)</f>
        <v>0.97357103533056999</v>
      </c>
      <c r="N24" s="17">
        <f ca="1">IFERROR(__xludf.DUMMYFUNCTION("""COMPUTED_VALUE"""),0.205499749392119)</f>
        <v>0.20549974939211901</v>
      </c>
      <c r="O24" s="17">
        <f ca="1">IFERROR(__xludf.DUMMYFUNCTION("""COMPUTED_VALUE"""),0.794286459194245)</f>
        <v>0.79428645919424501</v>
      </c>
      <c r="P24" s="17">
        <f ca="1">IFERROR(__xludf.DUMMYFUNCTION("""COMPUTED_VALUE"""),0.578645539889316)</f>
        <v>0.578645539889316</v>
      </c>
      <c r="Q24" s="17">
        <f ca="1">IFERROR(__xludf.DUMMYFUNCTION("""COMPUTED_VALUE"""),0.276094438390903)</f>
        <v>0.27609443839090297</v>
      </c>
      <c r="R24" s="17">
        <f ca="1">IFERROR(__xludf.DUMMYFUNCTION("""COMPUTED_VALUE"""),0.333724290480022)</f>
        <v>0.333724290480022</v>
      </c>
      <c r="S24" s="17">
        <f ca="1">IFERROR(__xludf.DUMMYFUNCTION("""COMPUTED_VALUE"""),0.386636901256487)</f>
        <v>0.38663690125648698</v>
      </c>
      <c r="T24" s="17">
        <f ca="1">IFERROR(__xludf.DUMMYFUNCTION("""COMPUTED_VALUE"""),0.391834582091204)</f>
        <v>0.39183458209120398</v>
      </c>
      <c r="U24" s="17">
        <f ca="1">IFERROR(__xludf.DUMMYFUNCTION("""COMPUTED_VALUE"""),0.303122344015152)</f>
        <v>0.30312234401515198</v>
      </c>
      <c r="V24" s="17">
        <f ca="1">IFERROR(__xludf.DUMMYFUNCTION("""COMPUTED_VALUE"""),0.566987339361757)</f>
        <v>0.56698733936175705</v>
      </c>
      <c r="W24" s="17">
        <f ca="1">IFERROR(__xludf.DUMMYFUNCTION("""COMPUTED_VALUE"""),0.459669112159723)</f>
        <v>0.459669112159723</v>
      </c>
      <c r="X24" s="17">
        <f ca="1">IFERROR(__xludf.DUMMYFUNCTION("""COMPUTED_VALUE"""),0.407534632038746)</f>
        <v>0.40753463203874601</v>
      </c>
      <c r="Y24" s="17">
        <f ca="1">IFERROR(__xludf.DUMMYFUNCTION("""COMPUTED_VALUE"""),0.259880864968945)</f>
        <v>0.25988086496894502</v>
      </c>
      <c r="Z24" s="17">
        <f ca="1">IFERROR(__xludf.DUMMYFUNCTION("""COMPUTED_VALUE"""),0.749165966664227)</f>
        <v>0.74916596666422697</v>
      </c>
      <c r="AA24" s="17">
        <f ca="1">IFERROR(__xludf.DUMMYFUNCTION("""COMPUTED_VALUE"""),0.198300897687338)</f>
        <v>0.198300897687338</v>
      </c>
      <c r="AB24" s="17">
        <f ca="1">IFERROR(__xludf.DUMMYFUNCTION("""COMPUTED_VALUE"""),0.282455564849742)</f>
        <v>0.28245556484974199</v>
      </c>
      <c r="AC24" s="17">
        <f ca="1">IFERROR(__xludf.DUMMYFUNCTION("""COMPUTED_VALUE"""),0.81037978499374)</f>
        <v>0.81037978499373997</v>
      </c>
      <c r="AD24" s="17">
        <f ca="1">IFERROR(__xludf.DUMMYFUNCTION("""COMPUTED_VALUE"""),0.609181078256214)</f>
        <v>0.60918107825621404</v>
      </c>
      <c r="AE24" s="17">
        <f ca="1">IFERROR(__xludf.DUMMYFUNCTION("""COMPUTED_VALUE"""),0.760808859284023)</f>
        <v>0.76080885928402298</v>
      </c>
      <c r="AF24" s="17">
        <f ca="1">IFERROR(__xludf.DUMMYFUNCTION("""COMPUTED_VALUE"""),0.246188055817586)</f>
        <v>0.24618805581758599</v>
      </c>
      <c r="AG24" s="17">
        <f ca="1">IFERROR(__xludf.DUMMYFUNCTION("""COMPUTED_VALUE"""),1.07587426861076)</f>
        <v>1.0758742686107601</v>
      </c>
      <c r="AH24" s="17">
        <f ca="1">IFERROR(__xludf.DUMMYFUNCTION("""COMPUTED_VALUE"""),1.27638215088941)</f>
        <v>1.27638215088941</v>
      </c>
      <c r="AI24" s="17">
        <f ca="1">IFERROR(__xludf.DUMMYFUNCTION("""COMPUTED_VALUE"""),1.1041915831464)</f>
        <v>1.1041915831464</v>
      </c>
      <c r="AJ24" s="17">
        <f ca="1">IFERROR(__xludf.DUMMYFUNCTION("""COMPUTED_VALUE"""),1.07850318663361)</f>
        <v>1.0785031866336099</v>
      </c>
    </row>
    <row r="25" spans="2:36" ht="15.75" customHeight="1" x14ac:dyDescent="0.45">
      <c r="B25" s="10" t="str">
        <f ca="1">IFERROR(__xludf.DUMMYFUNCTION("""COMPUTED_VALUE"""),"ArrowHead")</f>
        <v>ArrowHead</v>
      </c>
      <c r="C25" s="10" t="str">
        <f ca="1">IFERROR(__xludf.DUMMYFUNCTION("""COMPUTED_VALUE"""),"aligned_timestamps")</f>
        <v>aligned_timestamps</v>
      </c>
      <c r="D25" s="10">
        <f ca="1">IFERROR(__xludf.DUMMYFUNCTION("""COMPUTED_VALUE"""),0.6)</f>
        <v>0.6</v>
      </c>
      <c r="E25" s="17">
        <f ca="1">IFERROR(__xludf.DUMMYFUNCTION("""COMPUTED_VALUE"""),0.839179343936916)</f>
        <v>0.83917934393691596</v>
      </c>
      <c r="F25" s="17">
        <f ca="1">IFERROR(__xludf.DUMMYFUNCTION("""COMPUTED_VALUE"""),0.187227736388728)</f>
        <v>0.187227736388728</v>
      </c>
      <c r="G25" s="17">
        <f ca="1">IFERROR(__xludf.DUMMYFUNCTION("""COMPUTED_VALUE"""),0.190074198068543)</f>
        <v>0.190074198068543</v>
      </c>
      <c r="H25" s="17">
        <f ca="1">IFERROR(__xludf.DUMMYFUNCTION("""COMPUTED_VALUE"""),0.228921074447049)</f>
        <v>0.22892107444704901</v>
      </c>
      <c r="I25" s="17">
        <f ca="1">IFERROR(__xludf.DUMMYFUNCTION("""COMPUTED_VALUE"""),0.239717908710023)</f>
        <v>0.23971790871002299</v>
      </c>
      <c r="J25" s="17">
        <f ca="1">IFERROR(__xludf.DUMMYFUNCTION("""COMPUTED_VALUE"""),1.32758893956646)</f>
        <v>1.32758893956646</v>
      </c>
      <c r="K25" s="17" t="str">
        <f ca="1">IFERROR(__xludf.DUMMYFUNCTION("""COMPUTED_VALUE"""),"nan")</f>
        <v>nan</v>
      </c>
      <c r="L25" s="17">
        <f ca="1">IFERROR(__xludf.DUMMYFUNCTION("""COMPUTED_VALUE"""),0.201603462958772)</f>
        <v>0.20160346295877199</v>
      </c>
      <c r="M25" s="17">
        <f ca="1">IFERROR(__xludf.DUMMYFUNCTION("""COMPUTED_VALUE"""),0.637688070661452)</f>
        <v>0.63768807066145206</v>
      </c>
      <c r="N25" s="17">
        <f ca="1">IFERROR(__xludf.DUMMYFUNCTION("""COMPUTED_VALUE"""),0.228986489067868)</f>
        <v>0.228986489067868</v>
      </c>
      <c r="O25" s="17">
        <f ca="1">IFERROR(__xludf.DUMMYFUNCTION("""COMPUTED_VALUE"""),0.741911558917894)</f>
        <v>0.74191155891789395</v>
      </c>
      <c r="P25" s="17">
        <f ca="1">IFERROR(__xludf.DUMMYFUNCTION("""COMPUTED_VALUE"""),0.75314586262241)</f>
        <v>0.75314586262241001</v>
      </c>
      <c r="Q25" s="17">
        <f ca="1">IFERROR(__xludf.DUMMYFUNCTION("""COMPUTED_VALUE"""),0.329040223721952)</f>
        <v>0.32904022372195202</v>
      </c>
      <c r="R25" s="17">
        <f ca="1">IFERROR(__xludf.DUMMYFUNCTION("""COMPUTED_VALUE"""),0.334139390820896)</f>
        <v>0.334139390820896</v>
      </c>
      <c r="S25" s="17">
        <f ca="1">IFERROR(__xludf.DUMMYFUNCTION("""COMPUTED_VALUE"""),0.369303730391958)</f>
        <v>0.36930373039195802</v>
      </c>
      <c r="T25" s="17">
        <f ca="1">IFERROR(__xludf.DUMMYFUNCTION("""COMPUTED_VALUE"""),0.388322337585635)</f>
        <v>0.388322337585635</v>
      </c>
      <c r="U25" s="17">
        <f ca="1">IFERROR(__xludf.DUMMYFUNCTION("""COMPUTED_VALUE"""),0.306145906553285)</f>
        <v>0.306145906553285</v>
      </c>
      <c r="V25" s="17">
        <f ca="1">IFERROR(__xludf.DUMMYFUNCTION("""COMPUTED_VALUE"""),0.456371442940998)</f>
        <v>0.45637144294099802</v>
      </c>
      <c r="W25" s="17">
        <f ca="1">IFERROR(__xludf.DUMMYFUNCTION("""COMPUTED_VALUE"""),0.575947495771376)</f>
        <v>0.57594749577137605</v>
      </c>
      <c r="X25" s="17">
        <f ca="1">IFERROR(__xludf.DUMMYFUNCTION("""COMPUTED_VALUE"""),0.258727750244408)</f>
        <v>0.25872775024440797</v>
      </c>
      <c r="Y25" s="17">
        <f ca="1">IFERROR(__xludf.DUMMYFUNCTION("""COMPUTED_VALUE"""),0.236947481002094)</f>
        <v>0.23694748100209401</v>
      </c>
      <c r="Z25" s="17">
        <f ca="1">IFERROR(__xludf.DUMMYFUNCTION("""COMPUTED_VALUE"""),0.753936868156686)</f>
        <v>0.75393686815668604</v>
      </c>
      <c r="AA25" s="17">
        <f ca="1">IFERROR(__xludf.DUMMYFUNCTION("""COMPUTED_VALUE"""),0.20094514139777)</f>
        <v>0.20094514139777001</v>
      </c>
      <c r="AB25" s="17">
        <f ca="1">IFERROR(__xludf.DUMMYFUNCTION("""COMPUTED_VALUE"""),0.315089974867849)</f>
        <v>0.31508997486784901</v>
      </c>
      <c r="AC25" s="17">
        <f ca="1">IFERROR(__xludf.DUMMYFUNCTION("""COMPUTED_VALUE"""),0.866631131374948)</f>
        <v>0.86663113137494796</v>
      </c>
      <c r="AD25" s="17">
        <f ca="1">IFERROR(__xludf.DUMMYFUNCTION("""COMPUTED_VALUE"""),0.634555442513191)</f>
        <v>0.63455544251319096</v>
      </c>
      <c r="AE25" s="17">
        <f ca="1">IFERROR(__xludf.DUMMYFUNCTION("""COMPUTED_VALUE"""),0.996791191112474)</f>
        <v>0.99679119111247405</v>
      </c>
      <c r="AF25" s="17">
        <f ca="1">IFERROR(__xludf.DUMMYFUNCTION("""COMPUTED_VALUE"""),0.280926679284914)</f>
        <v>0.28092667928491399</v>
      </c>
      <c r="AG25" s="17">
        <f ca="1">IFERROR(__xludf.DUMMYFUNCTION("""COMPUTED_VALUE"""),0.954054168443062)</f>
        <v>0.95405416844306201</v>
      </c>
      <c r="AH25" s="17">
        <f ca="1">IFERROR(__xludf.DUMMYFUNCTION("""COMPUTED_VALUE"""),0.928429432593715)</f>
        <v>0.92842943259371502</v>
      </c>
      <c r="AI25" s="17">
        <f ca="1">IFERROR(__xludf.DUMMYFUNCTION("""COMPUTED_VALUE"""),0.903612340710708)</f>
        <v>0.90361234071070795</v>
      </c>
      <c r="AJ25" s="17">
        <f ca="1">IFERROR(__xludf.DUMMYFUNCTION("""COMPUTED_VALUE"""),0.910243085495837)</f>
        <v>0.91024308549583699</v>
      </c>
    </row>
    <row r="26" spans="2:36" ht="15.75" customHeight="1" x14ac:dyDescent="0.45">
      <c r="B26" s="10" t="str">
        <f ca="1">IFERROR(__xludf.DUMMYFUNCTION("""COMPUTED_VALUE"""),"ArrowHead")</f>
        <v>ArrowHead</v>
      </c>
      <c r="C26" s="10" t="str">
        <f ca="1">IFERROR(__xludf.DUMMYFUNCTION("""COMPUTED_VALUE"""),"aligned_timestamps")</f>
        <v>aligned_timestamps</v>
      </c>
      <c r="D26" s="10">
        <f ca="1">IFERROR(__xludf.DUMMYFUNCTION("""COMPUTED_VALUE"""),0.8)</f>
        <v>0.8</v>
      </c>
      <c r="E26" s="17">
        <f ca="1">IFERROR(__xludf.DUMMYFUNCTION("""COMPUTED_VALUE"""),0.924843582516676)</f>
        <v>0.92484358251667598</v>
      </c>
      <c r="F26" s="17">
        <f ca="1">IFERROR(__xludf.DUMMYFUNCTION("""COMPUTED_VALUE"""),0.280863761767162)</f>
        <v>0.28086376176716199</v>
      </c>
      <c r="G26" s="17">
        <f ca="1">IFERROR(__xludf.DUMMYFUNCTION("""COMPUTED_VALUE"""),0.298275439075124)</f>
        <v>0.29827543907512399</v>
      </c>
      <c r="H26" s="17">
        <f ca="1">IFERROR(__xludf.DUMMYFUNCTION("""COMPUTED_VALUE"""),0.234232946192766)</f>
        <v>0.234232946192766</v>
      </c>
      <c r="I26" s="17">
        <f ca="1">IFERROR(__xludf.DUMMYFUNCTION("""COMPUTED_VALUE"""),0.43724320518001)</f>
        <v>0.43724320518000998</v>
      </c>
      <c r="J26" s="17">
        <f ca="1">IFERROR(__xludf.DUMMYFUNCTION("""COMPUTED_VALUE"""),1.7171667674843)</f>
        <v>1.7171667674843001</v>
      </c>
      <c r="K26" s="17" t="str">
        <f ca="1">IFERROR(__xludf.DUMMYFUNCTION("""COMPUTED_VALUE"""),"nan")</f>
        <v>nan</v>
      </c>
      <c r="L26" s="17">
        <f ca="1">IFERROR(__xludf.DUMMYFUNCTION("""COMPUTED_VALUE"""),0.256258799750839)</f>
        <v>0.25625879975083898</v>
      </c>
      <c r="M26" s="17">
        <f ca="1">IFERROR(__xludf.DUMMYFUNCTION("""COMPUTED_VALUE"""),0.88441418879978)</f>
        <v>0.88441418879977995</v>
      </c>
      <c r="N26" s="17">
        <f ca="1">IFERROR(__xludf.DUMMYFUNCTION("""COMPUTED_VALUE"""),0.222330762422983)</f>
        <v>0.222330762422983</v>
      </c>
      <c r="O26" s="17">
        <f ca="1">IFERROR(__xludf.DUMMYFUNCTION("""COMPUTED_VALUE"""),1.28320329720491)</f>
        <v>1.2832032972049101</v>
      </c>
      <c r="P26" s="17">
        <f ca="1">IFERROR(__xludf.DUMMYFUNCTION("""COMPUTED_VALUE"""),1.2307349369371)</f>
        <v>1.2307349369370999</v>
      </c>
      <c r="Q26" s="17">
        <f ca="1">IFERROR(__xludf.DUMMYFUNCTION("""COMPUTED_VALUE"""),0.314403960600598)</f>
        <v>0.314403960600598</v>
      </c>
      <c r="R26" s="17">
        <f ca="1">IFERROR(__xludf.DUMMYFUNCTION("""COMPUTED_VALUE"""),0.431709095198014)</f>
        <v>0.43170909519801398</v>
      </c>
      <c r="S26" s="17">
        <f ca="1">IFERROR(__xludf.DUMMYFUNCTION("""COMPUTED_VALUE"""),0.451937762686245)</f>
        <v>0.45193776268624503</v>
      </c>
      <c r="T26" s="17">
        <f ca="1">IFERROR(__xludf.DUMMYFUNCTION("""COMPUTED_VALUE"""),0.388517672756234)</f>
        <v>0.388517672756234</v>
      </c>
      <c r="U26" s="17">
        <f ca="1">IFERROR(__xludf.DUMMYFUNCTION("""COMPUTED_VALUE"""),0.624850104614915)</f>
        <v>0.62485010461491497</v>
      </c>
      <c r="V26" s="17">
        <f ca="1">IFERROR(__xludf.DUMMYFUNCTION("""COMPUTED_VALUE"""),1.28834394819411)</f>
        <v>1.2883439481941099</v>
      </c>
      <c r="W26" s="17">
        <f ca="1">IFERROR(__xludf.DUMMYFUNCTION("""COMPUTED_VALUE"""),0.786671232816586)</f>
        <v>0.78667123281658602</v>
      </c>
      <c r="X26" s="17">
        <f ca="1">IFERROR(__xludf.DUMMYFUNCTION("""COMPUTED_VALUE"""),0.266278290837578)</f>
        <v>0.26627829083757798</v>
      </c>
      <c r="Y26" s="17">
        <f ca="1">IFERROR(__xludf.DUMMYFUNCTION("""COMPUTED_VALUE"""),0.331586811903117)</f>
        <v>0.33158681190311701</v>
      </c>
      <c r="Z26" s="17">
        <f ca="1">IFERROR(__xludf.DUMMYFUNCTION("""COMPUTED_VALUE"""),0.865843059697538)</f>
        <v>0.86584305969753805</v>
      </c>
      <c r="AA26" s="17">
        <f ca="1">IFERROR(__xludf.DUMMYFUNCTION("""COMPUTED_VALUE"""),0.195846120507817)</f>
        <v>0.195846120507817</v>
      </c>
      <c r="AB26" s="17">
        <f ca="1">IFERROR(__xludf.DUMMYFUNCTION("""COMPUTED_VALUE"""),0.563740721623703)</f>
        <v>0.56374072162370303</v>
      </c>
      <c r="AC26" s="17">
        <f ca="1">IFERROR(__xludf.DUMMYFUNCTION("""COMPUTED_VALUE"""),0.90812150353469)</f>
        <v>0.90812150353469001</v>
      </c>
      <c r="AD26" s="17">
        <f ca="1">IFERROR(__xludf.DUMMYFUNCTION("""COMPUTED_VALUE"""),0.710001428665662)</f>
        <v>0.71000142866566196</v>
      </c>
      <c r="AE26" s="17">
        <f ca="1">IFERROR(__xludf.DUMMYFUNCTION("""COMPUTED_VALUE"""),1.08203271718162)</f>
        <v>1.08203271718162</v>
      </c>
      <c r="AF26" s="17">
        <f ca="1">IFERROR(__xludf.DUMMYFUNCTION("""COMPUTED_VALUE"""),1.01687949054686)</f>
        <v>1.0168794905468601</v>
      </c>
      <c r="AG26" s="17">
        <f ca="1">IFERROR(__xludf.DUMMYFUNCTION("""COMPUTED_VALUE"""),0.959650867186574)</f>
        <v>0.959650867186574</v>
      </c>
      <c r="AH26" s="17">
        <f ca="1">IFERROR(__xludf.DUMMYFUNCTION("""COMPUTED_VALUE"""),0.973829929705869)</f>
        <v>0.97382992970586901</v>
      </c>
      <c r="AI26" s="17">
        <f ca="1">IFERROR(__xludf.DUMMYFUNCTION("""COMPUTED_VALUE"""),0.981936965562976)</f>
        <v>0.98193696556297605</v>
      </c>
      <c r="AJ26" s="17">
        <f ca="1">IFERROR(__xludf.DUMMYFUNCTION("""COMPUTED_VALUE"""),1.03229495107387)</f>
        <v>1.0322949510738699</v>
      </c>
    </row>
    <row r="27" spans="2:36" ht="15.75" customHeight="1" x14ac:dyDescent="0.45">
      <c r="B27" s="10" t="str">
        <f ca="1">IFERROR(__xludf.DUMMYFUNCTION("""COMPUTED_VALUE"""),"ArrowHead")</f>
        <v>ArrowHead</v>
      </c>
      <c r="C27" s="10" t="str">
        <f ca="1">IFERROR(__xludf.DUMMYFUNCTION("""COMPUTED_VALUE"""),"mcar")</f>
        <v>mcar</v>
      </c>
      <c r="D27" s="10">
        <f ca="1">IFERROR(__xludf.DUMMYFUNCTION("""COMPUTED_VALUE"""),0.1)</f>
        <v>0.1</v>
      </c>
      <c r="E27" s="17">
        <f ca="1">IFERROR(__xludf.DUMMYFUNCTION("""COMPUTED_VALUE"""),0.935691495605423)</f>
        <v>0.93569149560542297</v>
      </c>
      <c r="F27" s="17">
        <f ca="1">IFERROR(__xludf.DUMMYFUNCTION("""COMPUTED_VALUE"""),0.124285347860432)</f>
        <v>0.12428534786043199</v>
      </c>
      <c r="G27" s="17">
        <f ca="1">IFERROR(__xludf.DUMMYFUNCTION("""COMPUTED_VALUE"""),0.118471156632735)</f>
        <v>0.118471156632735</v>
      </c>
      <c r="H27" s="17">
        <f ca="1">IFERROR(__xludf.DUMMYFUNCTION("""COMPUTED_VALUE"""),0.290925169359541)</f>
        <v>0.29092516935954099</v>
      </c>
      <c r="I27" s="17">
        <f ca="1">IFERROR(__xludf.DUMMYFUNCTION("""COMPUTED_VALUE"""),0.133290561770646)</f>
        <v>0.13329056177064599</v>
      </c>
      <c r="J27" s="17">
        <f ca="1">IFERROR(__xludf.DUMMYFUNCTION("""COMPUTED_VALUE"""),0.0985451873381381)</f>
        <v>9.8545187338138093E-2</v>
      </c>
      <c r="K27" s="17" t="str">
        <f ca="1">IFERROR(__xludf.DUMMYFUNCTION("""COMPUTED_VALUE"""),"nan")</f>
        <v>nan</v>
      </c>
      <c r="L27" s="17">
        <f ca="1">IFERROR(__xludf.DUMMYFUNCTION("""COMPUTED_VALUE"""),0.274403316226058)</f>
        <v>0.27440331622605801</v>
      </c>
      <c r="M27" s="17">
        <f ca="1">IFERROR(__xludf.DUMMYFUNCTION("""COMPUTED_VALUE"""),0.141361831163934)</f>
        <v>0.141361831163934</v>
      </c>
      <c r="N27" s="17">
        <f ca="1">IFERROR(__xludf.DUMMYFUNCTION("""COMPUTED_VALUE"""),0.149675868243441)</f>
        <v>0.14967586824344101</v>
      </c>
      <c r="O27" s="17">
        <f ca="1">IFERROR(__xludf.DUMMYFUNCTION("""COMPUTED_VALUE"""),0.0848275194749481)</f>
        <v>8.4827519474948099E-2</v>
      </c>
      <c r="P27" s="17">
        <f ca="1">IFERROR(__xludf.DUMMYFUNCTION("""COMPUTED_VALUE"""),0.509842140031911)</f>
        <v>0.50984214003191097</v>
      </c>
      <c r="Q27" s="17">
        <f ca="1">IFERROR(__xludf.DUMMYFUNCTION("""COMPUTED_VALUE"""),0.187303202386891)</f>
        <v>0.18730320238689099</v>
      </c>
      <c r="R27" s="17">
        <f ca="1">IFERROR(__xludf.DUMMYFUNCTION("""COMPUTED_VALUE"""),0.0987703068365299)</f>
        <v>9.8770306836529903E-2</v>
      </c>
      <c r="S27" s="17">
        <f ca="1">IFERROR(__xludf.DUMMYFUNCTION("""COMPUTED_VALUE"""),0.235433907160986)</f>
        <v>0.235433907160986</v>
      </c>
      <c r="T27" s="17">
        <f ca="1">IFERROR(__xludf.DUMMYFUNCTION("""COMPUTED_VALUE"""),0.119315336775096)</f>
        <v>0.119315336775096</v>
      </c>
      <c r="U27" s="17">
        <f ca="1">IFERROR(__xludf.DUMMYFUNCTION("""COMPUTED_VALUE"""),0.162152562981329)</f>
        <v>0.16215256298132899</v>
      </c>
      <c r="V27" s="17">
        <f ca="1">IFERROR(__xludf.DUMMYFUNCTION("""COMPUTED_VALUE"""),0.152225052629712)</f>
        <v>0.152225052629712</v>
      </c>
      <c r="W27" s="17">
        <f ca="1">IFERROR(__xludf.DUMMYFUNCTION("""COMPUTED_VALUE"""),0.162854671192173)</f>
        <v>0.16285467119217301</v>
      </c>
      <c r="X27" s="17">
        <f ca="1">IFERROR(__xludf.DUMMYFUNCTION("""COMPUTED_VALUE"""),1.36433492476751)</f>
        <v>1.3643349247675101</v>
      </c>
      <c r="Y27" s="17">
        <f ca="1">IFERROR(__xludf.DUMMYFUNCTION("""COMPUTED_VALUE"""),0.150114139243881)</f>
        <v>0.15011413924388101</v>
      </c>
      <c r="Z27" s="17">
        <f ca="1">IFERROR(__xludf.DUMMYFUNCTION("""COMPUTED_VALUE"""),0.212740595919671)</f>
        <v>0.21274059591967101</v>
      </c>
      <c r="AA27" s="17">
        <f ca="1">IFERROR(__xludf.DUMMYFUNCTION("""COMPUTED_VALUE"""),0.0692724868201287)</f>
        <v>6.9272486820128695E-2</v>
      </c>
      <c r="AB27" s="17">
        <f ca="1">IFERROR(__xludf.DUMMYFUNCTION("""COMPUTED_VALUE"""),0.197918685953953)</f>
        <v>0.19791868595395301</v>
      </c>
      <c r="AC27" s="17">
        <f ca="1">IFERROR(__xludf.DUMMYFUNCTION("""COMPUTED_VALUE"""),0.312089457055256)</f>
        <v>0.31208945705525598</v>
      </c>
      <c r="AD27" s="17">
        <f ca="1">IFERROR(__xludf.DUMMYFUNCTION("""COMPUTED_VALUE"""),0.203478077622968)</f>
        <v>0.20347807762296799</v>
      </c>
      <c r="AE27" s="17">
        <f ca="1">IFERROR(__xludf.DUMMYFUNCTION("""COMPUTED_VALUE"""),0.286003306894893)</f>
        <v>0.28600330689489301</v>
      </c>
      <c r="AF27" s="17">
        <f ca="1">IFERROR(__xludf.DUMMYFUNCTION("""COMPUTED_VALUE"""),0.21829531154849)</f>
        <v>0.21829531154849</v>
      </c>
      <c r="AG27" s="17">
        <f ca="1">IFERROR(__xludf.DUMMYFUNCTION("""COMPUTED_VALUE"""),0.666430678103686)</f>
        <v>0.66643067810368595</v>
      </c>
      <c r="AH27" s="17">
        <f ca="1">IFERROR(__xludf.DUMMYFUNCTION("""COMPUTED_VALUE"""),0.134509102348428)</f>
        <v>0.134509102348428</v>
      </c>
      <c r="AI27" s="17">
        <f ca="1">IFERROR(__xludf.DUMMYFUNCTION("""COMPUTED_VALUE"""),0.195195376111712)</f>
        <v>0.195195376111712</v>
      </c>
      <c r="AJ27" s="17">
        <f ca="1">IFERROR(__xludf.DUMMYFUNCTION("""COMPUTED_VALUE"""),0.224670164735421)</f>
        <v>0.22467016473542101</v>
      </c>
    </row>
    <row r="28" spans="2:36" ht="15.75" customHeight="1" x14ac:dyDescent="0.45">
      <c r="B28" s="10" t="str">
        <f ca="1">IFERROR(__xludf.DUMMYFUNCTION("""COMPUTED_VALUE"""),"ArrowHead")</f>
        <v>ArrowHead</v>
      </c>
      <c r="C28" s="10" t="str">
        <f ca="1">IFERROR(__xludf.DUMMYFUNCTION("""COMPUTED_VALUE"""),"mcar")</f>
        <v>mcar</v>
      </c>
      <c r="D28" s="10">
        <f ca="1">IFERROR(__xludf.DUMMYFUNCTION("""COMPUTED_VALUE"""),0.2)</f>
        <v>0.2</v>
      </c>
      <c r="E28" s="17">
        <f ca="1">IFERROR(__xludf.DUMMYFUNCTION("""COMPUTED_VALUE"""),0.98485209437957)</f>
        <v>0.98485209437957</v>
      </c>
      <c r="F28" s="17">
        <f ca="1">IFERROR(__xludf.DUMMYFUNCTION("""COMPUTED_VALUE"""),0.149166002387421)</f>
        <v>0.149166002387421</v>
      </c>
      <c r="G28" s="17">
        <f ca="1">IFERROR(__xludf.DUMMYFUNCTION("""COMPUTED_VALUE"""),0.145302746892947)</f>
        <v>0.145302746892947</v>
      </c>
      <c r="H28" s="17">
        <f ca="1">IFERROR(__xludf.DUMMYFUNCTION("""COMPUTED_VALUE"""),0.265787939779248)</f>
        <v>0.26578793977924797</v>
      </c>
      <c r="I28" s="17">
        <f ca="1">IFERROR(__xludf.DUMMYFUNCTION("""COMPUTED_VALUE"""),0.150872341967838)</f>
        <v>0.150872341967838</v>
      </c>
      <c r="J28" s="17">
        <f ca="1">IFERROR(__xludf.DUMMYFUNCTION("""COMPUTED_VALUE"""),0.130710899870287)</f>
        <v>0.130710899870287</v>
      </c>
      <c r="K28" s="17" t="str">
        <f ca="1">IFERROR(__xludf.DUMMYFUNCTION("""COMPUTED_VALUE"""),"nan")</f>
        <v>nan</v>
      </c>
      <c r="L28" s="17">
        <f ca="1">IFERROR(__xludf.DUMMYFUNCTION("""COMPUTED_VALUE"""),0.254762934833654)</f>
        <v>0.25476293483365398</v>
      </c>
      <c r="M28" s="17">
        <f ca="1">IFERROR(__xludf.DUMMYFUNCTION("""COMPUTED_VALUE"""),0.153363671665534)</f>
        <v>0.153363671665534</v>
      </c>
      <c r="N28" s="17">
        <f ca="1">IFERROR(__xludf.DUMMYFUNCTION("""COMPUTED_VALUE"""),0.176582110736991)</f>
        <v>0.17658211073699101</v>
      </c>
      <c r="O28" s="17">
        <f ca="1">IFERROR(__xludf.DUMMYFUNCTION("""COMPUTED_VALUE"""),0.11272021655196)</f>
        <v>0.11272021655196</v>
      </c>
      <c r="P28" s="17">
        <f ca="1">IFERROR(__xludf.DUMMYFUNCTION("""COMPUTED_VALUE"""),0.564370936181753)</f>
        <v>0.56437093618175305</v>
      </c>
      <c r="Q28" s="17">
        <f ca="1">IFERROR(__xludf.DUMMYFUNCTION("""COMPUTED_VALUE"""),0.33635592779328)</f>
        <v>0.33635592779328</v>
      </c>
      <c r="R28" s="17">
        <f ca="1">IFERROR(__xludf.DUMMYFUNCTION("""COMPUTED_VALUE"""),0.130464742157119)</f>
        <v>0.13046474215711901</v>
      </c>
      <c r="S28" s="17">
        <f ca="1">IFERROR(__xludf.DUMMYFUNCTION("""COMPUTED_VALUE"""),0.244649221927373)</f>
        <v>0.24464922192737301</v>
      </c>
      <c r="T28" s="17">
        <f ca="1">IFERROR(__xludf.DUMMYFUNCTION("""COMPUTED_VALUE"""),0.232071799260313)</f>
        <v>0.23207179926031299</v>
      </c>
      <c r="U28" s="17">
        <f ca="1">IFERROR(__xludf.DUMMYFUNCTION("""COMPUTED_VALUE"""),0.24803156062839)</f>
        <v>0.24803156062838999</v>
      </c>
      <c r="V28" s="17">
        <f ca="1">IFERROR(__xludf.DUMMYFUNCTION("""COMPUTED_VALUE"""),0.203078657621497)</f>
        <v>0.20307865762149699</v>
      </c>
      <c r="W28" s="17">
        <f ca="1">IFERROR(__xludf.DUMMYFUNCTION("""COMPUTED_VALUE"""),0.369050925812016)</f>
        <v>0.36905092581201598</v>
      </c>
      <c r="X28" s="17">
        <f ca="1">IFERROR(__xludf.DUMMYFUNCTION("""COMPUTED_VALUE"""),12.7101664142942)</f>
        <v>12.7101664142942</v>
      </c>
      <c r="Y28" s="17">
        <f ca="1">IFERROR(__xludf.DUMMYFUNCTION("""COMPUTED_VALUE"""),0.175619461311108)</f>
        <v>0.175619461311108</v>
      </c>
      <c r="Z28" s="17">
        <f ca="1">IFERROR(__xludf.DUMMYFUNCTION("""COMPUTED_VALUE"""),0.224944064378826)</f>
        <v>0.224944064378826</v>
      </c>
      <c r="AA28" s="17">
        <f ca="1">IFERROR(__xludf.DUMMYFUNCTION("""COMPUTED_VALUE"""),0.115152347510215)</f>
        <v>0.115152347510215</v>
      </c>
      <c r="AB28" s="17">
        <f ca="1">IFERROR(__xludf.DUMMYFUNCTION("""COMPUTED_VALUE"""),0.311975212643138)</f>
        <v>0.31197521264313799</v>
      </c>
      <c r="AC28" s="17">
        <f ca="1">IFERROR(__xludf.DUMMYFUNCTION("""COMPUTED_VALUE"""),0.379427360048215)</f>
        <v>0.37942736004821498</v>
      </c>
      <c r="AD28" s="17">
        <f ca="1">IFERROR(__xludf.DUMMYFUNCTION("""COMPUTED_VALUE"""),0.255980882753665)</f>
        <v>0.25598088275366498</v>
      </c>
      <c r="AE28" s="17">
        <f ca="1">IFERROR(__xludf.DUMMYFUNCTION("""COMPUTED_VALUE"""),0.670907686398254)</f>
        <v>0.67090768639825404</v>
      </c>
      <c r="AF28" s="17">
        <f ca="1">IFERROR(__xludf.DUMMYFUNCTION("""COMPUTED_VALUE"""),0.248504300015006)</f>
        <v>0.24850430001500601</v>
      </c>
      <c r="AG28" s="17">
        <f ca="1">IFERROR(__xludf.DUMMYFUNCTION("""COMPUTED_VALUE"""),0.788302338863206)</f>
        <v>0.788302338863206</v>
      </c>
      <c r="AH28" s="17">
        <f ca="1">IFERROR(__xludf.DUMMYFUNCTION("""COMPUTED_VALUE"""),0.380159029993062)</f>
        <v>0.380159029993062</v>
      </c>
      <c r="AI28" s="17">
        <f ca="1">IFERROR(__xludf.DUMMYFUNCTION("""COMPUTED_VALUE"""),0.93503726559123)</f>
        <v>0.93503726559123002</v>
      </c>
      <c r="AJ28" s="17">
        <f ca="1">IFERROR(__xludf.DUMMYFUNCTION("""COMPUTED_VALUE"""),0.380400416977142)</f>
        <v>0.380400416977142</v>
      </c>
    </row>
    <row r="29" spans="2:36" ht="15.75" customHeight="1" x14ac:dyDescent="0.45">
      <c r="B29" s="10" t="str">
        <f ca="1">IFERROR(__xludf.DUMMYFUNCTION("""COMPUTED_VALUE"""),"ArrowHead")</f>
        <v>ArrowHead</v>
      </c>
      <c r="C29" s="10" t="str">
        <f ca="1">IFERROR(__xludf.DUMMYFUNCTION("""COMPUTED_VALUE"""),"mcar")</f>
        <v>mcar</v>
      </c>
      <c r="D29" s="10">
        <f ca="1">IFERROR(__xludf.DUMMYFUNCTION("""COMPUTED_VALUE"""),0.4)</f>
        <v>0.4</v>
      </c>
      <c r="E29" s="17">
        <f ca="1">IFERROR(__xludf.DUMMYFUNCTION("""COMPUTED_VALUE"""),0.949548882929291)</f>
        <v>0.94954888292929096</v>
      </c>
      <c r="F29" s="17">
        <f ca="1">IFERROR(__xludf.DUMMYFUNCTION("""COMPUTED_VALUE"""),0.152977741549679)</f>
        <v>0.152977741549679</v>
      </c>
      <c r="G29" s="17">
        <f ca="1">IFERROR(__xludf.DUMMYFUNCTION("""COMPUTED_VALUE"""),0.168046095200142)</f>
        <v>0.16804609520014199</v>
      </c>
      <c r="H29" s="17">
        <f ca="1">IFERROR(__xludf.DUMMYFUNCTION("""COMPUTED_VALUE"""),0.247104458769741)</f>
        <v>0.24710445876974099</v>
      </c>
      <c r="I29" s="17">
        <f ca="1">IFERROR(__xludf.DUMMYFUNCTION("""COMPUTED_VALUE"""),0.175195415528054)</f>
        <v>0.17519541552805401</v>
      </c>
      <c r="J29" s="17">
        <f ca="1">IFERROR(__xludf.DUMMYFUNCTION("""COMPUTED_VALUE"""),0.184369947247244)</f>
        <v>0.18436994724724401</v>
      </c>
      <c r="K29" s="17" t="str">
        <f ca="1">IFERROR(__xludf.DUMMYFUNCTION("""COMPUTED_VALUE"""),"nan")</f>
        <v>nan</v>
      </c>
      <c r="L29" s="17">
        <f ca="1">IFERROR(__xludf.DUMMYFUNCTION("""COMPUTED_VALUE"""),0.244045678545761)</f>
        <v>0.24404567854576101</v>
      </c>
      <c r="M29" s="17">
        <f ca="1">IFERROR(__xludf.DUMMYFUNCTION("""COMPUTED_VALUE"""),0.173948792523067)</f>
        <v>0.173948792523067</v>
      </c>
      <c r="N29" s="17">
        <f ca="1">IFERROR(__xludf.DUMMYFUNCTION("""COMPUTED_VALUE"""),0.174941396755194)</f>
        <v>0.17494139675519399</v>
      </c>
      <c r="O29" s="17">
        <f ca="1">IFERROR(__xludf.DUMMYFUNCTION("""COMPUTED_VALUE"""),0.137051698113881)</f>
        <v>0.13705169811388099</v>
      </c>
      <c r="P29" s="17">
        <f ca="1">IFERROR(__xludf.DUMMYFUNCTION("""COMPUTED_VALUE"""),0.604963463642345)</f>
        <v>0.60496346364234499</v>
      </c>
      <c r="Q29" s="17">
        <f ca="1">IFERROR(__xludf.DUMMYFUNCTION("""COMPUTED_VALUE"""),0.408286206957394)</f>
        <v>0.40828620695739398</v>
      </c>
      <c r="R29" s="17">
        <f ca="1">IFERROR(__xludf.DUMMYFUNCTION("""COMPUTED_VALUE"""),0.203320934654722)</f>
        <v>0.20332093465472201</v>
      </c>
      <c r="S29" s="17">
        <f ca="1">IFERROR(__xludf.DUMMYFUNCTION("""COMPUTED_VALUE"""),0.346957653225127)</f>
        <v>0.34695765322512701</v>
      </c>
      <c r="T29" s="17">
        <f ca="1">IFERROR(__xludf.DUMMYFUNCTION("""COMPUTED_VALUE"""),0.401258079159073)</f>
        <v>0.40125807915907302</v>
      </c>
      <c r="U29" s="17">
        <f ca="1">IFERROR(__xludf.DUMMYFUNCTION("""COMPUTED_VALUE"""),0.304818807766669)</f>
        <v>0.30481880776666898</v>
      </c>
      <c r="V29" s="17">
        <f ca="1">IFERROR(__xludf.DUMMYFUNCTION("""COMPUTED_VALUE"""),0.171574866293472)</f>
        <v>0.17157486629347199</v>
      </c>
      <c r="W29" s="17">
        <f ca="1">IFERROR(__xludf.DUMMYFUNCTION("""COMPUTED_VALUE"""),0.3811785330081)</f>
        <v>0.38117853300810001</v>
      </c>
      <c r="X29" s="17">
        <f ca="1">IFERROR(__xludf.DUMMYFUNCTION("""COMPUTED_VALUE"""),1.97513979556311)</f>
        <v>1.97513979556311</v>
      </c>
      <c r="Y29" s="17">
        <f ca="1">IFERROR(__xludf.DUMMYFUNCTION("""COMPUTED_VALUE"""),0.211608239210218)</f>
        <v>0.21160823921021801</v>
      </c>
      <c r="Z29" s="17">
        <f ca="1">IFERROR(__xludf.DUMMYFUNCTION("""COMPUTED_VALUE"""),0.406631107582085)</f>
        <v>0.40663110758208498</v>
      </c>
      <c r="AA29" s="17">
        <f ca="1">IFERROR(__xludf.DUMMYFUNCTION("""COMPUTED_VALUE"""),0.107045287304686)</f>
        <v>0.107045287304686</v>
      </c>
      <c r="AB29" s="17">
        <f ca="1">IFERROR(__xludf.DUMMYFUNCTION("""COMPUTED_VALUE"""),0.239315669093673)</f>
        <v>0.23931566909367299</v>
      </c>
      <c r="AC29" s="17">
        <f ca="1">IFERROR(__xludf.DUMMYFUNCTION("""COMPUTED_VALUE"""),0.344977861788871)</f>
        <v>0.34497786178887102</v>
      </c>
      <c r="AD29" s="17">
        <f ca="1">IFERROR(__xludf.DUMMYFUNCTION("""COMPUTED_VALUE"""),0.331729074881697)</f>
        <v>0.33172907488169701</v>
      </c>
      <c r="AE29" s="17">
        <f ca="1">IFERROR(__xludf.DUMMYFUNCTION("""COMPUTED_VALUE"""),0.96835585447734)</f>
        <v>0.96835585447733996</v>
      </c>
      <c r="AF29" s="17">
        <f ca="1">IFERROR(__xludf.DUMMYFUNCTION("""COMPUTED_VALUE"""),0.366018226034331)</f>
        <v>0.36601822603433098</v>
      </c>
      <c r="AG29" s="17">
        <f ca="1">IFERROR(__xludf.DUMMYFUNCTION("""COMPUTED_VALUE"""),1.13772075346408)</f>
        <v>1.1377207534640801</v>
      </c>
      <c r="AH29" s="17">
        <f ca="1">IFERROR(__xludf.DUMMYFUNCTION("""COMPUTED_VALUE"""),0.768524544872967)</f>
        <v>0.76852454487296695</v>
      </c>
      <c r="AI29" s="17">
        <f ca="1">IFERROR(__xludf.DUMMYFUNCTION("""COMPUTED_VALUE"""),0.992239018503857)</f>
        <v>0.99223901850385698</v>
      </c>
      <c r="AJ29" s="17">
        <f ca="1">IFERROR(__xludf.DUMMYFUNCTION("""COMPUTED_VALUE"""),0.462258562679976)</f>
        <v>0.462258562679976</v>
      </c>
    </row>
    <row r="30" spans="2:36" ht="15.75" customHeight="1" x14ac:dyDescent="0.45">
      <c r="B30" s="10" t="str">
        <f ca="1">IFERROR(__xludf.DUMMYFUNCTION("""COMPUTED_VALUE"""),"ArrowHead")</f>
        <v>ArrowHead</v>
      </c>
      <c r="C30" s="10" t="str">
        <f ca="1">IFERROR(__xludf.DUMMYFUNCTION("""COMPUTED_VALUE"""),"mcar")</f>
        <v>mcar</v>
      </c>
      <c r="D30" s="10">
        <f ca="1">IFERROR(__xludf.DUMMYFUNCTION("""COMPUTED_VALUE"""),0.6)</f>
        <v>0.6</v>
      </c>
      <c r="E30" s="17">
        <f ca="1">IFERROR(__xludf.DUMMYFUNCTION("""COMPUTED_VALUE"""),0.955418986640004)</f>
        <v>0.95541898664000402</v>
      </c>
      <c r="F30" s="17">
        <f ca="1">IFERROR(__xludf.DUMMYFUNCTION("""COMPUTED_VALUE"""),0.195270839070744)</f>
        <v>0.195270839070744</v>
      </c>
      <c r="G30" s="17">
        <f ca="1">IFERROR(__xludf.DUMMYFUNCTION("""COMPUTED_VALUE"""),0.194507064621933)</f>
        <v>0.19450706462193301</v>
      </c>
      <c r="H30" s="17">
        <f ca="1">IFERROR(__xludf.DUMMYFUNCTION("""COMPUTED_VALUE"""),0.255824083836587)</f>
        <v>0.255824083836587</v>
      </c>
      <c r="I30" s="17">
        <f ca="1">IFERROR(__xludf.DUMMYFUNCTION("""COMPUTED_VALUE"""),0.240606084829793)</f>
        <v>0.24060608482979301</v>
      </c>
      <c r="J30" s="17">
        <f ca="1">IFERROR(__xludf.DUMMYFUNCTION("""COMPUTED_VALUE"""),0.809739614535982)</f>
        <v>0.80973961453598198</v>
      </c>
      <c r="K30" s="17" t="str">
        <f ca="1">IFERROR(__xludf.DUMMYFUNCTION("""COMPUTED_VALUE"""),"nan")</f>
        <v>nan</v>
      </c>
      <c r="L30" s="17">
        <f ca="1">IFERROR(__xludf.DUMMYFUNCTION("""COMPUTED_VALUE"""),0.262225787434269)</f>
        <v>0.262225787434269</v>
      </c>
      <c r="M30" s="17">
        <f ca="1">IFERROR(__xludf.DUMMYFUNCTION("""COMPUTED_VALUE"""),0.226228991732378)</f>
        <v>0.22622899173237801</v>
      </c>
      <c r="N30" s="17">
        <f ca="1">IFERROR(__xludf.DUMMYFUNCTION("""COMPUTED_VALUE"""),0.183175482395794)</f>
        <v>0.18317548239579401</v>
      </c>
      <c r="O30" s="17">
        <f ca="1">IFERROR(__xludf.DUMMYFUNCTION("""COMPUTED_VALUE"""),0.156232605560823)</f>
        <v>0.156232605560823</v>
      </c>
      <c r="P30" s="17">
        <f ca="1">IFERROR(__xludf.DUMMYFUNCTION("""COMPUTED_VALUE"""),0.644175818497762)</f>
        <v>0.64417581849776195</v>
      </c>
      <c r="Q30" s="17">
        <f ca="1">IFERROR(__xludf.DUMMYFUNCTION("""COMPUTED_VALUE"""),0.695827359345002)</f>
        <v>0.69582735934500195</v>
      </c>
      <c r="R30" s="17">
        <f ca="1">IFERROR(__xludf.DUMMYFUNCTION("""COMPUTED_VALUE"""),0.254025344795828)</f>
        <v>0.254025344795828</v>
      </c>
      <c r="S30" s="17">
        <f ca="1">IFERROR(__xludf.DUMMYFUNCTION("""COMPUTED_VALUE"""),1.17202474563835)</f>
        <v>1.1720247456383499</v>
      </c>
      <c r="T30" s="17">
        <f ca="1">IFERROR(__xludf.DUMMYFUNCTION("""COMPUTED_VALUE"""),0.277826229240215)</f>
        <v>0.27782622924021499</v>
      </c>
      <c r="U30" s="17">
        <f ca="1">IFERROR(__xludf.DUMMYFUNCTION("""COMPUTED_VALUE"""),0.331836381661748)</f>
        <v>0.331836381661748</v>
      </c>
      <c r="V30" s="17">
        <f ca="1">IFERROR(__xludf.DUMMYFUNCTION("""COMPUTED_VALUE"""),0.257441551863464)</f>
        <v>0.25744155186346401</v>
      </c>
      <c r="W30" s="17">
        <f ca="1">IFERROR(__xludf.DUMMYFUNCTION("""COMPUTED_VALUE"""),0.349088040516045)</f>
        <v>0.34908804051604497</v>
      </c>
      <c r="X30" s="17">
        <f ca="1">IFERROR(__xludf.DUMMYFUNCTION("""COMPUTED_VALUE"""),32.9080426411673)</f>
        <v>32.908042641167299</v>
      </c>
      <c r="Y30" s="17">
        <f ca="1">IFERROR(__xludf.DUMMYFUNCTION("""COMPUTED_VALUE"""),0.225542599148374)</f>
        <v>0.22554259914837399</v>
      </c>
      <c r="Z30" s="17">
        <f ca="1">IFERROR(__xludf.DUMMYFUNCTION("""COMPUTED_VALUE"""),0.561438217338992)</f>
        <v>0.56143821733899202</v>
      </c>
      <c r="AA30" s="17">
        <f ca="1">IFERROR(__xludf.DUMMYFUNCTION("""COMPUTED_VALUE"""),0.129383009576956)</f>
        <v>0.129383009576956</v>
      </c>
      <c r="AB30" s="17">
        <f ca="1">IFERROR(__xludf.DUMMYFUNCTION("""COMPUTED_VALUE"""),0.289444145730889)</f>
        <v>0.289444145730889</v>
      </c>
      <c r="AC30" s="17">
        <f ca="1">IFERROR(__xludf.DUMMYFUNCTION("""COMPUTED_VALUE"""),0.521841483652028)</f>
        <v>0.52184148365202798</v>
      </c>
      <c r="AD30" s="17">
        <f ca="1">IFERROR(__xludf.DUMMYFUNCTION("""COMPUTED_VALUE"""),0.389977898679817)</f>
        <v>0.38997789867981703</v>
      </c>
      <c r="AE30" s="17">
        <f ca="1">IFERROR(__xludf.DUMMYFUNCTION("""COMPUTED_VALUE"""),1.04951118726981)</f>
        <v>1.04951118726981</v>
      </c>
      <c r="AF30" s="17">
        <f ca="1">IFERROR(__xludf.DUMMYFUNCTION("""COMPUTED_VALUE"""),0.383440895726489)</f>
        <v>0.38344089572648898</v>
      </c>
      <c r="AG30" s="17">
        <f ca="1">IFERROR(__xludf.DUMMYFUNCTION("""COMPUTED_VALUE"""),1.08681067659269)</f>
        <v>1.0868106765926899</v>
      </c>
      <c r="AH30" s="17">
        <f ca="1">IFERROR(__xludf.DUMMYFUNCTION("""COMPUTED_VALUE"""),1.05842866715405)</f>
        <v>1.0584286671540499</v>
      </c>
      <c r="AI30" s="17">
        <f ca="1">IFERROR(__xludf.DUMMYFUNCTION("""COMPUTED_VALUE"""),0.954338817200788)</f>
        <v>0.95433881720078795</v>
      </c>
      <c r="AJ30" s="17">
        <f ca="1">IFERROR(__xludf.DUMMYFUNCTION("""COMPUTED_VALUE"""),0.916302706151582)</f>
        <v>0.91630270615158205</v>
      </c>
    </row>
    <row r="31" spans="2:36" ht="15.75" customHeight="1" x14ac:dyDescent="0.45">
      <c r="B31" s="10" t="str">
        <f ca="1">IFERROR(__xludf.DUMMYFUNCTION("""COMPUTED_VALUE"""),"ArrowHead")</f>
        <v>ArrowHead</v>
      </c>
      <c r="C31" s="10" t="str">
        <f ca="1">IFERROR(__xludf.DUMMYFUNCTION("""COMPUTED_VALUE"""),"mcar")</f>
        <v>mcar</v>
      </c>
      <c r="D31" s="10">
        <f ca="1">IFERROR(__xludf.DUMMYFUNCTION("""COMPUTED_VALUE"""),0.8)</f>
        <v>0.8</v>
      </c>
      <c r="E31" s="17">
        <f ca="1">IFERROR(__xludf.DUMMYFUNCTION("""COMPUTED_VALUE"""),0.955622006280645)</f>
        <v>0.95562200628064498</v>
      </c>
      <c r="F31" s="17">
        <f ca="1">IFERROR(__xludf.DUMMYFUNCTION("""COMPUTED_VALUE"""),0.217068350677687)</f>
        <v>0.21706835067768701</v>
      </c>
      <c r="G31" s="17">
        <f ca="1">IFERROR(__xludf.DUMMYFUNCTION("""COMPUTED_VALUE"""),0.217906574385391)</f>
        <v>0.21790657438539099</v>
      </c>
      <c r="H31" s="17">
        <f ca="1">IFERROR(__xludf.DUMMYFUNCTION("""COMPUTED_VALUE"""),0.265420955182777)</f>
        <v>0.26542095518277697</v>
      </c>
      <c r="I31" s="17">
        <f ca="1">IFERROR(__xludf.DUMMYFUNCTION("""COMPUTED_VALUE"""),0.350213109885106)</f>
        <v>0.35021310988510601</v>
      </c>
      <c r="J31" s="17">
        <f ca="1">IFERROR(__xludf.DUMMYFUNCTION("""COMPUTED_VALUE"""),0.87645148251452)</f>
        <v>0.87645148251451999</v>
      </c>
      <c r="K31" s="17" t="str">
        <f ca="1">IFERROR(__xludf.DUMMYFUNCTION("""COMPUTED_VALUE"""),"nan")</f>
        <v>nan</v>
      </c>
      <c r="L31" s="17">
        <f ca="1">IFERROR(__xludf.DUMMYFUNCTION("""COMPUTED_VALUE"""),0.269088468019838)</f>
        <v>0.26908846801983799</v>
      </c>
      <c r="M31" s="17">
        <f ca="1">IFERROR(__xludf.DUMMYFUNCTION("""COMPUTED_VALUE"""),0.861713763674657)</f>
        <v>0.86171376367465702</v>
      </c>
      <c r="N31" s="17">
        <f ca="1">IFERROR(__xludf.DUMMYFUNCTION("""COMPUTED_VALUE"""),0.23756829489032)</f>
        <v>0.23756829489032</v>
      </c>
      <c r="O31" s="17">
        <f ca="1">IFERROR(__xludf.DUMMYFUNCTION("""COMPUTED_VALUE"""),0.189539454457347)</f>
        <v>0.18953945445734699</v>
      </c>
      <c r="P31" s="17">
        <f ca="1">IFERROR(__xludf.DUMMYFUNCTION("""COMPUTED_VALUE"""),0.763403344017078)</f>
        <v>0.76340334401707799</v>
      </c>
      <c r="Q31" s="17">
        <f ca="1">IFERROR(__xludf.DUMMYFUNCTION("""COMPUTED_VALUE"""),0.909820013397924)</f>
        <v>0.90982001339792395</v>
      </c>
      <c r="R31" s="17">
        <f ca="1">IFERROR(__xludf.DUMMYFUNCTION("""COMPUTED_VALUE"""),0.409978491350668)</f>
        <v>0.409978491350668</v>
      </c>
      <c r="S31" s="17">
        <f ca="1">IFERROR(__xludf.DUMMYFUNCTION("""COMPUTED_VALUE"""),1.79833054782791)</f>
        <v>1.7983305478279099</v>
      </c>
      <c r="T31" s="17">
        <f ca="1">IFERROR(__xludf.DUMMYFUNCTION("""COMPUTED_VALUE"""),0.419071370412852)</f>
        <v>0.41907137041285197</v>
      </c>
      <c r="U31" s="17">
        <f ca="1">IFERROR(__xludf.DUMMYFUNCTION("""COMPUTED_VALUE"""),0.482686170221196)</f>
        <v>0.48268617022119598</v>
      </c>
      <c r="V31" s="17">
        <f ca="1">IFERROR(__xludf.DUMMYFUNCTION("""COMPUTED_VALUE"""),0.510223605178087)</f>
        <v>0.51022360517808696</v>
      </c>
      <c r="W31" s="17">
        <f ca="1">IFERROR(__xludf.DUMMYFUNCTION("""COMPUTED_VALUE"""),0.342866950268112)</f>
        <v>0.34286695026811198</v>
      </c>
      <c r="X31" s="17">
        <f ca="1">IFERROR(__xludf.DUMMYFUNCTION("""COMPUTED_VALUE"""),45.5964318390168)</f>
        <v>45.596431839016802</v>
      </c>
      <c r="Y31" s="17">
        <f ca="1">IFERROR(__xludf.DUMMYFUNCTION("""COMPUTED_VALUE"""),0.311517496907216)</f>
        <v>0.31151749690721597</v>
      </c>
      <c r="Z31" s="17">
        <f ca="1">IFERROR(__xludf.DUMMYFUNCTION("""COMPUTED_VALUE"""),0.695429671416867)</f>
        <v>0.69542967141686696</v>
      </c>
      <c r="AA31" s="17">
        <f ca="1">IFERROR(__xludf.DUMMYFUNCTION("""COMPUTED_VALUE"""),0.238944072731603)</f>
        <v>0.23894407273160301</v>
      </c>
      <c r="AB31" s="17">
        <f ca="1">IFERROR(__xludf.DUMMYFUNCTION("""COMPUTED_VALUE"""),0.951984680486048)</f>
        <v>0.95198468048604801</v>
      </c>
      <c r="AC31" s="17">
        <f ca="1">IFERROR(__xludf.DUMMYFUNCTION("""COMPUTED_VALUE"""),0.595277439260663)</f>
        <v>0.59527743926066301</v>
      </c>
      <c r="AD31" s="17">
        <f ca="1">IFERROR(__xludf.DUMMYFUNCTION("""COMPUTED_VALUE"""),0.566648615410611)</f>
        <v>0.56664861541061096</v>
      </c>
      <c r="AE31" s="17">
        <f ca="1">IFERROR(__xludf.DUMMYFUNCTION("""COMPUTED_VALUE"""),1.38188128157348)</f>
        <v>1.38188128157348</v>
      </c>
      <c r="AF31" s="17">
        <f ca="1">IFERROR(__xludf.DUMMYFUNCTION("""COMPUTED_VALUE"""),0.657517609103914)</f>
        <v>0.65751760910391399</v>
      </c>
      <c r="AG31" s="17">
        <f ca="1">IFERROR(__xludf.DUMMYFUNCTION("""COMPUTED_VALUE"""),1.20776264850859)</f>
        <v>1.2077626485085899</v>
      </c>
      <c r="AH31" s="17">
        <f ca="1">IFERROR(__xludf.DUMMYFUNCTION("""COMPUTED_VALUE"""),1.05164097302688)</f>
        <v>1.0516409730268801</v>
      </c>
      <c r="AI31" s="17">
        <f ca="1">IFERROR(__xludf.DUMMYFUNCTION("""COMPUTED_VALUE"""),0.956601599074254)</f>
        <v>0.95660159907425402</v>
      </c>
      <c r="AJ31" s="17">
        <f ca="1">IFERROR(__xludf.DUMMYFUNCTION("""COMPUTED_VALUE"""),0.976068644919752)</f>
        <v>0.97606864491975198</v>
      </c>
    </row>
    <row r="32" spans="2:36" ht="15.75" customHeight="1" x14ac:dyDescent="0.45">
      <c r="B32" s="10" t="str">
        <f ca="1">IFERROR(__xludf.DUMMYFUNCTION("""COMPUTED_VALUE"""),"Beef")</f>
        <v>Beef</v>
      </c>
      <c r="C32" s="10" t="str">
        <f ca="1">IFERROR(__xludf.DUMMYFUNCTION("""COMPUTED_VALUE"""),"aligned_series")</f>
        <v>aligned_series</v>
      </c>
      <c r="D32" s="10">
        <f ca="1">IFERROR(__xludf.DUMMYFUNCTION("""COMPUTED_VALUE"""),0.1)</f>
        <v>0.1</v>
      </c>
      <c r="E32" s="17">
        <f ca="1">IFERROR(__xludf.DUMMYFUNCTION("""COMPUTED_VALUE"""),0.583372081221353)</f>
        <v>0.58337208122135298</v>
      </c>
      <c r="F32" s="17">
        <f ca="1">IFERROR(__xludf.DUMMYFUNCTION("""COMPUTED_VALUE"""),0.0927762088949918)</f>
        <v>9.2776208894991802E-2</v>
      </c>
      <c r="G32" s="17">
        <f ca="1">IFERROR(__xludf.DUMMYFUNCTION("""COMPUTED_VALUE"""),0.0826325671632882)</f>
        <v>8.2632567163288206E-2</v>
      </c>
      <c r="H32" s="17">
        <f ca="1">IFERROR(__xludf.DUMMYFUNCTION("""COMPUTED_VALUE"""),0.156719471844805)</f>
        <v>0.156719471844805</v>
      </c>
      <c r="I32" s="17">
        <f ca="1">IFERROR(__xludf.DUMMYFUNCTION("""COMPUTED_VALUE"""),0.0477753794006963)</f>
        <v>4.7775379400696302E-2</v>
      </c>
      <c r="J32" s="17">
        <f ca="1">IFERROR(__xludf.DUMMYFUNCTION("""COMPUTED_VALUE"""),0.208234619109971)</f>
        <v>0.20823461910997099</v>
      </c>
      <c r="K32" s="17">
        <f ca="1">IFERROR(__xludf.DUMMYFUNCTION("""COMPUTED_VALUE"""),0.531156715700044)</f>
        <v>0.53115671570004397</v>
      </c>
      <c r="L32" s="17">
        <f ca="1">IFERROR(__xludf.DUMMYFUNCTION("""COMPUTED_VALUE"""),0.235702037795915)</f>
        <v>0.235702037795915</v>
      </c>
      <c r="M32" s="17">
        <f ca="1">IFERROR(__xludf.DUMMYFUNCTION("""COMPUTED_VALUE"""),0.0691882022838637)</f>
        <v>6.9188202283863701E-2</v>
      </c>
      <c r="N32" s="17">
        <f ca="1">IFERROR(__xludf.DUMMYFUNCTION("""COMPUTED_VALUE"""),0.219739447708522)</f>
        <v>0.219739447708522</v>
      </c>
      <c r="O32" s="17">
        <f ca="1">IFERROR(__xludf.DUMMYFUNCTION("""COMPUTED_VALUE"""),0.0707440108535272)</f>
        <v>7.0744010853527203E-2</v>
      </c>
      <c r="P32" s="17">
        <f ca="1">IFERROR(__xludf.DUMMYFUNCTION("""COMPUTED_VALUE"""),0.369633215976324)</f>
        <v>0.36963321597632398</v>
      </c>
      <c r="Q32" s="17">
        <f ca="1">IFERROR(__xludf.DUMMYFUNCTION("""COMPUTED_VALUE"""),0.441746628489071)</f>
        <v>0.44174662848907098</v>
      </c>
      <c r="R32" s="17">
        <f ca="1">IFERROR(__xludf.DUMMYFUNCTION("""COMPUTED_VALUE"""),0.0931659178680297)</f>
        <v>9.3165917868029705E-2</v>
      </c>
      <c r="S32" s="17">
        <f ca="1">IFERROR(__xludf.DUMMYFUNCTION("""COMPUTED_VALUE"""),0.257037098590861)</f>
        <v>0.25703709859086099</v>
      </c>
      <c r="T32" s="17">
        <f ca="1">IFERROR(__xludf.DUMMYFUNCTION("""COMPUTED_VALUE"""),0.314340671616993)</f>
        <v>0.31434067161699297</v>
      </c>
      <c r="U32" s="17">
        <f ca="1">IFERROR(__xludf.DUMMYFUNCTION("""COMPUTED_VALUE"""),0.383281601492833)</f>
        <v>0.38328160149283302</v>
      </c>
      <c r="V32" s="17">
        <f ca="1">IFERROR(__xludf.DUMMYFUNCTION("""COMPUTED_VALUE"""),0.0975952436198746)</f>
        <v>9.7595243619874594E-2</v>
      </c>
      <c r="W32" s="17">
        <f ca="1">IFERROR(__xludf.DUMMYFUNCTION("""COMPUTED_VALUE"""),0.541587288303105)</f>
        <v>0.54158728830310499</v>
      </c>
      <c r="X32" s="17">
        <f ca="1">IFERROR(__xludf.DUMMYFUNCTION("""COMPUTED_VALUE"""),0.266811384231011)</f>
        <v>0.26681138423101097</v>
      </c>
      <c r="Y32" s="17">
        <f ca="1">IFERROR(__xludf.DUMMYFUNCTION("""COMPUTED_VALUE"""),0.225329938090187)</f>
        <v>0.225329938090187</v>
      </c>
      <c r="Z32" s="17">
        <f ca="1">IFERROR(__xludf.DUMMYFUNCTION("""COMPUTED_VALUE"""),0.397243724829434)</f>
        <v>0.39724372482943399</v>
      </c>
      <c r="AA32" s="17">
        <f ca="1">IFERROR(__xludf.DUMMYFUNCTION("""COMPUTED_VALUE"""),0.0870299108068616)</f>
        <v>8.7029910806861593E-2</v>
      </c>
      <c r="AB32" s="17">
        <f ca="1">IFERROR(__xludf.DUMMYFUNCTION("""COMPUTED_VALUE"""),0.257457615858809)</f>
        <v>0.257457615858809</v>
      </c>
      <c r="AC32" s="17">
        <f ca="1">IFERROR(__xludf.DUMMYFUNCTION("""COMPUTED_VALUE"""),0.496965575891961)</f>
        <v>0.496965575891961</v>
      </c>
      <c r="AD32" s="17">
        <f ca="1">IFERROR(__xludf.DUMMYFUNCTION("""COMPUTED_VALUE"""),0.421680254032083)</f>
        <v>0.42168025403208298</v>
      </c>
      <c r="AE32" s="17">
        <f ca="1">IFERROR(__xludf.DUMMYFUNCTION("""COMPUTED_VALUE"""),0.783606821269328)</f>
        <v>0.78360682126932801</v>
      </c>
      <c r="AF32" s="17">
        <f ca="1">IFERROR(__xludf.DUMMYFUNCTION("""COMPUTED_VALUE"""),0.18036316287152)</f>
        <v>0.18036316287151999</v>
      </c>
      <c r="AG32" s="17">
        <f ca="1">IFERROR(__xludf.DUMMYFUNCTION("""COMPUTED_VALUE"""),0.342133867473923)</f>
        <v>0.34213386747392299</v>
      </c>
      <c r="AH32" s="17">
        <f ca="1">IFERROR(__xludf.DUMMYFUNCTION("""COMPUTED_VALUE"""),0.368540270139357)</f>
        <v>0.36854027013935697</v>
      </c>
      <c r="AI32" s="17">
        <f ca="1">IFERROR(__xludf.DUMMYFUNCTION("""COMPUTED_VALUE"""),0.370495105904088)</f>
        <v>0.37049510590408802</v>
      </c>
      <c r="AJ32" s="17">
        <f ca="1">IFERROR(__xludf.DUMMYFUNCTION("""COMPUTED_VALUE"""),0.299946731054469)</f>
        <v>0.29994673105446901</v>
      </c>
    </row>
    <row r="33" spans="2:36" ht="15.75" customHeight="1" x14ac:dyDescent="0.45">
      <c r="B33" s="10" t="str">
        <f ca="1">IFERROR(__xludf.DUMMYFUNCTION("""COMPUTED_VALUE"""),"Beef")</f>
        <v>Beef</v>
      </c>
      <c r="C33" s="10" t="str">
        <f ca="1">IFERROR(__xludf.DUMMYFUNCTION("""COMPUTED_VALUE"""),"aligned_series")</f>
        <v>aligned_series</v>
      </c>
      <c r="D33" s="10">
        <f ca="1">IFERROR(__xludf.DUMMYFUNCTION("""COMPUTED_VALUE"""),0.2)</f>
        <v>0.2</v>
      </c>
      <c r="E33" s="17">
        <f ca="1">IFERROR(__xludf.DUMMYFUNCTION("""COMPUTED_VALUE"""),0.466218323062856)</f>
        <v>0.46621832306285599</v>
      </c>
      <c r="F33" s="17">
        <f ca="1">IFERROR(__xludf.DUMMYFUNCTION("""COMPUTED_VALUE"""),0.104520340174057)</f>
        <v>0.10452034017405699</v>
      </c>
      <c r="G33" s="17">
        <f ca="1">IFERROR(__xludf.DUMMYFUNCTION("""COMPUTED_VALUE"""),0.103312842749392)</f>
        <v>0.10331284274939199</v>
      </c>
      <c r="H33" s="17">
        <f ca="1">IFERROR(__xludf.DUMMYFUNCTION("""COMPUTED_VALUE"""),0.409865435519253)</f>
        <v>0.40986543551925297</v>
      </c>
      <c r="I33" s="17">
        <f ca="1">IFERROR(__xludf.DUMMYFUNCTION("""COMPUTED_VALUE"""),0.0527726550388387)</f>
        <v>5.2772655038838698E-2</v>
      </c>
      <c r="J33" s="17">
        <f ca="1">IFERROR(__xludf.DUMMYFUNCTION("""COMPUTED_VALUE"""),0.175467582299285)</f>
        <v>0.175467582299285</v>
      </c>
      <c r="K33" s="17" t="str">
        <f ca="1">IFERROR(__xludf.DUMMYFUNCTION("""COMPUTED_VALUE"""),"nan")</f>
        <v>nan</v>
      </c>
      <c r="L33" s="17">
        <f ca="1">IFERROR(__xludf.DUMMYFUNCTION("""COMPUTED_VALUE"""),0.247858507362361)</f>
        <v>0.24785850736236101</v>
      </c>
      <c r="M33" s="17">
        <f ca="1">IFERROR(__xludf.DUMMYFUNCTION("""COMPUTED_VALUE"""),0.0898271612393357)</f>
        <v>8.9827161239335707E-2</v>
      </c>
      <c r="N33" s="17">
        <f ca="1">IFERROR(__xludf.DUMMYFUNCTION("""COMPUTED_VALUE"""),0.364610553883933)</f>
        <v>0.36461055388393299</v>
      </c>
      <c r="O33" s="17">
        <f ca="1">IFERROR(__xludf.DUMMYFUNCTION("""COMPUTED_VALUE"""),0.0950333524862434)</f>
        <v>9.5033352486243394E-2</v>
      </c>
      <c r="P33" s="17">
        <f ca="1">IFERROR(__xludf.DUMMYFUNCTION("""COMPUTED_VALUE"""),0.259940444705602)</f>
        <v>0.25994044470560201</v>
      </c>
      <c r="Q33" s="17">
        <f ca="1">IFERROR(__xludf.DUMMYFUNCTION("""COMPUTED_VALUE"""),0.471026669194871)</f>
        <v>0.47102666919487102</v>
      </c>
      <c r="R33" s="17">
        <f ca="1">IFERROR(__xludf.DUMMYFUNCTION("""COMPUTED_VALUE"""),0.225124888778419)</f>
        <v>0.22512488877841899</v>
      </c>
      <c r="S33" s="17">
        <f ca="1">IFERROR(__xludf.DUMMYFUNCTION("""COMPUTED_VALUE"""),0.205158384135888)</f>
        <v>0.20515838413588799</v>
      </c>
      <c r="T33" s="17">
        <f ca="1">IFERROR(__xludf.DUMMYFUNCTION("""COMPUTED_VALUE"""),0.320458052963926)</f>
        <v>0.32045805296392599</v>
      </c>
      <c r="U33" s="17">
        <f ca="1">IFERROR(__xludf.DUMMYFUNCTION("""COMPUTED_VALUE"""),0.281805769348736)</f>
        <v>0.28180576934873602</v>
      </c>
      <c r="V33" s="17">
        <f ca="1">IFERROR(__xludf.DUMMYFUNCTION("""COMPUTED_VALUE"""),0.0823406235654919)</f>
        <v>8.2340623565491905E-2</v>
      </c>
      <c r="W33" s="17">
        <f ca="1">IFERROR(__xludf.DUMMYFUNCTION("""COMPUTED_VALUE"""),0.393076788488185)</f>
        <v>0.393076788488185</v>
      </c>
      <c r="X33" s="17">
        <f ca="1">IFERROR(__xludf.DUMMYFUNCTION("""COMPUTED_VALUE"""),0.236866692078463)</f>
        <v>0.236866692078463</v>
      </c>
      <c r="Y33" s="17">
        <f ca="1">IFERROR(__xludf.DUMMYFUNCTION("""COMPUTED_VALUE"""),0.234999724745411)</f>
        <v>0.234999724745411</v>
      </c>
      <c r="Z33" s="17">
        <f ca="1">IFERROR(__xludf.DUMMYFUNCTION("""COMPUTED_VALUE"""),0.332741458222966)</f>
        <v>0.33274145822296602</v>
      </c>
      <c r="AA33" s="17">
        <f ca="1">IFERROR(__xludf.DUMMYFUNCTION("""COMPUTED_VALUE"""),0.106283406045399)</f>
        <v>0.106283406045399</v>
      </c>
      <c r="AB33" s="17">
        <f ca="1">IFERROR(__xludf.DUMMYFUNCTION("""COMPUTED_VALUE"""),0.193674023990554)</f>
        <v>0.193674023990554</v>
      </c>
      <c r="AC33" s="17">
        <f ca="1">IFERROR(__xludf.DUMMYFUNCTION("""COMPUTED_VALUE"""),0.389437744600389)</f>
        <v>0.38943774460038899</v>
      </c>
      <c r="AD33" s="17">
        <f ca="1">IFERROR(__xludf.DUMMYFUNCTION("""COMPUTED_VALUE"""),0.274006298423361)</f>
        <v>0.27400629842336099</v>
      </c>
      <c r="AE33" s="17">
        <f ca="1">IFERROR(__xludf.DUMMYFUNCTION("""COMPUTED_VALUE"""),0.66079048008893)</f>
        <v>0.66079048008893004</v>
      </c>
      <c r="AF33" s="17">
        <f ca="1">IFERROR(__xludf.DUMMYFUNCTION("""COMPUTED_VALUE"""),0.14365525362815)</f>
        <v>0.14365525362814999</v>
      </c>
      <c r="AG33" s="17">
        <f ca="1">IFERROR(__xludf.DUMMYFUNCTION("""COMPUTED_VALUE"""),0.25056246715488)</f>
        <v>0.25056246715488001</v>
      </c>
      <c r="AH33" s="17">
        <f ca="1">IFERROR(__xludf.DUMMYFUNCTION("""COMPUTED_VALUE"""),0.280778855103995)</f>
        <v>0.28077885510399497</v>
      </c>
      <c r="AI33" s="17">
        <f ca="1">IFERROR(__xludf.DUMMYFUNCTION("""COMPUTED_VALUE"""),0.281935031826029)</f>
        <v>0.28193503182602903</v>
      </c>
      <c r="AJ33" s="17">
        <f ca="1">IFERROR(__xludf.DUMMYFUNCTION("""COMPUTED_VALUE"""),0.235434872016265)</f>
        <v>0.23543487201626501</v>
      </c>
    </row>
    <row r="34" spans="2:36" ht="15.75" customHeight="1" x14ac:dyDescent="0.45">
      <c r="B34" s="10" t="str">
        <f ca="1">IFERROR(__xludf.DUMMYFUNCTION("""COMPUTED_VALUE"""),"Beef")</f>
        <v>Beef</v>
      </c>
      <c r="C34" s="10" t="str">
        <f ca="1">IFERROR(__xludf.DUMMYFUNCTION("""COMPUTED_VALUE"""),"aligned_series")</f>
        <v>aligned_series</v>
      </c>
      <c r="D34" s="10">
        <f ca="1">IFERROR(__xludf.DUMMYFUNCTION("""COMPUTED_VALUE"""),0.4)</f>
        <v>0.4</v>
      </c>
      <c r="E34" s="17">
        <f ca="1">IFERROR(__xludf.DUMMYFUNCTION("""COMPUTED_VALUE"""),0.623575451923404)</f>
        <v>0.62357545192340402</v>
      </c>
      <c r="F34" s="17">
        <f ca="1">IFERROR(__xludf.DUMMYFUNCTION("""COMPUTED_VALUE"""),0.189443227287391)</f>
        <v>0.18944322728739099</v>
      </c>
      <c r="G34" s="17">
        <f ca="1">IFERROR(__xludf.DUMMYFUNCTION("""COMPUTED_VALUE"""),0.163445040282987)</f>
        <v>0.16344504028298701</v>
      </c>
      <c r="H34" s="17">
        <f ca="1">IFERROR(__xludf.DUMMYFUNCTION("""COMPUTED_VALUE"""),0.407715778141981)</f>
        <v>0.40771577814198101</v>
      </c>
      <c r="I34" s="17">
        <f ca="1">IFERROR(__xludf.DUMMYFUNCTION("""COMPUTED_VALUE"""),0.238833374583807)</f>
        <v>0.23883337458380699</v>
      </c>
      <c r="J34" s="17">
        <f ca="1">IFERROR(__xludf.DUMMYFUNCTION("""COMPUTED_VALUE"""),0.404177926869965)</f>
        <v>0.40417792686996501</v>
      </c>
      <c r="K34" s="17" t="str">
        <f ca="1">IFERROR(__xludf.DUMMYFUNCTION("""COMPUTED_VALUE"""),"nan")</f>
        <v>nan</v>
      </c>
      <c r="L34" s="17">
        <f ca="1">IFERROR(__xludf.DUMMYFUNCTION("""COMPUTED_VALUE"""),0.339081531342126)</f>
        <v>0.33908153134212599</v>
      </c>
      <c r="M34" s="17">
        <f ca="1">IFERROR(__xludf.DUMMYFUNCTION("""COMPUTED_VALUE"""),0.169662362303266)</f>
        <v>0.16966236230326601</v>
      </c>
      <c r="N34" s="17">
        <f ca="1">IFERROR(__xludf.DUMMYFUNCTION("""COMPUTED_VALUE"""),0.305824422351036)</f>
        <v>0.30582442235103602</v>
      </c>
      <c r="O34" s="17">
        <f ca="1">IFERROR(__xludf.DUMMYFUNCTION("""COMPUTED_VALUE"""),0.118838776395496)</f>
        <v>0.118838776395496</v>
      </c>
      <c r="P34" s="17">
        <f ca="1">IFERROR(__xludf.DUMMYFUNCTION("""COMPUTED_VALUE"""),0.427004099196157)</f>
        <v>0.42700409919615701</v>
      </c>
      <c r="Q34" s="17">
        <f ca="1">IFERROR(__xludf.DUMMYFUNCTION("""COMPUTED_VALUE"""),0.383848615999013)</f>
        <v>0.38384861599901299</v>
      </c>
      <c r="R34" s="17">
        <f ca="1">IFERROR(__xludf.DUMMYFUNCTION("""COMPUTED_VALUE"""),0.489863914473576)</f>
        <v>0.48986391447357602</v>
      </c>
      <c r="S34" s="17">
        <f ca="1">IFERROR(__xludf.DUMMYFUNCTION("""COMPUTED_VALUE"""),0.442239401556802)</f>
        <v>0.44223940155680203</v>
      </c>
      <c r="T34" s="17">
        <f ca="1">IFERROR(__xludf.DUMMYFUNCTION("""COMPUTED_VALUE"""),0.369968370494581)</f>
        <v>0.36996837049458098</v>
      </c>
      <c r="U34" s="17">
        <f ca="1">IFERROR(__xludf.DUMMYFUNCTION("""COMPUTED_VALUE"""),0.509065422492585)</f>
        <v>0.50906542249258502</v>
      </c>
      <c r="V34" s="17">
        <f ca="1">IFERROR(__xludf.DUMMYFUNCTION("""COMPUTED_VALUE"""),0.226260798428908)</f>
        <v>0.22626079842890801</v>
      </c>
      <c r="W34" s="17">
        <f ca="1">IFERROR(__xludf.DUMMYFUNCTION("""COMPUTED_VALUE"""),0.501531432398505)</f>
        <v>0.50153143239850495</v>
      </c>
      <c r="X34" s="17">
        <f ca="1">IFERROR(__xludf.DUMMYFUNCTION("""COMPUTED_VALUE"""),0.379397698489246)</f>
        <v>0.37939769848924598</v>
      </c>
      <c r="Y34" s="17">
        <f ca="1">IFERROR(__xludf.DUMMYFUNCTION("""COMPUTED_VALUE"""),0.345276236694479)</f>
        <v>0.34527623669447899</v>
      </c>
      <c r="Z34" s="17">
        <f ca="1">IFERROR(__xludf.DUMMYFUNCTION("""COMPUTED_VALUE"""),0.425502117560242)</f>
        <v>0.42550211756024198</v>
      </c>
      <c r="AA34" s="17">
        <f ca="1">IFERROR(__xludf.DUMMYFUNCTION("""COMPUTED_VALUE"""),0.116531763498373)</f>
        <v>0.11653176349837301</v>
      </c>
      <c r="AB34" s="17">
        <f ca="1">IFERROR(__xludf.DUMMYFUNCTION("""COMPUTED_VALUE"""),0.548993735084004)</f>
        <v>0.54899373508400395</v>
      </c>
      <c r="AC34" s="17">
        <f ca="1">IFERROR(__xludf.DUMMYFUNCTION("""COMPUTED_VALUE"""),0.501389977454576)</f>
        <v>0.50138997745457603</v>
      </c>
      <c r="AD34" s="17">
        <f ca="1">IFERROR(__xludf.DUMMYFUNCTION("""COMPUTED_VALUE"""),0.380211457858672)</f>
        <v>0.380211457858672</v>
      </c>
      <c r="AE34" s="17">
        <f ca="1">IFERROR(__xludf.DUMMYFUNCTION("""COMPUTED_VALUE"""),0.77554891725202)</f>
        <v>0.77554891725202002</v>
      </c>
      <c r="AF34" s="17">
        <f ca="1">IFERROR(__xludf.DUMMYFUNCTION("""COMPUTED_VALUE"""),0.347039796434941)</f>
        <v>0.34703979643494098</v>
      </c>
      <c r="AG34" s="17">
        <f ca="1">IFERROR(__xludf.DUMMYFUNCTION("""COMPUTED_VALUE"""),0.305700069165235)</f>
        <v>0.30570006916523501</v>
      </c>
      <c r="AH34" s="17">
        <f ca="1">IFERROR(__xludf.DUMMYFUNCTION("""COMPUTED_VALUE"""),0.335435554384744)</f>
        <v>0.33543555438474398</v>
      </c>
      <c r="AI34" s="17">
        <f ca="1">IFERROR(__xludf.DUMMYFUNCTION("""COMPUTED_VALUE"""),0.340736340689316)</f>
        <v>0.34073634068931602</v>
      </c>
      <c r="AJ34" s="17">
        <f ca="1">IFERROR(__xludf.DUMMYFUNCTION("""COMPUTED_VALUE"""),0.29971854263661)</f>
        <v>0.29971854263661002</v>
      </c>
    </row>
    <row r="35" spans="2:36" ht="15.75" customHeight="1" x14ac:dyDescent="0.45">
      <c r="B35" s="10" t="str">
        <f ca="1">IFERROR(__xludf.DUMMYFUNCTION("""COMPUTED_VALUE"""),"Beef")</f>
        <v>Beef</v>
      </c>
      <c r="C35" s="10" t="str">
        <f ca="1">IFERROR(__xludf.DUMMYFUNCTION("""COMPUTED_VALUE"""),"aligned_series")</f>
        <v>aligned_series</v>
      </c>
      <c r="D35" s="10">
        <f ca="1">IFERROR(__xludf.DUMMYFUNCTION("""COMPUTED_VALUE"""),0.6)</f>
        <v>0.6</v>
      </c>
      <c r="E35" s="17">
        <f ca="1">IFERROR(__xludf.DUMMYFUNCTION("""COMPUTED_VALUE"""),0.660817051657502)</f>
        <v>0.66081705165750204</v>
      </c>
      <c r="F35" s="17">
        <f ca="1">IFERROR(__xludf.DUMMYFUNCTION("""COMPUTED_VALUE"""),0.488283137478937)</f>
        <v>0.48828313747893698</v>
      </c>
      <c r="G35" s="17">
        <f ca="1">IFERROR(__xludf.DUMMYFUNCTION("""COMPUTED_VALUE"""),0.487579804066019)</f>
        <v>0.48757980406601897</v>
      </c>
      <c r="H35" s="17">
        <f ca="1">IFERROR(__xludf.DUMMYFUNCTION("""COMPUTED_VALUE"""),0.523080600501708)</f>
        <v>0.52308060050170802</v>
      </c>
      <c r="I35" s="17">
        <f ca="1">IFERROR(__xludf.DUMMYFUNCTION("""COMPUTED_VALUE"""),0.533717473422568)</f>
        <v>0.53371747342256803</v>
      </c>
      <c r="J35" s="17">
        <f ca="1">IFERROR(__xludf.DUMMYFUNCTION("""COMPUTED_VALUE"""),0.476385732348711)</f>
        <v>0.47638573234871101</v>
      </c>
      <c r="K35" s="17" t="str">
        <f ca="1">IFERROR(__xludf.DUMMYFUNCTION("""COMPUTED_VALUE"""),"nan")</f>
        <v>nan</v>
      </c>
      <c r="L35" s="17">
        <f ca="1">IFERROR(__xludf.DUMMYFUNCTION("""COMPUTED_VALUE"""),0.496117247337596)</f>
        <v>0.49611724733759599</v>
      </c>
      <c r="M35" s="17">
        <f ca="1">IFERROR(__xludf.DUMMYFUNCTION("""COMPUTED_VALUE"""),0.390765326093262)</f>
        <v>0.39076532609326198</v>
      </c>
      <c r="N35" s="17">
        <f ca="1">IFERROR(__xludf.DUMMYFUNCTION("""COMPUTED_VALUE"""),0.466033628897477)</f>
        <v>0.46603362889747701</v>
      </c>
      <c r="O35" s="17">
        <f ca="1">IFERROR(__xludf.DUMMYFUNCTION("""COMPUTED_VALUE"""),0.461851602151653)</f>
        <v>0.461851602151653</v>
      </c>
      <c r="P35" s="17">
        <f ca="1">IFERROR(__xludf.DUMMYFUNCTION("""COMPUTED_VALUE"""),0.442590502763577)</f>
        <v>0.44259050276357698</v>
      </c>
      <c r="Q35" s="17">
        <f ca="1">IFERROR(__xludf.DUMMYFUNCTION("""COMPUTED_VALUE"""),0.579878043915188)</f>
        <v>0.57987804391518805</v>
      </c>
      <c r="R35" s="17">
        <f ca="1">IFERROR(__xludf.DUMMYFUNCTION("""COMPUTED_VALUE"""),0.682738762394424)</f>
        <v>0.68273876239442399</v>
      </c>
      <c r="S35" s="17">
        <f ca="1">IFERROR(__xludf.DUMMYFUNCTION("""COMPUTED_VALUE"""),0.586389934634982)</f>
        <v>0.58638993463498201</v>
      </c>
      <c r="T35" s="17">
        <f ca="1">IFERROR(__xludf.DUMMYFUNCTION("""COMPUTED_VALUE"""),0.510312649475773)</f>
        <v>0.51031264947577304</v>
      </c>
      <c r="U35" s="17">
        <f ca="1">IFERROR(__xludf.DUMMYFUNCTION("""COMPUTED_VALUE"""),0.506440215119608)</f>
        <v>0.50644021511960802</v>
      </c>
      <c r="V35" s="17">
        <f ca="1">IFERROR(__xludf.DUMMYFUNCTION("""COMPUTED_VALUE"""),0.436793581313198)</f>
        <v>0.43679358131319801</v>
      </c>
      <c r="W35" s="17">
        <f ca="1">IFERROR(__xludf.DUMMYFUNCTION("""COMPUTED_VALUE"""),0.494268313902978)</f>
        <v>0.49426831390297798</v>
      </c>
      <c r="X35" s="17">
        <f ca="1">IFERROR(__xludf.DUMMYFUNCTION("""COMPUTED_VALUE"""),0.528140248599061)</f>
        <v>0.52814024859906095</v>
      </c>
      <c r="Y35" s="17">
        <f ca="1">IFERROR(__xludf.DUMMYFUNCTION("""COMPUTED_VALUE"""),0.417732049601176)</f>
        <v>0.41773204960117599</v>
      </c>
      <c r="Z35" s="17">
        <f ca="1">IFERROR(__xludf.DUMMYFUNCTION("""COMPUTED_VALUE"""),0.499290796772999)</f>
        <v>0.49929079677299898</v>
      </c>
      <c r="AA35" s="17">
        <f ca="1">IFERROR(__xludf.DUMMYFUNCTION("""COMPUTED_VALUE"""),0.511364657206841)</f>
        <v>0.51136465720684099</v>
      </c>
      <c r="AB35" s="17">
        <f ca="1">IFERROR(__xludf.DUMMYFUNCTION("""COMPUTED_VALUE"""),1.02841722985536)</f>
        <v>1.02841722985536</v>
      </c>
      <c r="AC35" s="17">
        <f ca="1">IFERROR(__xludf.DUMMYFUNCTION("""COMPUTED_VALUE"""),0.478066768441573)</f>
        <v>0.47806676844157298</v>
      </c>
      <c r="AD35" s="17">
        <f ca="1">IFERROR(__xludf.DUMMYFUNCTION("""COMPUTED_VALUE"""),0.487959486927429)</f>
        <v>0.48795948692742902</v>
      </c>
      <c r="AE35" s="17">
        <f ca="1">IFERROR(__xludf.DUMMYFUNCTION("""COMPUTED_VALUE"""),0.792805980438155)</f>
        <v>0.79280598043815498</v>
      </c>
      <c r="AF35" s="17">
        <f ca="1">IFERROR(__xludf.DUMMYFUNCTION("""COMPUTED_VALUE"""),0.555051855791958)</f>
        <v>0.55505185579195804</v>
      </c>
      <c r="AG35" s="17">
        <f ca="1">IFERROR(__xludf.DUMMYFUNCTION("""COMPUTED_VALUE"""),0.330727122623812)</f>
        <v>0.33072712262381199</v>
      </c>
      <c r="AH35" s="17">
        <f ca="1">IFERROR(__xludf.DUMMYFUNCTION("""COMPUTED_VALUE"""),0.342601119860525)</f>
        <v>0.34260111986052499</v>
      </c>
      <c r="AI35" s="17">
        <f ca="1">IFERROR(__xludf.DUMMYFUNCTION("""COMPUTED_VALUE"""),0.348741067969644)</f>
        <v>0.34874106796964399</v>
      </c>
      <c r="AJ35" s="17">
        <f ca="1">IFERROR(__xludf.DUMMYFUNCTION("""COMPUTED_VALUE"""),0.337275538745355)</f>
        <v>0.33727553874535499</v>
      </c>
    </row>
    <row r="36" spans="2:36" ht="15.75" customHeight="1" x14ac:dyDescent="0.45">
      <c r="B36" s="10" t="str">
        <f ca="1">IFERROR(__xludf.DUMMYFUNCTION("""COMPUTED_VALUE"""),"Beef")</f>
        <v>Beef</v>
      </c>
      <c r="C36" s="10" t="str">
        <f ca="1">IFERROR(__xludf.DUMMYFUNCTION("""COMPUTED_VALUE"""),"aligned_series")</f>
        <v>aligned_series</v>
      </c>
      <c r="D36" s="10">
        <f ca="1">IFERROR(__xludf.DUMMYFUNCTION("""COMPUTED_VALUE"""),0.8)</f>
        <v>0.8</v>
      </c>
      <c r="E36" s="17">
        <f ca="1">IFERROR(__xludf.DUMMYFUNCTION("""COMPUTED_VALUE"""),0.626125840865321)</f>
        <v>0.62612584086532097</v>
      </c>
      <c r="F36" s="17">
        <f ca="1">IFERROR(__xludf.DUMMYFUNCTION("""COMPUTED_VALUE"""),0.504922771149865)</f>
        <v>0.50492277114986495</v>
      </c>
      <c r="G36" s="17">
        <f ca="1">IFERROR(__xludf.DUMMYFUNCTION("""COMPUTED_VALUE"""),0.53498311822294)</f>
        <v>0.53498311822293998</v>
      </c>
      <c r="H36" s="17">
        <f ca="1">IFERROR(__xludf.DUMMYFUNCTION("""COMPUTED_VALUE"""),0.515633057633967)</f>
        <v>0.51563305763396705</v>
      </c>
      <c r="I36" s="17">
        <f ca="1">IFERROR(__xludf.DUMMYFUNCTION("""COMPUTED_VALUE"""),0.51185164211899)</f>
        <v>0.51185164211899004</v>
      </c>
      <c r="J36" s="17">
        <f ca="1">IFERROR(__xludf.DUMMYFUNCTION("""COMPUTED_VALUE"""),0.441868554386761)</f>
        <v>0.44186855438676098</v>
      </c>
      <c r="K36" s="17" t="str">
        <f ca="1">IFERROR(__xludf.DUMMYFUNCTION("""COMPUTED_VALUE"""),"nan")</f>
        <v>nan</v>
      </c>
      <c r="L36" s="17">
        <f ca="1">IFERROR(__xludf.DUMMYFUNCTION("""COMPUTED_VALUE"""),0.604390986754606)</f>
        <v>0.60439098675460601</v>
      </c>
      <c r="M36" s="17">
        <f ca="1">IFERROR(__xludf.DUMMYFUNCTION("""COMPUTED_VALUE"""),0.345414841418181)</f>
        <v>0.34541484141818102</v>
      </c>
      <c r="N36" s="17">
        <f ca="1">IFERROR(__xludf.DUMMYFUNCTION("""COMPUTED_VALUE"""),0.413173734980952)</f>
        <v>0.413173734980952</v>
      </c>
      <c r="O36" s="17">
        <f ca="1">IFERROR(__xludf.DUMMYFUNCTION("""COMPUTED_VALUE"""),0.483558093657464)</f>
        <v>0.48355809365746399</v>
      </c>
      <c r="P36" s="17">
        <f ca="1">IFERROR(__xludf.DUMMYFUNCTION("""COMPUTED_VALUE"""),0.453954993067088)</f>
        <v>0.45395499306708798</v>
      </c>
      <c r="Q36" s="17">
        <f ca="1">IFERROR(__xludf.DUMMYFUNCTION("""COMPUTED_VALUE"""),0.538467320119682)</f>
        <v>0.53846732011968201</v>
      </c>
      <c r="R36" s="17">
        <f ca="1">IFERROR(__xludf.DUMMYFUNCTION("""COMPUTED_VALUE"""),0.664238236144574)</f>
        <v>0.664238236144574</v>
      </c>
      <c r="S36" s="17">
        <f ca="1">IFERROR(__xludf.DUMMYFUNCTION("""COMPUTED_VALUE"""),0.534149499006812)</f>
        <v>0.53414949900681197</v>
      </c>
      <c r="T36" s="17">
        <f ca="1">IFERROR(__xludf.DUMMYFUNCTION("""COMPUTED_VALUE"""),0.47264493660597)</f>
        <v>0.47264493660597001</v>
      </c>
      <c r="U36" s="17">
        <f ca="1">IFERROR(__xludf.DUMMYFUNCTION("""COMPUTED_VALUE"""),0.645924130448093)</f>
        <v>0.64592413044809305</v>
      </c>
      <c r="V36" s="17">
        <f ca="1">IFERROR(__xludf.DUMMYFUNCTION("""COMPUTED_VALUE"""),0.371631355929865)</f>
        <v>0.37163135592986501</v>
      </c>
      <c r="W36" s="17">
        <f ca="1">IFERROR(__xludf.DUMMYFUNCTION("""COMPUTED_VALUE"""),0.491885628893104)</f>
        <v>0.491885628893104</v>
      </c>
      <c r="X36" s="17">
        <f ca="1">IFERROR(__xludf.DUMMYFUNCTION("""COMPUTED_VALUE"""),0.475637935105154)</f>
        <v>0.47563793510515401</v>
      </c>
      <c r="Y36" s="17">
        <f ca="1">IFERROR(__xludf.DUMMYFUNCTION("""COMPUTED_VALUE"""),0.384381226317439)</f>
        <v>0.38438122631743898</v>
      </c>
      <c r="Z36" s="17">
        <f ca="1">IFERROR(__xludf.DUMMYFUNCTION("""COMPUTED_VALUE"""),0.408877386871175)</f>
        <v>0.40887738687117497</v>
      </c>
      <c r="AA36" s="17">
        <f ca="1">IFERROR(__xludf.DUMMYFUNCTION("""COMPUTED_VALUE"""),0.424473045536591)</f>
        <v>0.42447304553659099</v>
      </c>
      <c r="AB36" s="17">
        <f ca="1">IFERROR(__xludf.DUMMYFUNCTION("""COMPUTED_VALUE"""),1.82084495119699)</f>
        <v>1.82084495119699</v>
      </c>
      <c r="AC36" s="17">
        <f ca="1">IFERROR(__xludf.DUMMYFUNCTION("""COMPUTED_VALUE"""),0.440741756018447)</f>
        <v>0.44074175601844701</v>
      </c>
      <c r="AD36" s="17">
        <f ca="1">IFERROR(__xludf.DUMMYFUNCTION("""COMPUTED_VALUE"""),0.426945638287727)</f>
        <v>0.42694563828772703</v>
      </c>
      <c r="AE36" s="17">
        <f ca="1">IFERROR(__xludf.DUMMYFUNCTION("""COMPUTED_VALUE"""),0.760606364760729)</f>
        <v>0.76060636476072896</v>
      </c>
      <c r="AF36" s="17">
        <f ca="1">IFERROR(__xludf.DUMMYFUNCTION("""COMPUTED_VALUE"""),0.503030553600648)</f>
        <v>0.50303055360064797</v>
      </c>
      <c r="AG36" s="17">
        <f ca="1">IFERROR(__xludf.DUMMYFUNCTION("""COMPUTED_VALUE"""),0.298929957458486)</f>
        <v>0.298929957458486</v>
      </c>
      <c r="AH36" s="17">
        <f ca="1">IFERROR(__xludf.DUMMYFUNCTION("""COMPUTED_VALUE"""),0.31771507916627)</f>
        <v>0.31771507916627001</v>
      </c>
      <c r="AI36" s="17">
        <f ca="1">IFERROR(__xludf.DUMMYFUNCTION("""COMPUTED_VALUE"""),0.322229575658795)</f>
        <v>0.32222957565879501</v>
      </c>
      <c r="AJ36" s="17">
        <f ca="1">IFERROR(__xludf.DUMMYFUNCTION("""COMPUTED_VALUE"""),0.314213634312157)</f>
        <v>0.31421363431215699</v>
      </c>
    </row>
    <row r="37" spans="2:36" ht="15.75" customHeight="1" x14ac:dyDescent="0.45">
      <c r="B37" s="10" t="str">
        <f ca="1">IFERROR(__xludf.DUMMYFUNCTION("""COMPUTED_VALUE"""),"Beef")</f>
        <v>Beef</v>
      </c>
      <c r="C37" s="10" t="str">
        <f ca="1">IFERROR(__xludf.DUMMYFUNCTION("""COMPUTED_VALUE"""),"aligned_timestamps")</f>
        <v>aligned_timestamps</v>
      </c>
      <c r="D37" s="10">
        <f ca="1">IFERROR(__xludf.DUMMYFUNCTION("""COMPUTED_VALUE"""),0.1)</f>
        <v>0.1</v>
      </c>
      <c r="E37" s="17">
        <f ca="1">IFERROR(__xludf.DUMMYFUNCTION("""COMPUTED_VALUE"""),0.420532783540347)</f>
        <v>0.42053278354034701</v>
      </c>
      <c r="F37" s="17">
        <f ca="1">IFERROR(__xludf.DUMMYFUNCTION("""COMPUTED_VALUE"""),0.0774501732960306)</f>
        <v>7.74501732960306E-2</v>
      </c>
      <c r="G37" s="17">
        <f ca="1">IFERROR(__xludf.DUMMYFUNCTION("""COMPUTED_VALUE"""),0.0817922878302089)</f>
        <v>8.1792287830208907E-2</v>
      </c>
      <c r="H37" s="17">
        <f ca="1">IFERROR(__xludf.DUMMYFUNCTION("""COMPUTED_VALUE"""),0.316368225860632)</f>
        <v>0.31636822586063201</v>
      </c>
      <c r="I37" s="17">
        <f ca="1">IFERROR(__xludf.DUMMYFUNCTION("""COMPUTED_VALUE"""),0.0507159853818689)</f>
        <v>5.0715985381868903E-2</v>
      </c>
      <c r="J37" s="17">
        <f ca="1">IFERROR(__xludf.DUMMYFUNCTION("""COMPUTED_VALUE"""),0.151761136138607)</f>
        <v>0.15176113613860701</v>
      </c>
      <c r="K37" s="17" t="str">
        <f ca="1">IFERROR(__xludf.DUMMYFUNCTION("""COMPUTED_VALUE"""),"nan")</f>
        <v>nan</v>
      </c>
      <c r="L37" s="17">
        <f ca="1">IFERROR(__xludf.DUMMYFUNCTION("""COMPUTED_VALUE"""),0.164966770074261)</f>
        <v>0.164966770074261</v>
      </c>
      <c r="M37" s="17">
        <f ca="1">IFERROR(__xludf.DUMMYFUNCTION("""COMPUTED_VALUE"""),0.0787744232554154)</f>
        <v>7.8774423255415393E-2</v>
      </c>
      <c r="N37" s="17">
        <f ca="1">IFERROR(__xludf.DUMMYFUNCTION("""COMPUTED_VALUE"""),0.212358599643667)</f>
        <v>0.21235859964366699</v>
      </c>
      <c r="O37" s="17">
        <f ca="1">IFERROR(__xludf.DUMMYFUNCTION("""COMPUTED_VALUE"""),0.0927725754304872)</f>
        <v>9.2772575430487197E-2</v>
      </c>
      <c r="P37" s="17">
        <f ca="1">IFERROR(__xludf.DUMMYFUNCTION("""COMPUTED_VALUE"""),0.226410462531028)</f>
        <v>0.22641046253102801</v>
      </c>
      <c r="Q37" s="17">
        <f ca="1">IFERROR(__xludf.DUMMYFUNCTION("""COMPUTED_VALUE"""),0.301485705439073)</f>
        <v>0.30148570543907299</v>
      </c>
      <c r="R37" s="17">
        <f ca="1">IFERROR(__xludf.DUMMYFUNCTION("""COMPUTED_VALUE"""),0.16190318191427)</f>
        <v>0.16190318191427</v>
      </c>
      <c r="S37" s="17">
        <f ca="1">IFERROR(__xludf.DUMMYFUNCTION("""COMPUTED_VALUE"""),0.182292204565515)</f>
        <v>0.18229220456551501</v>
      </c>
      <c r="T37" s="17">
        <f ca="1">IFERROR(__xludf.DUMMYFUNCTION("""COMPUTED_VALUE"""),0.379369105894888)</f>
        <v>0.37936910589488798</v>
      </c>
      <c r="U37" s="17">
        <f ca="1">IFERROR(__xludf.DUMMYFUNCTION("""COMPUTED_VALUE"""),0.173220689743983)</f>
        <v>0.173220689743983</v>
      </c>
      <c r="V37" s="17">
        <f ca="1">IFERROR(__xludf.DUMMYFUNCTION("""COMPUTED_VALUE"""),0.0664454428080234)</f>
        <v>6.6445442808023406E-2</v>
      </c>
      <c r="W37" s="17">
        <f ca="1">IFERROR(__xludf.DUMMYFUNCTION("""COMPUTED_VALUE"""),0.341613843348672)</f>
        <v>0.34161384334867201</v>
      </c>
      <c r="X37" s="17">
        <f ca="1">IFERROR(__xludf.DUMMYFUNCTION("""COMPUTED_VALUE"""),0.172365107113929)</f>
        <v>0.17236510711392899</v>
      </c>
      <c r="Y37" s="17">
        <f ca="1">IFERROR(__xludf.DUMMYFUNCTION("""COMPUTED_VALUE"""),0.101471880020841)</f>
        <v>0.101471880020841</v>
      </c>
      <c r="Z37" s="17">
        <f ca="1">IFERROR(__xludf.DUMMYFUNCTION("""COMPUTED_VALUE"""),0.269123474530055)</f>
        <v>0.26912347453005497</v>
      </c>
      <c r="AA37" s="17">
        <f ca="1">IFERROR(__xludf.DUMMYFUNCTION("""COMPUTED_VALUE"""),0.0233262447829867)</f>
        <v>2.3326244782986699E-2</v>
      </c>
      <c r="AB37" s="17">
        <f ca="1">IFERROR(__xludf.DUMMYFUNCTION("""COMPUTED_VALUE"""),0.212244244217296)</f>
        <v>0.21224424421729601</v>
      </c>
      <c r="AC37" s="17">
        <f ca="1">IFERROR(__xludf.DUMMYFUNCTION("""COMPUTED_VALUE"""),0.284153254542083)</f>
        <v>0.28415325454208301</v>
      </c>
      <c r="AD37" s="17">
        <f ca="1">IFERROR(__xludf.DUMMYFUNCTION("""COMPUTED_VALUE"""),0.169683386045649)</f>
        <v>0.169683386045649</v>
      </c>
      <c r="AE37" s="17">
        <f ca="1">IFERROR(__xludf.DUMMYFUNCTION("""COMPUTED_VALUE"""),0.542747943469924)</f>
        <v>0.54274794346992405</v>
      </c>
      <c r="AF37" s="17">
        <f ca="1">IFERROR(__xludf.DUMMYFUNCTION("""COMPUTED_VALUE"""),0.140154175317671)</f>
        <v>0.14015417531767099</v>
      </c>
      <c r="AG37" s="17">
        <f ca="1">IFERROR(__xludf.DUMMYFUNCTION("""COMPUTED_VALUE"""),0.181299217588086)</f>
        <v>0.18129921758808601</v>
      </c>
      <c r="AH37" s="17">
        <f ca="1">IFERROR(__xludf.DUMMYFUNCTION("""COMPUTED_VALUE"""),0.204802902813212)</f>
        <v>0.20480290281321201</v>
      </c>
      <c r="AI37" s="17">
        <f ca="1">IFERROR(__xludf.DUMMYFUNCTION("""COMPUTED_VALUE"""),0.218233349162479)</f>
        <v>0.218233349162479</v>
      </c>
      <c r="AJ37" s="17">
        <f ca="1">IFERROR(__xludf.DUMMYFUNCTION("""COMPUTED_VALUE"""),0.199105805941997)</f>
        <v>0.199105805941997</v>
      </c>
    </row>
    <row r="38" spans="2:36" ht="15.75" customHeight="1" x14ac:dyDescent="0.45">
      <c r="B38" s="10" t="str">
        <f ca="1">IFERROR(__xludf.DUMMYFUNCTION("""COMPUTED_VALUE"""),"Beef")</f>
        <v>Beef</v>
      </c>
      <c r="C38" s="10" t="str">
        <f ca="1">IFERROR(__xludf.DUMMYFUNCTION("""COMPUTED_VALUE"""),"aligned_timestamps")</f>
        <v>aligned_timestamps</v>
      </c>
      <c r="D38" s="10">
        <f ca="1">IFERROR(__xludf.DUMMYFUNCTION("""COMPUTED_VALUE"""),0.2)</f>
        <v>0.2</v>
      </c>
      <c r="E38" s="17">
        <f ca="1">IFERROR(__xludf.DUMMYFUNCTION("""COMPUTED_VALUE"""),0.466218323062856)</f>
        <v>0.46621832306285599</v>
      </c>
      <c r="F38" s="17">
        <f ca="1">IFERROR(__xludf.DUMMYFUNCTION("""COMPUTED_VALUE"""),0.104520340174057)</f>
        <v>0.10452034017405699</v>
      </c>
      <c r="G38" s="17">
        <f ca="1">IFERROR(__xludf.DUMMYFUNCTION("""COMPUTED_VALUE"""),0.103312842749392)</f>
        <v>0.10331284274939199</v>
      </c>
      <c r="H38" s="17">
        <f ca="1">IFERROR(__xludf.DUMMYFUNCTION("""COMPUTED_VALUE"""),0.409865435519253)</f>
        <v>0.40986543551925297</v>
      </c>
      <c r="I38" s="17">
        <f ca="1">IFERROR(__xludf.DUMMYFUNCTION("""COMPUTED_VALUE"""),0.0527726550388387)</f>
        <v>5.2772655038838698E-2</v>
      </c>
      <c r="J38" s="17">
        <f ca="1">IFERROR(__xludf.DUMMYFUNCTION("""COMPUTED_VALUE"""),0.175467582299285)</f>
        <v>0.175467582299285</v>
      </c>
      <c r="K38" s="17" t="str">
        <f ca="1">IFERROR(__xludf.DUMMYFUNCTION("""COMPUTED_VALUE"""),"nan")</f>
        <v>nan</v>
      </c>
      <c r="L38" s="17">
        <f ca="1">IFERROR(__xludf.DUMMYFUNCTION("""COMPUTED_VALUE"""),0.247858507362361)</f>
        <v>0.24785850736236101</v>
      </c>
      <c r="M38" s="17">
        <f ca="1">IFERROR(__xludf.DUMMYFUNCTION("""COMPUTED_VALUE"""),0.0898271612393357)</f>
        <v>8.9827161239335707E-2</v>
      </c>
      <c r="N38" s="17">
        <f ca="1">IFERROR(__xludf.DUMMYFUNCTION("""COMPUTED_VALUE"""),0.364610553883933)</f>
        <v>0.36461055388393299</v>
      </c>
      <c r="O38" s="17">
        <f ca="1">IFERROR(__xludf.DUMMYFUNCTION("""COMPUTED_VALUE"""),0.0950333524862434)</f>
        <v>9.5033352486243394E-2</v>
      </c>
      <c r="P38" s="17">
        <f ca="1">IFERROR(__xludf.DUMMYFUNCTION("""COMPUTED_VALUE"""),0.259940444705602)</f>
        <v>0.25994044470560201</v>
      </c>
      <c r="Q38" s="17">
        <f ca="1">IFERROR(__xludf.DUMMYFUNCTION("""COMPUTED_VALUE"""),0.471026669194871)</f>
        <v>0.47102666919487102</v>
      </c>
      <c r="R38" s="17">
        <f ca="1">IFERROR(__xludf.DUMMYFUNCTION("""COMPUTED_VALUE"""),0.225124888778419)</f>
        <v>0.22512488877841899</v>
      </c>
      <c r="S38" s="17">
        <f ca="1">IFERROR(__xludf.DUMMYFUNCTION("""COMPUTED_VALUE"""),0.205158384135888)</f>
        <v>0.20515838413588799</v>
      </c>
      <c r="T38" s="17">
        <f ca="1">IFERROR(__xludf.DUMMYFUNCTION("""COMPUTED_VALUE"""),0.320458052963926)</f>
        <v>0.32045805296392599</v>
      </c>
      <c r="U38" s="17">
        <f ca="1">IFERROR(__xludf.DUMMYFUNCTION("""COMPUTED_VALUE"""),0.281805769348736)</f>
        <v>0.28180576934873602</v>
      </c>
      <c r="V38" s="17">
        <f ca="1">IFERROR(__xludf.DUMMYFUNCTION("""COMPUTED_VALUE"""),0.0823406235654919)</f>
        <v>8.2340623565491905E-2</v>
      </c>
      <c r="W38" s="17">
        <f ca="1">IFERROR(__xludf.DUMMYFUNCTION("""COMPUTED_VALUE"""),0.388204029115718)</f>
        <v>0.388204029115718</v>
      </c>
      <c r="X38" s="17">
        <f ca="1">IFERROR(__xludf.DUMMYFUNCTION("""COMPUTED_VALUE"""),0.233967075978896)</f>
        <v>0.23396707597889599</v>
      </c>
      <c r="Y38" s="17">
        <f ca="1">IFERROR(__xludf.DUMMYFUNCTION("""COMPUTED_VALUE"""),0.234999724745411)</f>
        <v>0.234999724745411</v>
      </c>
      <c r="Z38" s="17">
        <f ca="1">IFERROR(__xludf.DUMMYFUNCTION("""COMPUTED_VALUE"""),0.332741458222966)</f>
        <v>0.33274145822296602</v>
      </c>
      <c r="AA38" s="17">
        <f ca="1">IFERROR(__xludf.DUMMYFUNCTION("""COMPUTED_VALUE"""),0.106283406045399)</f>
        <v>0.106283406045399</v>
      </c>
      <c r="AB38" s="17">
        <f ca="1">IFERROR(__xludf.DUMMYFUNCTION("""COMPUTED_VALUE"""),0.230577441942028)</f>
        <v>0.23057744194202801</v>
      </c>
      <c r="AC38" s="17">
        <f ca="1">IFERROR(__xludf.DUMMYFUNCTION("""COMPUTED_VALUE"""),0.389437744600389)</f>
        <v>0.38943774460038899</v>
      </c>
      <c r="AD38" s="17">
        <f ca="1">IFERROR(__xludf.DUMMYFUNCTION("""COMPUTED_VALUE"""),0.297748619594936)</f>
        <v>0.29774861959493598</v>
      </c>
      <c r="AE38" s="17">
        <f ca="1">IFERROR(__xludf.DUMMYFUNCTION("""COMPUTED_VALUE"""),0.674129781847118)</f>
        <v>0.67412978184711803</v>
      </c>
      <c r="AF38" s="17">
        <f ca="1">IFERROR(__xludf.DUMMYFUNCTION("""COMPUTED_VALUE"""),0.14365525362815)</f>
        <v>0.14365525362814999</v>
      </c>
      <c r="AG38" s="17">
        <f ca="1">IFERROR(__xludf.DUMMYFUNCTION("""COMPUTED_VALUE"""),0.236265035228241)</f>
        <v>0.23626503522824099</v>
      </c>
      <c r="AH38" s="17">
        <f ca="1">IFERROR(__xludf.DUMMYFUNCTION("""COMPUTED_VALUE"""),0.280778855103995)</f>
        <v>0.28077885510399497</v>
      </c>
      <c r="AI38" s="17">
        <f ca="1">IFERROR(__xludf.DUMMYFUNCTION("""COMPUTED_VALUE"""),0.281935031826029)</f>
        <v>0.28193503182602903</v>
      </c>
      <c r="AJ38" s="17">
        <f ca="1">IFERROR(__xludf.DUMMYFUNCTION("""COMPUTED_VALUE"""),0.235637586562763)</f>
        <v>0.23563758656276301</v>
      </c>
    </row>
    <row r="39" spans="2:36" ht="15.75" customHeight="1" x14ac:dyDescent="0.45">
      <c r="B39" s="10" t="str">
        <f ca="1">IFERROR(__xludf.DUMMYFUNCTION("""COMPUTED_VALUE"""),"Beef")</f>
        <v>Beef</v>
      </c>
      <c r="C39" s="10" t="str">
        <f ca="1">IFERROR(__xludf.DUMMYFUNCTION("""COMPUTED_VALUE"""),"aligned_timestamps")</f>
        <v>aligned_timestamps</v>
      </c>
      <c r="D39" s="10">
        <f ca="1">IFERROR(__xludf.DUMMYFUNCTION("""COMPUTED_VALUE"""),0.4)</f>
        <v>0.4</v>
      </c>
      <c r="E39" s="17">
        <f ca="1">IFERROR(__xludf.DUMMYFUNCTION("""COMPUTED_VALUE"""),0.375088749686028)</f>
        <v>0.37508874968602801</v>
      </c>
      <c r="F39" s="17">
        <f ca="1">IFERROR(__xludf.DUMMYFUNCTION("""COMPUTED_VALUE"""),0.0858791381544376)</f>
        <v>8.5879138154437595E-2</v>
      </c>
      <c r="G39" s="17">
        <f ca="1">IFERROR(__xludf.DUMMYFUNCTION("""COMPUTED_VALUE"""),0.0841960891302357)</f>
        <v>8.4196089130235699E-2</v>
      </c>
      <c r="H39" s="17">
        <f ca="1">IFERROR(__xludf.DUMMYFUNCTION("""COMPUTED_VALUE"""),0.332398338134776)</f>
        <v>0.33239833813477598</v>
      </c>
      <c r="I39" s="17">
        <f ca="1">IFERROR(__xludf.DUMMYFUNCTION("""COMPUTED_VALUE"""),0.0437032565889929)</f>
        <v>4.3703256588992899E-2</v>
      </c>
      <c r="J39" s="17">
        <f ca="1">IFERROR(__xludf.DUMMYFUNCTION("""COMPUTED_VALUE"""),0.184187030812633)</f>
        <v>0.18418703081263299</v>
      </c>
      <c r="K39" s="17" t="str">
        <f ca="1">IFERROR(__xludf.DUMMYFUNCTION("""COMPUTED_VALUE"""),"nan")</f>
        <v>nan</v>
      </c>
      <c r="L39" s="17">
        <f ca="1">IFERROR(__xludf.DUMMYFUNCTION("""COMPUTED_VALUE"""),0.191747991797778)</f>
        <v>0.19174799179777799</v>
      </c>
      <c r="M39" s="17">
        <f ca="1">IFERROR(__xludf.DUMMYFUNCTION("""COMPUTED_VALUE"""),0.0730940467249661)</f>
        <v>7.3094046724966097E-2</v>
      </c>
      <c r="N39" s="17">
        <f ca="1">IFERROR(__xludf.DUMMYFUNCTION("""COMPUTED_VALUE"""),0.280125861962013)</f>
        <v>0.280125861962013</v>
      </c>
      <c r="O39" s="17">
        <f ca="1">IFERROR(__xludf.DUMMYFUNCTION("""COMPUTED_VALUE"""),0.0717330717612668)</f>
        <v>7.1733071761266795E-2</v>
      </c>
      <c r="P39" s="17">
        <f ca="1">IFERROR(__xludf.DUMMYFUNCTION("""COMPUTED_VALUE"""),0.237494806883558)</f>
        <v>0.23749480688355801</v>
      </c>
      <c r="Q39" s="17">
        <f ca="1">IFERROR(__xludf.DUMMYFUNCTION("""COMPUTED_VALUE"""),0.356690695918989)</f>
        <v>0.356690695918989</v>
      </c>
      <c r="R39" s="17">
        <f ca="1">IFERROR(__xludf.DUMMYFUNCTION("""COMPUTED_VALUE"""),0.247665189515983)</f>
        <v>0.24766518951598299</v>
      </c>
      <c r="S39" s="17">
        <f ca="1">IFERROR(__xludf.DUMMYFUNCTION("""COMPUTED_VALUE"""),0.178706623837333)</f>
        <v>0.17870662383733299</v>
      </c>
      <c r="T39" s="17">
        <f ca="1">IFERROR(__xludf.DUMMYFUNCTION("""COMPUTED_VALUE"""),0.264364815279801)</f>
        <v>0.26436481527980099</v>
      </c>
      <c r="U39" s="17">
        <f ca="1">IFERROR(__xludf.DUMMYFUNCTION("""COMPUTED_VALUE"""),0.618081331318746)</f>
        <v>0.61808133131874599</v>
      </c>
      <c r="V39" s="17">
        <f ca="1">IFERROR(__xludf.DUMMYFUNCTION("""COMPUTED_VALUE"""),0.116520958175362)</f>
        <v>0.116520958175362</v>
      </c>
      <c r="W39" s="17">
        <f ca="1">IFERROR(__xludf.DUMMYFUNCTION("""COMPUTED_VALUE"""),0.318533471160238)</f>
        <v>0.318533471160238</v>
      </c>
      <c r="X39" s="17">
        <f ca="1">IFERROR(__xludf.DUMMYFUNCTION("""COMPUTED_VALUE"""),0.181530539697829)</f>
        <v>0.18153053969782901</v>
      </c>
      <c r="Y39" s="17">
        <f ca="1">IFERROR(__xludf.DUMMYFUNCTION("""COMPUTED_VALUE"""),0.260140223451503)</f>
        <v>0.26014022345150301</v>
      </c>
      <c r="Z39" s="17">
        <f ca="1">IFERROR(__xludf.DUMMYFUNCTION("""COMPUTED_VALUE"""),0.318073181318387)</f>
        <v>0.31807318131838702</v>
      </c>
      <c r="AA39" s="17">
        <f ca="1">IFERROR(__xludf.DUMMYFUNCTION("""COMPUTED_VALUE"""),0.086543767030427)</f>
        <v>8.6543767030427002E-2</v>
      </c>
      <c r="AB39" s="17">
        <f ca="1">IFERROR(__xludf.DUMMYFUNCTION("""COMPUTED_VALUE"""),0.256147447750914)</f>
        <v>0.25614744775091403</v>
      </c>
      <c r="AC39" s="17">
        <f ca="1">IFERROR(__xludf.DUMMYFUNCTION("""COMPUTED_VALUE"""),0.357070144545622)</f>
        <v>0.35707014454562203</v>
      </c>
      <c r="AD39" s="17">
        <f ca="1">IFERROR(__xludf.DUMMYFUNCTION("""COMPUTED_VALUE"""),0.262553108791484)</f>
        <v>0.26255310879148402</v>
      </c>
      <c r="AE39" s="17">
        <f ca="1">IFERROR(__xludf.DUMMYFUNCTION("""COMPUTED_VALUE"""),0.564829865337015)</f>
        <v>0.56482986533701496</v>
      </c>
      <c r="AF39" s="17">
        <f ca="1">IFERROR(__xludf.DUMMYFUNCTION("""COMPUTED_VALUE"""),0.151469635982017)</f>
        <v>0.15146963598201699</v>
      </c>
      <c r="AG39" s="17">
        <f ca="1">IFERROR(__xludf.DUMMYFUNCTION("""COMPUTED_VALUE"""),0.337394721455986)</f>
        <v>0.33739472145598598</v>
      </c>
      <c r="AH39" s="17">
        <f ca="1">IFERROR(__xludf.DUMMYFUNCTION("""COMPUTED_VALUE"""),0.356880481892633)</f>
        <v>0.35688048189263299</v>
      </c>
      <c r="AI39" s="17">
        <f ca="1">IFERROR(__xludf.DUMMYFUNCTION("""COMPUTED_VALUE"""),0.361164378411995)</f>
        <v>0.361164378411995</v>
      </c>
      <c r="AJ39" s="17">
        <f ca="1">IFERROR(__xludf.DUMMYFUNCTION("""COMPUTED_VALUE"""),0.285051591154584)</f>
        <v>0.28505159115458401</v>
      </c>
    </row>
    <row r="40" spans="2:36" ht="15.75" customHeight="1" x14ac:dyDescent="0.45">
      <c r="B40" s="10" t="str">
        <f ca="1">IFERROR(__xludf.DUMMYFUNCTION("""COMPUTED_VALUE"""),"Beef")</f>
        <v>Beef</v>
      </c>
      <c r="C40" s="10" t="str">
        <f ca="1">IFERROR(__xludf.DUMMYFUNCTION("""COMPUTED_VALUE"""),"aligned_timestamps")</f>
        <v>aligned_timestamps</v>
      </c>
      <c r="D40" s="10">
        <f ca="1">IFERROR(__xludf.DUMMYFUNCTION("""COMPUTED_VALUE"""),0.6)</f>
        <v>0.6</v>
      </c>
      <c r="E40" s="17">
        <f ca="1">IFERROR(__xludf.DUMMYFUNCTION("""COMPUTED_VALUE"""),0.527738149575053)</f>
        <v>0.52773814957505305</v>
      </c>
      <c r="F40" s="17">
        <f ca="1">IFERROR(__xludf.DUMMYFUNCTION("""COMPUTED_VALUE"""),0.140646174877716)</f>
        <v>0.140646174877716</v>
      </c>
      <c r="G40" s="17">
        <f ca="1">IFERROR(__xludf.DUMMYFUNCTION("""COMPUTED_VALUE"""),0.139676555247483)</f>
        <v>0.13967655524748299</v>
      </c>
      <c r="H40" s="17">
        <f ca="1">IFERROR(__xludf.DUMMYFUNCTION("""COMPUTED_VALUE"""),0.473237034151667)</f>
        <v>0.47323703415166701</v>
      </c>
      <c r="I40" s="17">
        <f ca="1">IFERROR(__xludf.DUMMYFUNCTION("""COMPUTED_VALUE"""),0.0817696222429342)</f>
        <v>8.1769622242934201E-2</v>
      </c>
      <c r="J40" s="17">
        <f ca="1">IFERROR(__xludf.DUMMYFUNCTION("""COMPUTED_VALUE"""),0.32296737384025)</f>
        <v>0.32296737384024998</v>
      </c>
      <c r="K40" s="17" t="str">
        <f ca="1">IFERROR(__xludf.DUMMYFUNCTION("""COMPUTED_VALUE"""),"nan")</f>
        <v>nan</v>
      </c>
      <c r="L40" s="17">
        <f ca="1">IFERROR(__xludf.DUMMYFUNCTION("""COMPUTED_VALUE"""),0.208644166884576)</f>
        <v>0.20864416688457599</v>
      </c>
      <c r="M40" s="17">
        <f ca="1">IFERROR(__xludf.DUMMYFUNCTION("""COMPUTED_VALUE"""),0.11697461882442)</f>
        <v>0.11697461882442001</v>
      </c>
      <c r="N40" s="17">
        <f ca="1">IFERROR(__xludf.DUMMYFUNCTION("""COMPUTED_VALUE"""),0.289594358154119)</f>
        <v>0.28959435815411899</v>
      </c>
      <c r="O40" s="17">
        <f ca="1">IFERROR(__xludf.DUMMYFUNCTION("""COMPUTED_VALUE"""),0.0756950043793733)</f>
        <v>7.5695004379373307E-2</v>
      </c>
      <c r="P40" s="17">
        <f ca="1">IFERROR(__xludf.DUMMYFUNCTION("""COMPUTED_VALUE"""),0.457679720326882)</f>
        <v>0.45767972032688198</v>
      </c>
      <c r="Q40" s="17">
        <f ca="1">IFERROR(__xludf.DUMMYFUNCTION("""COMPUTED_VALUE"""),0.350544755749534)</f>
        <v>0.35054475574953398</v>
      </c>
      <c r="R40" s="17">
        <f ca="1">IFERROR(__xludf.DUMMYFUNCTION("""COMPUTED_VALUE"""),0.367970621345157)</f>
        <v>0.36797062134515701</v>
      </c>
      <c r="S40" s="17">
        <f ca="1">IFERROR(__xludf.DUMMYFUNCTION("""COMPUTED_VALUE"""),0.31836829360084)</f>
        <v>0.31836829360084001</v>
      </c>
      <c r="T40" s="17">
        <f ca="1">IFERROR(__xludf.DUMMYFUNCTION("""COMPUTED_VALUE"""),0.338067666275485)</f>
        <v>0.33806766627548501</v>
      </c>
      <c r="U40" s="17">
        <f ca="1">IFERROR(__xludf.DUMMYFUNCTION("""COMPUTED_VALUE"""),0.542848974415015)</f>
        <v>0.54284897441501501</v>
      </c>
      <c r="V40" s="17">
        <f ca="1">IFERROR(__xludf.DUMMYFUNCTION("""COMPUTED_VALUE"""),0.22940678994489)</f>
        <v>0.22940678994489</v>
      </c>
      <c r="W40" s="17">
        <f ca="1">IFERROR(__xludf.DUMMYFUNCTION("""COMPUTED_VALUE"""),0.360989810147806)</f>
        <v>0.36098981014780601</v>
      </c>
      <c r="X40" s="17">
        <f ca="1">IFERROR(__xludf.DUMMYFUNCTION("""COMPUTED_VALUE"""),0.338402362524716)</f>
        <v>0.338402362524716</v>
      </c>
      <c r="Y40" s="17">
        <f ca="1">IFERROR(__xludf.DUMMYFUNCTION("""COMPUTED_VALUE"""),0.241541137237764)</f>
        <v>0.24154113723776399</v>
      </c>
      <c r="Z40" s="17">
        <f ca="1">IFERROR(__xludf.DUMMYFUNCTION("""COMPUTED_VALUE"""),0.348522211690977)</f>
        <v>0.34852221169097702</v>
      </c>
      <c r="AA40" s="17">
        <f ca="1">IFERROR(__xludf.DUMMYFUNCTION("""COMPUTED_VALUE"""),0.0767501720890697)</f>
        <v>7.6750172089069701E-2</v>
      </c>
      <c r="AB40" s="17">
        <f ca="1">IFERROR(__xludf.DUMMYFUNCTION("""COMPUTED_VALUE"""),0.798415559573561)</f>
        <v>0.79841555957356103</v>
      </c>
      <c r="AC40" s="17">
        <f ca="1">IFERROR(__xludf.DUMMYFUNCTION("""COMPUTED_VALUE"""),0.41101841012201)</f>
        <v>0.41101841012201001</v>
      </c>
      <c r="AD40" s="17">
        <f ca="1">IFERROR(__xludf.DUMMYFUNCTION("""COMPUTED_VALUE"""),0.299892687044853)</f>
        <v>0.299892687044853</v>
      </c>
      <c r="AE40" s="17" t="str">
        <f ca="1">IFERROR(__xludf.DUMMYFUNCTION("""COMPUTED_VALUE"""),"nan")</f>
        <v>nan</v>
      </c>
      <c r="AF40" s="17">
        <f ca="1">IFERROR(__xludf.DUMMYFUNCTION("""COMPUTED_VALUE"""),0.380197001062773)</f>
        <v>0.38019700106277299</v>
      </c>
      <c r="AG40" s="17">
        <f ca="1">IFERROR(__xludf.DUMMYFUNCTION("""COMPUTED_VALUE"""),0.852344230450685)</f>
        <v>0.85234423045068497</v>
      </c>
      <c r="AH40" s="17">
        <f ca="1">IFERROR(__xludf.DUMMYFUNCTION("""COMPUTED_VALUE"""),0.679662296430481)</f>
        <v>0.67966229643048104</v>
      </c>
      <c r="AI40" s="17">
        <f ca="1">IFERROR(__xludf.DUMMYFUNCTION("""COMPUTED_VALUE"""),0.750105450985348)</f>
        <v>0.75010545098534798</v>
      </c>
      <c r="AJ40" s="17">
        <f ca="1">IFERROR(__xludf.DUMMYFUNCTION("""COMPUTED_VALUE"""),0.915980084822068)</f>
        <v>0.91598008482206805</v>
      </c>
    </row>
    <row r="41" spans="2:36" ht="15.75" customHeight="1" x14ac:dyDescent="0.45">
      <c r="B41" s="10" t="str">
        <f ca="1">IFERROR(__xludf.DUMMYFUNCTION("""COMPUTED_VALUE"""),"Beef")</f>
        <v>Beef</v>
      </c>
      <c r="C41" s="10" t="str">
        <f ca="1">IFERROR(__xludf.DUMMYFUNCTION("""COMPUTED_VALUE"""),"aligned_timestamps")</f>
        <v>aligned_timestamps</v>
      </c>
      <c r="D41" s="10">
        <f ca="1">IFERROR(__xludf.DUMMYFUNCTION("""COMPUTED_VALUE"""),0.8)</f>
        <v>0.8</v>
      </c>
      <c r="E41" s="17">
        <f ca="1">IFERROR(__xludf.DUMMYFUNCTION("""COMPUTED_VALUE"""),0.897583639067735)</f>
        <v>0.89758363906773497</v>
      </c>
      <c r="F41" s="17">
        <f ca="1">IFERROR(__xludf.DUMMYFUNCTION("""COMPUTED_VALUE"""),0.470391312952279)</f>
        <v>0.47039131295227898</v>
      </c>
      <c r="G41" s="17">
        <f ca="1">IFERROR(__xludf.DUMMYFUNCTION("""COMPUTED_VALUE"""),0.505204369037077)</f>
        <v>0.50520436903707699</v>
      </c>
      <c r="H41" s="17">
        <f ca="1">IFERROR(__xludf.DUMMYFUNCTION("""COMPUTED_VALUE"""),1.09897786897754)</f>
        <v>1.09897786897754</v>
      </c>
      <c r="I41" s="17">
        <f ca="1">IFERROR(__xludf.DUMMYFUNCTION("""COMPUTED_VALUE"""),0.501909927112061)</f>
        <v>0.50190992711206095</v>
      </c>
      <c r="J41" s="17">
        <f ca="1">IFERROR(__xludf.DUMMYFUNCTION("""COMPUTED_VALUE"""),0.788456499694107)</f>
        <v>0.78845649969410703</v>
      </c>
      <c r="K41" s="17" t="str">
        <f ca="1">IFERROR(__xludf.DUMMYFUNCTION("""COMPUTED_VALUE"""),"nan")</f>
        <v>nan</v>
      </c>
      <c r="L41" s="17">
        <f ca="1">IFERROR(__xludf.DUMMYFUNCTION("""COMPUTED_VALUE"""),0.426999145644032)</f>
        <v>0.42699914564403202</v>
      </c>
      <c r="M41" s="17">
        <f ca="1">IFERROR(__xludf.DUMMYFUNCTION("""COMPUTED_VALUE"""),1.3224203402042)</f>
        <v>1.3224203402042001</v>
      </c>
      <c r="N41" s="17">
        <f ca="1">IFERROR(__xludf.DUMMYFUNCTION("""COMPUTED_VALUE"""),0.486662307567082)</f>
        <v>0.48666230756708201</v>
      </c>
      <c r="O41" s="17">
        <f ca="1">IFERROR(__xludf.DUMMYFUNCTION("""COMPUTED_VALUE"""),0.467779662356578)</f>
        <v>0.46777966235657797</v>
      </c>
      <c r="P41" s="17">
        <f ca="1">IFERROR(__xludf.DUMMYFUNCTION("""COMPUTED_VALUE"""),1.56273681838139)</f>
        <v>1.5627368183813899</v>
      </c>
      <c r="Q41" s="17">
        <f ca="1">IFERROR(__xludf.DUMMYFUNCTION("""COMPUTED_VALUE"""),0.619674075439591)</f>
        <v>0.61967407543959097</v>
      </c>
      <c r="R41" s="17">
        <f ca="1">IFERROR(__xludf.DUMMYFUNCTION("""COMPUTED_VALUE"""),0.884059101174997)</f>
        <v>0.88405910117499698</v>
      </c>
      <c r="S41" s="17">
        <f ca="1">IFERROR(__xludf.DUMMYFUNCTION("""COMPUTED_VALUE"""),0.803307142369345)</f>
        <v>0.80330714236934497</v>
      </c>
      <c r="T41" s="17">
        <f ca="1">IFERROR(__xludf.DUMMYFUNCTION("""COMPUTED_VALUE"""),0.644733578078235)</f>
        <v>0.64473357807823495</v>
      </c>
      <c r="U41" s="17">
        <f ca="1">IFERROR(__xludf.DUMMYFUNCTION("""COMPUTED_VALUE"""),0.819527935539031)</f>
        <v>0.81952793553903103</v>
      </c>
      <c r="V41" s="17">
        <f ca="1">IFERROR(__xludf.DUMMYFUNCTION("""COMPUTED_VALUE"""),0.744097331786344)</f>
        <v>0.74409733178634396</v>
      </c>
      <c r="W41" s="17">
        <f ca="1">IFERROR(__xludf.DUMMYFUNCTION("""COMPUTED_VALUE"""),0.802701900757633)</f>
        <v>0.80270190075763304</v>
      </c>
      <c r="X41" s="17">
        <f ca="1">IFERROR(__xludf.DUMMYFUNCTION("""COMPUTED_VALUE"""),0.600840901093799)</f>
        <v>0.60084090109379895</v>
      </c>
      <c r="Y41" s="17">
        <f ca="1">IFERROR(__xludf.DUMMYFUNCTION("""COMPUTED_VALUE"""),0.552475748599186)</f>
        <v>0.55247574859918602</v>
      </c>
      <c r="Z41" s="17">
        <f ca="1">IFERROR(__xludf.DUMMYFUNCTION("""COMPUTED_VALUE"""),0.891471113941104)</f>
        <v>0.89147111394110401</v>
      </c>
      <c r="AA41" s="17">
        <f ca="1">IFERROR(__xludf.DUMMYFUNCTION("""COMPUTED_VALUE"""),0.204052502290864)</f>
        <v>0.204052502290864</v>
      </c>
      <c r="AB41" s="17">
        <f ca="1">IFERROR(__xludf.DUMMYFUNCTION("""COMPUTED_VALUE"""),0.886438491578801)</f>
        <v>0.88643849157880095</v>
      </c>
      <c r="AC41" s="17">
        <f ca="1">IFERROR(__xludf.DUMMYFUNCTION("""COMPUTED_VALUE"""),0.833315971241316)</f>
        <v>0.83331597124131596</v>
      </c>
      <c r="AD41" s="17">
        <f ca="1">IFERROR(__xludf.DUMMYFUNCTION("""COMPUTED_VALUE"""),0.740096680458401)</f>
        <v>0.74009668045840105</v>
      </c>
      <c r="AE41" s="17" t="str">
        <f ca="1">IFERROR(__xludf.DUMMYFUNCTION("""COMPUTED_VALUE"""),"nan")</f>
        <v>nan</v>
      </c>
      <c r="AF41" s="17">
        <f ca="1">IFERROR(__xludf.DUMMYFUNCTION("""COMPUTED_VALUE"""),1.51594613268652)</f>
        <v>1.51594613268652</v>
      </c>
      <c r="AG41" s="17">
        <f ca="1">IFERROR(__xludf.DUMMYFUNCTION("""COMPUTED_VALUE"""),0.842570065684587)</f>
        <v>0.84257006568458703</v>
      </c>
      <c r="AH41" s="17">
        <f ca="1">IFERROR(__xludf.DUMMYFUNCTION("""COMPUTED_VALUE"""),0.846774217099936)</f>
        <v>0.84677421709993606</v>
      </c>
      <c r="AI41" s="17">
        <f ca="1">IFERROR(__xludf.DUMMYFUNCTION("""COMPUTED_VALUE"""),0.836826572576047)</f>
        <v>0.83682657257604698</v>
      </c>
      <c r="AJ41" s="17">
        <f ca="1">IFERROR(__xludf.DUMMYFUNCTION("""COMPUTED_VALUE"""),0.853695122355573)</f>
        <v>0.85369512235557299</v>
      </c>
    </row>
    <row r="42" spans="2:36" ht="15.75" customHeight="1" x14ac:dyDescent="0.45">
      <c r="B42" s="10" t="str">
        <f ca="1">IFERROR(__xludf.DUMMYFUNCTION("""COMPUTED_VALUE"""),"Beef")</f>
        <v>Beef</v>
      </c>
      <c r="C42" s="10" t="str">
        <f ca="1">IFERROR(__xludf.DUMMYFUNCTION("""COMPUTED_VALUE"""),"mcar")</f>
        <v>mcar</v>
      </c>
      <c r="D42" s="10">
        <f ca="1">IFERROR(__xludf.DUMMYFUNCTION("""COMPUTED_VALUE"""),0.1)</f>
        <v>0.1</v>
      </c>
      <c r="E42" s="17">
        <f ca="1">IFERROR(__xludf.DUMMYFUNCTION("""COMPUTED_VALUE"""),0.955216582678014)</f>
        <v>0.95521658267801401</v>
      </c>
      <c r="F42" s="17">
        <f ca="1">IFERROR(__xludf.DUMMYFUNCTION("""COMPUTED_VALUE"""),0.152624890828129)</f>
        <v>0.152624890828129</v>
      </c>
      <c r="G42" s="17">
        <f ca="1">IFERROR(__xludf.DUMMYFUNCTION("""COMPUTED_VALUE"""),0.147400415754155)</f>
        <v>0.147400415754155</v>
      </c>
      <c r="H42" s="17">
        <f ca="1">IFERROR(__xludf.DUMMYFUNCTION("""COMPUTED_VALUE"""),0.633011471478812)</f>
        <v>0.63301147147881198</v>
      </c>
      <c r="I42" s="17">
        <f ca="1">IFERROR(__xludf.DUMMYFUNCTION("""COMPUTED_VALUE"""),0.0870513050682137)</f>
        <v>8.7051305068213694E-2</v>
      </c>
      <c r="J42" s="17">
        <f ca="1">IFERROR(__xludf.DUMMYFUNCTION("""COMPUTED_VALUE"""),0.349879895441017)</f>
        <v>0.349879895441017</v>
      </c>
      <c r="K42" s="17" t="str">
        <f ca="1">IFERROR(__xludf.DUMMYFUNCTION("""COMPUTED_VALUE"""),"nan")</f>
        <v>nan</v>
      </c>
      <c r="L42" s="17">
        <f ca="1">IFERROR(__xludf.DUMMYFUNCTION("""COMPUTED_VALUE"""),0.242851757753797)</f>
        <v>0.242851757753797</v>
      </c>
      <c r="M42" s="17">
        <f ca="1">IFERROR(__xludf.DUMMYFUNCTION("""COMPUTED_VALUE"""),0.129816618593357)</f>
        <v>0.129816618593357</v>
      </c>
      <c r="N42" s="17">
        <f ca="1">IFERROR(__xludf.DUMMYFUNCTION("""COMPUTED_VALUE"""),0.361573353438551)</f>
        <v>0.36157335343855102</v>
      </c>
      <c r="O42" s="17">
        <f ca="1">IFERROR(__xludf.DUMMYFUNCTION("""COMPUTED_VALUE"""),0.0427898684185613)</f>
        <v>4.2789868418561298E-2</v>
      </c>
      <c r="P42" s="17">
        <f ca="1">IFERROR(__xludf.DUMMYFUNCTION("""COMPUTED_VALUE"""),0.52672120106005)</f>
        <v>0.52672120106005005</v>
      </c>
      <c r="Q42" s="17">
        <f ca="1">IFERROR(__xludf.DUMMYFUNCTION("""COMPUTED_VALUE"""),0.874580150210883)</f>
        <v>0.87458015021088298</v>
      </c>
      <c r="R42" s="17">
        <f ca="1">IFERROR(__xludf.DUMMYFUNCTION("""COMPUTED_VALUE"""),0.0464217014136633)</f>
        <v>4.6421701413663301E-2</v>
      </c>
      <c r="S42" s="17">
        <f ca="1">IFERROR(__xludf.DUMMYFUNCTION("""COMPUTED_VALUE"""),0.328179750825596)</f>
        <v>0.32817975082559597</v>
      </c>
      <c r="T42" s="17">
        <f ca="1">IFERROR(__xludf.DUMMYFUNCTION("""COMPUTED_VALUE"""),0.285037471177807)</f>
        <v>0.28503747117780698</v>
      </c>
      <c r="U42" s="17">
        <f ca="1">IFERROR(__xludf.DUMMYFUNCTION("""COMPUTED_VALUE"""),0.121460572210196)</f>
        <v>0.121460572210196</v>
      </c>
      <c r="V42" s="17">
        <f ca="1">IFERROR(__xludf.DUMMYFUNCTION("""COMPUTED_VALUE"""),0.183493363531866)</f>
        <v>0.18349336353186599</v>
      </c>
      <c r="W42" s="17">
        <f ca="1">IFERROR(__xludf.DUMMYFUNCTION("""COMPUTED_VALUE"""),0.386045462959495)</f>
        <v>0.38604546295949499</v>
      </c>
      <c r="X42" s="17">
        <f ca="1">IFERROR(__xludf.DUMMYFUNCTION("""COMPUTED_VALUE"""),0.218206333309621)</f>
        <v>0.218206333309621</v>
      </c>
      <c r="Y42" s="17">
        <f ca="1">IFERROR(__xludf.DUMMYFUNCTION("""COMPUTED_VALUE"""),0.164018054998064)</f>
        <v>0.16401805499806399</v>
      </c>
      <c r="Z42" s="17">
        <f ca="1">IFERROR(__xludf.DUMMYFUNCTION("""COMPUTED_VALUE"""),0.309279619162136)</f>
        <v>0.30927961916213598</v>
      </c>
      <c r="AA42" s="17">
        <f ca="1">IFERROR(__xludf.DUMMYFUNCTION("""COMPUTED_VALUE"""),0.0285584540139584)</f>
        <v>2.8558454013958401E-2</v>
      </c>
      <c r="AB42" s="17">
        <f ca="1">IFERROR(__xludf.DUMMYFUNCTION("""COMPUTED_VALUE"""),0.282775378768535)</f>
        <v>0.28277537876853498</v>
      </c>
      <c r="AC42" s="17">
        <f ca="1">IFERROR(__xludf.DUMMYFUNCTION("""COMPUTED_VALUE"""),0.420289281492518)</f>
        <v>0.42028928149251799</v>
      </c>
      <c r="AD42" s="17">
        <f ca="1">IFERROR(__xludf.DUMMYFUNCTION("""COMPUTED_VALUE"""),0.339394536138318)</f>
        <v>0.33939453613831799</v>
      </c>
      <c r="AE42" s="17">
        <f ca="1">IFERROR(__xludf.DUMMYFUNCTION("""COMPUTED_VALUE"""),0.978443356398389)</f>
        <v>0.97844335639838897</v>
      </c>
      <c r="AF42" s="17">
        <f ca="1">IFERROR(__xludf.DUMMYFUNCTION("""COMPUTED_VALUE"""),0.176859925930773)</f>
        <v>0.17685992593077299</v>
      </c>
      <c r="AG42" s="17">
        <f ca="1">IFERROR(__xludf.DUMMYFUNCTION("""COMPUTED_VALUE"""),0.399847177319781)</f>
        <v>0.39984717731978098</v>
      </c>
      <c r="AH42" s="17">
        <f ca="1">IFERROR(__xludf.DUMMYFUNCTION("""COMPUTED_VALUE"""),0.396634569307363)</f>
        <v>0.39663456930736302</v>
      </c>
      <c r="AI42" s="17">
        <f ca="1">IFERROR(__xludf.DUMMYFUNCTION("""COMPUTED_VALUE"""),0.625538000131616)</f>
        <v>0.62553800013161598</v>
      </c>
      <c r="AJ42" s="17">
        <f ca="1">IFERROR(__xludf.DUMMYFUNCTION("""COMPUTED_VALUE"""),0.409772795620097)</f>
        <v>0.409772795620097</v>
      </c>
    </row>
    <row r="43" spans="2:36" ht="15.75" customHeight="1" x14ac:dyDescent="0.45">
      <c r="B43" s="10" t="str">
        <f ca="1">IFERROR(__xludf.DUMMYFUNCTION("""COMPUTED_VALUE"""),"Beef")</f>
        <v>Beef</v>
      </c>
      <c r="C43" s="10" t="str">
        <f ca="1">IFERROR(__xludf.DUMMYFUNCTION("""COMPUTED_VALUE"""),"mcar")</f>
        <v>mcar</v>
      </c>
      <c r="D43" s="10">
        <f ca="1">IFERROR(__xludf.DUMMYFUNCTION("""COMPUTED_VALUE"""),0.2)</f>
        <v>0.2</v>
      </c>
      <c r="E43" s="17">
        <f ca="1">IFERROR(__xludf.DUMMYFUNCTION("""COMPUTED_VALUE"""),0.850295910107538)</f>
        <v>0.85029591010753802</v>
      </c>
      <c r="F43" s="17">
        <f ca="1">IFERROR(__xludf.DUMMYFUNCTION("""COMPUTED_VALUE"""),0.113229419113551)</f>
        <v>0.113229419113551</v>
      </c>
      <c r="G43" s="17">
        <f ca="1">IFERROR(__xludf.DUMMYFUNCTION("""COMPUTED_VALUE"""),0.1098715178)</f>
        <v>0.1098715178</v>
      </c>
      <c r="H43" s="17">
        <f ca="1">IFERROR(__xludf.DUMMYFUNCTION("""COMPUTED_VALUE"""),0.50806936712103)</f>
        <v>0.50806936712103001</v>
      </c>
      <c r="I43" s="17">
        <f ca="1">IFERROR(__xludf.DUMMYFUNCTION("""COMPUTED_VALUE"""),0.085821867792412)</f>
        <v>8.5821867792411993E-2</v>
      </c>
      <c r="J43" s="17">
        <f ca="1">IFERROR(__xludf.DUMMYFUNCTION("""COMPUTED_VALUE"""),0.410652433956732)</f>
        <v>0.41065243395673201</v>
      </c>
      <c r="K43" s="17" t="str">
        <f ca="1">IFERROR(__xludf.DUMMYFUNCTION("""COMPUTED_VALUE"""),"nan")</f>
        <v>nan</v>
      </c>
      <c r="L43" s="17">
        <f ca="1">IFERROR(__xludf.DUMMYFUNCTION("""COMPUTED_VALUE"""),0.196241945666847)</f>
        <v>0.196241945666847</v>
      </c>
      <c r="M43" s="17">
        <f ca="1">IFERROR(__xludf.DUMMYFUNCTION("""COMPUTED_VALUE"""),0.0991980438690116)</f>
        <v>9.9198043869011598E-2</v>
      </c>
      <c r="N43" s="17">
        <f ca="1">IFERROR(__xludf.DUMMYFUNCTION("""COMPUTED_VALUE"""),0.411039073445312)</f>
        <v>0.41103907344531199</v>
      </c>
      <c r="O43" s="17">
        <f ca="1">IFERROR(__xludf.DUMMYFUNCTION("""COMPUTED_VALUE"""),0.0397953445241178)</f>
        <v>3.9795344524117801E-2</v>
      </c>
      <c r="P43" s="17">
        <f ca="1">IFERROR(__xludf.DUMMYFUNCTION("""COMPUTED_VALUE"""),0.457726450989783)</f>
        <v>0.45772645098978298</v>
      </c>
      <c r="Q43" s="17">
        <f ca="1">IFERROR(__xludf.DUMMYFUNCTION("""COMPUTED_VALUE"""),0.729555373622892)</f>
        <v>0.72955537362289202</v>
      </c>
      <c r="R43" s="17">
        <f ca="1">IFERROR(__xludf.DUMMYFUNCTION("""COMPUTED_VALUE"""),0.0458414480307228)</f>
        <v>4.5841448030722799E-2</v>
      </c>
      <c r="S43" s="17">
        <f ca="1">IFERROR(__xludf.DUMMYFUNCTION("""COMPUTED_VALUE"""),0.299067093250891)</f>
        <v>0.29906709325089098</v>
      </c>
      <c r="T43" s="17">
        <f ca="1">IFERROR(__xludf.DUMMYFUNCTION("""COMPUTED_VALUE"""),0.336751007702446)</f>
        <v>0.33675100770244598</v>
      </c>
      <c r="U43" s="17">
        <f ca="1">IFERROR(__xludf.DUMMYFUNCTION("""COMPUTED_VALUE"""),0.154707557601744)</f>
        <v>0.15470755760174401</v>
      </c>
      <c r="V43" s="17">
        <f ca="1">IFERROR(__xludf.DUMMYFUNCTION("""COMPUTED_VALUE"""),0.190251424929574)</f>
        <v>0.190251424929574</v>
      </c>
      <c r="W43" s="17">
        <f ca="1">IFERROR(__xludf.DUMMYFUNCTION("""COMPUTED_VALUE"""),0.467249474792067)</f>
        <v>0.46724947479206702</v>
      </c>
      <c r="X43" s="17">
        <f ca="1">IFERROR(__xludf.DUMMYFUNCTION("""COMPUTED_VALUE"""),0.189967468161671)</f>
        <v>0.18996746816167101</v>
      </c>
      <c r="Y43" s="17">
        <f ca="1">IFERROR(__xludf.DUMMYFUNCTION("""COMPUTED_VALUE"""),0.141755720023669)</f>
        <v>0.14175572002366901</v>
      </c>
      <c r="Z43" s="17">
        <f ca="1">IFERROR(__xludf.DUMMYFUNCTION("""COMPUTED_VALUE"""),0.277784711016057)</f>
        <v>0.27778471101605701</v>
      </c>
      <c r="AA43" s="17">
        <f ca="1">IFERROR(__xludf.DUMMYFUNCTION("""COMPUTED_VALUE"""),0.0250385461589447)</f>
        <v>2.5038546158944699E-2</v>
      </c>
      <c r="AB43" s="17">
        <f ca="1">IFERROR(__xludf.DUMMYFUNCTION("""COMPUTED_VALUE"""),0.246694979095933)</f>
        <v>0.24669497909593299</v>
      </c>
      <c r="AC43" s="17">
        <f ca="1">IFERROR(__xludf.DUMMYFUNCTION("""COMPUTED_VALUE"""),0.296089220381643)</f>
        <v>0.29608922038164298</v>
      </c>
      <c r="AD43" s="17">
        <f ca="1">IFERROR(__xludf.DUMMYFUNCTION("""COMPUTED_VALUE"""),0.356110629529544)</f>
        <v>0.35611062952954398</v>
      </c>
      <c r="AE43" s="17">
        <f ca="1">IFERROR(__xludf.DUMMYFUNCTION("""COMPUTED_VALUE"""),0.949957606749915)</f>
        <v>0.94995760674991503</v>
      </c>
      <c r="AF43" s="17">
        <f ca="1">IFERROR(__xludf.DUMMYFUNCTION("""COMPUTED_VALUE"""),0.179465902525095)</f>
        <v>0.17946590252509501</v>
      </c>
      <c r="AG43" s="17">
        <f ca="1">IFERROR(__xludf.DUMMYFUNCTION("""COMPUTED_VALUE"""),0.293446582665704)</f>
        <v>0.293446582665704</v>
      </c>
      <c r="AH43" s="17">
        <f ca="1">IFERROR(__xludf.DUMMYFUNCTION("""COMPUTED_VALUE"""),0.287132013083843)</f>
        <v>0.28713201308384301</v>
      </c>
      <c r="AI43" s="17">
        <f ca="1">IFERROR(__xludf.DUMMYFUNCTION("""COMPUTED_VALUE"""),0.617007185198594)</f>
        <v>0.61700718519859399</v>
      </c>
      <c r="AJ43" s="17">
        <f ca="1">IFERROR(__xludf.DUMMYFUNCTION("""COMPUTED_VALUE"""),0.246425923439923)</f>
        <v>0.24642592343992301</v>
      </c>
    </row>
    <row r="44" spans="2:36" ht="15.75" customHeight="1" x14ac:dyDescent="0.45">
      <c r="B44" s="10" t="str">
        <f ca="1">IFERROR(__xludf.DUMMYFUNCTION("""COMPUTED_VALUE"""),"Beef")</f>
        <v>Beef</v>
      </c>
      <c r="C44" s="10" t="str">
        <f ca="1">IFERROR(__xludf.DUMMYFUNCTION("""COMPUTED_VALUE"""),"mcar")</f>
        <v>mcar</v>
      </c>
      <c r="D44" s="10">
        <f ca="1">IFERROR(__xludf.DUMMYFUNCTION("""COMPUTED_VALUE"""),0.4)</f>
        <v>0.4</v>
      </c>
      <c r="E44" s="17">
        <f ca="1">IFERROR(__xludf.DUMMYFUNCTION("""COMPUTED_VALUE"""),0.913891964563091)</f>
        <v>0.91389196456309096</v>
      </c>
      <c r="F44" s="17">
        <f ca="1">IFERROR(__xludf.DUMMYFUNCTION("""COMPUTED_VALUE"""),0.147273685698431)</f>
        <v>0.14727368569843099</v>
      </c>
      <c r="G44" s="17">
        <f ca="1">IFERROR(__xludf.DUMMYFUNCTION("""COMPUTED_VALUE"""),0.139052203838465)</f>
        <v>0.139052203838465</v>
      </c>
      <c r="H44" s="17">
        <f ca="1">IFERROR(__xludf.DUMMYFUNCTION("""COMPUTED_VALUE"""),0.730295029397033)</f>
        <v>0.73029502939703295</v>
      </c>
      <c r="I44" s="17">
        <f ca="1">IFERROR(__xludf.DUMMYFUNCTION("""COMPUTED_VALUE"""),0.137623854694265)</f>
        <v>0.137623854694265</v>
      </c>
      <c r="J44" s="17">
        <f ca="1">IFERROR(__xludf.DUMMYFUNCTION("""COMPUTED_VALUE"""),0.450152508226332)</f>
        <v>0.45015250822633202</v>
      </c>
      <c r="K44" s="17" t="str">
        <f ca="1">IFERROR(__xludf.DUMMYFUNCTION("""COMPUTED_VALUE"""),"nan")</f>
        <v>nan</v>
      </c>
      <c r="L44" s="17">
        <f ca="1">IFERROR(__xludf.DUMMYFUNCTION("""COMPUTED_VALUE"""),0.245186865773471)</f>
        <v>0.24518686577347101</v>
      </c>
      <c r="M44" s="17">
        <f ca="1">IFERROR(__xludf.DUMMYFUNCTION("""COMPUTED_VALUE"""),0.122913945941663)</f>
        <v>0.12291394594166299</v>
      </c>
      <c r="N44" s="17">
        <f ca="1">IFERROR(__xludf.DUMMYFUNCTION("""COMPUTED_VALUE"""),0.377334143341871)</f>
        <v>0.37733414334187099</v>
      </c>
      <c r="O44" s="17">
        <f ca="1">IFERROR(__xludf.DUMMYFUNCTION("""COMPUTED_VALUE"""),0.0448741275499616)</f>
        <v>4.4874127549961597E-2</v>
      </c>
      <c r="P44" s="17">
        <f ca="1">IFERROR(__xludf.DUMMYFUNCTION("""COMPUTED_VALUE"""),0.495582374149047)</f>
        <v>0.49558237414904699</v>
      </c>
      <c r="Q44" s="17">
        <f ca="1">IFERROR(__xludf.DUMMYFUNCTION("""COMPUTED_VALUE"""),0.641717435238107)</f>
        <v>0.64171743523810698</v>
      </c>
      <c r="R44" s="17">
        <f ca="1">IFERROR(__xludf.DUMMYFUNCTION("""COMPUTED_VALUE"""),0.0470462946398242)</f>
        <v>4.7046294639824203E-2</v>
      </c>
      <c r="S44" s="17">
        <f ca="1">IFERROR(__xludf.DUMMYFUNCTION("""COMPUTED_VALUE"""),0.326055590388546)</f>
        <v>0.32605559038854598</v>
      </c>
      <c r="T44" s="17">
        <f ca="1">IFERROR(__xludf.DUMMYFUNCTION("""COMPUTED_VALUE"""),0.204844903618032)</f>
        <v>0.20484490361803201</v>
      </c>
      <c r="U44" s="17">
        <f ca="1">IFERROR(__xludf.DUMMYFUNCTION("""COMPUTED_VALUE"""),0.219566081016675)</f>
        <v>0.21956608101667499</v>
      </c>
      <c r="V44" s="17">
        <f ca="1">IFERROR(__xludf.DUMMYFUNCTION("""COMPUTED_VALUE"""),0.291656309071527)</f>
        <v>0.29165630907152701</v>
      </c>
      <c r="W44" s="17">
        <f ca="1">IFERROR(__xludf.DUMMYFUNCTION("""COMPUTED_VALUE"""),0.776989097813814)</f>
        <v>0.77698909781381398</v>
      </c>
      <c r="X44" s="17">
        <f ca="1">IFERROR(__xludf.DUMMYFUNCTION("""COMPUTED_VALUE"""),0.220531893396242)</f>
        <v>0.22053189339624199</v>
      </c>
      <c r="Y44" s="17">
        <f ca="1">IFERROR(__xludf.DUMMYFUNCTION("""COMPUTED_VALUE"""),0.200104632349865)</f>
        <v>0.200104632349865</v>
      </c>
      <c r="Z44" s="17">
        <f ca="1">IFERROR(__xludf.DUMMYFUNCTION("""COMPUTED_VALUE"""),0.327665096870008)</f>
        <v>0.327665096870008</v>
      </c>
      <c r="AA44" s="17">
        <f ca="1">IFERROR(__xludf.DUMMYFUNCTION("""COMPUTED_VALUE"""),0.0365421869039668)</f>
        <v>3.6542186903966802E-2</v>
      </c>
      <c r="AB44" s="17">
        <f ca="1">IFERROR(__xludf.DUMMYFUNCTION("""COMPUTED_VALUE"""),0.285282465083878)</f>
        <v>0.285282465083878</v>
      </c>
      <c r="AC44" s="17">
        <f ca="1">IFERROR(__xludf.DUMMYFUNCTION("""COMPUTED_VALUE"""),0.476016248238076)</f>
        <v>0.47601624823807598</v>
      </c>
      <c r="AD44" s="17">
        <f ca="1">IFERROR(__xludf.DUMMYFUNCTION("""COMPUTED_VALUE"""),0.544307480015588)</f>
        <v>0.54430748001558804</v>
      </c>
      <c r="AE44" s="17">
        <f ca="1">IFERROR(__xludf.DUMMYFUNCTION("""COMPUTED_VALUE"""),0.967484285862316)</f>
        <v>0.96748428586231605</v>
      </c>
      <c r="AF44" s="17">
        <f ca="1">IFERROR(__xludf.DUMMYFUNCTION("""COMPUTED_VALUE"""),0.377833201317124)</f>
        <v>0.377833201317124</v>
      </c>
      <c r="AG44" s="17">
        <f ca="1">IFERROR(__xludf.DUMMYFUNCTION("""COMPUTED_VALUE"""),0.735089479929732)</f>
        <v>0.73508947992973195</v>
      </c>
      <c r="AH44" s="17">
        <f ca="1">IFERROR(__xludf.DUMMYFUNCTION("""COMPUTED_VALUE"""),0.381433844805799)</f>
        <v>0.381433844805799</v>
      </c>
      <c r="AI44" s="17">
        <f ca="1">IFERROR(__xludf.DUMMYFUNCTION("""COMPUTED_VALUE"""),0.917357786385451)</f>
        <v>0.91735778638545096</v>
      </c>
      <c r="AJ44" s="17">
        <f ca="1">IFERROR(__xludf.DUMMYFUNCTION("""COMPUTED_VALUE"""),0.509365159319033)</f>
        <v>0.50936515931903303</v>
      </c>
    </row>
    <row r="45" spans="2:36" ht="15.75" customHeight="1" x14ac:dyDescent="0.45">
      <c r="B45" s="10" t="str">
        <f ca="1">IFERROR(__xludf.DUMMYFUNCTION("""COMPUTED_VALUE"""),"Beef")</f>
        <v>Beef</v>
      </c>
      <c r="C45" s="10" t="str">
        <f ca="1">IFERROR(__xludf.DUMMYFUNCTION("""COMPUTED_VALUE"""),"mcar")</f>
        <v>mcar</v>
      </c>
      <c r="D45" s="10">
        <f ca="1">IFERROR(__xludf.DUMMYFUNCTION("""COMPUTED_VALUE"""),0.6)</f>
        <v>0.6</v>
      </c>
      <c r="E45" s="17">
        <f ca="1">IFERROR(__xludf.DUMMYFUNCTION("""COMPUTED_VALUE"""),0.873582641140984)</f>
        <v>0.87358264114098405</v>
      </c>
      <c r="F45" s="17">
        <f ca="1">IFERROR(__xludf.DUMMYFUNCTION("""COMPUTED_VALUE"""),0.153385479015886)</f>
        <v>0.15338547901588601</v>
      </c>
      <c r="G45" s="17">
        <f ca="1">IFERROR(__xludf.DUMMYFUNCTION("""COMPUTED_VALUE"""),0.143927991408885)</f>
        <v>0.14392799140888499</v>
      </c>
      <c r="H45" s="17">
        <f ca="1">IFERROR(__xludf.DUMMYFUNCTION("""COMPUTED_VALUE"""),0.859839298088565)</f>
        <v>0.85983929808856496</v>
      </c>
      <c r="I45" s="17">
        <f ca="1">IFERROR(__xludf.DUMMYFUNCTION("""COMPUTED_VALUE"""),0.194592461924876)</f>
        <v>0.194592461924876</v>
      </c>
      <c r="J45" s="17">
        <f ca="1">IFERROR(__xludf.DUMMYFUNCTION("""COMPUTED_VALUE"""),0.449400613551258)</f>
        <v>0.44940061355125799</v>
      </c>
      <c r="K45" s="17" t="str">
        <f ca="1">IFERROR(__xludf.DUMMYFUNCTION("""COMPUTED_VALUE"""),"nan")</f>
        <v>nan</v>
      </c>
      <c r="L45" s="17">
        <f ca="1">IFERROR(__xludf.DUMMYFUNCTION("""COMPUTED_VALUE"""),0.244409240501228)</f>
        <v>0.244409240501228</v>
      </c>
      <c r="M45" s="17">
        <f ca="1">IFERROR(__xludf.DUMMYFUNCTION("""COMPUTED_VALUE"""),0.128713289909621)</f>
        <v>0.128713289909621</v>
      </c>
      <c r="N45" s="17">
        <f ca="1">IFERROR(__xludf.DUMMYFUNCTION("""COMPUTED_VALUE"""),0.39055360572515)</f>
        <v>0.39055360572515002</v>
      </c>
      <c r="O45" s="17">
        <f ca="1">IFERROR(__xludf.DUMMYFUNCTION("""COMPUTED_VALUE"""),0.0594251692422283)</f>
        <v>5.94251692422283E-2</v>
      </c>
      <c r="P45" s="17">
        <f ca="1">IFERROR(__xludf.DUMMYFUNCTION("""COMPUTED_VALUE"""),0.511152663738429)</f>
        <v>0.51115266373842905</v>
      </c>
      <c r="Q45" s="17">
        <f ca="1">IFERROR(__xludf.DUMMYFUNCTION("""COMPUTED_VALUE"""),0.592125508186973)</f>
        <v>0.59212550818697296</v>
      </c>
      <c r="R45" s="17">
        <f ca="1">IFERROR(__xludf.DUMMYFUNCTION("""COMPUTED_VALUE"""),0.0501423174500901)</f>
        <v>5.0142317450090103E-2</v>
      </c>
      <c r="S45" s="17">
        <f ca="1">IFERROR(__xludf.DUMMYFUNCTION("""COMPUTED_VALUE"""),0.330141568726351)</f>
        <v>0.33014156872635098</v>
      </c>
      <c r="T45" s="17">
        <f ca="1">IFERROR(__xludf.DUMMYFUNCTION("""COMPUTED_VALUE"""),0.298643966445373)</f>
        <v>0.298643966445373</v>
      </c>
      <c r="U45" s="17">
        <f ca="1">IFERROR(__xludf.DUMMYFUNCTION("""COMPUTED_VALUE"""),0.259353026917995)</f>
        <v>0.259353026917995</v>
      </c>
      <c r="V45" s="17">
        <f ca="1">IFERROR(__xludf.DUMMYFUNCTION("""COMPUTED_VALUE"""),0.241283593025586)</f>
        <v>0.241283593025586</v>
      </c>
      <c r="W45" s="17">
        <f ca="1">IFERROR(__xludf.DUMMYFUNCTION("""COMPUTED_VALUE"""),0.719604525827052)</f>
        <v>0.71960452582705203</v>
      </c>
      <c r="X45" s="17">
        <f ca="1">IFERROR(__xludf.DUMMYFUNCTION("""COMPUTED_VALUE"""),0.227273440233641)</f>
        <v>0.22727344023364099</v>
      </c>
      <c r="Y45" s="17">
        <f ca="1">IFERROR(__xludf.DUMMYFUNCTION("""COMPUTED_VALUE"""),0.250260399966923)</f>
        <v>0.25026039996692301</v>
      </c>
      <c r="Z45" s="17">
        <f ca="1">IFERROR(__xludf.DUMMYFUNCTION("""COMPUTED_VALUE"""),0.331133872747556)</f>
        <v>0.33113387274755601</v>
      </c>
      <c r="AA45" s="17">
        <f ca="1">IFERROR(__xludf.DUMMYFUNCTION("""COMPUTED_VALUE"""),0.0449566308015162)</f>
        <v>4.4956630801516198E-2</v>
      </c>
      <c r="AB45" s="17">
        <f ca="1">IFERROR(__xludf.DUMMYFUNCTION("""COMPUTED_VALUE"""),0.29994072614305)</f>
        <v>0.29994072614305001</v>
      </c>
      <c r="AC45" s="17">
        <f ca="1">IFERROR(__xludf.DUMMYFUNCTION("""COMPUTED_VALUE"""),0.387209602718011)</f>
        <v>0.38720960271801103</v>
      </c>
      <c r="AD45" s="17">
        <f ca="1">IFERROR(__xludf.DUMMYFUNCTION("""COMPUTED_VALUE"""),0.569637172472069)</f>
        <v>0.56963717247206902</v>
      </c>
      <c r="AE45" s="17">
        <f ca="1">IFERROR(__xludf.DUMMYFUNCTION("""COMPUTED_VALUE"""),0.979197605180729)</f>
        <v>0.97919760518072896</v>
      </c>
      <c r="AF45" s="17">
        <f ca="1">IFERROR(__xludf.DUMMYFUNCTION("""COMPUTED_VALUE"""),0.289544900561618)</f>
        <v>0.28954490056161802</v>
      </c>
      <c r="AG45" s="17">
        <f ca="1">IFERROR(__xludf.DUMMYFUNCTION("""COMPUTED_VALUE"""),0.864669636864905)</f>
        <v>0.86466963686490494</v>
      </c>
      <c r="AH45" s="17">
        <f ca="1">IFERROR(__xludf.DUMMYFUNCTION("""COMPUTED_VALUE"""),0.528645065754962)</f>
        <v>0.52864506575496195</v>
      </c>
      <c r="AI45" s="17">
        <f ca="1">IFERROR(__xludf.DUMMYFUNCTION("""COMPUTED_VALUE"""),0.879363670712058)</f>
        <v>0.87936367071205801</v>
      </c>
      <c r="AJ45" s="17">
        <f ca="1">IFERROR(__xludf.DUMMYFUNCTION("""COMPUTED_VALUE"""),0.88139157278044)</f>
        <v>0.88139157278044</v>
      </c>
    </row>
    <row r="46" spans="2:36" ht="15.75" customHeight="1" x14ac:dyDescent="0.45">
      <c r="B46" s="10" t="str">
        <f ca="1">IFERROR(__xludf.DUMMYFUNCTION("""COMPUTED_VALUE"""),"Beef")</f>
        <v>Beef</v>
      </c>
      <c r="C46" s="10" t="str">
        <f ca="1">IFERROR(__xludf.DUMMYFUNCTION("""COMPUTED_VALUE"""),"mcar")</f>
        <v>mcar</v>
      </c>
      <c r="D46" s="10">
        <f ca="1">IFERROR(__xludf.DUMMYFUNCTION("""COMPUTED_VALUE"""),0.8)</f>
        <v>0.8</v>
      </c>
      <c r="E46" s="17">
        <f ca="1">IFERROR(__xludf.DUMMYFUNCTION("""COMPUTED_VALUE"""),0.968947554343968)</f>
        <v>0.96894755434396795</v>
      </c>
      <c r="F46" s="17">
        <f ca="1">IFERROR(__xludf.DUMMYFUNCTION("""COMPUTED_VALUE"""),0.208258025604571)</f>
        <v>0.20825802560457099</v>
      </c>
      <c r="G46" s="17">
        <f ca="1">IFERROR(__xludf.DUMMYFUNCTION("""COMPUTED_VALUE"""),0.169249986597336)</f>
        <v>0.16924998659733601</v>
      </c>
      <c r="H46" s="17">
        <f ca="1">IFERROR(__xludf.DUMMYFUNCTION("""COMPUTED_VALUE"""),1.35186783675887)</f>
        <v>1.3518678367588699</v>
      </c>
      <c r="I46" s="17">
        <f ca="1">IFERROR(__xludf.DUMMYFUNCTION("""COMPUTED_VALUE"""),0.459903155589412)</f>
        <v>0.45990315558941203</v>
      </c>
      <c r="J46" s="17">
        <f ca="1">IFERROR(__xludf.DUMMYFUNCTION("""COMPUTED_VALUE"""),0.8251571390489)</f>
        <v>0.82515713904889998</v>
      </c>
      <c r="K46" s="17" t="str">
        <f ca="1">IFERROR(__xludf.DUMMYFUNCTION("""COMPUTED_VALUE"""),"nan")</f>
        <v>nan</v>
      </c>
      <c r="L46" s="17">
        <f ca="1">IFERROR(__xludf.DUMMYFUNCTION("""COMPUTED_VALUE"""),0.26900550636175)</f>
        <v>0.26900550636175002</v>
      </c>
      <c r="M46" s="17">
        <f ca="1">IFERROR(__xludf.DUMMYFUNCTION("""COMPUTED_VALUE"""),0.154626971158137)</f>
        <v>0.15462697115813701</v>
      </c>
      <c r="N46" s="17">
        <f ca="1">IFERROR(__xludf.DUMMYFUNCTION("""COMPUTED_VALUE"""),0.380907884163306)</f>
        <v>0.38090788416330601</v>
      </c>
      <c r="O46" s="17">
        <f ca="1">IFERROR(__xludf.DUMMYFUNCTION("""COMPUTED_VALUE"""),0.0771844877811255)</f>
        <v>7.7184487781125494E-2</v>
      </c>
      <c r="P46" s="17">
        <f ca="1">IFERROR(__xludf.DUMMYFUNCTION("""COMPUTED_VALUE"""),0.602903192832311)</f>
        <v>0.60290319283231097</v>
      </c>
      <c r="Q46" s="17">
        <f ca="1">IFERROR(__xludf.DUMMYFUNCTION("""COMPUTED_VALUE"""),0.576543676875725)</f>
        <v>0.57654367687572505</v>
      </c>
      <c r="R46" s="17">
        <f ca="1">IFERROR(__xludf.DUMMYFUNCTION("""COMPUTED_VALUE"""),0.0702520886924335)</f>
        <v>7.0252088692433504E-2</v>
      </c>
      <c r="S46" s="17">
        <f ca="1">IFERROR(__xludf.DUMMYFUNCTION("""COMPUTED_VALUE"""),0.68347429261527)</f>
        <v>0.68347429261527004</v>
      </c>
      <c r="T46" s="17">
        <f ca="1">IFERROR(__xludf.DUMMYFUNCTION("""COMPUTED_VALUE"""),0.372750588145277)</f>
        <v>0.37275058814527701</v>
      </c>
      <c r="U46" s="17">
        <f ca="1">IFERROR(__xludf.DUMMYFUNCTION("""COMPUTED_VALUE"""),0.420042450507062)</f>
        <v>0.42004245050706202</v>
      </c>
      <c r="V46" s="17">
        <f ca="1">IFERROR(__xludf.DUMMYFUNCTION("""COMPUTED_VALUE"""),0.381034609660099)</f>
        <v>0.381034609660099</v>
      </c>
      <c r="W46" s="17">
        <f ca="1">IFERROR(__xludf.DUMMYFUNCTION("""COMPUTED_VALUE"""),0.812686711595277)</f>
        <v>0.81268671159527694</v>
      </c>
      <c r="X46" s="17">
        <f ca="1">IFERROR(__xludf.DUMMYFUNCTION("""COMPUTED_VALUE"""),0.277465031954942)</f>
        <v>0.27746503195494199</v>
      </c>
      <c r="Y46" s="17">
        <f ca="1">IFERROR(__xludf.DUMMYFUNCTION("""COMPUTED_VALUE"""),0.312654443511505)</f>
        <v>0.31265444351150501</v>
      </c>
      <c r="Z46" s="17">
        <f ca="1">IFERROR(__xludf.DUMMYFUNCTION("""COMPUTED_VALUE"""),0.507373349083651)</f>
        <v>0.50737334908365095</v>
      </c>
      <c r="AA46" s="17">
        <f ca="1">IFERROR(__xludf.DUMMYFUNCTION("""COMPUTED_VALUE"""),0.0652082196706073)</f>
        <v>6.5208219670607304E-2</v>
      </c>
      <c r="AB46" s="17">
        <f ca="1">IFERROR(__xludf.DUMMYFUNCTION("""COMPUTED_VALUE"""),0.308409592317691)</f>
        <v>0.30840959231769099</v>
      </c>
      <c r="AC46" s="17">
        <f ca="1">IFERROR(__xludf.DUMMYFUNCTION("""COMPUTED_VALUE"""),0.664652826942964)</f>
        <v>0.66465282694296401</v>
      </c>
      <c r="AD46" s="17">
        <f ca="1">IFERROR(__xludf.DUMMYFUNCTION("""COMPUTED_VALUE"""),0.792144524823799)</f>
        <v>0.79214452482379905</v>
      </c>
      <c r="AE46" s="17">
        <f ca="1">IFERROR(__xludf.DUMMYFUNCTION("""COMPUTED_VALUE"""),1.25490103783067)</f>
        <v>1.25490103783067</v>
      </c>
      <c r="AF46" s="17">
        <f ca="1">IFERROR(__xludf.DUMMYFUNCTION("""COMPUTED_VALUE"""),0.334900437356089)</f>
        <v>0.33490043735608899</v>
      </c>
      <c r="AG46" s="17">
        <f ca="1">IFERROR(__xludf.DUMMYFUNCTION("""COMPUTED_VALUE"""),1.04029239443948)</f>
        <v>1.04029239443948</v>
      </c>
      <c r="AH46" s="17">
        <f ca="1">IFERROR(__xludf.DUMMYFUNCTION("""COMPUTED_VALUE"""),1.19760324831537)</f>
        <v>1.19760324831537</v>
      </c>
      <c r="AI46" s="17">
        <f ca="1">IFERROR(__xludf.DUMMYFUNCTION("""COMPUTED_VALUE"""),1.06994721867257)</f>
        <v>1.06994721867257</v>
      </c>
      <c r="AJ46" s="17">
        <f ca="1">IFERROR(__xludf.DUMMYFUNCTION("""COMPUTED_VALUE"""),1.06645291999262)</f>
        <v>1.06645291999262</v>
      </c>
    </row>
    <row r="47" spans="2:36" ht="15.75" customHeight="1" x14ac:dyDescent="0.45">
      <c r="B47" s="10" t="str">
        <f ca="1">IFERROR(__xludf.DUMMYFUNCTION("""COMPUTED_VALUE"""),"BirdChicken")</f>
        <v>BirdChicken</v>
      </c>
      <c r="C47" s="10" t="str">
        <f ca="1">IFERROR(__xludf.DUMMYFUNCTION("""COMPUTED_VALUE"""),"aligned_series")</f>
        <v>aligned_series</v>
      </c>
      <c r="D47" s="10">
        <f ca="1">IFERROR(__xludf.DUMMYFUNCTION("""COMPUTED_VALUE"""),0.1)</f>
        <v>0.1</v>
      </c>
      <c r="E47" s="17">
        <f ca="1">IFERROR(__xludf.DUMMYFUNCTION("""COMPUTED_VALUE"""),0.954107840860682)</f>
        <v>0.95410784086068201</v>
      </c>
      <c r="F47" s="17">
        <f ca="1">IFERROR(__xludf.DUMMYFUNCTION("""COMPUTED_VALUE"""),0.6663404742926)</f>
        <v>0.66634047429260002</v>
      </c>
      <c r="G47" s="17">
        <f ca="1">IFERROR(__xludf.DUMMYFUNCTION("""COMPUTED_VALUE"""),0.666251258089366)</f>
        <v>0.66625125808936603</v>
      </c>
      <c r="H47" s="17">
        <f ca="1">IFERROR(__xludf.DUMMYFUNCTION("""COMPUTED_VALUE"""),0.620380543610101)</f>
        <v>0.62038054361010098</v>
      </c>
      <c r="I47" s="17">
        <f ca="1">IFERROR(__xludf.DUMMYFUNCTION("""COMPUTED_VALUE"""),0.707698559063991)</f>
        <v>0.70769855906399104</v>
      </c>
      <c r="J47" s="17">
        <f ca="1">IFERROR(__xludf.DUMMYFUNCTION("""COMPUTED_VALUE"""),0.699383314956822)</f>
        <v>0.69938331495682204</v>
      </c>
      <c r="K47" s="17">
        <f ca="1">IFERROR(__xludf.DUMMYFUNCTION("""COMPUTED_VALUE"""),0.932332248981818)</f>
        <v>0.93233224898181799</v>
      </c>
      <c r="L47" s="17">
        <f ca="1">IFERROR(__xludf.DUMMYFUNCTION("""COMPUTED_VALUE"""),0.664625226154988)</f>
        <v>0.66462522615498798</v>
      </c>
      <c r="M47" s="17">
        <f ca="1">IFERROR(__xludf.DUMMYFUNCTION("""COMPUTED_VALUE"""),0.689723216360517)</f>
        <v>0.68972321636051703</v>
      </c>
      <c r="N47" s="17">
        <f ca="1">IFERROR(__xludf.DUMMYFUNCTION("""COMPUTED_VALUE"""),0.73937975830007)</f>
        <v>0.73937975830006997</v>
      </c>
      <c r="O47" s="17">
        <f ca="1">IFERROR(__xludf.DUMMYFUNCTION("""COMPUTED_VALUE"""),0.639707528782499)</f>
        <v>0.63970752878249904</v>
      </c>
      <c r="P47" s="17">
        <f ca="1">IFERROR(__xludf.DUMMYFUNCTION("""COMPUTED_VALUE"""),0.720029782484681)</f>
        <v>0.72002978248468097</v>
      </c>
      <c r="Q47" s="17">
        <f ca="1">IFERROR(__xludf.DUMMYFUNCTION("""COMPUTED_VALUE"""),0.968103470450438)</f>
        <v>0.96810347045043799</v>
      </c>
      <c r="R47" s="17">
        <f ca="1">IFERROR(__xludf.DUMMYFUNCTION("""COMPUTED_VALUE"""),0.990687098974462)</f>
        <v>0.99068709897446205</v>
      </c>
      <c r="S47" s="17">
        <f ca="1">IFERROR(__xludf.DUMMYFUNCTION("""COMPUTED_VALUE"""),0.592897505237948)</f>
        <v>0.59289750523794804</v>
      </c>
      <c r="T47" s="17">
        <f ca="1">IFERROR(__xludf.DUMMYFUNCTION("""COMPUTED_VALUE"""),0.970439623394099)</f>
        <v>0.97043962339409895</v>
      </c>
      <c r="U47" s="17">
        <f ca="1">IFERROR(__xludf.DUMMYFUNCTION("""COMPUTED_VALUE"""),0.69388987802285)</f>
        <v>0.69388987802284996</v>
      </c>
      <c r="V47" s="17">
        <f ca="1">IFERROR(__xludf.DUMMYFUNCTION("""COMPUTED_VALUE"""),0.681779352589109)</f>
        <v>0.68177935258910904</v>
      </c>
      <c r="W47" s="17">
        <f ca="1">IFERROR(__xludf.DUMMYFUNCTION("""COMPUTED_VALUE"""),0.837982941263387)</f>
        <v>0.83798294126338702</v>
      </c>
      <c r="X47" s="17">
        <f ca="1">IFERROR(__xludf.DUMMYFUNCTION("""COMPUTED_VALUE"""),0.712506589756642)</f>
        <v>0.71250658975664205</v>
      </c>
      <c r="Y47" s="17">
        <f ca="1">IFERROR(__xludf.DUMMYFUNCTION("""COMPUTED_VALUE"""),0.600571028180416)</f>
        <v>0.60057102818041597</v>
      </c>
      <c r="Z47" s="17">
        <f ca="1">IFERROR(__xludf.DUMMYFUNCTION("""COMPUTED_VALUE"""),0.688041872538439)</f>
        <v>0.68804187253843896</v>
      </c>
      <c r="AA47" s="17">
        <f ca="1">IFERROR(__xludf.DUMMYFUNCTION("""COMPUTED_VALUE"""),0.808284479306465)</f>
        <v>0.80828447930646496</v>
      </c>
      <c r="AB47" s="17">
        <f ca="1">IFERROR(__xludf.DUMMYFUNCTION("""COMPUTED_VALUE"""),0.820390867689339)</f>
        <v>0.820390867689339</v>
      </c>
      <c r="AC47" s="17">
        <f ca="1">IFERROR(__xludf.DUMMYFUNCTION("""COMPUTED_VALUE"""),0.659478778527652)</f>
        <v>0.65947877852765202</v>
      </c>
      <c r="AD47" s="17">
        <f ca="1">IFERROR(__xludf.DUMMYFUNCTION("""COMPUTED_VALUE"""),0.789801429075673)</f>
        <v>0.78980142907567297</v>
      </c>
      <c r="AE47" s="17">
        <f ca="1">IFERROR(__xludf.DUMMYFUNCTION("""COMPUTED_VALUE"""),1.39685918395754)</f>
        <v>1.3968591839575399</v>
      </c>
      <c r="AF47" s="17">
        <f ca="1">IFERROR(__xludf.DUMMYFUNCTION("""COMPUTED_VALUE"""),0.740373969430101)</f>
        <v>0.74037396943010103</v>
      </c>
      <c r="AG47" s="17">
        <f ca="1">IFERROR(__xludf.DUMMYFUNCTION("""COMPUTED_VALUE"""),0.662252716182574)</f>
        <v>0.66225271618257397</v>
      </c>
      <c r="AH47" s="17">
        <f ca="1">IFERROR(__xludf.DUMMYFUNCTION("""COMPUTED_VALUE"""),0.832463329578785)</f>
        <v>0.83246332957878499</v>
      </c>
      <c r="AI47" s="17">
        <f ca="1">IFERROR(__xludf.DUMMYFUNCTION("""COMPUTED_VALUE"""),0.839226833591403)</f>
        <v>0.83922683359140304</v>
      </c>
      <c r="AJ47" s="17">
        <f ca="1">IFERROR(__xludf.DUMMYFUNCTION("""COMPUTED_VALUE"""),0.719145798359007)</f>
        <v>0.71914579835900705</v>
      </c>
    </row>
    <row r="48" spans="2:36" ht="15.75" customHeight="1" x14ac:dyDescent="0.45">
      <c r="B48" s="10" t="str">
        <f ca="1">IFERROR(__xludf.DUMMYFUNCTION("""COMPUTED_VALUE"""),"BirdChicken")</f>
        <v>BirdChicken</v>
      </c>
      <c r="C48" s="10" t="str">
        <f ca="1">IFERROR(__xludf.DUMMYFUNCTION("""COMPUTED_VALUE"""),"aligned_series")</f>
        <v>aligned_series</v>
      </c>
      <c r="D48" s="10">
        <f ca="1">IFERROR(__xludf.DUMMYFUNCTION("""COMPUTED_VALUE"""),0.2)</f>
        <v>0.2</v>
      </c>
      <c r="E48" s="17">
        <f ca="1">IFERROR(__xludf.DUMMYFUNCTION("""COMPUTED_VALUE"""),0.774791284918949)</f>
        <v>0.774791284918949</v>
      </c>
      <c r="F48" s="17">
        <f ca="1">IFERROR(__xludf.DUMMYFUNCTION("""COMPUTED_VALUE"""),0.559362548421191)</f>
        <v>0.55936254842119104</v>
      </c>
      <c r="G48" s="17">
        <f ca="1">IFERROR(__xludf.DUMMYFUNCTION("""COMPUTED_VALUE"""),0.558000381346038)</f>
        <v>0.55800038134603802</v>
      </c>
      <c r="H48" s="17">
        <f ca="1">IFERROR(__xludf.DUMMYFUNCTION("""COMPUTED_VALUE"""),0.604637955566455)</f>
        <v>0.60463795556645505</v>
      </c>
      <c r="I48" s="17">
        <f ca="1">IFERROR(__xludf.DUMMYFUNCTION("""COMPUTED_VALUE"""),0.579879954681734)</f>
        <v>0.57987995468173403</v>
      </c>
      <c r="J48" s="17">
        <f ca="1">IFERROR(__xludf.DUMMYFUNCTION("""COMPUTED_VALUE"""),0.600107063321007)</f>
        <v>0.60010706332100705</v>
      </c>
      <c r="K48" s="17" t="str">
        <f ca="1">IFERROR(__xludf.DUMMYFUNCTION("""COMPUTED_VALUE"""),"nan")</f>
        <v>nan</v>
      </c>
      <c r="L48" s="17">
        <f ca="1">IFERROR(__xludf.DUMMYFUNCTION("""COMPUTED_VALUE"""),0.554597650955614)</f>
        <v>0.55459765095561397</v>
      </c>
      <c r="M48" s="17">
        <f ca="1">IFERROR(__xludf.DUMMYFUNCTION("""COMPUTED_VALUE"""),0.578034653563069)</f>
        <v>0.57803465356306905</v>
      </c>
      <c r="N48" s="17">
        <f ca="1">IFERROR(__xludf.DUMMYFUNCTION("""COMPUTED_VALUE"""),0.600649591657933)</f>
        <v>0.60064959165793297</v>
      </c>
      <c r="O48" s="17">
        <f ca="1">IFERROR(__xludf.DUMMYFUNCTION("""COMPUTED_VALUE"""),0.498639446817821)</f>
        <v>0.49863944681782102</v>
      </c>
      <c r="P48" s="17">
        <f ca="1">IFERROR(__xludf.DUMMYFUNCTION("""COMPUTED_VALUE"""),0.690149148080031)</f>
        <v>0.69014914808003103</v>
      </c>
      <c r="Q48" s="17">
        <f ca="1">IFERROR(__xludf.DUMMYFUNCTION("""COMPUTED_VALUE"""),0.716790463115097)</f>
        <v>0.71679046311509698</v>
      </c>
      <c r="R48" s="17">
        <f ca="1">IFERROR(__xludf.DUMMYFUNCTION("""COMPUTED_VALUE"""),0.798734407751113)</f>
        <v>0.79873440775111304</v>
      </c>
      <c r="S48" s="17">
        <f ca="1">IFERROR(__xludf.DUMMYFUNCTION("""COMPUTED_VALUE"""),0.564727534544567)</f>
        <v>0.56472753454456703</v>
      </c>
      <c r="T48" s="17">
        <f ca="1">IFERROR(__xludf.DUMMYFUNCTION("""COMPUTED_VALUE"""),0.532649071988825)</f>
        <v>0.53264907198882505</v>
      </c>
      <c r="U48" s="17">
        <f ca="1">IFERROR(__xludf.DUMMYFUNCTION("""COMPUTED_VALUE"""),0.728094815373112)</f>
        <v>0.72809481537311205</v>
      </c>
      <c r="V48" s="17">
        <f ca="1">IFERROR(__xludf.DUMMYFUNCTION("""COMPUTED_VALUE"""),0.65379642771437)</f>
        <v>0.65379642771436997</v>
      </c>
      <c r="W48" s="17">
        <f ca="1">IFERROR(__xludf.DUMMYFUNCTION("""COMPUTED_VALUE"""),0.631131934114993)</f>
        <v>0.63113193411499302</v>
      </c>
      <c r="X48" s="17">
        <f ca="1">IFERROR(__xludf.DUMMYFUNCTION("""COMPUTED_VALUE"""),0.595372888566317)</f>
        <v>0.59537288856631698</v>
      </c>
      <c r="Y48" s="17">
        <f ca="1">IFERROR(__xludf.DUMMYFUNCTION("""COMPUTED_VALUE"""),0.543107747280719)</f>
        <v>0.54310774728071898</v>
      </c>
      <c r="Z48" s="17">
        <f ca="1">IFERROR(__xludf.DUMMYFUNCTION("""COMPUTED_VALUE"""),0.640953211260037)</f>
        <v>0.64095321126003701</v>
      </c>
      <c r="AA48" s="17">
        <f ca="1">IFERROR(__xludf.DUMMYFUNCTION("""COMPUTED_VALUE"""),0.879524814760127)</f>
        <v>0.87952481476012701</v>
      </c>
      <c r="AB48" s="17">
        <f ca="1">IFERROR(__xludf.DUMMYFUNCTION("""COMPUTED_VALUE"""),0.781914335873173)</f>
        <v>0.78191433587317305</v>
      </c>
      <c r="AC48" s="17">
        <f ca="1">IFERROR(__xludf.DUMMYFUNCTION("""COMPUTED_VALUE"""),0.638809349922553)</f>
        <v>0.638809349922553</v>
      </c>
      <c r="AD48" s="17">
        <f ca="1">IFERROR(__xludf.DUMMYFUNCTION("""COMPUTED_VALUE"""),0.679768452424639)</f>
        <v>0.67976845242463901</v>
      </c>
      <c r="AE48" s="17">
        <f ca="1">IFERROR(__xludf.DUMMYFUNCTION("""COMPUTED_VALUE"""),1.12916120106581)</f>
        <v>1.1291612010658101</v>
      </c>
      <c r="AF48" s="17">
        <f ca="1">IFERROR(__xludf.DUMMYFUNCTION("""COMPUTED_VALUE"""),0.758826137810119)</f>
        <v>0.75882613781011898</v>
      </c>
      <c r="AG48" s="17">
        <f ca="1">IFERROR(__xludf.DUMMYFUNCTION("""COMPUTED_VALUE"""),0.787329279513022)</f>
        <v>0.78732927951302201</v>
      </c>
      <c r="AH48" s="17">
        <f ca="1">IFERROR(__xludf.DUMMYFUNCTION("""COMPUTED_VALUE"""),0.859751041109484)</f>
        <v>0.85975104110948397</v>
      </c>
      <c r="AI48" s="17">
        <f ca="1">IFERROR(__xludf.DUMMYFUNCTION("""COMPUTED_VALUE"""),0.885378366879723)</f>
        <v>0.88537836687972304</v>
      </c>
      <c r="AJ48" s="17">
        <f ca="1">IFERROR(__xludf.DUMMYFUNCTION("""COMPUTED_VALUE"""),0.797867085636905)</f>
        <v>0.797867085636905</v>
      </c>
    </row>
    <row r="49" spans="2:36" ht="15.75" customHeight="1" x14ac:dyDescent="0.45">
      <c r="B49" s="10" t="str">
        <f ca="1">IFERROR(__xludf.DUMMYFUNCTION("""COMPUTED_VALUE"""),"BirdChicken")</f>
        <v>BirdChicken</v>
      </c>
      <c r="C49" s="10" t="str">
        <f ca="1">IFERROR(__xludf.DUMMYFUNCTION("""COMPUTED_VALUE"""),"aligned_series")</f>
        <v>aligned_series</v>
      </c>
      <c r="D49" s="10">
        <f ca="1">IFERROR(__xludf.DUMMYFUNCTION("""COMPUTED_VALUE"""),0.4)</f>
        <v>0.4</v>
      </c>
      <c r="E49" s="17">
        <f ca="1">IFERROR(__xludf.DUMMYFUNCTION("""COMPUTED_VALUE"""),0.754337511449558)</f>
        <v>0.75433751144955796</v>
      </c>
      <c r="F49" s="17">
        <f ca="1">IFERROR(__xludf.DUMMYFUNCTION("""COMPUTED_VALUE"""),0.660944612349057)</f>
        <v>0.66094461234905699</v>
      </c>
      <c r="G49" s="17">
        <f ca="1">IFERROR(__xludf.DUMMYFUNCTION("""COMPUTED_VALUE"""),0.689531524787977)</f>
        <v>0.68953152478797697</v>
      </c>
      <c r="H49" s="17">
        <f ca="1">IFERROR(__xludf.DUMMYFUNCTION("""COMPUTED_VALUE"""),0.604607178925153)</f>
        <v>0.60460717892515303</v>
      </c>
      <c r="I49" s="17">
        <f ca="1">IFERROR(__xludf.DUMMYFUNCTION("""COMPUTED_VALUE"""),0.603309924640111)</f>
        <v>0.60330992464011102</v>
      </c>
      <c r="J49" s="17">
        <f ca="1">IFERROR(__xludf.DUMMYFUNCTION("""COMPUTED_VALUE"""),0.597287314410335)</f>
        <v>0.597287314410335</v>
      </c>
      <c r="K49" s="17" t="str">
        <f ca="1">IFERROR(__xludf.DUMMYFUNCTION("""COMPUTED_VALUE"""),"nan")</f>
        <v>nan</v>
      </c>
      <c r="L49" s="17">
        <f ca="1">IFERROR(__xludf.DUMMYFUNCTION("""COMPUTED_VALUE"""),0.685525720715389)</f>
        <v>0.68552572071538898</v>
      </c>
      <c r="M49" s="17">
        <f ca="1">IFERROR(__xludf.DUMMYFUNCTION("""COMPUTED_VALUE"""),0.729214579755977)</f>
        <v>0.72921457975597703</v>
      </c>
      <c r="N49" s="17">
        <f ca="1">IFERROR(__xludf.DUMMYFUNCTION("""COMPUTED_VALUE"""),0.525267644608227)</f>
        <v>0.52526764460822695</v>
      </c>
      <c r="O49" s="17">
        <f ca="1">IFERROR(__xludf.DUMMYFUNCTION("""COMPUTED_VALUE"""),0.602488424048537)</f>
        <v>0.60248842404853697</v>
      </c>
      <c r="P49" s="17">
        <f ca="1">IFERROR(__xludf.DUMMYFUNCTION("""COMPUTED_VALUE"""),0.825274441957348)</f>
        <v>0.825274441957348</v>
      </c>
      <c r="Q49" s="17">
        <f ca="1">IFERROR(__xludf.DUMMYFUNCTION("""COMPUTED_VALUE"""),0.80709497874131)</f>
        <v>0.80709497874130998</v>
      </c>
      <c r="R49" s="17">
        <f ca="1">IFERROR(__xludf.DUMMYFUNCTION("""COMPUTED_VALUE"""),0.746118973082124)</f>
        <v>0.74611897308212405</v>
      </c>
      <c r="S49" s="17">
        <f ca="1">IFERROR(__xludf.DUMMYFUNCTION("""COMPUTED_VALUE"""),0.764815173725047)</f>
        <v>0.76481517372504704</v>
      </c>
      <c r="T49" s="17">
        <f ca="1">IFERROR(__xludf.DUMMYFUNCTION("""COMPUTED_VALUE"""),0.928307036175775)</f>
        <v>0.92830703617577504</v>
      </c>
      <c r="U49" s="17">
        <f ca="1">IFERROR(__xludf.DUMMYFUNCTION("""COMPUTED_VALUE"""),0.654071471591194)</f>
        <v>0.65407147159119405</v>
      </c>
      <c r="V49" s="17">
        <f ca="1">IFERROR(__xludf.DUMMYFUNCTION("""COMPUTED_VALUE"""),0.6845623645796)</f>
        <v>0.68456236457959996</v>
      </c>
      <c r="W49" s="17">
        <f ca="1">IFERROR(__xludf.DUMMYFUNCTION("""COMPUTED_VALUE"""),0.688107943346881)</f>
        <v>0.68810794334688097</v>
      </c>
      <c r="X49" s="17">
        <f ca="1">IFERROR(__xludf.DUMMYFUNCTION("""COMPUTED_VALUE"""),0.607952933398023)</f>
        <v>0.60795293339802303</v>
      </c>
      <c r="Y49" s="17">
        <f ca="1">IFERROR(__xludf.DUMMYFUNCTION("""COMPUTED_VALUE"""),0.58874987509226)</f>
        <v>0.58874987509225996</v>
      </c>
      <c r="Z49" s="17">
        <f ca="1">IFERROR(__xludf.DUMMYFUNCTION("""COMPUTED_VALUE"""),0.687819253374062)</f>
        <v>0.68781925337406202</v>
      </c>
      <c r="AA49" s="17">
        <f ca="1">IFERROR(__xludf.DUMMYFUNCTION("""COMPUTED_VALUE"""),1.24646987614286)</f>
        <v>1.2464698761428601</v>
      </c>
      <c r="AB49" s="17">
        <f ca="1">IFERROR(__xludf.DUMMYFUNCTION("""COMPUTED_VALUE"""),0.771387256278993)</f>
        <v>0.77138725627899296</v>
      </c>
      <c r="AC49" s="17">
        <f ca="1">IFERROR(__xludf.DUMMYFUNCTION("""COMPUTED_VALUE"""),0.711041702431375)</f>
        <v>0.71104170243137499</v>
      </c>
      <c r="AD49" s="17">
        <f ca="1">IFERROR(__xludf.DUMMYFUNCTION("""COMPUTED_VALUE"""),0.687590967338506)</f>
        <v>0.687590967338506</v>
      </c>
      <c r="AE49" s="17">
        <f ca="1">IFERROR(__xludf.DUMMYFUNCTION("""COMPUTED_VALUE"""),1.23026124994364)</f>
        <v>1.2302612499436401</v>
      </c>
      <c r="AF49" s="17">
        <f ca="1">IFERROR(__xludf.DUMMYFUNCTION("""COMPUTED_VALUE"""),0.65736604204333)</f>
        <v>0.65736604204333005</v>
      </c>
      <c r="AG49" s="17">
        <f ca="1">IFERROR(__xludf.DUMMYFUNCTION("""COMPUTED_VALUE"""),0.724457183324494)</f>
        <v>0.72445718332449405</v>
      </c>
      <c r="AH49" s="17">
        <f ca="1">IFERROR(__xludf.DUMMYFUNCTION("""COMPUTED_VALUE"""),0.849046350944402)</f>
        <v>0.84904635094440195</v>
      </c>
      <c r="AI49" s="17">
        <f ca="1">IFERROR(__xludf.DUMMYFUNCTION("""COMPUTED_VALUE"""),0.833049018525411)</f>
        <v>0.83304901852541102</v>
      </c>
      <c r="AJ49" s="17">
        <f ca="1">IFERROR(__xludf.DUMMYFUNCTION("""COMPUTED_VALUE"""),0.837764740475621)</f>
        <v>0.83776474047562099</v>
      </c>
    </row>
    <row r="50" spans="2:36" ht="15.75" customHeight="1" x14ac:dyDescent="0.45">
      <c r="B50" s="10" t="str">
        <f ca="1">IFERROR(__xludf.DUMMYFUNCTION("""COMPUTED_VALUE"""),"BirdChicken")</f>
        <v>BirdChicken</v>
      </c>
      <c r="C50" s="10" t="str">
        <f ca="1">IFERROR(__xludf.DUMMYFUNCTION("""COMPUTED_VALUE"""),"aligned_series")</f>
        <v>aligned_series</v>
      </c>
      <c r="D50" s="10">
        <f ca="1">IFERROR(__xludf.DUMMYFUNCTION("""COMPUTED_VALUE"""),0.6)</f>
        <v>0.6</v>
      </c>
      <c r="E50" s="17">
        <f ca="1">IFERROR(__xludf.DUMMYFUNCTION("""COMPUTED_VALUE"""),0.763415698931233)</f>
        <v>0.76341569893123296</v>
      </c>
      <c r="F50" s="17">
        <f ca="1">IFERROR(__xludf.DUMMYFUNCTION("""COMPUTED_VALUE"""),0.667652685625765)</f>
        <v>0.66765268562576496</v>
      </c>
      <c r="G50" s="17">
        <f ca="1">IFERROR(__xludf.DUMMYFUNCTION("""COMPUTED_VALUE"""),0.681618317620241)</f>
        <v>0.68161831762024105</v>
      </c>
      <c r="H50" s="17">
        <f ca="1">IFERROR(__xludf.DUMMYFUNCTION("""COMPUTED_VALUE"""),0.696944523652631)</f>
        <v>0.69694452365263104</v>
      </c>
      <c r="I50" s="17">
        <f ca="1">IFERROR(__xludf.DUMMYFUNCTION("""COMPUTED_VALUE"""),0.659681709973)</f>
        <v>0.65968170997300002</v>
      </c>
      <c r="J50" s="17">
        <f ca="1">IFERROR(__xludf.DUMMYFUNCTION("""COMPUTED_VALUE"""),0.97294347115506)</f>
        <v>0.97294347115505997</v>
      </c>
      <c r="K50" s="17" t="str">
        <f ca="1">IFERROR(__xludf.DUMMYFUNCTION("""COMPUTED_VALUE"""),"nan")</f>
        <v>nan</v>
      </c>
      <c r="L50" s="17">
        <f ca="1">IFERROR(__xludf.DUMMYFUNCTION("""COMPUTED_VALUE"""),0.806557465803817)</f>
        <v>0.80655746580381704</v>
      </c>
      <c r="M50" s="17">
        <f ca="1">IFERROR(__xludf.DUMMYFUNCTION("""COMPUTED_VALUE"""),0.672143699904246)</f>
        <v>0.67214369990424605</v>
      </c>
      <c r="N50" s="17">
        <f ca="1">IFERROR(__xludf.DUMMYFUNCTION("""COMPUTED_VALUE"""),0.524635077483588)</f>
        <v>0.52463507748358795</v>
      </c>
      <c r="O50" s="17">
        <f ca="1">IFERROR(__xludf.DUMMYFUNCTION("""COMPUTED_VALUE"""),0.63089978020526)</f>
        <v>0.63089978020526005</v>
      </c>
      <c r="P50" s="17">
        <f ca="1">IFERROR(__xludf.DUMMYFUNCTION("""COMPUTED_VALUE"""),0.972063379955524)</f>
        <v>0.97206337995552405</v>
      </c>
      <c r="Q50" s="17">
        <f ca="1">IFERROR(__xludf.DUMMYFUNCTION("""COMPUTED_VALUE"""),0.710711561038442)</f>
        <v>0.71071156103844202</v>
      </c>
      <c r="R50" s="17">
        <f ca="1">IFERROR(__xludf.DUMMYFUNCTION("""COMPUTED_VALUE"""),0.875157198661553)</f>
        <v>0.87515719866155295</v>
      </c>
      <c r="S50" s="17">
        <f ca="1">IFERROR(__xludf.DUMMYFUNCTION("""COMPUTED_VALUE"""),0.869244455738992)</f>
        <v>0.86924445573899201</v>
      </c>
      <c r="T50" s="17">
        <f ca="1">IFERROR(__xludf.DUMMYFUNCTION("""COMPUTED_VALUE"""),0.669921288729551)</f>
        <v>0.66992128872955103</v>
      </c>
      <c r="U50" s="17">
        <f ca="1">IFERROR(__xludf.DUMMYFUNCTION("""COMPUTED_VALUE"""),0.717545630327113)</f>
        <v>0.71754563032711305</v>
      </c>
      <c r="V50" s="17">
        <f ca="1">IFERROR(__xludf.DUMMYFUNCTION("""COMPUTED_VALUE"""),0.682724507276579)</f>
        <v>0.68272450727657896</v>
      </c>
      <c r="W50" s="17">
        <f ca="1">IFERROR(__xludf.DUMMYFUNCTION("""COMPUTED_VALUE"""),0.58997889213763)</f>
        <v>0.58997889213763</v>
      </c>
      <c r="X50" s="17">
        <f ca="1">IFERROR(__xludf.DUMMYFUNCTION("""COMPUTED_VALUE"""),0.604963430113541)</f>
        <v>0.60496343011354103</v>
      </c>
      <c r="Y50" s="17">
        <f ca="1">IFERROR(__xludf.DUMMYFUNCTION("""COMPUTED_VALUE"""),0.657387460277442)</f>
        <v>0.65738746027744199</v>
      </c>
      <c r="Z50" s="17">
        <f ca="1">IFERROR(__xludf.DUMMYFUNCTION("""COMPUTED_VALUE"""),0.699454389880842)</f>
        <v>0.69945438988084196</v>
      </c>
      <c r="AA50" s="17">
        <f ca="1">IFERROR(__xludf.DUMMYFUNCTION("""COMPUTED_VALUE"""),1.13934658809566)</f>
        <v>1.1393465880956599</v>
      </c>
      <c r="AB50" s="17">
        <f ca="1">IFERROR(__xludf.DUMMYFUNCTION("""COMPUTED_VALUE"""),0.897981081337755)</f>
        <v>0.897981081337755</v>
      </c>
      <c r="AC50" s="17">
        <f ca="1">IFERROR(__xludf.DUMMYFUNCTION("""COMPUTED_VALUE"""),0.723471524972441)</f>
        <v>0.72347152497244105</v>
      </c>
      <c r="AD50" s="17">
        <f ca="1">IFERROR(__xludf.DUMMYFUNCTION("""COMPUTED_VALUE"""),0.745448625191327)</f>
        <v>0.74544862519132704</v>
      </c>
      <c r="AE50" s="17">
        <f ca="1">IFERROR(__xludf.DUMMYFUNCTION("""COMPUTED_VALUE"""),1.17036609025672)</f>
        <v>1.1703660902567199</v>
      </c>
      <c r="AF50" s="17">
        <f ca="1">IFERROR(__xludf.DUMMYFUNCTION("""COMPUTED_VALUE"""),0.777249336486439)</f>
        <v>0.77724933648643901</v>
      </c>
      <c r="AG50" s="17">
        <f ca="1">IFERROR(__xludf.DUMMYFUNCTION("""COMPUTED_VALUE"""),0.830590636735686)</f>
        <v>0.83059063673568601</v>
      </c>
      <c r="AH50" s="17">
        <f ca="1">IFERROR(__xludf.DUMMYFUNCTION("""COMPUTED_VALUE"""),0.873420894758689)</f>
        <v>0.873420894758689</v>
      </c>
      <c r="AI50" s="17">
        <f ca="1">IFERROR(__xludf.DUMMYFUNCTION("""COMPUTED_VALUE"""),0.859827484224439)</f>
        <v>0.859827484224439</v>
      </c>
      <c r="AJ50" s="17">
        <f ca="1">IFERROR(__xludf.DUMMYFUNCTION("""COMPUTED_VALUE"""),0.872458614484142)</f>
        <v>0.87245861448414197</v>
      </c>
    </row>
    <row r="51" spans="2:36" ht="15.75" customHeight="1" x14ac:dyDescent="0.45">
      <c r="B51" s="10" t="str">
        <f ca="1">IFERROR(__xludf.DUMMYFUNCTION("""COMPUTED_VALUE"""),"BirdChicken")</f>
        <v>BirdChicken</v>
      </c>
      <c r="C51" s="10" t="str">
        <f ca="1">IFERROR(__xludf.DUMMYFUNCTION("""COMPUTED_VALUE"""),"aligned_series")</f>
        <v>aligned_series</v>
      </c>
      <c r="D51" s="10">
        <f ca="1">IFERROR(__xludf.DUMMYFUNCTION("""COMPUTED_VALUE"""),0.8)</f>
        <v>0.8</v>
      </c>
      <c r="E51" s="17">
        <f ca="1">IFERROR(__xludf.DUMMYFUNCTION("""COMPUTED_VALUE"""),0.756889926463388)</f>
        <v>0.75688992646338804</v>
      </c>
      <c r="F51" s="17">
        <f ca="1">IFERROR(__xludf.DUMMYFUNCTION("""COMPUTED_VALUE"""),0.881001400882624)</f>
        <v>0.88100140088262402</v>
      </c>
      <c r="G51" s="17">
        <f ca="1">IFERROR(__xludf.DUMMYFUNCTION("""COMPUTED_VALUE"""),1.21186764077779)</f>
        <v>1.21186764077779</v>
      </c>
      <c r="H51" s="17">
        <f ca="1">IFERROR(__xludf.DUMMYFUNCTION("""COMPUTED_VALUE"""),2.20594573221549)</f>
        <v>2.2059457322154898</v>
      </c>
      <c r="I51" s="17">
        <f ca="1">IFERROR(__xludf.DUMMYFUNCTION("""COMPUTED_VALUE"""),0.657368706921911)</f>
        <v>0.65736870692191096</v>
      </c>
      <c r="J51" s="17">
        <f ca="1">IFERROR(__xludf.DUMMYFUNCTION("""COMPUTED_VALUE"""),0.965109716066668)</f>
        <v>0.96510971606666796</v>
      </c>
      <c r="K51" s="17" t="str">
        <f ca="1">IFERROR(__xludf.DUMMYFUNCTION("""COMPUTED_VALUE"""),"nan")</f>
        <v>nan</v>
      </c>
      <c r="L51" s="17">
        <f ca="1">IFERROR(__xludf.DUMMYFUNCTION("""COMPUTED_VALUE"""),0.882143296696447)</f>
        <v>0.88214329669644698</v>
      </c>
      <c r="M51" s="17">
        <f ca="1">IFERROR(__xludf.DUMMYFUNCTION("""COMPUTED_VALUE"""),1.23725577048287)</f>
        <v>1.2372557704828699</v>
      </c>
      <c r="N51" s="17">
        <f ca="1">IFERROR(__xludf.DUMMYFUNCTION("""COMPUTED_VALUE"""),0.521851182441524)</f>
        <v>0.52185118244152395</v>
      </c>
      <c r="O51" s="17">
        <f ca="1">IFERROR(__xludf.DUMMYFUNCTION("""COMPUTED_VALUE"""),0.928217800966155)</f>
        <v>0.92821780096615503</v>
      </c>
      <c r="P51" s="17">
        <f ca="1">IFERROR(__xludf.DUMMYFUNCTION("""COMPUTED_VALUE"""),1.01221254358945)</f>
        <v>1.01221254358945</v>
      </c>
      <c r="Q51" s="17">
        <f ca="1">IFERROR(__xludf.DUMMYFUNCTION("""COMPUTED_VALUE"""),0.788299934328227)</f>
        <v>0.78829993432822698</v>
      </c>
      <c r="R51" s="17">
        <f ca="1">IFERROR(__xludf.DUMMYFUNCTION("""COMPUTED_VALUE"""),0.829350106982955)</f>
        <v>0.82935010698295497</v>
      </c>
      <c r="S51" s="17">
        <f ca="1">IFERROR(__xludf.DUMMYFUNCTION("""COMPUTED_VALUE"""),0.875878874602905)</f>
        <v>0.87587887460290503</v>
      </c>
      <c r="T51" s="17">
        <f ca="1">IFERROR(__xludf.DUMMYFUNCTION("""COMPUTED_VALUE"""),0.747988648333961)</f>
        <v>0.74798864833396095</v>
      </c>
      <c r="U51" s="17">
        <f ca="1">IFERROR(__xludf.DUMMYFUNCTION("""COMPUTED_VALUE"""),0.740488090048369)</f>
        <v>0.74048809004836902</v>
      </c>
      <c r="V51" s="17">
        <f ca="1">IFERROR(__xludf.DUMMYFUNCTION("""COMPUTED_VALUE"""),0.906808216219879)</f>
        <v>0.90680821621987895</v>
      </c>
      <c r="W51" s="17">
        <f ca="1">IFERROR(__xludf.DUMMYFUNCTION("""COMPUTED_VALUE"""),0.568028888481566)</f>
        <v>0.56802888848156596</v>
      </c>
      <c r="X51" s="17">
        <f ca="1">IFERROR(__xludf.DUMMYFUNCTION("""COMPUTED_VALUE"""),0.543384388780779)</f>
        <v>0.54338438878077899</v>
      </c>
      <c r="Y51" s="17">
        <f ca="1">IFERROR(__xludf.DUMMYFUNCTION("""COMPUTED_VALUE"""),0.674993786274238)</f>
        <v>0.67499378627423801</v>
      </c>
      <c r="Z51" s="17">
        <f ca="1">IFERROR(__xludf.DUMMYFUNCTION("""COMPUTED_VALUE"""),0.739990686574284)</f>
        <v>0.73999068657428402</v>
      </c>
      <c r="AA51" s="17">
        <f ca="1">IFERROR(__xludf.DUMMYFUNCTION("""COMPUTED_VALUE"""),1.17709645782475)</f>
        <v>1.17709645782475</v>
      </c>
      <c r="AB51" s="17">
        <f ca="1">IFERROR(__xludf.DUMMYFUNCTION("""COMPUTED_VALUE"""),1.10080375490323)</f>
        <v>1.1008037549032299</v>
      </c>
      <c r="AC51" s="17">
        <f ca="1">IFERROR(__xludf.DUMMYFUNCTION("""COMPUTED_VALUE"""),0.715707559759811)</f>
        <v>0.71570755975981104</v>
      </c>
      <c r="AD51" s="17">
        <f ca="1">IFERROR(__xludf.DUMMYFUNCTION("""COMPUTED_VALUE"""),0.660815833412251)</f>
        <v>0.66081583341225103</v>
      </c>
      <c r="AE51" s="17">
        <f ca="1">IFERROR(__xludf.DUMMYFUNCTION("""COMPUTED_VALUE"""),1.18385703673227)</f>
        <v>1.1838570367322701</v>
      </c>
      <c r="AF51" s="17">
        <f ca="1">IFERROR(__xludf.DUMMYFUNCTION("""COMPUTED_VALUE"""),0.824150112456444)</f>
        <v>0.82415011245644398</v>
      </c>
      <c r="AG51" s="17">
        <f ca="1">IFERROR(__xludf.DUMMYFUNCTION("""COMPUTED_VALUE"""),0.804387812490343)</f>
        <v>0.80438781249034297</v>
      </c>
      <c r="AH51" s="17">
        <f ca="1">IFERROR(__xludf.DUMMYFUNCTION("""COMPUTED_VALUE"""),0.820107723204704)</f>
        <v>0.82010772320470404</v>
      </c>
      <c r="AI51" s="17">
        <f ca="1">IFERROR(__xludf.DUMMYFUNCTION("""COMPUTED_VALUE"""),0.797987045373745)</f>
        <v>0.79798704537374499</v>
      </c>
      <c r="AJ51" s="17">
        <f ca="1">IFERROR(__xludf.DUMMYFUNCTION("""COMPUTED_VALUE"""),0.800285280965135)</f>
        <v>0.80028528096513496</v>
      </c>
    </row>
    <row r="52" spans="2:36" ht="15.75" customHeight="1" x14ac:dyDescent="0.45">
      <c r="B52" s="10" t="str">
        <f ca="1">IFERROR(__xludf.DUMMYFUNCTION("""COMPUTED_VALUE"""),"BirdChicken")</f>
        <v>BirdChicken</v>
      </c>
      <c r="C52" s="10" t="str">
        <f ca="1">IFERROR(__xludf.DUMMYFUNCTION("""COMPUTED_VALUE"""),"aligned_timestamps")</f>
        <v>aligned_timestamps</v>
      </c>
      <c r="D52" s="10">
        <f ca="1">IFERROR(__xludf.DUMMYFUNCTION("""COMPUTED_VALUE"""),0.1)</f>
        <v>0.1</v>
      </c>
      <c r="E52" s="17">
        <f ca="1">IFERROR(__xludf.DUMMYFUNCTION("""COMPUTED_VALUE"""),0.601857467492293)</f>
        <v>0.60185746749229296</v>
      </c>
      <c r="F52" s="17">
        <f ca="1">IFERROR(__xludf.DUMMYFUNCTION("""COMPUTED_VALUE"""),0.510404553360788)</f>
        <v>0.51040455336078805</v>
      </c>
      <c r="G52" s="17">
        <f ca="1">IFERROR(__xludf.DUMMYFUNCTION("""COMPUTED_VALUE"""),0.512764067850422)</f>
        <v>0.51276406785042195</v>
      </c>
      <c r="H52" s="17">
        <f ca="1">IFERROR(__xludf.DUMMYFUNCTION("""COMPUTED_VALUE"""),0.619302056548972)</f>
        <v>0.61930205654897197</v>
      </c>
      <c r="I52" s="17">
        <f ca="1">IFERROR(__xludf.DUMMYFUNCTION("""COMPUTED_VALUE"""),0.511281874682751)</f>
        <v>0.51128187468275099</v>
      </c>
      <c r="J52" s="17">
        <f ca="1">IFERROR(__xludf.DUMMYFUNCTION("""COMPUTED_VALUE"""),0.60005784463496)</f>
        <v>0.60005784463496004</v>
      </c>
      <c r="K52" s="17" t="str">
        <f ca="1">IFERROR(__xludf.DUMMYFUNCTION("""COMPUTED_VALUE"""),"nan")</f>
        <v>nan</v>
      </c>
      <c r="L52" s="17">
        <f ca="1">IFERROR(__xludf.DUMMYFUNCTION("""COMPUTED_VALUE"""),0.530186460496667)</f>
        <v>0.53018646049666696</v>
      </c>
      <c r="M52" s="17">
        <f ca="1">IFERROR(__xludf.DUMMYFUNCTION("""COMPUTED_VALUE"""),0.514926374196213)</f>
        <v>0.51492637419621301</v>
      </c>
      <c r="N52" s="17">
        <f ca="1">IFERROR(__xludf.DUMMYFUNCTION("""COMPUTED_VALUE"""),0.526080750709322)</f>
        <v>0.52608075070932203</v>
      </c>
      <c r="O52" s="17">
        <f ca="1">IFERROR(__xludf.DUMMYFUNCTION("""COMPUTED_VALUE"""),0.488905916609447)</f>
        <v>0.48890591660944699</v>
      </c>
      <c r="P52" s="17">
        <f ca="1">IFERROR(__xludf.DUMMYFUNCTION("""COMPUTED_VALUE"""),0.506668156033589)</f>
        <v>0.50666815603358895</v>
      </c>
      <c r="Q52" s="17">
        <f ca="1">IFERROR(__xludf.DUMMYFUNCTION("""COMPUTED_VALUE"""),0.690319747151695)</f>
        <v>0.69031974715169497</v>
      </c>
      <c r="R52" s="17">
        <f ca="1">IFERROR(__xludf.DUMMYFUNCTION("""COMPUTED_VALUE"""),0.573206153346791)</f>
        <v>0.57320615334679104</v>
      </c>
      <c r="S52" s="17">
        <f ca="1">IFERROR(__xludf.DUMMYFUNCTION("""COMPUTED_VALUE"""),0.607444010516988)</f>
        <v>0.60744401051698804</v>
      </c>
      <c r="T52" s="17">
        <f ca="1">IFERROR(__xludf.DUMMYFUNCTION("""COMPUTED_VALUE"""),0.46698503401739)</f>
        <v>0.46698503401739</v>
      </c>
      <c r="U52" s="17">
        <f ca="1">IFERROR(__xludf.DUMMYFUNCTION("""COMPUTED_VALUE"""),0.450552690301177)</f>
        <v>0.45055269030117701</v>
      </c>
      <c r="V52" s="17">
        <f ca="1">IFERROR(__xludf.DUMMYFUNCTION("""COMPUTED_VALUE"""),0.37841153325419)</f>
        <v>0.37841153325419002</v>
      </c>
      <c r="W52" s="17">
        <f ca="1">IFERROR(__xludf.DUMMYFUNCTION("""COMPUTED_VALUE"""),0.472522247428095)</f>
        <v>0.47252224742809501</v>
      </c>
      <c r="X52" s="17">
        <f ca="1">IFERROR(__xludf.DUMMYFUNCTION("""COMPUTED_VALUE"""),0.503159012184329)</f>
        <v>0.50315901218432901</v>
      </c>
      <c r="Y52" s="17">
        <f ca="1">IFERROR(__xludf.DUMMYFUNCTION("""COMPUTED_VALUE"""),0.326224257462551)</f>
        <v>0.32622425746255101</v>
      </c>
      <c r="Z52" s="17">
        <f ca="1">IFERROR(__xludf.DUMMYFUNCTION("""COMPUTED_VALUE"""),0.41179056895422)</f>
        <v>0.41179056895422</v>
      </c>
      <c r="AA52" s="17">
        <f ca="1">IFERROR(__xludf.DUMMYFUNCTION("""COMPUTED_VALUE"""),0.612645405609479)</f>
        <v>0.612645405609479</v>
      </c>
      <c r="AB52" s="17">
        <f ca="1">IFERROR(__xludf.DUMMYFUNCTION("""COMPUTED_VALUE"""),0.587592701984931)</f>
        <v>0.58759270198493097</v>
      </c>
      <c r="AC52" s="17">
        <f ca="1">IFERROR(__xludf.DUMMYFUNCTION("""COMPUTED_VALUE"""),0.440427923956162)</f>
        <v>0.44042792395616198</v>
      </c>
      <c r="AD52" s="17">
        <f ca="1">IFERROR(__xludf.DUMMYFUNCTION("""COMPUTED_VALUE"""),0.409371834835769)</f>
        <v>0.409371834835769</v>
      </c>
      <c r="AE52" s="17">
        <f ca="1">IFERROR(__xludf.DUMMYFUNCTION("""COMPUTED_VALUE"""),0.702341177779619)</f>
        <v>0.70234117777961902</v>
      </c>
      <c r="AF52" s="17">
        <f ca="1">IFERROR(__xludf.DUMMYFUNCTION("""COMPUTED_VALUE"""),0.479375644044357)</f>
        <v>0.47937564404435701</v>
      </c>
      <c r="AG52" s="17">
        <f ca="1">IFERROR(__xludf.DUMMYFUNCTION("""COMPUTED_VALUE"""),0.502103248402672)</f>
        <v>0.50210324840267195</v>
      </c>
      <c r="AH52" s="17">
        <f ca="1">IFERROR(__xludf.DUMMYFUNCTION("""COMPUTED_VALUE"""),0.313159517389326)</f>
        <v>0.31315951738932601</v>
      </c>
      <c r="AI52" s="17">
        <f ca="1">IFERROR(__xludf.DUMMYFUNCTION("""COMPUTED_VALUE"""),0.374762603077229)</f>
        <v>0.37476260307722897</v>
      </c>
      <c r="AJ52" s="17">
        <f ca="1">IFERROR(__xludf.DUMMYFUNCTION("""COMPUTED_VALUE"""),0.499267793429981)</f>
        <v>0.49926779342998101</v>
      </c>
    </row>
    <row r="53" spans="2:36" ht="15.75" customHeight="1" x14ac:dyDescent="0.45">
      <c r="B53" s="10" t="str">
        <f ca="1">IFERROR(__xludf.DUMMYFUNCTION("""COMPUTED_VALUE"""),"BirdChicken")</f>
        <v>BirdChicken</v>
      </c>
      <c r="C53" s="10" t="str">
        <f ca="1">IFERROR(__xludf.DUMMYFUNCTION("""COMPUTED_VALUE"""),"aligned_timestamps")</f>
        <v>aligned_timestamps</v>
      </c>
      <c r="D53" s="10">
        <f ca="1">IFERROR(__xludf.DUMMYFUNCTION("""COMPUTED_VALUE"""),0.2)</f>
        <v>0.2</v>
      </c>
      <c r="E53" s="17">
        <f ca="1">IFERROR(__xludf.DUMMYFUNCTION("""COMPUTED_VALUE"""),0.774791284918949)</f>
        <v>0.774791284918949</v>
      </c>
      <c r="F53" s="17">
        <f ca="1">IFERROR(__xludf.DUMMYFUNCTION("""COMPUTED_VALUE"""),0.559362548421191)</f>
        <v>0.55936254842119104</v>
      </c>
      <c r="G53" s="17">
        <f ca="1">IFERROR(__xludf.DUMMYFUNCTION("""COMPUTED_VALUE"""),0.558000381346038)</f>
        <v>0.55800038134603802</v>
      </c>
      <c r="H53" s="17">
        <f ca="1">IFERROR(__xludf.DUMMYFUNCTION("""COMPUTED_VALUE"""),0.604637955566455)</f>
        <v>0.60463795556645505</v>
      </c>
      <c r="I53" s="17">
        <f ca="1">IFERROR(__xludf.DUMMYFUNCTION("""COMPUTED_VALUE"""),0.579879954681734)</f>
        <v>0.57987995468173403</v>
      </c>
      <c r="J53" s="17">
        <f ca="1">IFERROR(__xludf.DUMMYFUNCTION("""COMPUTED_VALUE"""),0.600107063321007)</f>
        <v>0.60010706332100705</v>
      </c>
      <c r="K53" s="17" t="str">
        <f ca="1">IFERROR(__xludf.DUMMYFUNCTION("""COMPUTED_VALUE"""),"nan")</f>
        <v>nan</v>
      </c>
      <c r="L53" s="17">
        <f ca="1">IFERROR(__xludf.DUMMYFUNCTION("""COMPUTED_VALUE"""),0.554597650955614)</f>
        <v>0.55459765095561397</v>
      </c>
      <c r="M53" s="17">
        <f ca="1">IFERROR(__xludf.DUMMYFUNCTION("""COMPUTED_VALUE"""),0.578034653563069)</f>
        <v>0.57803465356306905</v>
      </c>
      <c r="N53" s="17">
        <f ca="1">IFERROR(__xludf.DUMMYFUNCTION("""COMPUTED_VALUE"""),0.600649591657933)</f>
        <v>0.60064959165793297</v>
      </c>
      <c r="O53" s="17">
        <f ca="1">IFERROR(__xludf.DUMMYFUNCTION("""COMPUTED_VALUE"""),0.498639446817821)</f>
        <v>0.49863944681782102</v>
      </c>
      <c r="P53" s="17">
        <f ca="1">IFERROR(__xludf.DUMMYFUNCTION("""COMPUTED_VALUE"""),0.690149148080031)</f>
        <v>0.69014914808003103</v>
      </c>
      <c r="Q53" s="17">
        <f ca="1">IFERROR(__xludf.DUMMYFUNCTION("""COMPUTED_VALUE"""),0.716790463115097)</f>
        <v>0.71679046311509698</v>
      </c>
      <c r="R53" s="17">
        <f ca="1">IFERROR(__xludf.DUMMYFUNCTION("""COMPUTED_VALUE"""),0.798734407751113)</f>
        <v>0.79873440775111304</v>
      </c>
      <c r="S53" s="17">
        <f ca="1">IFERROR(__xludf.DUMMYFUNCTION("""COMPUTED_VALUE"""),0.564727534544567)</f>
        <v>0.56472753454456703</v>
      </c>
      <c r="T53" s="17">
        <f ca="1">IFERROR(__xludf.DUMMYFUNCTION("""COMPUTED_VALUE"""),0.532649071988825)</f>
        <v>0.53264907198882505</v>
      </c>
      <c r="U53" s="17">
        <f ca="1">IFERROR(__xludf.DUMMYFUNCTION("""COMPUTED_VALUE"""),0.728094815373112)</f>
        <v>0.72809481537311205</v>
      </c>
      <c r="V53" s="17">
        <f ca="1">IFERROR(__xludf.DUMMYFUNCTION("""COMPUTED_VALUE"""),0.65379642771437)</f>
        <v>0.65379642771436997</v>
      </c>
      <c r="W53" s="17">
        <f ca="1">IFERROR(__xludf.DUMMYFUNCTION("""COMPUTED_VALUE"""),0.636165351575149)</f>
        <v>0.63616535157514897</v>
      </c>
      <c r="X53" s="17">
        <f ca="1">IFERROR(__xludf.DUMMYFUNCTION("""COMPUTED_VALUE"""),0.58132579170574)</f>
        <v>0.58132579170573995</v>
      </c>
      <c r="Y53" s="17">
        <f ca="1">IFERROR(__xludf.DUMMYFUNCTION("""COMPUTED_VALUE"""),0.543107747280719)</f>
        <v>0.54310774728071898</v>
      </c>
      <c r="Z53" s="17">
        <f ca="1">IFERROR(__xludf.DUMMYFUNCTION("""COMPUTED_VALUE"""),0.640953211260037)</f>
        <v>0.64095321126003701</v>
      </c>
      <c r="AA53" s="17">
        <f ca="1">IFERROR(__xludf.DUMMYFUNCTION("""COMPUTED_VALUE"""),0.879524814760127)</f>
        <v>0.87952481476012701</v>
      </c>
      <c r="AB53" s="17">
        <f ca="1">IFERROR(__xludf.DUMMYFUNCTION("""COMPUTED_VALUE"""),0.815360201303741)</f>
        <v>0.81536020130374098</v>
      </c>
      <c r="AC53" s="17">
        <f ca="1">IFERROR(__xludf.DUMMYFUNCTION("""COMPUTED_VALUE"""),0.638809349922553)</f>
        <v>0.638809349922553</v>
      </c>
      <c r="AD53" s="17">
        <f ca="1">IFERROR(__xludf.DUMMYFUNCTION("""COMPUTED_VALUE"""),0.648759800734473)</f>
        <v>0.64875980073447304</v>
      </c>
      <c r="AE53" s="17">
        <f ca="1">IFERROR(__xludf.DUMMYFUNCTION("""COMPUTED_VALUE"""),1.10251554652569)</f>
        <v>1.1025155465256899</v>
      </c>
      <c r="AF53" s="17">
        <f ca="1">IFERROR(__xludf.DUMMYFUNCTION("""COMPUTED_VALUE"""),0.758826137810119)</f>
        <v>0.75882613781011898</v>
      </c>
      <c r="AG53" s="17">
        <f ca="1">IFERROR(__xludf.DUMMYFUNCTION("""COMPUTED_VALUE"""),0.781069888254415)</f>
        <v>0.78106988825441503</v>
      </c>
      <c r="AH53" s="17">
        <f ca="1">IFERROR(__xludf.DUMMYFUNCTION("""COMPUTED_VALUE"""),0.859751041109484)</f>
        <v>0.85975104110948397</v>
      </c>
      <c r="AI53" s="17">
        <f ca="1">IFERROR(__xludf.DUMMYFUNCTION("""COMPUTED_VALUE"""),0.885378366879723)</f>
        <v>0.88537836687972304</v>
      </c>
      <c r="AJ53" s="17">
        <f ca="1">IFERROR(__xludf.DUMMYFUNCTION("""COMPUTED_VALUE"""),0.811072316485556)</f>
        <v>0.811072316485556</v>
      </c>
    </row>
    <row r="54" spans="2:36" ht="15.75" customHeight="1" x14ac:dyDescent="0.45">
      <c r="B54" s="10" t="str">
        <f ca="1">IFERROR(__xludf.DUMMYFUNCTION("""COMPUTED_VALUE"""),"BirdChicken")</f>
        <v>BirdChicken</v>
      </c>
      <c r="C54" s="10" t="str">
        <f ca="1">IFERROR(__xludf.DUMMYFUNCTION("""COMPUTED_VALUE"""),"aligned_timestamps")</f>
        <v>aligned_timestamps</v>
      </c>
      <c r="D54" s="10">
        <f ca="1">IFERROR(__xludf.DUMMYFUNCTION("""COMPUTED_VALUE"""),0.4)</f>
        <v>0.4</v>
      </c>
      <c r="E54" s="17">
        <f ca="1">IFERROR(__xludf.DUMMYFUNCTION("""COMPUTED_VALUE"""),0.864183388100724)</f>
        <v>0.86418338810072404</v>
      </c>
      <c r="F54" s="17">
        <f ca="1">IFERROR(__xludf.DUMMYFUNCTION("""COMPUTED_VALUE"""),0.695398721665901)</f>
        <v>0.695398721665901</v>
      </c>
      <c r="G54" s="17">
        <f ca="1">IFERROR(__xludf.DUMMYFUNCTION("""COMPUTED_VALUE"""),0.694760582734218)</f>
        <v>0.69476058273421804</v>
      </c>
      <c r="H54" s="17">
        <f ca="1">IFERROR(__xludf.DUMMYFUNCTION("""COMPUTED_VALUE"""),0.785100226158144)</f>
        <v>0.78510022615814401</v>
      </c>
      <c r="I54" s="17">
        <f ca="1">IFERROR(__xludf.DUMMYFUNCTION("""COMPUTED_VALUE"""),0.654804799382885)</f>
        <v>0.65480479938288505</v>
      </c>
      <c r="J54" s="17">
        <f ca="1">IFERROR(__xludf.DUMMYFUNCTION("""COMPUTED_VALUE"""),0.808829227396066)</f>
        <v>0.808829227396066</v>
      </c>
      <c r="K54" s="17" t="str">
        <f ca="1">IFERROR(__xludf.DUMMYFUNCTION("""COMPUTED_VALUE"""),"nan")</f>
        <v>nan</v>
      </c>
      <c r="L54" s="17">
        <f ca="1">IFERROR(__xludf.DUMMYFUNCTION("""COMPUTED_VALUE"""),0.687556882951029)</f>
        <v>0.68755688295102901</v>
      </c>
      <c r="M54" s="17">
        <f ca="1">IFERROR(__xludf.DUMMYFUNCTION("""COMPUTED_VALUE"""),0.746023644104167)</f>
        <v>0.74602364410416699</v>
      </c>
      <c r="N54" s="17">
        <f ca="1">IFERROR(__xludf.DUMMYFUNCTION("""COMPUTED_VALUE"""),0.751771840427167)</f>
        <v>0.75177184042716705</v>
      </c>
      <c r="O54" s="17">
        <f ca="1">IFERROR(__xludf.DUMMYFUNCTION("""COMPUTED_VALUE"""),0.652559303776346)</f>
        <v>0.65255930377634597</v>
      </c>
      <c r="P54" s="17">
        <f ca="1">IFERROR(__xludf.DUMMYFUNCTION("""COMPUTED_VALUE"""),0.723895596059995)</f>
        <v>0.72389559605999498</v>
      </c>
      <c r="Q54" s="17">
        <f ca="1">IFERROR(__xludf.DUMMYFUNCTION("""COMPUTED_VALUE"""),0.803477862365145)</f>
        <v>0.80347786236514496</v>
      </c>
      <c r="R54" s="17">
        <f ca="1">IFERROR(__xludf.DUMMYFUNCTION("""COMPUTED_VALUE"""),0.675855515876695)</f>
        <v>0.67585551587669501</v>
      </c>
      <c r="S54" s="17">
        <f ca="1">IFERROR(__xludf.DUMMYFUNCTION("""COMPUTED_VALUE"""),0.796617471825812)</f>
        <v>0.796617471825812</v>
      </c>
      <c r="T54" s="17">
        <f ca="1">IFERROR(__xludf.DUMMYFUNCTION("""COMPUTED_VALUE"""),0.919509304472855)</f>
        <v>0.91950930447285495</v>
      </c>
      <c r="U54" s="17">
        <f ca="1">IFERROR(__xludf.DUMMYFUNCTION("""COMPUTED_VALUE"""),0.732012424493144)</f>
        <v>0.73201242449314396</v>
      </c>
      <c r="V54" s="17">
        <f ca="1">IFERROR(__xludf.DUMMYFUNCTION("""COMPUTED_VALUE"""),0.650453592334031)</f>
        <v>0.65045359233403099</v>
      </c>
      <c r="W54" s="17">
        <f ca="1">IFERROR(__xludf.DUMMYFUNCTION("""COMPUTED_VALUE"""),0.848168417328376)</f>
        <v>0.848168417328376</v>
      </c>
      <c r="X54" s="17">
        <f ca="1">IFERROR(__xludf.DUMMYFUNCTION("""COMPUTED_VALUE"""),0.648640092081901)</f>
        <v>0.64864009208190099</v>
      </c>
      <c r="Y54" s="17">
        <f ca="1">IFERROR(__xludf.DUMMYFUNCTION("""COMPUTED_VALUE"""),0.722839643882547)</f>
        <v>0.72283964388254696</v>
      </c>
      <c r="Z54" s="17">
        <f ca="1">IFERROR(__xludf.DUMMYFUNCTION("""COMPUTED_VALUE"""),0.755623495230283)</f>
        <v>0.75562349523028305</v>
      </c>
      <c r="AA54" s="17">
        <f ca="1">IFERROR(__xludf.DUMMYFUNCTION("""COMPUTED_VALUE"""),0.84879204345527)</f>
        <v>0.84879204345527004</v>
      </c>
      <c r="AB54" s="17">
        <f ca="1">IFERROR(__xludf.DUMMYFUNCTION("""COMPUTED_VALUE"""),0.636994358075774)</f>
        <v>0.63699435807577398</v>
      </c>
      <c r="AC54" s="17">
        <f ca="1">IFERROR(__xludf.DUMMYFUNCTION("""COMPUTED_VALUE"""),0.79351218553642)</f>
        <v>0.79351218553642</v>
      </c>
      <c r="AD54" s="17">
        <f ca="1">IFERROR(__xludf.DUMMYFUNCTION("""COMPUTED_VALUE"""),0.917020360192071)</f>
        <v>0.917020360192071</v>
      </c>
      <c r="AE54" s="17">
        <f ca="1">IFERROR(__xludf.DUMMYFUNCTION("""COMPUTED_VALUE"""),1.03554387194288)</f>
        <v>1.03554387194288</v>
      </c>
      <c r="AF54" s="17">
        <f ca="1">IFERROR(__xludf.DUMMYFUNCTION("""COMPUTED_VALUE"""),0.669100677035609)</f>
        <v>0.66910067703560905</v>
      </c>
      <c r="AG54" s="17">
        <f ca="1">IFERROR(__xludf.DUMMYFUNCTION("""COMPUTED_VALUE"""),0.830760887339156)</f>
        <v>0.83076088733915598</v>
      </c>
      <c r="AH54" s="17">
        <f ca="1">IFERROR(__xludf.DUMMYFUNCTION("""COMPUTED_VALUE"""),0.937338647225361)</f>
        <v>0.93733864722536098</v>
      </c>
      <c r="AI54" s="17">
        <f ca="1">IFERROR(__xludf.DUMMYFUNCTION("""COMPUTED_VALUE"""),0.953906097903819)</f>
        <v>0.95390609790381897</v>
      </c>
      <c r="AJ54" s="17">
        <f ca="1">IFERROR(__xludf.DUMMYFUNCTION("""COMPUTED_VALUE"""),0.805861566728623)</f>
        <v>0.80586156672862297</v>
      </c>
    </row>
    <row r="55" spans="2:36" ht="15.75" customHeight="1" x14ac:dyDescent="0.45">
      <c r="B55" s="10" t="str">
        <f ca="1">IFERROR(__xludf.DUMMYFUNCTION("""COMPUTED_VALUE"""),"BirdChicken")</f>
        <v>BirdChicken</v>
      </c>
      <c r="C55" s="10" t="str">
        <f ca="1">IFERROR(__xludf.DUMMYFUNCTION("""COMPUTED_VALUE"""),"aligned_timestamps")</f>
        <v>aligned_timestamps</v>
      </c>
      <c r="D55" s="10">
        <f ca="1">IFERROR(__xludf.DUMMYFUNCTION("""COMPUTED_VALUE"""),0.6)</f>
        <v>0.6</v>
      </c>
      <c r="E55" s="17">
        <f ca="1">IFERROR(__xludf.DUMMYFUNCTION("""COMPUTED_VALUE"""),0.905122147347394)</f>
        <v>0.90512214734739405</v>
      </c>
      <c r="F55" s="17">
        <f ca="1">IFERROR(__xludf.DUMMYFUNCTION("""COMPUTED_VALUE"""),0.667530546536173)</f>
        <v>0.66753054653617305</v>
      </c>
      <c r="G55" s="17">
        <f ca="1">IFERROR(__xludf.DUMMYFUNCTION("""COMPUTED_VALUE"""),0.662250812123238)</f>
        <v>0.662250812123238</v>
      </c>
      <c r="H55" s="17">
        <f ca="1">IFERROR(__xludf.DUMMYFUNCTION("""COMPUTED_VALUE"""),0.857318046743284)</f>
        <v>0.85731804674328405</v>
      </c>
      <c r="I55" s="17">
        <f ca="1">IFERROR(__xludf.DUMMYFUNCTION("""COMPUTED_VALUE"""),0.717115797373035)</f>
        <v>0.71711579737303499</v>
      </c>
      <c r="J55" s="17">
        <f ca="1">IFERROR(__xludf.DUMMYFUNCTION("""COMPUTED_VALUE"""),0.796276882280441)</f>
        <v>0.79627688228044102</v>
      </c>
      <c r="K55" s="17" t="str">
        <f ca="1">IFERROR(__xludf.DUMMYFUNCTION("""COMPUTED_VALUE"""),"nan")</f>
        <v>nan</v>
      </c>
      <c r="L55" s="17">
        <f ca="1">IFERROR(__xludf.DUMMYFUNCTION("""COMPUTED_VALUE"""),0.681668361494643)</f>
        <v>0.68166836149464305</v>
      </c>
      <c r="M55" s="17">
        <f ca="1">IFERROR(__xludf.DUMMYFUNCTION("""COMPUTED_VALUE"""),0.767753807738048)</f>
        <v>0.76775380773804802</v>
      </c>
      <c r="N55" s="17">
        <f ca="1">IFERROR(__xludf.DUMMYFUNCTION("""COMPUTED_VALUE"""),0.746805104544972)</f>
        <v>0.74680510454497195</v>
      </c>
      <c r="O55" s="17">
        <f ca="1">IFERROR(__xludf.DUMMYFUNCTION("""COMPUTED_VALUE"""),0.661459859757422)</f>
        <v>0.66145985975742205</v>
      </c>
      <c r="P55" s="17">
        <f ca="1">IFERROR(__xludf.DUMMYFUNCTION("""COMPUTED_VALUE"""),0.8904293038068)</f>
        <v>0.89042930380679997</v>
      </c>
      <c r="Q55" s="17">
        <f ca="1">IFERROR(__xludf.DUMMYFUNCTION("""COMPUTED_VALUE"""),0.911789871345566)</f>
        <v>0.91178987134556599</v>
      </c>
      <c r="R55" s="17">
        <f ca="1">IFERROR(__xludf.DUMMYFUNCTION("""COMPUTED_VALUE"""),1.06844960108829)</f>
        <v>1.06844960108829</v>
      </c>
      <c r="S55" s="17">
        <f ca="1">IFERROR(__xludf.DUMMYFUNCTION("""COMPUTED_VALUE"""),0.877206884364839)</f>
        <v>0.87720688436483896</v>
      </c>
      <c r="T55" s="17">
        <f ca="1">IFERROR(__xludf.DUMMYFUNCTION("""COMPUTED_VALUE"""),0.843512935176793)</f>
        <v>0.84351293517679304</v>
      </c>
      <c r="U55" s="17">
        <f ca="1">IFERROR(__xludf.DUMMYFUNCTION("""COMPUTED_VALUE"""),1.04832700070165)</f>
        <v>1.0483270007016501</v>
      </c>
      <c r="V55" s="17">
        <f ca="1">IFERROR(__xludf.DUMMYFUNCTION("""COMPUTED_VALUE"""),0.82629081904096)</f>
        <v>0.82629081904096002</v>
      </c>
      <c r="W55" s="17">
        <f ca="1">IFERROR(__xludf.DUMMYFUNCTION("""COMPUTED_VALUE"""),0.944981880366789)</f>
        <v>0.94498188036678898</v>
      </c>
      <c r="X55" s="17">
        <f ca="1">IFERROR(__xludf.DUMMYFUNCTION("""COMPUTED_VALUE"""),0.69595050837464)</f>
        <v>0.69595050837464001</v>
      </c>
      <c r="Y55" s="17">
        <f ca="1">IFERROR(__xludf.DUMMYFUNCTION("""COMPUTED_VALUE"""),0.774757902033111)</f>
        <v>0.77475790203311101</v>
      </c>
      <c r="Z55" s="17">
        <f ca="1">IFERROR(__xludf.DUMMYFUNCTION("""COMPUTED_VALUE"""),0.842074012803509)</f>
        <v>0.84207401280350902</v>
      </c>
      <c r="AA55" s="17">
        <f ca="1">IFERROR(__xludf.DUMMYFUNCTION("""COMPUTED_VALUE"""),1.06543770903189)</f>
        <v>1.0654377090318901</v>
      </c>
      <c r="AB55" s="17">
        <f ca="1">IFERROR(__xludf.DUMMYFUNCTION("""COMPUTED_VALUE"""),0.930785816453653)</f>
        <v>0.93078581645365299</v>
      </c>
      <c r="AC55" s="17">
        <f ca="1">IFERROR(__xludf.DUMMYFUNCTION("""COMPUTED_VALUE"""),0.875530233073811)</f>
        <v>0.87553023307381095</v>
      </c>
      <c r="AD55" s="17">
        <f ca="1">IFERROR(__xludf.DUMMYFUNCTION("""COMPUTED_VALUE"""),0.919029710115721)</f>
        <v>0.91902971011572099</v>
      </c>
      <c r="AE55" s="17" t="str">
        <f ca="1">IFERROR(__xludf.DUMMYFUNCTION("""COMPUTED_VALUE"""),"nan")</f>
        <v>nan</v>
      </c>
      <c r="AF55" s="17">
        <f ca="1">IFERROR(__xludf.DUMMYFUNCTION("""COMPUTED_VALUE"""),0.721639731303445)</f>
        <v>0.72163973130344505</v>
      </c>
      <c r="AG55" s="17">
        <f ca="1">IFERROR(__xludf.DUMMYFUNCTION("""COMPUTED_VALUE"""),1.13922902182726)</f>
        <v>1.13922902182726</v>
      </c>
      <c r="AH55" s="17">
        <f ca="1">IFERROR(__xludf.DUMMYFUNCTION("""COMPUTED_VALUE"""),1.07078242609786)</f>
        <v>1.07078242609786</v>
      </c>
      <c r="AI55" s="17">
        <f ca="1">IFERROR(__xludf.DUMMYFUNCTION("""COMPUTED_VALUE"""),1.0973602146268)</f>
        <v>1.0973602146268</v>
      </c>
      <c r="AJ55" s="17">
        <f ca="1">IFERROR(__xludf.DUMMYFUNCTION("""COMPUTED_VALUE"""),1.6599714565257)</f>
        <v>1.6599714565257</v>
      </c>
    </row>
    <row r="56" spans="2:36" ht="15.75" customHeight="1" x14ac:dyDescent="0.45">
      <c r="B56" s="10" t="str">
        <f ca="1">IFERROR(__xludf.DUMMYFUNCTION("""COMPUTED_VALUE"""),"BirdChicken")</f>
        <v>BirdChicken</v>
      </c>
      <c r="C56" s="10" t="str">
        <f ca="1">IFERROR(__xludf.DUMMYFUNCTION("""COMPUTED_VALUE"""),"aligned_timestamps")</f>
        <v>aligned_timestamps</v>
      </c>
      <c r="D56" s="10">
        <f ca="1">IFERROR(__xludf.DUMMYFUNCTION("""COMPUTED_VALUE"""),0.8)</f>
        <v>0.8</v>
      </c>
      <c r="E56" s="17">
        <f ca="1">IFERROR(__xludf.DUMMYFUNCTION("""COMPUTED_VALUE"""),1.00004653940177)</f>
        <v>1.0000465394017699</v>
      </c>
      <c r="F56" s="17">
        <f ca="1">IFERROR(__xludf.DUMMYFUNCTION("""COMPUTED_VALUE"""),0.897314218366448)</f>
        <v>0.89731421836644798</v>
      </c>
      <c r="G56" s="17">
        <f ca="1">IFERROR(__xludf.DUMMYFUNCTION("""COMPUTED_VALUE"""),1.08049396244363)</f>
        <v>1.0804939624436301</v>
      </c>
      <c r="H56" s="17">
        <f ca="1">IFERROR(__xludf.DUMMYFUNCTION("""COMPUTED_VALUE"""),0.987032406952173)</f>
        <v>0.98703240695217298</v>
      </c>
      <c r="I56" s="17">
        <f ca="1">IFERROR(__xludf.DUMMYFUNCTION("""COMPUTED_VALUE"""),0.814008962385032)</f>
        <v>0.81400896238503195</v>
      </c>
      <c r="J56" s="17">
        <f ca="1">IFERROR(__xludf.DUMMYFUNCTION("""COMPUTED_VALUE"""),0.843630472859048)</f>
        <v>0.84363047285904802</v>
      </c>
      <c r="K56" s="17" t="str">
        <f ca="1">IFERROR(__xludf.DUMMYFUNCTION("""COMPUTED_VALUE"""),"nan")</f>
        <v>nan</v>
      </c>
      <c r="L56" s="17">
        <f ca="1">IFERROR(__xludf.DUMMYFUNCTION("""COMPUTED_VALUE"""),0.880258486951748)</f>
        <v>0.88025848695174802</v>
      </c>
      <c r="M56" s="17">
        <f ca="1">IFERROR(__xludf.DUMMYFUNCTION("""COMPUTED_VALUE"""),1.51483849969399)</f>
        <v>1.5148384996939901</v>
      </c>
      <c r="N56" s="17">
        <f ca="1">IFERROR(__xludf.DUMMYFUNCTION("""COMPUTED_VALUE"""),0.722431185545665)</f>
        <v>0.72243118554566499</v>
      </c>
      <c r="O56" s="17">
        <f ca="1">IFERROR(__xludf.DUMMYFUNCTION("""COMPUTED_VALUE"""),0.951225462353387)</f>
        <v>0.95122546235338701</v>
      </c>
      <c r="P56" s="17">
        <f ca="1">IFERROR(__xludf.DUMMYFUNCTION("""COMPUTED_VALUE"""),1.09696514898503)</f>
        <v>1.0969651489850301</v>
      </c>
      <c r="Q56" s="17">
        <f ca="1">IFERROR(__xludf.DUMMYFUNCTION("""COMPUTED_VALUE"""),0.959223022131398)</f>
        <v>0.95922302213139798</v>
      </c>
      <c r="R56" s="17">
        <f ca="1">IFERROR(__xludf.DUMMYFUNCTION("""COMPUTED_VALUE"""),1.13616216512644)</f>
        <v>1.13616216512644</v>
      </c>
      <c r="S56" s="17">
        <f ca="1">IFERROR(__xludf.DUMMYFUNCTION("""COMPUTED_VALUE"""),0.917966409883806)</f>
        <v>0.91796640988380596</v>
      </c>
      <c r="T56" s="17">
        <f ca="1">IFERROR(__xludf.DUMMYFUNCTION("""COMPUTED_VALUE"""),0.896897010204507)</f>
        <v>0.89689701020450696</v>
      </c>
      <c r="U56" s="17">
        <f ca="1">IFERROR(__xludf.DUMMYFUNCTION("""COMPUTED_VALUE"""),0.841887315272775)</f>
        <v>0.84188731527277505</v>
      </c>
      <c r="V56" s="17">
        <f ca="1">IFERROR(__xludf.DUMMYFUNCTION("""COMPUTED_VALUE"""),0.991678559945968)</f>
        <v>0.99167855994596799</v>
      </c>
      <c r="W56" s="17">
        <f ca="1">IFERROR(__xludf.DUMMYFUNCTION("""COMPUTED_VALUE"""),0.986241560969662)</f>
        <v>0.98624156096966198</v>
      </c>
      <c r="X56" s="17">
        <f ca="1">IFERROR(__xludf.DUMMYFUNCTION("""COMPUTED_VALUE"""),0.88771037856077)</f>
        <v>0.88771037856076995</v>
      </c>
      <c r="Y56" s="17">
        <f ca="1">IFERROR(__xludf.DUMMYFUNCTION("""COMPUTED_VALUE"""),0.774119406512859)</f>
        <v>0.77411940651285904</v>
      </c>
      <c r="Z56" s="17">
        <f ca="1">IFERROR(__xludf.DUMMYFUNCTION("""COMPUTED_VALUE"""),0.967892258702041)</f>
        <v>0.96789225870204099</v>
      </c>
      <c r="AA56" s="17">
        <f ca="1">IFERROR(__xludf.DUMMYFUNCTION("""COMPUTED_VALUE"""),1.18071527899731)</f>
        <v>1.1807152789973101</v>
      </c>
      <c r="AB56" s="17">
        <f ca="1">IFERROR(__xludf.DUMMYFUNCTION("""COMPUTED_VALUE"""),1.20376411877736)</f>
        <v>1.20376411877736</v>
      </c>
      <c r="AC56" s="17">
        <f ca="1">IFERROR(__xludf.DUMMYFUNCTION("""COMPUTED_VALUE"""),0.960645522125841)</f>
        <v>0.96064552212584098</v>
      </c>
      <c r="AD56" s="17">
        <f ca="1">IFERROR(__xludf.DUMMYFUNCTION("""COMPUTED_VALUE"""),0.974573943073491)</f>
        <v>0.97457394307349099</v>
      </c>
      <c r="AE56" s="17" t="str">
        <f ca="1">IFERROR(__xludf.DUMMYFUNCTION("""COMPUTED_VALUE"""),"nan")</f>
        <v>nan</v>
      </c>
      <c r="AF56" s="17">
        <f ca="1">IFERROR(__xludf.DUMMYFUNCTION("""COMPUTED_VALUE"""),0.988210791049373)</f>
        <v>0.98821079104937304</v>
      </c>
      <c r="AG56" s="17">
        <f ca="1">IFERROR(__xludf.DUMMYFUNCTION("""COMPUTED_VALUE"""),1.02049726434976)</f>
        <v>1.0204972643497601</v>
      </c>
      <c r="AH56" s="17">
        <f ca="1">IFERROR(__xludf.DUMMYFUNCTION("""COMPUTED_VALUE"""),1.14018277214934)</f>
        <v>1.1401827721493401</v>
      </c>
      <c r="AI56" s="17">
        <f ca="1">IFERROR(__xludf.DUMMYFUNCTION("""COMPUTED_VALUE"""),1.15238778426569)</f>
        <v>1.15238778426569</v>
      </c>
      <c r="AJ56" s="17">
        <f ca="1">IFERROR(__xludf.DUMMYFUNCTION("""COMPUTED_VALUE"""),1.21405527315924)</f>
        <v>1.21405527315924</v>
      </c>
    </row>
    <row r="57" spans="2:36" ht="15.75" customHeight="1" x14ac:dyDescent="0.45">
      <c r="B57" s="10" t="str">
        <f ca="1">IFERROR(__xludf.DUMMYFUNCTION("""COMPUTED_VALUE"""),"BirdChicken")</f>
        <v>BirdChicken</v>
      </c>
      <c r="C57" s="10" t="str">
        <f ca="1">IFERROR(__xludf.DUMMYFUNCTION("""COMPUTED_VALUE"""),"mcar")</f>
        <v>mcar</v>
      </c>
      <c r="D57" s="10">
        <f ca="1">IFERROR(__xludf.DUMMYFUNCTION("""COMPUTED_VALUE"""),0.1)</f>
        <v>0.1</v>
      </c>
      <c r="E57" s="17">
        <f ca="1">IFERROR(__xludf.DUMMYFUNCTION("""COMPUTED_VALUE"""),0.967562652293202)</f>
        <v>0.96756265229320204</v>
      </c>
      <c r="F57" s="17">
        <f ca="1">IFERROR(__xludf.DUMMYFUNCTION("""COMPUTED_VALUE"""),0.620059734565791)</f>
        <v>0.620059734565791</v>
      </c>
      <c r="G57" s="17">
        <f ca="1">IFERROR(__xludf.DUMMYFUNCTION("""COMPUTED_VALUE"""),0.630888471633702)</f>
        <v>0.63088847163370199</v>
      </c>
      <c r="H57" s="17">
        <f ca="1">IFERROR(__xludf.DUMMYFUNCTION("""COMPUTED_VALUE"""),0.815540124872241)</f>
        <v>0.81554012487224103</v>
      </c>
      <c r="I57" s="17">
        <f ca="1">IFERROR(__xludf.DUMMYFUNCTION("""COMPUTED_VALUE"""),0.421840778021113)</f>
        <v>0.42184077802111303</v>
      </c>
      <c r="J57" s="17">
        <f ca="1">IFERROR(__xludf.DUMMYFUNCTION("""COMPUTED_VALUE"""),0.689894277931892)</f>
        <v>0.68989427793189195</v>
      </c>
      <c r="K57" s="17" t="str">
        <f ca="1">IFERROR(__xludf.DUMMYFUNCTION("""COMPUTED_VALUE"""),"nan")</f>
        <v>nan</v>
      </c>
      <c r="L57" s="17">
        <f ca="1">IFERROR(__xludf.DUMMYFUNCTION("""COMPUTED_VALUE"""),0.541757544477377)</f>
        <v>0.54175754447737701</v>
      </c>
      <c r="M57" s="17">
        <f ca="1">IFERROR(__xludf.DUMMYFUNCTION("""COMPUTED_VALUE"""),0.606964673040499)</f>
        <v>0.60696467304049895</v>
      </c>
      <c r="N57" s="17">
        <f ca="1">IFERROR(__xludf.DUMMYFUNCTION("""COMPUTED_VALUE"""),0.535003066135442)</f>
        <v>0.53500306613544202</v>
      </c>
      <c r="O57" s="17">
        <f ca="1">IFERROR(__xludf.DUMMYFUNCTION("""COMPUTED_VALUE"""),0.339082865469345)</f>
        <v>0.33908286546934502</v>
      </c>
      <c r="P57" s="17">
        <f ca="1">IFERROR(__xludf.DUMMYFUNCTION("""COMPUTED_VALUE"""),0.555982642178899)</f>
        <v>0.55598264217889903</v>
      </c>
      <c r="Q57" s="17">
        <f ca="1">IFERROR(__xludf.DUMMYFUNCTION("""COMPUTED_VALUE"""),1.14215339583336)</f>
        <v>1.1421533958333601</v>
      </c>
      <c r="R57" s="17">
        <f ca="1">IFERROR(__xludf.DUMMYFUNCTION("""COMPUTED_VALUE"""),0.352458827058675)</f>
        <v>0.35245882705867498</v>
      </c>
      <c r="S57" s="17">
        <f ca="1">IFERROR(__xludf.DUMMYFUNCTION("""COMPUTED_VALUE"""),0.625774318520375)</f>
        <v>0.62577431852037502</v>
      </c>
      <c r="T57" s="17">
        <f ca="1">IFERROR(__xludf.DUMMYFUNCTION("""COMPUTED_VALUE"""),0.262236985594907)</f>
        <v>0.26223698559490699</v>
      </c>
      <c r="U57" s="17">
        <f ca="1">IFERROR(__xludf.DUMMYFUNCTION("""COMPUTED_VALUE"""),0.234567191466093)</f>
        <v>0.23456719146609301</v>
      </c>
      <c r="V57" s="17">
        <f ca="1">IFERROR(__xludf.DUMMYFUNCTION("""COMPUTED_VALUE"""),0.36377545402587)</f>
        <v>0.36377545402587003</v>
      </c>
      <c r="W57" s="17">
        <f ca="1">IFERROR(__xludf.DUMMYFUNCTION("""COMPUTED_VALUE"""),0.253052776775263)</f>
        <v>0.253052776775263</v>
      </c>
      <c r="X57" s="17">
        <f ca="1">IFERROR(__xludf.DUMMYFUNCTION("""COMPUTED_VALUE"""),0.341702768333029)</f>
        <v>0.34170276833302898</v>
      </c>
      <c r="Y57" s="17">
        <f ca="1">IFERROR(__xludf.DUMMYFUNCTION("""COMPUTED_VALUE"""),0.12987598514032)</f>
        <v>0.12987598514032</v>
      </c>
      <c r="Z57" s="17">
        <f ca="1">IFERROR(__xludf.DUMMYFUNCTION("""COMPUTED_VALUE"""),0.303064385240689)</f>
        <v>0.30306438524068902</v>
      </c>
      <c r="AA57" s="17">
        <f ca="1">IFERROR(__xludf.DUMMYFUNCTION("""COMPUTED_VALUE"""),0.119353478717824)</f>
        <v>0.11935347871782399</v>
      </c>
      <c r="AB57" s="17">
        <f ca="1">IFERROR(__xludf.DUMMYFUNCTION("""COMPUTED_VALUE"""),0.609850654384565)</f>
        <v>0.60985065438456498</v>
      </c>
      <c r="AC57" s="17">
        <f ca="1">IFERROR(__xludf.DUMMYFUNCTION("""COMPUTED_VALUE"""),0.18635229931963)</f>
        <v>0.18635229931962999</v>
      </c>
      <c r="AD57" s="17">
        <f ca="1">IFERROR(__xludf.DUMMYFUNCTION("""COMPUTED_VALUE"""),0.114323632206458)</f>
        <v>0.114323632206458</v>
      </c>
      <c r="AE57" s="17">
        <f ca="1">IFERROR(__xludf.DUMMYFUNCTION("""COMPUTED_VALUE"""),0.761893415410402)</f>
        <v>0.76189341541040201</v>
      </c>
      <c r="AF57" s="17">
        <f ca="1">IFERROR(__xludf.DUMMYFUNCTION("""COMPUTED_VALUE"""),0.370244192795861)</f>
        <v>0.37024419279586102</v>
      </c>
      <c r="AG57" s="17">
        <f ca="1">IFERROR(__xludf.DUMMYFUNCTION("""COMPUTED_VALUE"""),0.414345907762041)</f>
        <v>0.414345907762041</v>
      </c>
      <c r="AH57" s="17">
        <f ca="1">IFERROR(__xludf.DUMMYFUNCTION("""COMPUTED_VALUE"""),0.125419043744945)</f>
        <v>0.125419043744945</v>
      </c>
      <c r="AI57" s="17">
        <f ca="1">IFERROR(__xludf.DUMMYFUNCTION("""COMPUTED_VALUE"""),0.410773516677418)</f>
        <v>0.41077351667741802</v>
      </c>
      <c r="AJ57" s="17">
        <f ca="1">IFERROR(__xludf.DUMMYFUNCTION("""COMPUTED_VALUE"""),0.380496174439781)</f>
        <v>0.38049617443978101</v>
      </c>
    </row>
    <row r="58" spans="2:36" ht="15.75" customHeight="1" x14ac:dyDescent="0.45">
      <c r="B58" s="10" t="str">
        <f ca="1">IFERROR(__xludf.DUMMYFUNCTION("""COMPUTED_VALUE"""),"BirdChicken")</f>
        <v>BirdChicken</v>
      </c>
      <c r="C58" s="10" t="str">
        <f ca="1">IFERROR(__xludf.DUMMYFUNCTION("""COMPUTED_VALUE"""),"mcar")</f>
        <v>mcar</v>
      </c>
      <c r="D58" s="10">
        <f ca="1">IFERROR(__xludf.DUMMYFUNCTION("""COMPUTED_VALUE"""),0.2)</f>
        <v>0.2</v>
      </c>
      <c r="E58" s="17">
        <f ca="1">IFERROR(__xludf.DUMMYFUNCTION("""COMPUTED_VALUE"""),0.866344177658084)</f>
        <v>0.86634417765808402</v>
      </c>
      <c r="F58" s="17">
        <f ca="1">IFERROR(__xludf.DUMMYFUNCTION("""COMPUTED_VALUE"""),0.623587181188762)</f>
        <v>0.623587181188762</v>
      </c>
      <c r="G58" s="17">
        <f ca="1">IFERROR(__xludf.DUMMYFUNCTION("""COMPUTED_VALUE"""),0.641080594049756)</f>
        <v>0.64108059404975604</v>
      </c>
      <c r="H58" s="17">
        <f ca="1">IFERROR(__xludf.DUMMYFUNCTION("""COMPUTED_VALUE"""),0.808790786172905)</f>
        <v>0.80879078617290501</v>
      </c>
      <c r="I58" s="17">
        <f ca="1">IFERROR(__xludf.DUMMYFUNCTION("""COMPUTED_VALUE"""),0.374316264120998)</f>
        <v>0.374316264120998</v>
      </c>
      <c r="J58" s="17">
        <f ca="1">IFERROR(__xludf.DUMMYFUNCTION("""COMPUTED_VALUE"""),0.633442306221716)</f>
        <v>0.63344230622171604</v>
      </c>
      <c r="K58" s="17" t="str">
        <f ca="1">IFERROR(__xludf.DUMMYFUNCTION("""COMPUTED_VALUE"""),"nan")</f>
        <v>nan</v>
      </c>
      <c r="L58" s="17">
        <f ca="1">IFERROR(__xludf.DUMMYFUNCTION("""COMPUTED_VALUE"""),0.547923062194159)</f>
        <v>0.54792306219415898</v>
      </c>
      <c r="M58" s="17">
        <f ca="1">IFERROR(__xludf.DUMMYFUNCTION("""COMPUTED_VALUE"""),0.650882231528054)</f>
        <v>0.65088223152805402</v>
      </c>
      <c r="N58" s="17">
        <f ca="1">IFERROR(__xludf.DUMMYFUNCTION("""COMPUTED_VALUE"""),0.537149070819489)</f>
        <v>0.53714907081948904</v>
      </c>
      <c r="O58" s="17">
        <f ca="1">IFERROR(__xludf.DUMMYFUNCTION("""COMPUTED_VALUE"""),0.408302505400508)</f>
        <v>0.408302505400508</v>
      </c>
      <c r="P58" s="17">
        <f ca="1">IFERROR(__xludf.DUMMYFUNCTION("""COMPUTED_VALUE"""),0.502087545992428)</f>
        <v>0.502087545992428</v>
      </c>
      <c r="Q58" s="17">
        <f ca="1">IFERROR(__xludf.DUMMYFUNCTION("""COMPUTED_VALUE"""),1.10180457422179)</f>
        <v>1.1018045742217899</v>
      </c>
      <c r="R58" s="17">
        <f ca="1">IFERROR(__xludf.DUMMYFUNCTION("""COMPUTED_VALUE"""),0.340978669639396)</f>
        <v>0.34097866963939599</v>
      </c>
      <c r="S58" s="17">
        <f ca="1">IFERROR(__xludf.DUMMYFUNCTION("""COMPUTED_VALUE"""),0.484317986912171)</f>
        <v>0.48431798691217098</v>
      </c>
      <c r="T58" s="17">
        <f ca="1">IFERROR(__xludf.DUMMYFUNCTION("""COMPUTED_VALUE"""),0.199671179907184)</f>
        <v>0.199671179907184</v>
      </c>
      <c r="U58" s="17">
        <f ca="1">IFERROR(__xludf.DUMMYFUNCTION("""COMPUTED_VALUE"""),0.208640609877808)</f>
        <v>0.208640609877808</v>
      </c>
      <c r="V58" s="17">
        <f ca="1">IFERROR(__xludf.DUMMYFUNCTION("""COMPUTED_VALUE"""),0.401876318829884)</f>
        <v>0.40187631882988401</v>
      </c>
      <c r="W58" s="17">
        <f ca="1">IFERROR(__xludf.DUMMYFUNCTION("""COMPUTED_VALUE"""),0.227268229940949)</f>
        <v>0.227268229940949</v>
      </c>
      <c r="X58" s="17">
        <f ca="1">IFERROR(__xludf.DUMMYFUNCTION("""COMPUTED_VALUE"""),0.372804389303331)</f>
        <v>0.37280438930333099</v>
      </c>
      <c r="Y58" s="17">
        <f ca="1">IFERROR(__xludf.DUMMYFUNCTION("""COMPUTED_VALUE"""),0.12590428968191)</f>
        <v>0.12590428968191</v>
      </c>
      <c r="Z58" s="17">
        <f ca="1">IFERROR(__xludf.DUMMYFUNCTION("""COMPUTED_VALUE"""),0.283933567435617)</f>
        <v>0.28393356743561698</v>
      </c>
      <c r="AA58" s="17">
        <f ca="1">IFERROR(__xludf.DUMMYFUNCTION("""COMPUTED_VALUE"""),0.106994677234244)</f>
        <v>0.106994677234244</v>
      </c>
      <c r="AB58" s="17">
        <f ca="1">IFERROR(__xludf.DUMMYFUNCTION("""COMPUTED_VALUE"""),0.633417261110532)</f>
        <v>0.63341726111053198</v>
      </c>
      <c r="AC58" s="17">
        <f ca="1">IFERROR(__xludf.DUMMYFUNCTION("""COMPUTED_VALUE"""),0.153242461974992)</f>
        <v>0.153242461974992</v>
      </c>
      <c r="AD58" s="17">
        <f ca="1">IFERROR(__xludf.DUMMYFUNCTION("""COMPUTED_VALUE"""),0.13644199963688)</f>
        <v>0.13644199963688</v>
      </c>
      <c r="AE58" s="17">
        <f ca="1">IFERROR(__xludf.DUMMYFUNCTION("""COMPUTED_VALUE"""),0.817371253791416)</f>
        <v>0.81737125379141595</v>
      </c>
      <c r="AF58" s="17">
        <f ca="1">IFERROR(__xludf.DUMMYFUNCTION("""COMPUTED_VALUE"""),0.470892957663548)</f>
        <v>0.470892957663548</v>
      </c>
      <c r="AG58" s="17">
        <f ca="1">IFERROR(__xludf.DUMMYFUNCTION("""COMPUTED_VALUE"""),0.531680043326113)</f>
        <v>0.53168004332611296</v>
      </c>
      <c r="AH58" s="17">
        <f ca="1">IFERROR(__xludf.DUMMYFUNCTION("""COMPUTED_VALUE"""),0.160941107086986)</f>
        <v>0.160941107086986</v>
      </c>
      <c r="AI58" s="17">
        <f ca="1">IFERROR(__xludf.DUMMYFUNCTION("""COMPUTED_VALUE"""),0.725777008477788)</f>
        <v>0.72577700847778803</v>
      </c>
      <c r="AJ58" s="17">
        <f ca="1">IFERROR(__xludf.DUMMYFUNCTION("""COMPUTED_VALUE"""),0.479115768689578)</f>
        <v>0.479115768689578</v>
      </c>
    </row>
    <row r="59" spans="2:36" ht="15.75" customHeight="1" x14ac:dyDescent="0.45">
      <c r="B59" s="10" t="str">
        <f ca="1">IFERROR(__xludf.DUMMYFUNCTION("""COMPUTED_VALUE"""),"BirdChicken")</f>
        <v>BirdChicken</v>
      </c>
      <c r="C59" s="10" t="str">
        <f ca="1">IFERROR(__xludf.DUMMYFUNCTION("""COMPUTED_VALUE"""),"mcar")</f>
        <v>mcar</v>
      </c>
      <c r="D59" s="10">
        <f ca="1">IFERROR(__xludf.DUMMYFUNCTION("""COMPUTED_VALUE"""),0.4)</f>
        <v>0.4</v>
      </c>
      <c r="E59" s="17">
        <f ca="1">IFERROR(__xludf.DUMMYFUNCTION("""COMPUTED_VALUE"""),0.965675728318645)</f>
        <v>0.96567572831864501</v>
      </c>
      <c r="F59" s="17">
        <f ca="1">IFERROR(__xludf.DUMMYFUNCTION("""COMPUTED_VALUE"""),0.571054709469511)</f>
        <v>0.57105470946951098</v>
      </c>
      <c r="G59" s="17">
        <f ca="1">IFERROR(__xludf.DUMMYFUNCTION("""COMPUTED_VALUE"""),0.587057261771379)</f>
        <v>0.58705726177137896</v>
      </c>
      <c r="H59" s="17">
        <f ca="1">IFERROR(__xludf.DUMMYFUNCTION("""COMPUTED_VALUE"""),0.833071400082359)</f>
        <v>0.83307140008235903</v>
      </c>
      <c r="I59" s="17">
        <f ca="1">IFERROR(__xludf.DUMMYFUNCTION("""COMPUTED_VALUE"""),0.444693011838831)</f>
        <v>0.44469301183883098</v>
      </c>
      <c r="J59" s="17">
        <f ca="1">IFERROR(__xludf.DUMMYFUNCTION("""COMPUTED_VALUE"""),0.768293829217177)</f>
        <v>0.76829382921717704</v>
      </c>
      <c r="K59" s="17" t="str">
        <f ca="1">IFERROR(__xludf.DUMMYFUNCTION("""COMPUTED_VALUE"""),"nan")</f>
        <v>nan</v>
      </c>
      <c r="L59" s="17">
        <f ca="1">IFERROR(__xludf.DUMMYFUNCTION("""COMPUTED_VALUE"""),0.562955946784101)</f>
        <v>0.56295594678410099</v>
      </c>
      <c r="M59" s="17">
        <f ca="1">IFERROR(__xludf.DUMMYFUNCTION("""COMPUTED_VALUE"""),0.584209899113258)</f>
        <v>0.58420989911325805</v>
      </c>
      <c r="N59" s="17">
        <f ca="1">IFERROR(__xludf.DUMMYFUNCTION("""COMPUTED_VALUE"""),0.496663912730028)</f>
        <v>0.49666391273002802</v>
      </c>
      <c r="O59" s="17">
        <f ca="1">IFERROR(__xludf.DUMMYFUNCTION("""COMPUTED_VALUE"""),0.531843419365446)</f>
        <v>0.53184341936544599</v>
      </c>
      <c r="P59" s="17">
        <f ca="1">IFERROR(__xludf.DUMMYFUNCTION("""COMPUTED_VALUE"""),0.561865319525468)</f>
        <v>0.56186531952546803</v>
      </c>
      <c r="Q59" s="17">
        <f ca="1">IFERROR(__xludf.DUMMYFUNCTION("""COMPUTED_VALUE"""),1.00114165604249)</f>
        <v>1.0011416560424899</v>
      </c>
      <c r="R59" s="17">
        <f ca="1">IFERROR(__xludf.DUMMYFUNCTION("""COMPUTED_VALUE"""),0.35136102928608)</f>
        <v>0.35136102928607998</v>
      </c>
      <c r="S59" s="17">
        <f ca="1">IFERROR(__xludf.DUMMYFUNCTION("""COMPUTED_VALUE"""),0.521249426407004)</f>
        <v>0.521249426407004</v>
      </c>
      <c r="T59" s="17">
        <f ca="1">IFERROR(__xludf.DUMMYFUNCTION("""COMPUTED_VALUE"""),0.283331303797881)</f>
        <v>0.28333130379788102</v>
      </c>
      <c r="U59" s="17">
        <f ca="1">IFERROR(__xludf.DUMMYFUNCTION("""COMPUTED_VALUE"""),0.371760918337026)</f>
        <v>0.37176091833702601</v>
      </c>
      <c r="V59" s="17">
        <f ca="1">IFERROR(__xludf.DUMMYFUNCTION("""COMPUTED_VALUE"""),0.418055972484692)</f>
        <v>0.41805597248469201</v>
      </c>
      <c r="W59" s="17">
        <f ca="1">IFERROR(__xludf.DUMMYFUNCTION("""COMPUTED_VALUE"""),0.394121745793237)</f>
        <v>0.394121745793237</v>
      </c>
      <c r="X59" s="17">
        <f ca="1">IFERROR(__xludf.DUMMYFUNCTION("""COMPUTED_VALUE"""),0.350453728127614)</f>
        <v>0.35045372812761399</v>
      </c>
      <c r="Y59" s="17">
        <f ca="1">IFERROR(__xludf.DUMMYFUNCTION("""COMPUTED_VALUE"""),0.131090231775757)</f>
        <v>0.13109023177575699</v>
      </c>
      <c r="Z59" s="17">
        <f ca="1">IFERROR(__xludf.DUMMYFUNCTION("""COMPUTED_VALUE"""),0.321285596161311)</f>
        <v>0.32128559616131103</v>
      </c>
      <c r="AA59" s="17">
        <f ca="1">IFERROR(__xludf.DUMMYFUNCTION("""COMPUTED_VALUE"""),0.180445826530689)</f>
        <v>0.180445826530689</v>
      </c>
      <c r="AB59" s="17">
        <f ca="1">IFERROR(__xludf.DUMMYFUNCTION("""COMPUTED_VALUE"""),0.541886371277485)</f>
        <v>0.54188637127748496</v>
      </c>
      <c r="AC59" s="17">
        <f ca="1">IFERROR(__xludf.DUMMYFUNCTION("""COMPUTED_VALUE"""),0.134183237175105)</f>
        <v>0.134183237175105</v>
      </c>
      <c r="AD59" s="17">
        <f ca="1">IFERROR(__xludf.DUMMYFUNCTION("""COMPUTED_VALUE"""),0.226408924522333)</f>
        <v>0.22640892452233299</v>
      </c>
      <c r="AE59" s="17">
        <f ca="1">IFERROR(__xludf.DUMMYFUNCTION("""COMPUTED_VALUE"""),0.902787441041102)</f>
        <v>0.90278744104110198</v>
      </c>
      <c r="AF59" s="17">
        <f ca="1">IFERROR(__xludf.DUMMYFUNCTION("""COMPUTED_VALUE"""),0.601616924477284)</f>
        <v>0.60161692447728399</v>
      </c>
      <c r="AG59" s="17">
        <f ca="1">IFERROR(__xludf.DUMMYFUNCTION("""COMPUTED_VALUE"""),0.794942823672928)</f>
        <v>0.79494282367292801</v>
      </c>
      <c r="AH59" s="17">
        <f ca="1">IFERROR(__xludf.DUMMYFUNCTION("""COMPUTED_VALUE"""),0.338064904716944)</f>
        <v>0.338064904716944</v>
      </c>
      <c r="AI59" s="17">
        <f ca="1">IFERROR(__xludf.DUMMYFUNCTION("""COMPUTED_VALUE"""),0.981604301072082)</f>
        <v>0.98160430107208196</v>
      </c>
      <c r="AJ59" s="17">
        <f ca="1">IFERROR(__xludf.DUMMYFUNCTION("""COMPUTED_VALUE"""),0.552540167464537)</f>
        <v>0.55254016746453705</v>
      </c>
    </row>
    <row r="60" spans="2:36" ht="15.75" customHeight="1" x14ac:dyDescent="0.45">
      <c r="B60" s="10" t="str">
        <f ca="1">IFERROR(__xludf.DUMMYFUNCTION("""COMPUTED_VALUE"""),"BirdChicken")</f>
        <v>BirdChicken</v>
      </c>
      <c r="C60" s="10" t="str">
        <f ca="1">IFERROR(__xludf.DUMMYFUNCTION("""COMPUTED_VALUE"""),"mcar")</f>
        <v>mcar</v>
      </c>
      <c r="D60" s="10">
        <f ca="1">IFERROR(__xludf.DUMMYFUNCTION("""COMPUTED_VALUE"""),0.6)</f>
        <v>0.6</v>
      </c>
      <c r="E60" s="17">
        <f ca="1">IFERROR(__xludf.DUMMYFUNCTION("""COMPUTED_VALUE"""),0.981432243973295)</f>
        <v>0.98143224397329498</v>
      </c>
      <c r="F60" s="17">
        <f ca="1">IFERROR(__xludf.DUMMYFUNCTION("""COMPUTED_VALUE"""),0.639998524924264)</f>
        <v>0.63999852492426401</v>
      </c>
      <c r="G60" s="17">
        <f ca="1">IFERROR(__xludf.DUMMYFUNCTION("""COMPUTED_VALUE"""),0.671858916797582)</f>
        <v>0.67185891679758203</v>
      </c>
      <c r="H60" s="17">
        <f ca="1">IFERROR(__xludf.DUMMYFUNCTION("""COMPUTED_VALUE"""),0.83816509928592)</f>
        <v>0.83816509928591998</v>
      </c>
      <c r="I60" s="17">
        <f ca="1">IFERROR(__xludf.DUMMYFUNCTION("""COMPUTED_VALUE"""),0.575833941023705)</f>
        <v>0.575833941023705</v>
      </c>
      <c r="J60" s="17">
        <f ca="1">IFERROR(__xludf.DUMMYFUNCTION("""COMPUTED_VALUE"""),0.873504255428578)</f>
        <v>0.87350425542857801</v>
      </c>
      <c r="K60" s="17" t="str">
        <f ca="1">IFERROR(__xludf.DUMMYFUNCTION("""COMPUTED_VALUE"""),"nan")</f>
        <v>nan</v>
      </c>
      <c r="L60" s="17">
        <f ca="1">IFERROR(__xludf.DUMMYFUNCTION("""COMPUTED_VALUE"""),0.654512226078097)</f>
        <v>0.654512226078097</v>
      </c>
      <c r="M60" s="17">
        <f ca="1">IFERROR(__xludf.DUMMYFUNCTION("""COMPUTED_VALUE"""),0.634637125257045)</f>
        <v>0.63463712525704497</v>
      </c>
      <c r="N60" s="17">
        <f ca="1">IFERROR(__xludf.DUMMYFUNCTION("""COMPUTED_VALUE"""),0.59425318524065)</f>
        <v>0.59425318524064996</v>
      </c>
      <c r="O60" s="17">
        <f ca="1">IFERROR(__xludf.DUMMYFUNCTION("""COMPUTED_VALUE"""),0.760531707761025)</f>
        <v>0.76053170776102497</v>
      </c>
      <c r="P60" s="17">
        <f ca="1">IFERROR(__xludf.DUMMYFUNCTION("""COMPUTED_VALUE"""),0.663290751567012)</f>
        <v>0.663290751567012</v>
      </c>
      <c r="Q60" s="17">
        <f ca="1">IFERROR(__xludf.DUMMYFUNCTION("""COMPUTED_VALUE"""),0.971302985684995)</f>
        <v>0.97130298568499496</v>
      </c>
      <c r="R60" s="17">
        <f ca="1">IFERROR(__xludf.DUMMYFUNCTION("""COMPUTED_VALUE"""),0.559342155092679)</f>
        <v>0.55934215509267904</v>
      </c>
      <c r="S60" s="17">
        <f ca="1">IFERROR(__xludf.DUMMYFUNCTION("""COMPUTED_VALUE"""),0.759358873341054)</f>
        <v>0.75935887334105401</v>
      </c>
      <c r="T60" s="17">
        <f ca="1">IFERROR(__xludf.DUMMYFUNCTION("""COMPUTED_VALUE"""),0.488840281245474)</f>
        <v>0.48884028124547402</v>
      </c>
      <c r="U60" s="17">
        <f ca="1">IFERROR(__xludf.DUMMYFUNCTION("""COMPUTED_VALUE"""),0.672971959147636)</f>
        <v>0.67297195914763597</v>
      </c>
      <c r="V60" s="17">
        <f ca="1">IFERROR(__xludf.DUMMYFUNCTION("""COMPUTED_VALUE"""),0.517554475973686)</f>
        <v>0.51755447597368598</v>
      </c>
      <c r="W60" s="17">
        <f ca="1">IFERROR(__xludf.DUMMYFUNCTION("""COMPUTED_VALUE"""),0.653083350341999)</f>
        <v>0.65308335034199905</v>
      </c>
      <c r="X60" s="17">
        <f ca="1">IFERROR(__xludf.DUMMYFUNCTION("""COMPUTED_VALUE"""),0.420329294331414)</f>
        <v>0.42032929433141403</v>
      </c>
      <c r="Y60" s="17">
        <f ca="1">IFERROR(__xludf.DUMMYFUNCTION("""COMPUTED_VALUE"""),0.376439554498922)</f>
        <v>0.37643955449892202</v>
      </c>
      <c r="Z60" s="17">
        <f ca="1">IFERROR(__xludf.DUMMYFUNCTION("""COMPUTED_VALUE"""),0.601608015360585)</f>
        <v>0.60160801536058495</v>
      </c>
      <c r="AA60" s="17">
        <f ca="1">IFERROR(__xludf.DUMMYFUNCTION("""COMPUTED_VALUE"""),0.392750874947804)</f>
        <v>0.39275087494780397</v>
      </c>
      <c r="AB60" s="17">
        <f ca="1">IFERROR(__xludf.DUMMYFUNCTION("""COMPUTED_VALUE"""),0.679427893701235)</f>
        <v>0.67942789370123502</v>
      </c>
      <c r="AC60" s="17">
        <f ca="1">IFERROR(__xludf.DUMMYFUNCTION("""COMPUTED_VALUE"""),0.54093800478716)</f>
        <v>0.54093800478716003</v>
      </c>
      <c r="AD60" s="17">
        <f ca="1">IFERROR(__xludf.DUMMYFUNCTION("""COMPUTED_VALUE"""),0.637690696724098)</f>
        <v>0.63769069672409795</v>
      </c>
      <c r="AE60" s="17">
        <f ca="1">IFERROR(__xludf.DUMMYFUNCTION("""COMPUTED_VALUE"""),1.25326539201093)</f>
        <v>1.25326539201093</v>
      </c>
      <c r="AF60" s="17">
        <f ca="1">IFERROR(__xludf.DUMMYFUNCTION("""COMPUTED_VALUE"""),0.543867162002674)</f>
        <v>0.54386716200267404</v>
      </c>
      <c r="AG60" s="17">
        <f ca="1">IFERROR(__xludf.DUMMYFUNCTION("""COMPUTED_VALUE"""),1.07438484921989)</f>
        <v>1.07438484921989</v>
      </c>
      <c r="AH60" s="17">
        <f ca="1">IFERROR(__xludf.DUMMYFUNCTION("""COMPUTED_VALUE"""),0.980174968510333)</f>
        <v>0.98017496851033303</v>
      </c>
      <c r="AI60" s="17">
        <f ca="1">IFERROR(__xludf.DUMMYFUNCTION("""COMPUTED_VALUE"""),1.00459061983743)</f>
        <v>1.0045906198374299</v>
      </c>
      <c r="AJ60" s="17">
        <f ca="1">IFERROR(__xludf.DUMMYFUNCTION("""COMPUTED_VALUE"""),0.684817162847265)</f>
        <v>0.68481716284726502</v>
      </c>
    </row>
    <row r="61" spans="2:36" ht="15.75" customHeight="1" x14ac:dyDescent="0.45">
      <c r="B61" s="10" t="str">
        <f ca="1">IFERROR(__xludf.DUMMYFUNCTION("""COMPUTED_VALUE"""),"BirdChicken")</f>
        <v>BirdChicken</v>
      </c>
      <c r="C61" s="10" t="str">
        <f ca="1">IFERROR(__xludf.DUMMYFUNCTION("""COMPUTED_VALUE"""),"mcar")</f>
        <v>mcar</v>
      </c>
      <c r="D61" s="10">
        <f ca="1">IFERROR(__xludf.DUMMYFUNCTION("""COMPUTED_VALUE"""),0.8)</f>
        <v>0.8</v>
      </c>
      <c r="E61" s="17">
        <f ca="1">IFERROR(__xludf.DUMMYFUNCTION("""COMPUTED_VALUE"""),1.00224536577148)</f>
        <v>1.00224536577148</v>
      </c>
      <c r="F61" s="17">
        <f ca="1">IFERROR(__xludf.DUMMYFUNCTION("""COMPUTED_VALUE"""),0.712256862264213)</f>
        <v>0.71225686226421303</v>
      </c>
      <c r="G61" s="17">
        <f ca="1">IFERROR(__xludf.DUMMYFUNCTION("""COMPUTED_VALUE"""),0.871709419391832)</f>
        <v>0.871709419391832</v>
      </c>
      <c r="H61" s="17">
        <f ca="1">IFERROR(__xludf.DUMMYFUNCTION("""COMPUTED_VALUE"""),0.894786339841957)</f>
        <v>0.89478633984195699</v>
      </c>
      <c r="I61" s="17">
        <f ca="1">IFERROR(__xludf.DUMMYFUNCTION("""COMPUTED_VALUE"""),0.735245093471133)</f>
        <v>0.73524509347113298</v>
      </c>
      <c r="J61" s="17">
        <f ca="1">IFERROR(__xludf.DUMMYFUNCTION("""COMPUTED_VALUE"""),1.04099808173671)</f>
        <v>1.0409980817367099</v>
      </c>
      <c r="K61" s="17" t="str">
        <f ca="1">IFERROR(__xludf.DUMMYFUNCTION("""COMPUTED_VALUE"""),"nan")</f>
        <v>nan</v>
      </c>
      <c r="L61" s="17">
        <f ca="1">IFERROR(__xludf.DUMMYFUNCTION("""COMPUTED_VALUE"""),0.664684219747329)</f>
        <v>0.66468421974732905</v>
      </c>
      <c r="M61" s="17">
        <f ca="1">IFERROR(__xludf.DUMMYFUNCTION("""COMPUTED_VALUE"""),1.16007258961381)</f>
        <v>1.16007258961381</v>
      </c>
      <c r="N61" s="17">
        <f ca="1">IFERROR(__xludf.DUMMYFUNCTION("""COMPUTED_VALUE"""),0.728428600210716)</f>
        <v>0.72842860021071598</v>
      </c>
      <c r="O61" s="17">
        <f ca="1">IFERROR(__xludf.DUMMYFUNCTION("""COMPUTED_VALUE"""),0.773254166886634)</f>
        <v>0.77325416688663395</v>
      </c>
      <c r="P61" s="17">
        <f ca="1">IFERROR(__xludf.DUMMYFUNCTION("""COMPUTED_VALUE"""),0.829286737590573)</f>
        <v>0.82928673759057303</v>
      </c>
      <c r="Q61" s="17">
        <f ca="1">IFERROR(__xludf.DUMMYFUNCTION("""COMPUTED_VALUE"""),0.922979783086324)</f>
        <v>0.922979783086324</v>
      </c>
      <c r="R61" s="17">
        <f ca="1">IFERROR(__xludf.DUMMYFUNCTION("""COMPUTED_VALUE"""),0.576761325461862)</f>
        <v>0.57676132546186198</v>
      </c>
      <c r="S61" s="17">
        <f ca="1">IFERROR(__xludf.DUMMYFUNCTION("""COMPUTED_VALUE"""),0.990487715013083)</f>
        <v>0.99048771501308297</v>
      </c>
      <c r="T61" s="17">
        <f ca="1">IFERROR(__xludf.DUMMYFUNCTION("""COMPUTED_VALUE"""),0.571239928592182)</f>
        <v>0.57123992859218198</v>
      </c>
      <c r="U61" s="17">
        <f ca="1">IFERROR(__xludf.DUMMYFUNCTION("""COMPUTED_VALUE"""),0.759144627847794)</f>
        <v>0.75914462784779402</v>
      </c>
      <c r="V61" s="17">
        <f ca="1">IFERROR(__xludf.DUMMYFUNCTION("""COMPUTED_VALUE"""),0.685888539203575)</f>
        <v>0.68588853920357495</v>
      </c>
      <c r="W61" s="17">
        <f ca="1">IFERROR(__xludf.DUMMYFUNCTION("""COMPUTED_VALUE"""),0.796292478345362)</f>
        <v>0.79629247834536199</v>
      </c>
      <c r="X61" s="17">
        <f ca="1">IFERROR(__xludf.DUMMYFUNCTION("""COMPUTED_VALUE"""),0.44705599788211)</f>
        <v>0.44705599788210998</v>
      </c>
      <c r="Y61" s="17">
        <f ca="1">IFERROR(__xludf.DUMMYFUNCTION("""COMPUTED_VALUE"""),0.55922483342606)</f>
        <v>0.55922483342606</v>
      </c>
      <c r="Z61" s="17">
        <f ca="1">IFERROR(__xludf.DUMMYFUNCTION("""COMPUTED_VALUE"""),0.768093364469205)</f>
        <v>0.76809336446920495</v>
      </c>
      <c r="AA61" s="17">
        <f ca="1">IFERROR(__xludf.DUMMYFUNCTION("""COMPUTED_VALUE"""),0.64434134600194)</f>
        <v>0.64434134600194004</v>
      </c>
      <c r="AB61" s="17">
        <f ca="1">IFERROR(__xludf.DUMMYFUNCTION("""COMPUTED_VALUE"""),0.66950983636312)</f>
        <v>0.66950983636312</v>
      </c>
      <c r="AC61" s="17">
        <f ca="1">IFERROR(__xludf.DUMMYFUNCTION("""COMPUTED_VALUE"""),0.814827437032535)</f>
        <v>0.81482743703253502</v>
      </c>
      <c r="AD61" s="17">
        <f ca="1">IFERROR(__xludf.DUMMYFUNCTION("""COMPUTED_VALUE"""),0.832183532959066)</f>
        <v>0.832183532959066</v>
      </c>
      <c r="AE61" s="17" t="str">
        <f ca="1">IFERROR(__xludf.DUMMYFUNCTION("""COMPUTED_VALUE"""),"nan")</f>
        <v>nan</v>
      </c>
      <c r="AF61" s="17">
        <f ca="1">IFERROR(__xludf.DUMMYFUNCTION("""COMPUTED_VALUE"""),0.722431168855699)</f>
        <v>0.72243116885569902</v>
      </c>
      <c r="AG61" s="17">
        <f ca="1">IFERROR(__xludf.DUMMYFUNCTION("""COMPUTED_VALUE"""),1.08520326713237)</f>
        <v>1.0852032671323699</v>
      </c>
      <c r="AH61" s="17">
        <f ca="1">IFERROR(__xludf.DUMMYFUNCTION("""COMPUTED_VALUE"""),1.0797789556885)</f>
        <v>1.0797789556885</v>
      </c>
      <c r="AI61" s="17">
        <f ca="1">IFERROR(__xludf.DUMMYFUNCTION("""COMPUTED_VALUE"""),1.07221065926285)</f>
        <v>1.07221065926285</v>
      </c>
      <c r="AJ61" s="17">
        <f ca="1">IFERROR(__xludf.DUMMYFUNCTION("""COMPUTED_VALUE"""),1.08522507354629)</f>
        <v>1.0852250735462901</v>
      </c>
    </row>
    <row r="62" spans="2:36" ht="15.75" customHeight="1" x14ac:dyDescent="0.45">
      <c r="B62" s="10" t="str">
        <f ca="1">IFERROR(__xludf.DUMMYFUNCTION("""COMPUTED_VALUE"""),"CBF")</f>
        <v>CBF</v>
      </c>
      <c r="C62" s="10" t="str">
        <f ca="1">IFERROR(__xludf.DUMMYFUNCTION("""COMPUTED_VALUE"""),"aligned_series")</f>
        <v>aligned_series</v>
      </c>
      <c r="D62" s="10">
        <f ca="1">IFERROR(__xludf.DUMMYFUNCTION("""COMPUTED_VALUE"""),0.1)</f>
        <v>0.1</v>
      </c>
      <c r="E62" s="17">
        <f ca="1">IFERROR(__xludf.DUMMYFUNCTION("""COMPUTED_VALUE"""),1.11947354748522)</f>
        <v>1.11947354748522</v>
      </c>
      <c r="F62" s="17">
        <f ca="1">IFERROR(__xludf.DUMMYFUNCTION("""COMPUTED_VALUE"""),0.836630533426467)</f>
        <v>0.83663053342646698</v>
      </c>
      <c r="G62" s="17">
        <f ca="1">IFERROR(__xludf.DUMMYFUNCTION("""COMPUTED_VALUE"""),0.860747877307531)</f>
        <v>0.860747877307531</v>
      </c>
      <c r="H62" s="17">
        <f ca="1">IFERROR(__xludf.DUMMYFUNCTION("""COMPUTED_VALUE"""),0.748957218302469)</f>
        <v>0.74895721830246897</v>
      </c>
      <c r="I62" s="17">
        <f ca="1">IFERROR(__xludf.DUMMYFUNCTION("""COMPUTED_VALUE"""),0.884445449044075)</f>
        <v>0.88444544904407496</v>
      </c>
      <c r="J62" s="17">
        <f ca="1">IFERROR(__xludf.DUMMYFUNCTION("""COMPUTED_VALUE"""),0.999534433338646)</f>
        <v>0.999534433338646</v>
      </c>
      <c r="K62" s="17" t="str">
        <f ca="1">IFERROR(__xludf.DUMMYFUNCTION("""COMPUTED_VALUE"""),"nan")</f>
        <v>nan</v>
      </c>
      <c r="L62" s="17">
        <f ca="1">IFERROR(__xludf.DUMMYFUNCTION("""COMPUTED_VALUE"""),0.828447336411621)</f>
        <v>0.82844733641162105</v>
      </c>
      <c r="M62" s="17">
        <f ca="1">IFERROR(__xludf.DUMMYFUNCTION("""COMPUTED_VALUE"""),0.792478012938929)</f>
        <v>0.79247801293892906</v>
      </c>
      <c r="N62" s="17">
        <f ca="1">IFERROR(__xludf.DUMMYFUNCTION("""COMPUTED_VALUE"""),0.824053942202254)</f>
        <v>0.82405394220225403</v>
      </c>
      <c r="O62" s="17">
        <f ca="1">IFERROR(__xludf.DUMMYFUNCTION("""COMPUTED_VALUE"""),0.729008539101125)</f>
        <v>0.72900853910112495</v>
      </c>
      <c r="P62" s="17">
        <f ca="1">IFERROR(__xludf.DUMMYFUNCTION("""COMPUTED_VALUE"""),0.9483889706669)</f>
        <v>0.94838897066689998</v>
      </c>
      <c r="Q62" s="17">
        <f ca="1">IFERROR(__xludf.DUMMYFUNCTION("""COMPUTED_VALUE"""),1.14582807845252)</f>
        <v>1.1458280784525201</v>
      </c>
      <c r="R62" s="17">
        <f ca="1">IFERROR(__xludf.DUMMYFUNCTION("""COMPUTED_VALUE"""),0.90931708514764)</f>
        <v>0.90931708514763998</v>
      </c>
      <c r="S62" s="17">
        <f ca="1">IFERROR(__xludf.DUMMYFUNCTION("""COMPUTED_VALUE"""),0.965832882445901)</f>
        <v>0.96583288244590104</v>
      </c>
      <c r="T62" s="17">
        <f ca="1">IFERROR(__xludf.DUMMYFUNCTION("""COMPUTED_VALUE"""),0.788812913397214)</f>
        <v>0.78881291339721404</v>
      </c>
      <c r="U62" s="17">
        <f ca="1">IFERROR(__xludf.DUMMYFUNCTION("""COMPUTED_VALUE"""),0.848212243824421)</f>
        <v>0.84821224382442095</v>
      </c>
      <c r="V62" s="17">
        <f ca="1">IFERROR(__xludf.DUMMYFUNCTION("""COMPUTED_VALUE"""),0.865985782878955)</f>
        <v>0.865985782878955</v>
      </c>
      <c r="W62" s="17">
        <f ca="1">IFERROR(__xludf.DUMMYFUNCTION("""COMPUTED_VALUE"""),0.726145544965017)</f>
        <v>0.72614554496501704</v>
      </c>
      <c r="X62" s="17">
        <f ca="1">IFERROR(__xludf.DUMMYFUNCTION("""COMPUTED_VALUE"""),100)</f>
        <v>100</v>
      </c>
      <c r="Y62" s="17">
        <f ca="1">IFERROR(__xludf.DUMMYFUNCTION("""COMPUTED_VALUE"""),0.92455259665901)</f>
        <v>0.92455259665901002</v>
      </c>
      <c r="Z62" s="17">
        <f ca="1">IFERROR(__xludf.DUMMYFUNCTION("""COMPUTED_VALUE"""),0.87668303306252)</f>
        <v>0.87668303306252005</v>
      </c>
      <c r="AA62" s="17">
        <f ca="1">IFERROR(__xludf.DUMMYFUNCTION("""COMPUTED_VALUE"""),0.777679636791377)</f>
        <v>0.77767963679137697</v>
      </c>
      <c r="AB62" s="17">
        <f ca="1">IFERROR(__xludf.DUMMYFUNCTION("""COMPUTED_VALUE"""),0.914124848896148)</f>
        <v>0.91412484889614798</v>
      </c>
      <c r="AC62" s="17">
        <f ca="1">IFERROR(__xludf.DUMMYFUNCTION("""COMPUTED_VALUE"""),0.94140122865687)</f>
        <v>0.94140122865687004</v>
      </c>
      <c r="AD62" s="17">
        <f ca="1">IFERROR(__xludf.DUMMYFUNCTION("""COMPUTED_VALUE"""),0.956467907681858)</f>
        <v>0.95646790768185797</v>
      </c>
      <c r="AE62" s="17">
        <f ca="1">IFERROR(__xludf.DUMMYFUNCTION("""COMPUTED_VALUE"""),1.22538944297054)</f>
        <v>1.2253894429705401</v>
      </c>
      <c r="AF62" s="17">
        <f ca="1">IFERROR(__xludf.DUMMYFUNCTION("""COMPUTED_VALUE"""),0.958086184467086)</f>
        <v>0.95808618446708604</v>
      </c>
      <c r="AG62" s="17">
        <f ca="1">IFERROR(__xludf.DUMMYFUNCTION("""COMPUTED_VALUE"""),1.24399339650948)</f>
        <v>1.24399339650948</v>
      </c>
      <c r="AH62" s="17">
        <f ca="1">IFERROR(__xludf.DUMMYFUNCTION("""COMPUTED_VALUE"""),1.16159105208077)</f>
        <v>1.16159105208077</v>
      </c>
      <c r="AI62" s="17">
        <f ca="1">IFERROR(__xludf.DUMMYFUNCTION("""COMPUTED_VALUE"""),1.24683904878776)</f>
        <v>1.2468390487877601</v>
      </c>
      <c r="AJ62" s="17">
        <f ca="1">IFERROR(__xludf.DUMMYFUNCTION("""COMPUTED_VALUE"""),1.06335230557051)</f>
        <v>1.0633523055705101</v>
      </c>
    </row>
    <row r="63" spans="2:36" ht="15.75" customHeight="1" x14ac:dyDescent="0.45">
      <c r="B63" s="10" t="str">
        <f ca="1">IFERROR(__xludf.DUMMYFUNCTION("""COMPUTED_VALUE"""),"CBF")</f>
        <v>CBF</v>
      </c>
      <c r="C63" s="10" t="str">
        <f ca="1">IFERROR(__xludf.DUMMYFUNCTION("""COMPUTED_VALUE"""),"aligned_series")</f>
        <v>aligned_series</v>
      </c>
      <c r="D63" s="10">
        <f ca="1">IFERROR(__xludf.DUMMYFUNCTION("""COMPUTED_VALUE"""),0.2)</f>
        <v>0.2</v>
      </c>
      <c r="E63" s="17">
        <f ca="1">IFERROR(__xludf.DUMMYFUNCTION("""COMPUTED_VALUE"""),1.15822258241529)</f>
        <v>1.1582225824152901</v>
      </c>
      <c r="F63" s="17">
        <f ca="1">IFERROR(__xludf.DUMMYFUNCTION("""COMPUTED_VALUE"""),0.846115106626278)</f>
        <v>0.84611510662627798</v>
      </c>
      <c r="G63" s="17">
        <f ca="1">IFERROR(__xludf.DUMMYFUNCTION("""COMPUTED_VALUE"""),0.851024214881696)</f>
        <v>0.851024214881696</v>
      </c>
      <c r="H63" s="17">
        <f ca="1">IFERROR(__xludf.DUMMYFUNCTION("""COMPUTED_VALUE"""),1.128126592832)</f>
        <v>1.1281265928319999</v>
      </c>
      <c r="I63" s="17">
        <f ca="1">IFERROR(__xludf.DUMMYFUNCTION("""COMPUTED_VALUE"""),0.973679355843356)</f>
        <v>0.97367935584335596</v>
      </c>
      <c r="J63" s="17">
        <f ca="1">IFERROR(__xludf.DUMMYFUNCTION("""COMPUTED_VALUE"""),1.13617355211686)</f>
        <v>1.1361735521168601</v>
      </c>
      <c r="K63" s="17" t="str">
        <f ca="1">IFERROR(__xludf.DUMMYFUNCTION("""COMPUTED_VALUE"""),"nan")</f>
        <v>nan</v>
      </c>
      <c r="L63" s="17">
        <f ca="1">IFERROR(__xludf.DUMMYFUNCTION("""COMPUTED_VALUE"""),0.902895238181924)</f>
        <v>0.90289523818192396</v>
      </c>
      <c r="M63" s="17">
        <f ca="1">IFERROR(__xludf.DUMMYFUNCTION("""COMPUTED_VALUE"""),0.885481068924363)</f>
        <v>0.88548106892436296</v>
      </c>
      <c r="N63" s="17">
        <f ca="1">IFERROR(__xludf.DUMMYFUNCTION("""COMPUTED_VALUE"""),1.06203952944322)</f>
        <v>1.0620395294432201</v>
      </c>
      <c r="O63" s="17">
        <f ca="1">IFERROR(__xludf.DUMMYFUNCTION("""COMPUTED_VALUE"""),0.755585855848863)</f>
        <v>0.75558585584886295</v>
      </c>
      <c r="P63" s="17">
        <f ca="1">IFERROR(__xludf.DUMMYFUNCTION("""COMPUTED_VALUE"""),1.0927552566482)</f>
        <v>1.0927552566481999</v>
      </c>
      <c r="Q63" s="17">
        <f ca="1">IFERROR(__xludf.DUMMYFUNCTION("""COMPUTED_VALUE"""),1.25843292043773)</f>
        <v>1.25843292043773</v>
      </c>
      <c r="R63" s="17">
        <f ca="1">IFERROR(__xludf.DUMMYFUNCTION("""COMPUTED_VALUE"""),1.0797191072954)</f>
        <v>1.0797191072954</v>
      </c>
      <c r="S63" s="17">
        <f ca="1">IFERROR(__xludf.DUMMYFUNCTION("""COMPUTED_VALUE"""),1.09558171747461)</f>
        <v>1.0955817174746101</v>
      </c>
      <c r="T63" s="17">
        <f ca="1">IFERROR(__xludf.DUMMYFUNCTION("""COMPUTED_VALUE"""),1.00722364292526)</f>
        <v>1.0072236429252599</v>
      </c>
      <c r="U63" s="17">
        <f ca="1">IFERROR(__xludf.DUMMYFUNCTION("""COMPUTED_VALUE"""),1.06884316392566)</f>
        <v>1.0688431639256599</v>
      </c>
      <c r="V63" s="17">
        <f ca="1">IFERROR(__xludf.DUMMYFUNCTION("""COMPUTED_VALUE"""),1.08541557480986)</f>
        <v>1.08541557480986</v>
      </c>
      <c r="W63" s="17">
        <f ca="1">IFERROR(__xludf.DUMMYFUNCTION("""COMPUTED_VALUE"""),0.794382588467397)</f>
        <v>0.79438258846739696</v>
      </c>
      <c r="X63" s="17">
        <f ca="1">IFERROR(__xludf.DUMMYFUNCTION("""COMPUTED_VALUE"""),0.949073915733858)</f>
        <v>0.94907391573385802</v>
      </c>
      <c r="Y63" s="17">
        <f ca="1">IFERROR(__xludf.DUMMYFUNCTION("""COMPUTED_VALUE"""),1.09047645351803)</f>
        <v>1.09047645351803</v>
      </c>
      <c r="Z63" s="17">
        <f ca="1">IFERROR(__xludf.DUMMYFUNCTION("""COMPUTED_VALUE"""),0.966686175324097)</f>
        <v>0.96668617532409695</v>
      </c>
      <c r="AA63" s="17">
        <f ca="1">IFERROR(__xludf.DUMMYFUNCTION("""COMPUTED_VALUE"""),0.817063413141405)</f>
        <v>0.81706341314140496</v>
      </c>
      <c r="AB63" s="17">
        <f ca="1">IFERROR(__xludf.DUMMYFUNCTION("""COMPUTED_VALUE"""),1.07574550572623)</f>
        <v>1.07574550572623</v>
      </c>
      <c r="AC63" s="17">
        <f ca="1">IFERROR(__xludf.DUMMYFUNCTION("""COMPUTED_VALUE"""),0.937953358361129)</f>
        <v>0.93795335836112903</v>
      </c>
      <c r="AD63" s="17">
        <f ca="1">IFERROR(__xludf.DUMMYFUNCTION("""COMPUTED_VALUE"""),1.08531129014945)</f>
        <v>1.0853112901494499</v>
      </c>
      <c r="AE63" s="17">
        <f ca="1">IFERROR(__xludf.DUMMYFUNCTION("""COMPUTED_VALUE"""),1.23363699318686)</f>
        <v>1.23363699318686</v>
      </c>
      <c r="AF63" s="17">
        <f ca="1">IFERROR(__xludf.DUMMYFUNCTION("""COMPUTED_VALUE"""),1.10173932677367)</f>
        <v>1.1017393267736699</v>
      </c>
      <c r="AG63" s="17">
        <f ca="1">IFERROR(__xludf.DUMMYFUNCTION("""COMPUTED_VALUE"""),1.03754111126522)</f>
        <v>1.03754111126522</v>
      </c>
      <c r="AH63" s="17">
        <f ca="1">IFERROR(__xludf.DUMMYFUNCTION("""COMPUTED_VALUE"""),1.05726614636534)</f>
        <v>1.0572661463653401</v>
      </c>
      <c r="AI63" s="17">
        <f ca="1">IFERROR(__xludf.DUMMYFUNCTION("""COMPUTED_VALUE"""),1.13952426159985)</f>
        <v>1.13952426159985</v>
      </c>
      <c r="AJ63" s="17">
        <f ca="1">IFERROR(__xludf.DUMMYFUNCTION("""COMPUTED_VALUE"""),1.07987552019478)</f>
        <v>1.0798755201947801</v>
      </c>
    </row>
    <row r="64" spans="2:36" ht="15.75" customHeight="1" x14ac:dyDescent="0.45">
      <c r="B64" s="10" t="str">
        <f ca="1">IFERROR(__xludf.DUMMYFUNCTION("""COMPUTED_VALUE"""),"CBF")</f>
        <v>CBF</v>
      </c>
      <c r="C64" s="10" t="str">
        <f ca="1">IFERROR(__xludf.DUMMYFUNCTION("""COMPUTED_VALUE"""),"aligned_series")</f>
        <v>aligned_series</v>
      </c>
      <c r="D64" s="10">
        <f ca="1">IFERROR(__xludf.DUMMYFUNCTION("""COMPUTED_VALUE"""),0.4)</f>
        <v>0.4</v>
      </c>
      <c r="E64" s="17">
        <f ca="1">IFERROR(__xludf.DUMMYFUNCTION("""COMPUTED_VALUE"""),1.11905139215383)</f>
        <v>1.1190513921538301</v>
      </c>
      <c r="F64" s="17">
        <f ca="1">IFERROR(__xludf.DUMMYFUNCTION("""COMPUTED_VALUE"""),1.01130692808485)</f>
        <v>1.0113069280848499</v>
      </c>
      <c r="G64" s="17">
        <f ca="1">IFERROR(__xludf.DUMMYFUNCTION("""COMPUTED_VALUE"""),1.06994306726291)</f>
        <v>1.06994306726291</v>
      </c>
      <c r="H64" s="17">
        <f ca="1">IFERROR(__xludf.DUMMYFUNCTION("""COMPUTED_VALUE"""),1.10702675456233)</f>
        <v>1.10702675456233</v>
      </c>
      <c r="I64" s="17">
        <f ca="1">IFERROR(__xludf.DUMMYFUNCTION("""COMPUTED_VALUE"""),0.99167204807899)</f>
        <v>0.99167204807899001</v>
      </c>
      <c r="J64" s="17">
        <f ca="1">IFERROR(__xludf.DUMMYFUNCTION("""COMPUTED_VALUE"""),1.1733848649897)</f>
        <v>1.1733848649897001</v>
      </c>
      <c r="K64" s="17" t="str">
        <f ca="1">IFERROR(__xludf.DUMMYFUNCTION("""COMPUTED_VALUE"""),"nan")</f>
        <v>nan</v>
      </c>
      <c r="L64" s="17">
        <f ca="1">IFERROR(__xludf.DUMMYFUNCTION("""COMPUTED_VALUE"""),0.993024173618371)</f>
        <v>0.99302417361837103</v>
      </c>
      <c r="M64" s="17">
        <f ca="1">IFERROR(__xludf.DUMMYFUNCTION("""COMPUTED_VALUE"""),1.22048910934061)</f>
        <v>1.2204891093406101</v>
      </c>
      <c r="N64" s="17">
        <f ca="1">IFERROR(__xludf.DUMMYFUNCTION("""COMPUTED_VALUE"""),1.05311627728129)</f>
        <v>1.0531162772812901</v>
      </c>
      <c r="O64" s="17">
        <f ca="1">IFERROR(__xludf.DUMMYFUNCTION("""COMPUTED_VALUE"""),0.905374314017394)</f>
        <v>0.90537431401739399</v>
      </c>
      <c r="P64" s="17">
        <f ca="1">IFERROR(__xludf.DUMMYFUNCTION("""COMPUTED_VALUE"""),1.11106702139796)</f>
        <v>1.1110670213979601</v>
      </c>
      <c r="Q64" s="17">
        <f ca="1">IFERROR(__xludf.DUMMYFUNCTION("""COMPUTED_VALUE"""),1.20943120123089)</f>
        <v>1.2094312012308901</v>
      </c>
      <c r="R64" s="17">
        <f ca="1">IFERROR(__xludf.DUMMYFUNCTION("""COMPUTED_VALUE"""),1.08317747904046)</f>
        <v>1.08317747904046</v>
      </c>
      <c r="S64" s="17">
        <f ca="1">IFERROR(__xludf.DUMMYFUNCTION("""COMPUTED_VALUE"""),1.12083461522548)</f>
        <v>1.12083461522548</v>
      </c>
      <c r="T64" s="17">
        <f ca="1">IFERROR(__xludf.DUMMYFUNCTION("""COMPUTED_VALUE"""),1.02123105594877)</f>
        <v>1.0212310559487701</v>
      </c>
      <c r="U64" s="17">
        <f ca="1">IFERROR(__xludf.DUMMYFUNCTION("""COMPUTED_VALUE"""),0.977163180336568)</f>
        <v>0.97716318033656802</v>
      </c>
      <c r="V64" s="17">
        <f ca="1">IFERROR(__xludf.DUMMYFUNCTION("""COMPUTED_VALUE"""),0.995899112746618)</f>
        <v>0.99589911274661802</v>
      </c>
      <c r="W64" s="17">
        <f ca="1">IFERROR(__xludf.DUMMYFUNCTION("""COMPUTED_VALUE"""),0.859896494246956)</f>
        <v>0.85989649424695602</v>
      </c>
      <c r="X64" s="17">
        <f ca="1">IFERROR(__xludf.DUMMYFUNCTION("""COMPUTED_VALUE"""),0.982041779086267)</f>
        <v>0.982041779086267</v>
      </c>
      <c r="Y64" s="17">
        <f ca="1">IFERROR(__xludf.DUMMYFUNCTION("""COMPUTED_VALUE"""),1.05166926838085)</f>
        <v>1.05166926838085</v>
      </c>
      <c r="Z64" s="17">
        <f ca="1">IFERROR(__xludf.DUMMYFUNCTION("""COMPUTED_VALUE"""),1.04820510439087)</f>
        <v>1.04820510439087</v>
      </c>
      <c r="AA64" s="17">
        <f ca="1">IFERROR(__xludf.DUMMYFUNCTION("""COMPUTED_VALUE"""),0.930595846669321)</f>
        <v>0.93059584666932105</v>
      </c>
      <c r="AB64" s="17">
        <f ca="1">IFERROR(__xludf.DUMMYFUNCTION("""COMPUTED_VALUE"""),1.45131677182411)</f>
        <v>1.45131677182411</v>
      </c>
      <c r="AC64" s="17">
        <f ca="1">IFERROR(__xludf.DUMMYFUNCTION("""COMPUTED_VALUE"""),0.880893509168448)</f>
        <v>0.880893509168448</v>
      </c>
      <c r="AD64" s="17">
        <f ca="1">IFERROR(__xludf.DUMMYFUNCTION("""COMPUTED_VALUE"""),1.00329579184857)</f>
        <v>1.0032957918485701</v>
      </c>
      <c r="AE64" s="17">
        <f ca="1">IFERROR(__xludf.DUMMYFUNCTION("""COMPUTED_VALUE"""),1.18292219099495)</f>
        <v>1.1829221909949501</v>
      </c>
      <c r="AF64" s="17">
        <f ca="1">IFERROR(__xludf.DUMMYFUNCTION("""COMPUTED_VALUE"""),1.04634646908557)</f>
        <v>1.0463464690855699</v>
      </c>
      <c r="AG64" s="17">
        <f ca="1">IFERROR(__xludf.DUMMYFUNCTION("""COMPUTED_VALUE"""),1.22170411117383)</f>
        <v>1.22170411117383</v>
      </c>
      <c r="AH64" s="17">
        <f ca="1">IFERROR(__xludf.DUMMYFUNCTION("""COMPUTED_VALUE"""),1.162222841629)</f>
        <v>1.1622228416289999</v>
      </c>
      <c r="AI64" s="17">
        <f ca="1">IFERROR(__xludf.DUMMYFUNCTION("""COMPUTED_VALUE"""),1.25339079400932)</f>
        <v>1.2533907940093201</v>
      </c>
      <c r="AJ64" s="17">
        <f ca="1">IFERROR(__xludf.DUMMYFUNCTION("""COMPUTED_VALUE"""),1.10322525160735)</f>
        <v>1.10322525160735</v>
      </c>
    </row>
    <row r="65" spans="2:36" ht="15.75" customHeight="1" x14ac:dyDescent="0.45">
      <c r="B65" s="10" t="str">
        <f ca="1">IFERROR(__xludf.DUMMYFUNCTION("""COMPUTED_VALUE"""),"CBF")</f>
        <v>CBF</v>
      </c>
      <c r="C65" s="10" t="str">
        <f ca="1">IFERROR(__xludf.DUMMYFUNCTION("""COMPUTED_VALUE"""),"aligned_series")</f>
        <v>aligned_series</v>
      </c>
      <c r="D65" s="10">
        <f ca="1">IFERROR(__xludf.DUMMYFUNCTION("""COMPUTED_VALUE"""),0.6)</f>
        <v>0.6</v>
      </c>
      <c r="E65" s="17">
        <f ca="1">IFERROR(__xludf.DUMMYFUNCTION("""COMPUTED_VALUE"""),1.12780319477157)</f>
        <v>1.1278031947715701</v>
      </c>
      <c r="F65" s="17">
        <f ca="1">IFERROR(__xludf.DUMMYFUNCTION("""COMPUTED_VALUE"""),0.97228873433149)</f>
        <v>0.97228873433148999</v>
      </c>
      <c r="G65" s="17">
        <f ca="1">IFERROR(__xludf.DUMMYFUNCTION("""COMPUTED_VALUE"""),1.12564811297445)</f>
        <v>1.12564811297445</v>
      </c>
      <c r="H65" s="17">
        <f ca="1">IFERROR(__xludf.DUMMYFUNCTION("""COMPUTED_VALUE"""),1.25280976351595)</f>
        <v>1.2528097635159501</v>
      </c>
      <c r="I65" s="17">
        <f ca="1">IFERROR(__xludf.DUMMYFUNCTION("""COMPUTED_VALUE"""),0.98156516568628)</f>
        <v>0.98156516568628005</v>
      </c>
      <c r="J65" s="17">
        <f ca="1">IFERROR(__xludf.DUMMYFUNCTION("""COMPUTED_VALUE"""),1.12061980379411)</f>
        <v>1.12061980379411</v>
      </c>
      <c r="K65" s="17" t="str">
        <f ca="1">IFERROR(__xludf.DUMMYFUNCTION("""COMPUTED_VALUE"""),"nan")</f>
        <v>nan</v>
      </c>
      <c r="L65" s="17">
        <f ca="1">IFERROR(__xludf.DUMMYFUNCTION("""COMPUTED_VALUE"""),1.04904246623637)</f>
        <v>1.04904246623637</v>
      </c>
      <c r="M65" s="17">
        <f ca="1">IFERROR(__xludf.DUMMYFUNCTION("""COMPUTED_VALUE"""),1.31667756028569)</f>
        <v>1.3166775602856899</v>
      </c>
      <c r="N65" s="17">
        <f ca="1">IFERROR(__xludf.DUMMYFUNCTION("""COMPUTED_VALUE"""),1.0101911828565)</f>
        <v>1.0101911828565</v>
      </c>
      <c r="O65" s="17">
        <f ca="1">IFERROR(__xludf.DUMMYFUNCTION("""COMPUTED_VALUE"""),0.80098224710346)</f>
        <v>0.80098224710346</v>
      </c>
      <c r="P65" s="17">
        <f ca="1">IFERROR(__xludf.DUMMYFUNCTION("""COMPUTED_VALUE"""),1.23315384654784)</f>
        <v>1.23315384654784</v>
      </c>
      <c r="Q65" s="17">
        <f ca="1">IFERROR(__xludf.DUMMYFUNCTION("""COMPUTED_VALUE"""),1.16933572392857)</f>
        <v>1.16933572392857</v>
      </c>
      <c r="R65" s="17">
        <f ca="1">IFERROR(__xludf.DUMMYFUNCTION("""COMPUTED_VALUE"""),1.07905616312535)</f>
        <v>1.0790561631253499</v>
      </c>
      <c r="S65" s="17">
        <f ca="1">IFERROR(__xludf.DUMMYFUNCTION("""COMPUTED_VALUE"""),1.10159531286346)</f>
        <v>1.1015953128634599</v>
      </c>
      <c r="T65" s="17">
        <f ca="1">IFERROR(__xludf.DUMMYFUNCTION("""COMPUTED_VALUE"""),0.944806567890951)</f>
        <v>0.94480656789095097</v>
      </c>
      <c r="U65" s="17">
        <f ca="1">IFERROR(__xludf.DUMMYFUNCTION("""COMPUTED_VALUE"""),0.883022269901807)</f>
        <v>0.88302226990180699</v>
      </c>
      <c r="V65" s="17">
        <f ca="1">IFERROR(__xludf.DUMMYFUNCTION("""COMPUTED_VALUE"""),0.994761268518296)</f>
        <v>0.99476126851829605</v>
      </c>
      <c r="W65" s="17">
        <f ca="1">IFERROR(__xludf.DUMMYFUNCTION("""COMPUTED_VALUE"""),0.808882201912252)</f>
        <v>0.80888220191225202</v>
      </c>
      <c r="X65" s="17">
        <f ca="1">IFERROR(__xludf.DUMMYFUNCTION("""COMPUTED_VALUE"""),0.922278736095319)</f>
        <v>0.92227873609531896</v>
      </c>
      <c r="Y65" s="17">
        <f ca="1">IFERROR(__xludf.DUMMYFUNCTION("""COMPUTED_VALUE"""),0.975699497994946)</f>
        <v>0.97569949799494604</v>
      </c>
      <c r="Z65" s="17">
        <f ca="1">IFERROR(__xludf.DUMMYFUNCTION("""COMPUTED_VALUE"""),0.941997125731769)</f>
        <v>0.94199712573176897</v>
      </c>
      <c r="AA65" s="17">
        <f ca="1">IFERROR(__xludf.DUMMYFUNCTION("""COMPUTED_VALUE"""),0.825661041433098)</f>
        <v>0.82566104143309804</v>
      </c>
      <c r="AB65" s="17">
        <f ca="1">IFERROR(__xludf.DUMMYFUNCTION("""COMPUTED_VALUE"""),2.28942953684371)</f>
        <v>2.2894295368437101</v>
      </c>
      <c r="AC65" s="17">
        <f ca="1">IFERROR(__xludf.DUMMYFUNCTION("""COMPUTED_VALUE"""),0.912620288774661)</f>
        <v>0.91262028877466095</v>
      </c>
      <c r="AD65" s="17">
        <f ca="1">IFERROR(__xludf.DUMMYFUNCTION("""COMPUTED_VALUE"""),0.947326470552039)</f>
        <v>0.947326470552039</v>
      </c>
      <c r="AE65" s="17">
        <f ca="1">IFERROR(__xludf.DUMMYFUNCTION("""COMPUTED_VALUE"""),1.22034190239647)</f>
        <v>1.2203419023964699</v>
      </c>
      <c r="AF65" s="17">
        <f ca="1">IFERROR(__xludf.DUMMYFUNCTION("""COMPUTED_VALUE"""),0.998013977803814)</f>
        <v>0.99801397780381396</v>
      </c>
      <c r="AG65" s="17">
        <f ca="1">IFERROR(__xludf.DUMMYFUNCTION("""COMPUTED_VALUE"""),1.2205624973432)</f>
        <v>1.2205624973432001</v>
      </c>
      <c r="AH65" s="17">
        <f ca="1">IFERROR(__xludf.DUMMYFUNCTION("""COMPUTED_VALUE"""),1.09625216014657)</f>
        <v>1.09625216014657</v>
      </c>
      <c r="AI65" s="17">
        <f ca="1">IFERROR(__xludf.DUMMYFUNCTION("""COMPUTED_VALUE"""),1.19513305789855)</f>
        <v>1.19513305789855</v>
      </c>
      <c r="AJ65" s="17">
        <f ca="1">IFERROR(__xludf.DUMMYFUNCTION("""COMPUTED_VALUE"""),1.08969617119762)</f>
        <v>1.0896961711976201</v>
      </c>
    </row>
    <row r="66" spans="2:36" ht="15.75" customHeight="1" x14ac:dyDescent="0.45">
      <c r="B66" s="10" t="str">
        <f ca="1">IFERROR(__xludf.DUMMYFUNCTION("""COMPUTED_VALUE"""),"CBF")</f>
        <v>CBF</v>
      </c>
      <c r="C66" s="10" t="str">
        <f ca="1">IFERROR(__xludf.DUMMYFUNCTION("""COMPUTED_VALUE"""),"aligned_series")</f>
        <v>aligned_series</v>
      </c>
      <c r="D66" s="10">
        <f ca="1">IFERROR(__xludf.DUMMYFUNCTION("""COMPUTED_VALUE"""),0.8)</f>
        <v>0.8</v>
      </c>
      <c r="E66" s="17">
        <f ca="1">IFERROR(__xludf.DUMMYFUNCTION("""COMPUTED_VALUE"""),1.17253146556165)</f>
        <v>1.1725314655616501</v>
      </c>
      <c r="F66" s="17">
        <f ca="1">IFERROR(__xludf.DUMMYFUNCTION("""COMPUTED_VALUE"""),0.957525816287788)</f>
        <v>0.95752581628778799</v>
      </c>
      <c r="G66" s="17">
        <f ca="1">IFERROR(__xludf.DUMMYFUNCTION("""COMPUTED_VALUE"""),0.977422389212036)</f>
        <v>0.97742238921203595</v>
      </c>
      <c r="H66" s="17">
        <f ca="1">IFERROR(__xludf.DUMMYFUNCTION("""COMPUTED_VALUE"""),1.86087922755113)</f>
        <v>1.8608792275511301</v>
      </c>
      <c r="I66" s="17">
        <f ca="1">IFERROR(__xludf.DUMMYFUNCTION("""COMPUTED_VALUE"""),1.02801447182438)</f>
        <v>1.02801447182438</v>
      </c>
      <c r="J66" s="17">
        <f ca="1">IFERROR(__xludf.DUMMYFUNCTION("""COMPUTED_VALUE"""),1.16765969727499)</f>
        <v>1.16765969727499</v>
      </c>
      <c r="K66" s="17" t="str">
        <f ca="1">IFERROR(__xludf.DUMMYFUNCTION("""COMPUTED_VALUE"""),"nan")</f>
        <v>nan</v>
      </c>
      <c r="L66" s="17">
        <f ca="1">IFERROR(__xludf.DUMMYFUNCTION("""COMPUTED_VALUE"""),1.03594591934826)</f>
        <v>1.0359459193482601</v>
      </c>
      <c r="M66" s="17">
        <f ca="1">IFERROR(__xludf.DUMMYFUNCTION("""COMPUTED_VALUE"""),1.01014503005405)</f>
        <v>1.01014503005405</v>
      </c>
      <c r="N66" s="17">
        <f ca="1">IFERROR(__xludf.DUMMYFUNCTION("""COMPUTED_VALUE"""),0.936454747281221)</f>
        <v>0.93645474728122102</v>
      </c>
      <c r="O66" s="17">
        <f ca="1">IFERROR(__xludf.DUMMYFUNCTION("""COMPUTED_VALUE"""),0.723014465209356)</f>
        <v>0.72301446520935597</v>
      </c>
      <c r="P66" s="17">
        <f ca="1">IFERROR(__xludf.DUMMYFUNCTION("""COMPUTED_VALUE"""),1.25219927786691)</f>
        <v>1.25219927786691</v>
      </c>
      <c r="Q66" s="17">
        <f ca="1">IFERROR(__xludf.DUMMYFUNCTION("""COMPUTED_VALUE"""),1.23079254597513)</f>
        <v>1.2307925459751301</v>
      </c>
      <c r="R66" s="17">
        <f ca="1">IFERROR(__xludf.DUMMYFUNCTION("""COMPUTED_VALUE"""),1.10412881344657)</f>
        <v>1.1041288134465701</v>
      </c>
      <c r="S66" s="17">
        <f ca="1">IFERROR(__xludf.DUMMYFUNCTION("""COMPUTED_VALUE"""),1.13678063517736)</f>
        <v>1.1367806351773599</v>
      </c>
      <c r="T66" s="17">
        <f ca="1">IFERROR(__xludf.DUMMYFUNCTION("""COMPUTED_VALUE"""),0.964703941893113)</f>
        <v>0.96470394189311304</v>
      </c>
      <c r="U66" s="17">
        <f ca="1">IFERROR(__xludf.DUMMYFUNCTION("""COMPUTED_VALUE"""),0.824640862451314)</f>
        <v>0.82464086245131396</v>
      </c>
      <c r="V66" s="17">
        <f ca="1">IFERROR(__xludf.DUMMYFUNCTION("""COMPUTED_VALUE"""),1.00474024693197)</f>
        <v>1.0047402469319699</v>
      </c>
      <c r="W66" s="17">
        <f ca="1">IFERROR(__xludf.DUMMYFUNCTION("""COMPUTED_VALUE"""),0.839958152507093)</f>
        <v>0.83995815250709305</v>
      </c>
      <c r="X66" s="17">
        <f ca="1">IFERROR(__xludf.DUMMYFUNCTION("""COMPUTED_VALUE"""),0.920806302799306)</f>
        <v>0.92080630279930598</v>
      </c>
      <c r="Y66" s="17">
        <f ca="1">IFERROR(__xludf.DUMMYFUNCTION("""COMPUTED_VALUE"""),0.863788663353758)</f>
        <v>0.86378866335375803</v>
      </c>
      <c r="Z66" s="17">
        <f ca="1">IFERROR(__xludf.DUMMYFUNCTION("""COMPUTED_VALUE"""),0.90174828391242)</f>
        <v>0.90174828391242001</v>
      </c>
      <c r="AA66" s="17">
        <f ca="1">IFERROR(__xludf.DUMMYFUNCTION("""COMPUTED_VALUE"""),0.8008484024346)</f>
        <v>0.80084840243459998</v>
      </c>
      <c r="AB66" s="17">
        <f ca="1">IFERROR(__xludf.DUMMYFUNCTION("""COMPUTED_VALUE"""),1.79035534055331)</f>
        <v>1.7903553405533099</v>
      </c>
      <c r="AC66" s="17">
        <f ca="1">IFERROR(__xludf.DUMMYFUNCTION("""COMPUTED_VALUE"""),0.967502566858722)</f>
        <v>0.96750256685872205</v>
      </c>
      <c r="AD66" s="17">
        <f ca="1">IFERROR(__xludf.DUMMYFUNCTION("""COMPUTED_VALUE"""),0.877967814129282)</f>
        <v>0.87796781412928204</v>
      </c>
      <c r="AE66" s="17">
        <f ca="1">IFERROR(__xludf.DUMMYFUNCTION("""COMPUTED_VALUE"""),1.25575321619864)</f>
        <v>1.25575321619864</v>
      </c>
      <c r="AF66" s="17">
        <f ca="1">IFERROR(__xludf.DUMMYFUNCTION("""COMPUTED_VALUE"""),1.0283308740079)</f>
        <v>1.0283308740079</v>
      </c>
      <c r="AG66" s="17">
        <f ca="1">IFERROR(__xludf.DUMMYFUNCTION("""COMPUTED_VALUE"""),1.29064060337754)</f>
        <v>1.2906406033775399</v>
      </c>
      <c r="AH66" s="17">
        <f ca="1">IFERROR(__xludf.DUMMYFUNCTION("""COMPUTED_VALUE"""),1.1500416247187)</f>
        <v>1.1500416247187</v>
      </c>
      <c r="AI66" s="17">
        <f ca="1">IFERROR(__xludf.DUMMYFUNCTION("""COMPUTED_VALUE"""),1.24681531185519)</f>
        <v>1.2468153118551899</v>
      </c>
      <c r="AJ66" s="17">
        <f ca="1">IFERROR(__xludf.DUMMYFUNCTION("""COMPUTED_VALUE"""),1.21430638754272)</f>
        <v>1.21430638754272</v>
      </c>
    </row>
    <row r="67" spans="2:36" ht="15.75" customHeight="1" x14ac:dyDescent="0.45">
      <c r="B67" s="10" t="str">
        <f ca="1">IFERROR(__xludf.DUMMYFUNCTION("""COMPUTED_VALUE"""),"CBF")</f>
        <v>CBF</v>
      </c>
      <c r="C67" s="10" t="str">
        <f ca="1">IFERROR(__xludf.DUMMYFUNCTION("""COMPUTED_VALUE"""),"aligned_timestamps")</f>
        <v>aligned_timestamps</v>
      </c>
      <c r="D67" s="10">
        <f ca="1">IFERROR(__xludf.DUMMYFUNCTION("""COMPUTED_VALUE"""),0.1)</f>
        <v>0.1</v>
      </c>
      <c r="E67" s="17">
        <f ca="1">IFERROR(__xludf.DUMMYFUNCTION("""COMPUTED_VALUE"""),1.01369585080891)</f>
        <v>1.01369585080891</v>
      </c>
      <c r="F67" s="17">
        <f ca="1">IFERROR(__xludf.DUMMYFUNCTION("""COMPUTED_VALUE"""),0.824545377408177)</f>
        <v>0.82454537740817702</v>
      </c>
      <c r="G67" s="17">
        <f ca="1">IFERROR(__xludf.DUMMYFUNCTION("""COMPUTED_VALUE"""),0.84371281065513)</f>
        <v>0.84371281065513004</v>
      </c>
      <c r="H67" s="17">
        <f ca="1">IFERROR(__xludf.DUMMYFUNCTION("""COMPUTED_VALUE"""),0.878429363186779)</f>
        <v>0.878429363186779</v>
      </c>
      <c r="I67" s="17">
        <f ca="1">IFERROR(__xludf.DUMMYFUNCTION("""COMPUTED_VALUE"""),0.777519706642357)</f>
        <v>0.77751970664235703</v>
      </c>
      <c r="J67" s="17">
        <f ca="1">IFERROR(__xludf.DUMMYFUNCTION("""COMPUTED_VALUE"""),0.815583144935097)</f>
        <v>0.81558314493509698</v>
      </c>
      <c r="K67" s="17" t="str">
        <f ca="1">IFERROR(__xludf.DUMMYFUNCTION("""COMPUTED_VALUE"""),"nan")</f>
        <v>nan</v>
      </c>
      <c r="L67" s="17">
        <f ca="1">IFERROR(__xludf.DUMMYFUNCTION("""COMPUTED_VALUE"""),0.842465484329894)</f>
        <v>0.84246548432989399</v>
      </c>
      <c r="M67" s="17">
        <f ca="1">IFERROR(__xludf.DUMMYFUNCTION("""COMPUTED_VALUE"""),0.84058999930055)</f>
        <v>0.84058999930055001</v>
      </c>
      <c r="N67" s="17">
        <f ca="1">IFERROR(__xludf.DUMMYFUNCTION("""COMPUTED_VALUE"""),0.684035446952801)</f>
        <v>0.68403544695280105</v>
      </c>
      <c r="O67" s="17">
        <f ca="1">IFERROR(__xludf.DUMMYFUNCTION("""COMPUTED_VALUE"""),0.64491691782968)</f>
        <v>0.64491691782967997</v>
      </c>
      <c r="P67" s="17">
        <f ca="1">IFERROR(__xludf.DUMMYFUNCTION("""COMPUTED_VALUE"""),0.842261567213508)</f>
        <v>0.84226156721350798</v>
      </c>
      <c r="Q67" s="17">
        <f ca="1">IFERROR(__xludf.DUMMYFUNCTION("""COMPUTED_VALUE"""),0.985704331298439)</f>
        <v>0.98570433129843904</v>
      </c>
      <c r="R67" s="17">
        <f ca="1">IFERROR(__xludf.DUMMYFUNCTION("""COMPUTED_VALUE"""),0.766229494237427)</f>
        <v>0.76622949423742703</v>
      </c>
      <c r="S67" s="17">
        <f ca="1">IFERROR(__xludf.DUMMYFUNCTION("""COMPUTED_VALUE"""),0.779099277560135)</f>
        <v>0.77909927756013497</v>
      </c>
      <c r="T67" s="17">
        <f ca="1">IFERROR(__xludf.DUMMYFUNCTION("""COMPUTED_VALUE"""),0.763365992491485)</f>
        <v>0.76336599249148496</v>
      </c>
      <c r="U67" s="17">
        <f ca="1">IFERROR(__xludf.DUMMYFUNCTION("""COMPUTED_VALUE"""),0.674983396255989)</f>
        <v>0.67498339625598902</v>
      </c>
      <c r="V67" s="17">
        <f ca="1">IFERROR(__xludf.DUMMYFUNCTION("""COMPUTED_VALUE"""),0.830803765945312)</f>
        <v>0.83080376594531202</v>
      </c>
      <c r="W67" s="17">
        <f ca="1">IFERROR(__xludf.DUMMYFUNCTION("""COMPUTED_VALUE"""),0.653824833504616)</f>
        <v>0.65382483350461595</v>
      </c>
      <c r="X67" s="17">
        <f ca="1">IFERROR(__xludf.DUMMYFUNCTION("""COMPUTED_VALUE"""),0.814464211339616)</f>
        <v>0.814464211339616</v>
      </c>
      <c r="Y67" s="17">
        <f ca="1">IFERROR(__xludf.DUMMYFUNCTION("""COMPUTED_VALUE"""),0.718470491843592)</f>
        <v>0.71847049184359202</v>
      </c>
      <c r="Z67" s="17">
        <f ca="1">IFERROR(__xludf.DUMMYFUNCTION("""COMPUTED_VALUE"""),0.797168793923911)</f>
        <v>0.79716879392391105</v>
      </c>
      <c r="AA67" s="17">
        <f ca="1">IFERROR(__xludf.DUMMYFUNCTION("""COMPUTED_VALUE"""),0.670854668594155)</f>
        <v>0.67085466859415499</v>
      </c>
      <c r="AB67" s="17">
        <f ca="1">IFERROR(__xludf.DUMMYFUNCTION("""COMPUTED_VALUE"""),0.906139060838315)</f>
        <v>0.90613906083831497</v>
      </c>
      <c r="AC67" s="17">
        <f ca="1">IFERROR(__xludf.DUMMYFUNCTION("""COMPUTED_VALUE"""),0.795918083790311)</f>
        <v>0.79591808379031104</v>
      </c>
      <c r="AD67" s="17">
        <f ca="1">IFERROR(__xludf.DUMMYFUNCTION("""COMPUTED_VALUE"""),0.66914817474939)</f>
        <v>0.66914817474939003</v>
      </c>
      <c r="AE67" s="17">
        <f ca="1">IFERROR(__xludf.DUMMYFUNCTION("""COMPUTED_VALUE"""),0.964008973299388)</f>
        <v>0.96400897329938795</v>
      </c>
      <c r="AF67" s="17">
        <f ca="1">IFERROR(__xludf.DUMMYFUNCTION("""COMPUTED_VALUE"""),0.9346386506168)</f>
        <v>0.93463865061679996</v>
      </c>
      <c r="AG67" s="17">
        <f ca="1">IFERROR(__xludf.DUMMYFUNCTION("""COMPUTED_VALUE"""),1.16749778020096)</f>
        <v>1.1674977802009601</v>
      </c>
      <c r="AH67" s="17">
        <f ca="1">IFERROR(__xludf.DUMMYFUNCTION("""COMPUTED_VALUE"""),0.774901762274045)</f>
        <v>0.77490176227404495</v>
      </c>
      <c r="AI67" s="17">
        <f ca="1">IFERROR(__xludf.DUMMYFUNCTION("""COMPUTED_VALUE"""),0.654034000275374)</f>
        <v>0.65403400027537395</v>
      </c>
      <c r="AJ67" s="17">
        <f ca="1">IFERROR(__xludf.DUMMYFUNCTION("""COMPUTED_VALUE"""),1.0120805525002)</f>
        <v>1.0120805525001999</v>
      </c>
    </row>
    <row r="68" spans="2:36" ht="15.75" customHeight="1" x14ac:dyDescent="0.45">
      <c r="B68" s="10" t="str">
        <f ca="1">IFERROR(__xludf.DUMMYFUNCTION("""COMPUTED_VALUE"""),"CBF")</f>
        <v>CBF</v>
      </c>
      <c r="C68" s="10" t="str">
        <f ca="1">IFERROR(__xludf.DUMMYFUNCTION("""COMPUTED_VALUE"""),"aligned_timestamps")</f>
        <v>aligned_timestamps</v>
      </c>
      <c r="D68" s="10">
        <f ca="1">IFERROR(__xludf.DUMMYFUNCTION("""COMPUTED_VALUE"""),0.2)</f>
        <v>0.2</v>
      </c>
      <c r="E68" s="17">
        <f ca="1">IFERROR(__xludf.DUMMYFUNCTION("""COMPUTED_VALUE"""),1.15822258241529)</f>
        <v>1.1582225824152901</v>
      </c>
      <c r="F68" s="17">
        <f ca="1">IFERROR(__xludf.DUMMYFUNCTION("""COMPUTED_VALUE"""),0.846115106626278)</f>
        <v>0.84611510662627798</v>
      </c>
      <c r="G68" s="17">
        <f ca="1">IFERROR(__xludf.DUMMYFUNCTION("""COMPUTED_VALUE"""),0.851024214881696)</f>
        <v>0.851024214881696</v>
      </c>
      <c r="H68" s="17">
        <f ca="1">IFERROR(__xludf.DUMMYFUNCTION("""COMPUTED_VALUE"""),1.128126592832)</f>
        <v>1.1281265928319999</v>
      </c>
      <c r="I68" s="17">
        <f ca="1">IFERROR(__xludf.DUMMYFUNCTION("""COMPUTED_VALUE"""),0.973679355843356)</f>
        <v>0.97367935584335596</v>
      </c>
      <c r="J68" s="17">
        <f ca="1">IFERROR(__xludf.DUMMYFUNCTION("""COMPUTED_VALUE"""),1.13617355211686)</f>
        <v>1.1361735521168601</v>
      </c>
      <c r="K68" s="17" t="str">
        <f ca="1">IFERROR(__xludf.DUMMYFUNCTION("""COMPUTED_VALUE"""),"nan")</f>
        <v>nan</v>
      </c>
      <c r="L68" s="17">
        <f ca="1">IFERROR(__xludf.DUMMYFUNCTION("""COMPUTED_VALUE"""),0.902895238181924)</f>
        <v>0.90289523818192396</v>
      </c>
      <c r="M68" s="17">
        <f ca="1">IFERROR(__xludf.DUMMYFUNCTION("""COMPUTED_VALUE"""),0.885481068924363)</f>
        <v>0.88548106892436296</v>
      </c>
      <c r="N68" s="17">
        <f ca="1">IFERROR(__xludf.DUMMYFUNCTION("""COMPUTED_VALUE"""),1.06203952944322)</f>
        <v>1.0620395294432201</v>
      </c>
      <c r="O68" s="17">
        <f ca="1">IFERROR(__xludf.DUMMYFUNCTION("""COMPUTED_VALUE"""),0.755585855848863)</f>
        <v>0.75558585584886295</v>
      </c>
      <c r="P68" s="17">
        <f ca="1">IFERROR(__xludf.DUMMYFUNCTION("""COMPUTED_VALUE"""),1.0927552566482)</f>
        <v>1.0927552566481999</v>
      </c>
      <c r="Q68" s="17">
        <f ca="1">IFERROR(__xludf.DUMMYFUNCTION("""COMPUTED_VALUE"""),1.25843292043773)</f>
        <v>1.25843292043773</v>
      </c>
      <c r="R68" s="17">
        <f ca="1">IFERROR(__xludf.DUMMYFUNCTION("""COMPUTED_VALUE"""),1.0797191072954)</f>
        <v>1.0797191072954</v>
      </c>
      <c r="S68" s="17">
        <f ca="1">IFERROR(__xludf.DUMMYFUNCTION("""COMPUTED_VALUE"""),1.09558171747461)</f>
        <v>1.0955817174746101</v>
      </c>
      <c r="T68" s="17">
        <f ca="1">IFERROR(__xludf.DUMMYFUNCTION("""COMPUTED_VALUE"""),1.00722364292526)</f>
        <v>1.0072236429252599</v>
      </c>
      <c r="U68" s="17">
        <f ca="1">IFERROR(__xludf.DUMMYFUNCTION("""COMPUTED_VALUE"""),1.06884316392566)</f>
        <v>1.0688431639256599</v>
      </c>
      <c r="V68" s="17">
        <f ca="1">IFERROR(__xludf.DUMMYFUNCTION("""COMPUTED_VALUE"""),1.08541557480986)</f>
        <v>1.08541557480986</v>
      </c>
      <c r="W68" s="17">
        <f ca="1">IFERROR(__xludf.DUMMYFUNCTION("""COMPUTED_VALUE"""),0.768749613543583)</f>
        <v>0.76874961354358295</v>
      </c>
      <c r="X68" s="17">
        <f ca="1">IFERROR(__xludf.DUMMYFUNCTION("""COMPUTED_VALUE"""),0.949900555499192)</f>
        <v>0.94990055549919195</v>
      </c>
      <c r="Y68" s="17">
        <f ca="1">IFERROR(__xludf.DUMMYFUNCTION("""COMPUTED_VALUE"""),1.09047645351803)</f>
        <v>1.09047645351803</v>
      </c>
      <c r="Z68" s="17">
        <f ca="1">IFERROR(__xludf.DUMMYFUNCTION("""COMPUTED_VALUE"""),0.966686175324097)</f>
        <v>0.96668617532409695</v>
      </c>
      <c r="AA68" s="17">
        <f ca="1">IFERROR(__xludf.DUMMYFUNCTION("""COMPUTED_VALUE"""),0.817063413141405)</f>
        <v>0.81706341314140496</v>
      </c>
      <c r="AB68" s="17">
        <f ca="1">IFERROR(__xludf.DUMMYFUNCTION("""COMPUTED_VALUE"""),1.0912916320676)</f>
        <v>1.0912916320676</v>
      </c>
      <c r="AC68" s="17">
        <f ca="1">IFERROR(__xludf.DUMMYFUNCTION("""COMPUTED_VALUE"""),0.937953358361129)</f>
        <v>0.93795335836112903</v>
      </c>
      <c r="AD68" s="17">
        <f ca="1">IFERROR(__xludf.DUMMYFUNCTION("""COMPUTED_VALUE"""),1.06831625950751)</f>
        <v>1.06831625950751</v>
      </c>
      <c r="AE68" s="17">
        <f ca="1">IFERROR(__xludf.DUMMYFUNCTION("""COMPUTED_VALUE"""),1.21423805463605)</f>
        <v>1.2142380546360501</v>
      </c>
      <c r="AF68" s="17">
        <f ca="1">IFERROR(__xludf.DUMMYFUNCTION("""COMPUTED_VALUE"""),1.10173932677367)</f>
        <v>1.1017393267736699</v>
      </c>
      <c r="AG68" s="17">
        <f ca="1">IFERROR(__xludf.DUMMYFUNCTION("""COMPUTED_VALUE"""),1.279274562948)</f>
        <v>1.279274562948</v>
      </c>
      <c r="AH68" s="17">
        <f ca="1">IFERROR(__xludf.DUMMYFUNCTION("""COMPUTED_VALUE"""),1.05726614636534)</f>
        <v>1.0572661463653401</v>
      </c>
      <c r="AI68" s="17">
        <f ca="1">IFERROR(__xludf.DUMMYFUNCTION("""COMPUTED_VALUE"""),1.13952426159985)</f>
        <v>1.13952426159985</v>
      </c>
      <c r="AJ68" s="17">
        <f ca="1">IFERROR(__xludf.DUMMYFUNCTION("""COMPUTED_VALUE"""),0.924260636016388)</f>
        <v>0.92426063601638797</v>
      </c>
    </row>
    <row r="69" spans="2:36" ht="15.75" customHeight="1" x14ac:dyDescent="0.45">
      <c r="B69" s="10" t="str">
        <f ca="1">IFERROR(__xludf.DUMMYFUNCTION("""COMPUTED_VALUE"""),"CBF")</f>
        <v>CBF</v>
      </c>
      <c r="C69" s="10" t="str">
        <f ca="1">IFERROR(__xludf.DUMMYFUNCTION("""COMPUTED_VALUE"""),"aligned_timestamps")</f>
        <v>aligned_timestamps</v>
      </c>
      <c r="D69" s="10">
        <f ca="1">IFERROR(__xludf.DUMMYFUNCTION("""COMPUTED_VALUE"""),0.4)</f>
        <v>0.4</v>
      </c>
      <c r="E69" s="17">
        <f ca="1">IFERROR(__xludf.DUMMYFUNCTION("""COMPUTED_VALUE"""),1.06588208119288)</f>
        <v>1.06588208119288</v>
      </c>
      <c r="F69" s="17">
        <f ca="1">IFERROR(__xludf.DUMMYFUNCTION("""COMPUTED_VALUE"""),0.720883725865267)</f>
        <v>0.72088372586526706</v>
      </c>
      <c r="G69" s="17">
        <f ca="1">IFERROR(__xludf.DUMMYFUNCTION("""COMPUTED_VALUE"""),0.73990563866767)</f>
        <v>0.73990563866767001</v>
      </c>
      <c r="H69" s="17">
        <f ca="1">IFERROR(__xludf.DUMMYFUNCTION("""COMPUTED_VALUE"""),0.91095856959906)</f>
        <v>0.91095856959905996</v>
      </c>
      <c r="I69" s="17">
        <f ca="1">IFERROR(__xludf.DUMMYFUNCTION("""COMPUTED_VALUE"""),0.841075370050019)</f>
        <v>0.84107537005001898</v>
      </c>
      <c r="J69" s="17">
        <f ca="1">IFERROR(__xludf.DUMMYFUNCTION("""COMPUTED_VALUE"""),1.09788349740198)</f>
        <v>1.09788349740198</v>
      </c>
      <c r="K69" s="17" t="str">
        <f ca="1">IFERROR(__xludf.DUMMYFUNCTION("""COMPUTED_VALUE"""),"nan")</f>
        <v>nan</v>
      </c>
      <c r="L69" s="17">
        <f ca="1">IFERROR(__xludf.DUMMYFUNCTION("""COMPUTED_VALUE"""),0.755535676770929)</f>
        <v>0.75553567677092903</v>
      </c>
      <c r="M69" s="17">
        <f ca="1">IFERROR(__xludf.DUMMYFUNCTION("""COMPUTED_VALUE"""),2.64885642413884)</f>
        <v>2.6488564241388399</v>
      </c>
      <c r="N69" s="17">
        <f ca="1">IFERROR(__xludf.DUMMYFUNCTION("""COMPUTED_VALUE"""),1.07820898646377)</f>
        <v>1.0782089864637701</v>
      </c>
      <c r="O69" s="17">
        <f ca="1">IFERROR(__xludf.DUMMYFUNCTION("""COMPUTED_VALUE"""),0.6428208884638)</f>
        <v>0.64282088846380003</v>
      </c>
      <c r="P69" s="17">
        <f ca="1">IFERROR(__xludf.DUMMYFUNCTION("""COMPUTED_VALUE"""),1.21595734564962)</f>
        <v>1.21595734564962</v>
      </c>
      <c r="Q69" s="17">
        <f ca="1">IFERROR(__xludf.DUMMYFUNCTION("""COMPUTED_VALUE"""),1.09982340673424)</f>
        <v>1.0998234067342401</v>
      </c>
      <c r="R69" s="17">
        <f ca="1">IFERROR(__xludf.DUMMYFUNCTION("""COMPUTED_VALUE"""),1.05950095162998)</f>
        <v>1.05950095162998</v>
      </c>
      <c r="S69" s="17">
        <f ca="1">IFERROR(__xludf.DUMMYFUNCTION("""COMPUTED_VALUE"""),1.0404698060563)</f>
        <v>1.0404698060563</v>
      </c>
      <c r="T69" s="17">
        <f ca="1">IFERROR(__xludf.DUMMYFUNCTION("""COMPUTED_VALUE"""),1.01931227168615)</f>
        <v>1.01931227168615</v>
      </c>
      <c r="U69" s="17">
        <f ca="1">IFERROR(__xludf.DUMMYFUNCTION("""COMPUTED_VALUE"""),1.1058940751585)</f>
        <v>1.1058940751585</v>
      </c>
      <c r="V69" s="17">
        <f ca="1">IFERROR(__xludf.DUMMYFUNCTION("""COMPUTED_VALUE"""),0.971050757510387)</f>
        <v>0.97105075751038705</v>
      </c>
      <c r="W69" s="17">
        <f ca="1">IFERROR(__xludf.DUMMYFUNCTION("""COMPUTED_VALUE"""),0.78371539267172)</f>
        <v>0.78371539267171997</v>
      </c>
      <c r="X69" s="17">
        <f ca="1">IFERROR(__xludf.DUMMYFUNCTION("""COMPUTED_VALUE"""),0.790247402025528)</f>
        <v>0.79024740202552801</v>
      </c>
      <c r="Y69" s="17">
        <f ca="1">IFERROR(__xludf.DUMMYFUNCTION("""COMPUTED_VALUE"""),1.00732374383414)</f>
        <v>1.00732374383414</v>
      </c>
      <c r="Z69" s="17">
        <f ca="1">IFERROR(__xludf.DUMMYFUNCTION("""COMPUTED_VALUE"""),1.02181818466096)</f>
        <v>1.02181818466096</v>
      </c>
      <c r="AA69" s="17">
        <f ca="1">IFERROR(__xludf.DUMMYFUNCTION("""COMPUTED_VALUE"""),0.730502996723866)</f>
        <v>0.73050299672386598</v>
      </c>
      <c r="AB69" s="17">
        <f ca="1">IFERROR(__xludf.DUMMYFUNCTION("""COMPUTED_VALUE"""),1.11249843413327)</f>
        <v>1.11249843413327</v>
      </c>
      <c r="AC69" s="17">
        <f ca="1">IFERROR(__xludf.DUMMYFUNCTION("""COMPUTED_VALUE"""),0.952201790901067)</f>
        <v>0.95220179090106705</v>
      </c>
      <c r="AD69" s="17">
        <f ca="1">IFERROR(__xludf.DUMMYFUNCTION("""COMPUTED_VALUE"""),0.947195152465312)</f>
        <v>0.94719515246531205</v>
      </c>
      <c r="AE69" s="17">
        <f ca="1">IFERROR(__xludf.DUMMYFUNCTION("""COMPUTED_VALUE"""),1.11951723073808)</f>
        <v>1.1195172307380801</v>
      </c>
      <c r="AF69" s="17">
        <f ca="1">IFERROR(__xludf.DUMMYFUNCTION("""COMPUTED_VALUE"""),0.958687098016968)</f>
        <v>0.95868709801696805</v>
      </c>
      <c r="AG69" s="17">
        <f ca="1">IFERROR(__xludf.DUMMYFUNCTION("""COMPUTED_VALUE"""),1.17944138890211)</f>
        <v>1.17944138890211</v>
      </c>
      <c r="AH69" s="17">
        <f ca="1">IFERROR(__xludf.DUMMYFUNCTION("""COMPUTED_VALUE"""),1.03766261149569)</f>
        <v>1.0376626114956899</v>
      </c>
      <c r="AI69" s="17">
        <f ca="1">IFERROR(__xludf.DUMMYFUNCTION("""COMPUTED_VALUE"""),1.15795740167257)</f>
        <v>1.15795740167257</v>
      </c>
      <c r="AJ69" s="17">
        <f ca="1">IFERROR(__xludf.DUMMYFUNCTION("""COMPUTED_VALUE"""),1.21826047281985)</f>
        <v>1.2182604728198501</v>
      </c>
    </row>
    <row r="70" spans="2:36" ht="15.75" customHeight="1" x14ac:dyDescent="0.45">
      <c r="B70" s="10" t="str">
        <f ca="1">IFERROR(__xludf.DUMMYFUNCTION("""COMPUTED_VALUE"""),"CBF")</f>
        <v>CBF</v>
      </c>
      <c r="C70" s="10" t="str">
        <f ca="1">IFERROR(__xludf.DUMMYFUNCTION("""COMPUTED_VALUE"""),"aligned_timestamps")</f>
        <v>aligned_timestamps</v>
      </c>
      <c r="D70" s="10">
        <f ca="1">IFERROR(__xludf.DUMMYFUNCTION("""COMPUTED_VALUE"""),0.6)</f>
        <v>0.6</v>
      </c>
      <c r="E70" s="17">
        <f ca="1">IFERROR(__xludf.DUMMYFUNCTION("""COMPUTED_VALUE"""),1.04125919851074)</f>
        <v>1.04125919851074</v>
      </c>
      <c r="F70" s="17">
        <f ca="1">IFERROR(__xludf.DUMMYFUNCTION("""COMPUTED_VALUE"""),0.823958513515959)</f>
        <v>0.82395851351595895</v>
      </c>
      <c r="G70" s="17">
        <f ca="1">IFERROR(__xludf.DUMMYFUNCTION("""COMPUTED_VALUE"""),0.911168349629424)</f>
        <v>0.91116834962942395</v>
      </c>
      <c r="H70" s="17">
        <f ca="1">IFERROR(__xludf.DUMMYFUNCTION("""COMPUTED_VALUE"""),0.882180083442458)</f>
        <v>0.88218008344245802</v>
      </c>
      <c r="I70" s="17">
        <f ca="1">IFERROR(__xludf.DUMMYFUNCTION("""COMPUTED_VALUE"""),0.862265312250638)</f>
        <v>0.86226531225063796</v>
      </c>
      <c r="J70" s="17">
        <f ca="1">IFERROR(__xludf.DUMMYFUNCTION("""COMPUTED_VALUE"""),1.19183627243041)</f>
        <v>1.1918362724304099</v>
      </c>
      <c r="K70" s="17" t="str">
        <f ca="1">IFERROR(__xludf.DUMMYFUNCTION("""COMPUTED_VALUE"""),"nan")</f>
        <v>nan</v>
      </c>
      <c r="L70" s="17">
        <f ca="1">IFERROR(__xludf.DUMMYFUNCTION("""COMPUTED_VALUE"""),0.814659971797255)</f>
        <v>0.81465997179725502</v>
      </c>
      <c r="M70" s="17">
        <f ca="1">IFERROR(__xludf.DUMMYFUNCTION("""COMPUTED_VALUE"""),1.53306363793609)</f>
        <v>1.53306363793609</v>
      </c>
      <c r="N70" s="17">
        <f ca="1">IFERROR(__xludf.DUMMYFUNCTION("""COMPUTED_VALUE"""),1.43206583286065)</f>
        <v>1.4320658328606499</v>
      </c>
      <c r="O70" s="17">
        <f ca="1">IFERROR(__xludf.DUMMYFUNCTION("""COMPUTED_VALUE"""),0.734487315249795)</f>
        <v>0.73448731524979505</v>
      </c>
      <c r="P70" s="17">
        <f ca="1">IFERROR(__xludf.DUMMYFUNCTION("""COMPUTED_VALUE"""),1.29629500243093)</f>
        <v>1.2962950024309301</v>
      </c>
      <c r="Q70" s="17">
        <f ca="1">IFERROR(__xludf.DUMMYFUNCTION("""COMPUTED_VALUE"""),1.10086071291479)</f>
        <v>1.10086071291479</v>
      </c>
      <c r="R70" s="17">
        <f ca="1">IFERROR(__xludf.DUMMYFUNCTION("""COMPUTED_VALUE"""),1.16415475890567)</f>
        <v>1.16415475890567</v>
      </c>
      <c r="S70" s="17">
        <f ca="1">IFERROR(__xludf.DUMMYFUNCTION("""COMPUTED_VALUE"""),1.21345887353665)</f>
        <v>1.2134588735366501</v>
      </c>
      <c r="T70" s="17">
        <f ca="1">IFERROR(__xludf.DUMMYFUNCTION("""COMPUTED_VALUE"""),1.02748026902348)</f>
        <v>1.0274802690234801</v>
      </c>
      <c r="U70" s="17">
        <f ca="1">IFERROR(__xludf.DUMMYFUNCTION("""COMPUTED_VALUE"""),1.16108486344446)</f>
        <v>1.1610848634444599</v>
      </c>
      <c r="V70" s="17">
        <f ca="1">IFERROR(__xludf.DUMMYFUNCTION("""COMPUTED_VALUE"""),1.06296445695514)</f>
        <v>1.06296445695514</v>
      </c>
      <c r="W70" s="17">
        <f ca="1">IFERROR(__xludf.DUMMYFUNCTION("""COMPUTED_VALUE"""),0.815793345956545)</f>
        <v>0.81579334595654496</v>
      </c>
      <c r="X70" s="17">
        <f ca="1">IFERROR(__xludf.DUMMYFUNCTION("""COMPUTED_VALUE"""),0.8245784779628)</f>
        <v>0.82457847796280004</v>
      </c>
      <c r="Y70" s="17">
        <f ca="1">IFERROR(__xludf.DUMMYFUNCTION("""COMPUTED_VALUE"""),1.09373765164673)</f>
        <v>1.0937376516467301</v>
      </c>
      <c r="Z70" s="17">
        <f ca="1">IFERROR(__xludf.DUMMYFUNCTION("""COMPUTED_VALUE"""),1.00538696353195)</f>
        <v>1.0053869635319499</v>
      </c>
      <c r="AA70" s="17">
        <f ca="1">IFERROR(__xludf.DUMMYFUNCTION("""COMPUTED_VALUE"""),0.799525823155573)</f>
        <v>0.79952582315557297</v>
      </c>
      <c r="AB70" s="17">
        <f ca="1">IFERROR(__xludf.DUMMYFUNCTION("""COMPUTED_VALUE"""),1.68266028212883)</f>
        <v>1.6826602821288299</v>
      </c>
      <c r="AC70" s="17">
        <f ca="1">IFERROR(__xludf.DUMMYFUNCTION("""COMPUTED_VALUE"""),0.924207395002973)</f>
        <v>0.924207395002973</v>
      </c>
      <c r="AD70" s="17">
        <f ca="1">IFERROR(__xludf.DUMMYFUNCTION("""COMPUTED_VALUE"""),0.907558464160459)</f>
        <v>0.90755846416045904</v>
      </c>
      <c r="AE70" s="17">
        <f ca="1">IFERROR(__xludf.DUMMYFUNCTION("""COMPUTED_VALUE"""),1.31096365670769)</f>
        <v>1.3109636567076901</v>
      </c>
      <c r="AF70" s="17">
        <f ca="1">IFERROR(__xludf.DUMMYFUNCTION("""COMPUTED_VALUE"""),1.07959924191412)</f>
        <v>1.07959924191412</v>
      </c>
      <c r="AG70" s="17">
        <f ca="1">IFERROR(__xludf.DUMMYFUNCTION("""COMPUTED_VALUE"""),1.16813190120215)</f>
        <v>1.16813190120215</v>
      </c>
      <c r="AH70" s="17">
        <f ca="1">IFERROR(__xludf.DUMMYFUNCTION("""COMPUTED_VALUE"""),1.03724592632151)</f>
        <v>1.0372459263215099</v>
      </c>
      <c r="AI70" s="17">
        <f ca="1">IFERROR(__xludf.DUMMYFUNCTION("""COMPUTED_VALUE"""),1.04307681163807)</f>
        <v>1.04307681163807</v>
      </c>
      <c r="AJ70" s="17">
        <f ca="1">IFERROR(__xludf.DUMMYFUNCTION("""COMPUTED_VALUE"""),1.18235118396216)</f>
        <v>1.1823511839621601</v>
      </c>
    </row>
    <row r="71" spans="2:36" ht="15.75" customHeight="1" x14ac:dyDescent="0.45">
      <c r="B71" s="10" t="str">
        <f ca="1">IFERROR(__xludf.DUMMYFUNCTION("""COMPUTED_VALUE"""),"CBF")</f>
        <v>CBF</v>
      </c>
      <c r="C71" s="10" t="str">
        <f ca="1">IFERROR(__xludf.DUMMYFUNCTION("""COMPUTED_VALUE"""),"aligned_timestamps")</f>
        <v>aligned_timestamps</v>
      </c>
      <c r="D71" s="10">
        <f ca="1">IFERROR(__xludf.DUMMYFUNCTION("""COMPUTED_VALUE"""),0.8)</f>
        <v>0.8</v>
      </c>
      <c r="E71" s="17">
        <f ca="1">IFERROR(__xludf.DUMMYFUNCTION("""COMPUTED_VALUE"""),1.0205038118934)</f>
        <v>1.0205038118934</v>
      </c>
      <c r="F71" s="17">
        <f ca="1">IFERROR(__xludf.DUMMYFUNCTION("""COMPUTED_VALUE"""),0.896051062491565)</f>
        <v>0.89605106249156496</v>
      </c>
      <c r="G71" s="17">
        <f ca="1">IFERROR(__xludf.DUMMYFUNCTION("""COMPUTED_VALUE"""),1.12664505099839)</f>
        <v>1.1266450509983901</v>
      </c>
      <c r="H71" s="17">
        <f ca="1">IFERROR(__xludf.DUMMYFUNCTION("""COMPUTED_VALUE"""),0.95681920306573)</f>
        <v>0.95681920306572998</v>
      </c>
      <c r="I71" s="17">
        <f ca="1">IFERROR(__xludf.DUMMYFUNCTION("""COMPUTED_VALUE"""),0.886576471612614)</f>
        <v>0.88657647161261399</v>
      </c>
      <c r="J71" s="17">
        <f ca="1">IFERROR(__xludf.DUMMYFUNCTION("""COMPUTED_VALUE"""),1.26870587254232)</f>
        <v>1.2687058725423199</v>
      </c>
      <c r="K71" s="17" t="str">
        <f ca="1">IFERROR(__xludf.DUMMYFUNCTION("""COMPUTED_VALUE"""),"nan")</f>
        <v>nan</v>
      </c>
      <c r="L71" s="17">
        <f ca="1">IFERROR(__xludf.DUMMYFUNCTION("""COMPUTED_VALUE"""),0.85616164648765)</f>
        <v>0.85616164648765003</v>
      </c>
      <c r="M71" s="17">
        <f ca="1">IFERROR(__xludf.DUMMYFUNCTION("""COMPUTED_VALUE"""),1.53344855785808)</f>
        <v>1.5334485578580801</v>
      </c>
      <c r="N71" s="17">
        <f ca="1">IFERROR(__xludf.DUMMYFUNCTION("""COMPUTED_VALUE"""),0.914340448718678)</f>
        <v>0.91434044871867803</v>
      </c>
      <c r="O71" s="17">
        <f ca="1">IFERROR(__xludf.DUMMYFUNCTION("""COMPUTED_VALUE"""),0.795193253693488)</f>
        <v>0.79519325369348803</v>
      </c>
      <c r="P71" s="17">
        <f ca="1">IFERROR(__xludf.DUMMYFUNCTION("""COMPUTED_VALUE"""),1.34853618763397)</f>
        <v>1.3485361876339701</v>
      </c>
      <c r="Q71" s="17">
        <f ca="1">IFERROR(__xludf.DUMMYFUNCTION("""COMPUTED_VALUE"""),1.15100389882469)</f>
        <v>1.15100389882469</v>
      </c>
      <c r="R71" s="17">
        <f ca="1">IFERROR(__xludf.DUMMYFUNCTION("""COMPUTED_VALUE"""),1.32693185656619)</f>
        <v>1.3269318565661901</v>
      </c>
      <c r="S71" s="17">
        <f ca="1">IFERROR(__xludf.DUMMYFUNCTION("""COMPUTED_VALUE"""),1.28215937879165)</f>
        <v>1.2821593787916501</v>
      </c>
      <c r="T71" s="17">
        <f ca="1">IFERROR(__xludf.DUMMYFUNCTION("""COMPUTED_VALUE"""),1.217633423463)</f>
        <v>1.217633423463</v>
      </c>
      <c r="U71" s="17">
        <f ca="1">IFERROR(__xludf.DUMMYFUNCTION("""COMPUTED_VALUE"""),1.11617747698885)</f>
        <v>1.1161774769888499</v>
      </c>
      <c r="V71" s="17">
        <f ca="1">IFERROR(__xludf.DUMMYFUNCTION("""COMPUTED_VALUE"""),1.15096178510469)</f>
        <v>1.15096178510469</v>
      </c>
      <c r="W71" s="17">
        <f ca="1">IFERROR(__xludf.DUMMYFUNCTION("""COMPUTED_VALUE"""),0.926599267144284)</f>
        <v>0.92659926714428398</v>
      </c>
      <c r="X71" s="17">
        <f ca="1">IFERROR(__xludf.DUMMYFUNCTION("""COMPUTED_VALUE"""),0.806779501260484)</f>
        <v>0.80677950126048403</v>
      </c>
      <c r="Y71" s="17">
        <f ca="1">IFERROR(__xludf.DUMMYFUNCTION("""COMPUTED_VALUE"""),1.07860012306235)</f>
        <v>1.0786001230623501</v>
      </c>
      <c r="Z71" s="17">
        <f ca="1">IFERROR(__xludf.DUMMYFUNCTION("""COMPUTED_VALUE"""),1.11673396571511)</f>
        <v>1.1167339657151101</v>
      </c>
      <c r="AA71" s="17">
        <f ca="1">IFERROR(__xludf.DUMMYFUNCTION("""COMPUTED_VALUE"""),0.986792646860168)</f>
        <v>0.98679264686016799</v>
      </c>
      <c r="AB71" s="17">
        <f ca="1">IFERROR(__xludf.DUMMYFUNCTION("""COMPUTED_VALUE"""),1.53074264563369)</f>
        <v>1.5307426456336899</v>
      </c>
      <c r="AC71" s="17">
        <f ca="1">IFERROR(__xludf.DUMMYFUNCTION("""COMPUTED_VALUE"""),0.92442758328764)</f>
        <v>0.92442758328763996</v>
      </c>
      <c r="AD71" s="17">
        <f ca="1">IFERROR(__xludf.DUMMYFUNCTION("""COMPUTED_VALUE"""),0.912956761332094)</f>
        <v>0.91295676133209402</v>
      </c>
      <c r="AE71" s="17">
        <f ca="1">IFERROR(__xludf.DUMMYFUNCTION("""COMPUTED_VALUE"""),1.98241775271801)</f>
        <v>1.98241775271801</v>
      </c>
      <c r="AF71" s="17">
        <f ca="1">IFERROR(__xludf.DUMMYFUNCTION("""COMPUTED_VALUE"""),1.21562370620742)</f>
        <v>1.21562370620742</v>
      </c>
      <c r="AG71" s="17">
        <f ca="1">IFERROR(__xludf.DUMMYFUNCTION("""COMPUTED_VALUE"""),1.10173057863948)</f>
        <v>1.10173057863948</v>
      </c>
      <c r="AH71" s="17">
        <f ca="1">IFERROR(__xludf.DUMMYFUNCTION("""COMPUTED_VALUE"""),1.02386754969777)</f>
        <v>1.0238675496977701</v>
      </c>
      <c r="AI71" s="17">
        <f ca="1">IFERROR(__xludf.DUMMYFUNCTION("""COMPUTED_VALUE"""),1.06782353708961)</f>
        <v>1.0678235370896101</v>
      </c>
      <c r="AJ71" s="17">
        <f ca="1">IFERROR(__xludf.DUMMYFUNCTION("""COMPUTED_VALUE"""),1.20464258982483)</f>
        <v>1.2046425898248301</v>
      </c>
    </row>
    <row r="72" spans="2:36" ht="15.75" customHeight="1" x14ac:dyDescent="0.45">
      <c r="B72" s="10" t="str">
        <f ca="1">IFERROR(__xludf.DUMMYFUNCTION("""COMPUTED_VALUE"""),"CBF")</f>
        <v>CBF</v>
      </c>
      <c r="C72" s="10" t="str">
        <f ca="1">IFERROR(__xludf.DUMMYFUNCTION("""COMPUTED_VALUE"""),"mcar")</f>
        <v>mcar</v>
      </c>
      <c r="D72" s="10">
        <f ca="1">IFERROR(__xludf.DUMMYFUNCTION("""COMPUTED_VALUE"""),0.1)</f>
        <v>0.1</v>
      </c>
      <c r="E72" s="17">
        <f ca="1">IFERROR(__xludf.DUMMYFUNCTION("""COMPUTED_VALUE"""),0.781249151635379)</f>
        <v>0.781249151635379</v>
      </c>
      <c r="F72" s="17">
        <f ca="1">IFERROR(__xludf.DUMMYFUNCTION("""COMPUTED_VALUE"""),0.563114056095572)</f>
        <v>0.56311405609557197</v>
      </c>
      <c r="G72" s="17">
        <f ca="1">IFERROR(__xludf.DUMMYFUNCTION("""COMPUTED_VALUE"""),0.573175780683591)</f>
        <v>0.57317578068359099</v>
      </c>
      <c r="H72" s="17">
        <f ca="1">IFERROR(__xludf.DUMMYFUNCTION("""COMPUTED_VALUE"""),0.559328837082494)</f>
        <v>0.55932883708249403</v>
      </c>
      <c r="I72" s="17">
        <f ca="1">IFERROR(__xludf.DUMMYFUNCTION("""COMPUTED_VALUE"""),0.540169892197221)</f>
        <v>0.540169892197221</v>
      </c>
      <c r="J72" s="17">
        <f ca="1">IFERROR(__xludf.DUMMYFUNCTION("""COMPUTED_VALUE"""),0.519745901772231)</f>
        <v>0.51974590177223101</v>
      </c>
      <c r="K72" s="17" t="str">
        <f ca="1">IFERROR(__xludf.DUMMYFUNCTION("""COMPUTED_VALUE"""),"nan")</f>
        <v>nan</v>
      </c>
      <c r="L72" s="17">
        <f ca="1">IFERROR(__xludf.DUMMYFUNCTION("""COMPUTED_VALUE"""),0.572302207460328)</f>
        <v>0.57230220746032801</v>
      </c>
      <c r="M72" s="17">
        <f ca="1">IFERROR(__xludf.DUMMYFUNCTION("""COMPUTED_VALUE"""),0.560944979692693)</f>
        <v>0.56094497969269297</v>
      </c>
      <c r="N72" s="17">
        <f ca="1">IFERROR(__xludf.DUMMYFUNCTION("""COMPUTED_VALUE"""),0.503424540941485)</f>
        <v>0.50342454094148503</v>
      </c>
      <c r="O72" s="17">
        <f ca="1">IFERROR(__xludf.DUMMYFUNCTION("""COMPUTED_VALUE"""),0.564281026372484)</f>
        <v>0.56428102637248401</v>
      </c>
      <c r="P72" s="17">
        <f ca="1">IFERROR(__xludf.DUMMYFUNCTION("""COMPUTED_VALUE"""),0.599721172977649)</f>
        <v>0.59972117297764904</v>
      </c>
      <c r="Q72" s="17">
        <f ca="1">IFERROR(__xludf.DUMMYFUNCTION("""COMPUTED_VALUE"""),0.982596274805898)</f>
        <v>0.98259627480589795</v>
      </c>
      <c r="R72" s="17">
        <f ca="1">IFERROR(__xludf.DUMMYFUNCTION("""COMPUTED_VALUE"""),0.529899067304047)</f>
        <v>0.52989906730404701</v>
      </c>
      <c r="S72" s="17">
        <f ca="1">IFERROR(__xludf.DUMMYFUNCTION("""COMPUTED_VALUE"""),0.549055897649924)</f>
        <v>0.54905589764992402</v>
      </c>
      <c r="T72" s="17">
        <f ca="1">IFERROR(__xludf.DUMMYFUNCTION("""COMPUTED_VALUE"""),0.553605575792713)</f>
        <v>0.55360557579271297</v>
      </c>
      <c r="U72" s="17">
        <f ca="1">IFERROR(__xludf.DUMMYFUNCTION("""COMPUTED_VALUE"""),0.559312946550754)</f>
        <v>0.55931294655075403</v>
      </c>
      <c r="V72" s="17">
        <f ca="1">IFERROR(__xludf.DUMMYFUNCTION("""COMPUTED_VALUE"""),0.578060434800346)</f>
        <v>0.57806043480034597</v>
      </c>
      <c r="W72" s="17">
        <f ca="1">IFERROR(__xludf.DUMMYFUNCTION("""COMPUTED_VALUE"""),0.568586426797458)</f>
        <v>0.56858642679745797</v>
      </c>
      <c r="X72" s="17">
        <f ca="1">IFERROR(__xludf.DUMMYFUNCTION("""COMPUTED_VALUE"""),0.492348135091962)</f>
        <v>0.49234813509196201</v>
      </c>
      <c r="Y72" s="17">
        <f ca="1">IFERROR(__xludf.DUMMYFUNCTION("""COMPUTED_VALUE"""),0.517281995572048)</f>
        <v>0.51728199557204801</v>
      </c>
      <c r="Z72" s="17">
        <f ca="1">IFERROR(__xludf.DUMMYFUNCTION("""COMPUTED_VALUE"""),0.510940710940137)</f>
        <v>0.51094071094013704</v>
      </c>
      <c r="AA72" s="17">
        <f ca="1">IFERROR(__xludf.DUMMYFUNCTION("""COMPUTED_VALUE"""),0.552732429630567)</f>
        <v>0.55273242963056701</v>
      </c>
      <c r="AB72" s="17">
        <f ca="1">IFERROR(__xludf.DUMMYFUNCTION("""COMPUTED_VALUE"""),0.768405245470981)</f>
        <v>0.76840524547098099</v>
      </c>
      <c r="AC72" s="17">
        <f ca="1">IFERROR(__xludf.DUMMYFUNCTION("""COMPUTED_VALUE"""),0.711797187055729)</f>
        <v>0.71179718705572903</v>
      </c>
      <c r="AD72" s="17">
        <f ca="1">IFERROR(__xludf.DUMMYFUNCTION("""COMPUTED_VALUE"""),0.546971803321284)</f>
        <v>0.54697180332128403</v>
      </c>
      <c r="AE72" s="17">
        <f ca="1">IFERROR(__xludf.DUMMYFUNCTION("""COMPUTED_VALUE"""),0.626856733952751)</f>
        <v>0.62685673395275099</v>
      </c>
      <c r="AF72" s="17">
        <f ca="1">IFERROR(__xludf.DUMMYFUNCTION("""COMPUTED_VALUE"""),0.711622661060489)</f>
        <v>0.71162266106048899</v>
      </c>
      <c r="AG72" s="17">
        <f ca="1">IFERROR(__xludf.DUMMYFUNCTION("""COMPUTED_VALUE"""),0.607638171836791)</f>
        <v>0.60763817183679103</v>
      </c>
      <c r="AH72" s="17">
        <f ca="1">IFERROR(__xludf.DUMMYFUNCTION("""COMPUTED_VALUE"""),0.537956392488175)</f>
        <v>0.53795639248817495</v>
      </c>
      <c r="AI72" s="17">
        <f ca="1">IFERROR(__xludf.DUMMYFUNCTION("""COMPUTED_VALUE"""),0.66056988185976)</f>
        <v>0.66056988185975996</v>
      </c>
      <c r="AJ72" s="17">
        <f ca="1">IFERROR(__xludf.DUMMYFUNCTION("""COMPUTED_VALUE"""),0.520052034809086)</f>
        <v>0.52005203480908602</v>
      </c>
    </row>
    <row r="73" spans="2:36" ht="15.75" customHeight="1" x14ac:dyDescent="0.45">
      <c r="B73" s="10" t="str">
        <f ca="1">IFERROR(__xludf.DUMMYFUNCTION("""COMPUTED_VALUE"""),"CBF")</f>
        <v>CBF</v>
      </c>
      <c r="C73" s="10" t="str">
        <f ca="1">IFERROR(__xludf.DUMMYFUNCTION("""COMPUTED_VALUE"""),"mcar")</f>
        <v>mcar</v>
      </c>
      <c r="D73" s="10">
        <f ca="1">IFERROR(__xludf.DUMMYFUNCTION("""COMPUTED_VALUE"""),0.2)</f>
        <v>0.2</v>
      </c>
      <c r="E73" s="17">
        <f ca="1">IFERROR(__xludf.DUMMYFUNCTION("""COMPUTED_VALUE"""),0.891689714529378)</f>
        <v>0.89168971452937795</v>
      </c>
      <c r="F73" s="17">
        <f ca="1">IFERROR(__xludf.DUMMYFUNCTION("""COMPUTED_VALUE"""),0.658519442109605)</f>
        <v>0.658519442109605</v>
      </c>
      <c r="G73" s="17">
        <f ca="1">IFERROR(__xludf.DUMMYFUNCTION("""COMPUTED_VALUE"""),0.662471990614797)</f>
        <v>0.662471990614797</v>
      </c>
      <c r="H73" s="17">
        <f ca="1">IFERROR(__xludf.DUMMYFUNCTION("""COMPUTED_VALUE"""),0.805916312418213)</f>
        <v>0.80591631241821304</v>
      </c>
      <c r="I73" s="17">
        <f ca="1">IFERROR(__xludf.DUMMYFUNCTION("""COMPUTED_VALUE"""),0.683090738772562)</f>
        <v>0.68309073877256199</v>
      </c>
      <c r="J73" s="17">
        <f ca="1">IFERROR(__xludf.DUMMYFUNCTION("""COMPUTED_VALUE"""),0.703104953821616)</f>
        <v>0.70310495382161597</v>
      </c>
      <c r="K73" s="17" t="str">
        <f ca="1">IFERROR(__xludf.DUMMYFUNCTION("""COMPUTED_VALUE"""),"nan")</f>
        <v>nan</v>
      </c>
      <c r="L73" s="17">
        <f ca="1">IFERROR(__xludf.DUMMYFUNCTION("""COMPUTED_VALUE"""),0.698640227723289)</f>
        <v>0.69864022772328904</v>
      </c>
      <c r="M73" s="17">
        <f ca="1">IFERROR(__xludf.DUMMYFUNCTION("""COMPUTED_VALUE"""),0.679903843661553)</f>
        <v>0.67990384366155299</v>
      </c>
      <c r="N73" s="17">
        <f ca="1">IFERROR(__xludf.DUMMYFUNCTION("""COMPUTED_VALUE"""),0.537453020096801)</f>
        <v>0.53745302009680096</v>
      </c>
      <c r="O73" s="17">
        <f ca="1">IFERROR(__xludf.DUMMYFUNCTION("""COMPUTED_VALUE"""),0.632796086182715)</f>
        <v>0.63279608618271499</v>
      </c>
      <c r="P73" s="17">
        <f ca="1">IFERROR(__xludf.DUMMYFUNCTION("""COMPUTED_VALUE"""),0.695966125584612)</f>
        <v>0.69596612558461202</v>
      </c>
      <c r="Q73" s="17">
        <f ca="1">IFERROR(__xludf.DUMMYFUNCTION("""COMPUTED_VALUE"""),0.982615682515014)</f>
        <v>0.98261568251501397</v>
      </c>
      <c r="R73" s="17">
        <f ca="1">IFERROR(__xludf.DUMMYFUNCTION("""COMPUTED_VALUE"""),0.663104128910715)</f>
        <v>0.66310412891071502</v>
      </c>
      <c r="S73" s="17">
        <f ca="1">IFERROR(__xludf.DUMMYFUNCTION("""COMPUTED_VALUE"""),0.686868744060535)</f>
        <v>0.686868744060535</v>
      </c>
      <c r="T73" s="17">
        <f ca="1">IFERROR(__xludf.DUMMYFUNCTION("""COMPUTED_VALUE"""),0.716671784847693)</f>
        <v>0.71667178484769301</v>
      </c>
      <c r="U73" s="17">
        <f ca="1">IFERROR(__xludf.DUMMYFUNCTION("""COMPUTED_VALUE"""),0.616922847945246)</f>
        <v>0.61692284794524599</v>
      </c>
      <c r="V73" s="17">
        <f ca="1">IFERROR(__xludf.DUMMYFUNCTION("""COMPUTED_VALUE"""),0.654681112129843)</f>
        <v>0.65468111212984303</v>
      </c>
      <c r="W73" s="17">
        <f ca="1">IFERROR(__xludf.DUMMYFUNCTION("""COMPUTED_VALUE"""),0.601737424969115)</f>
        <v>0.60173742496911498</v>
      </c>
      <c r="X73" s="17">
        <f ca="1">IFERROR(__xludf.DUMMYFUNCTION("""COMPUTED_VALUE"""),0.716783427516069)</f>
        <v>0.71678342751606905</v>
      </c>
      <c r="Y73" s="17">
        <f ca="1">IFERROR(__xludf.DUMMYFUNCTION("""COMPUTED_VALUE"""),0.637450886497703)</f>
        <v>0.63745088649770298</v>
      </c>
      <c r="Z73" s="17">
        <f ca="1">IFERROR(__xludf.DUMMYFUNCTION("""COMPUTED_VALUE"""),0.735705871445914)</f>
        <v>0.73570587144591404</v>
      </c>
      <c r="AA73" s="17">
        <f ca="1">IFERROR(__xludf.DUMMYFUNCTION("""COMPUTED_VALUE"""),0.609471697262821)</f>
        <v>0.60947169726282102</v>
      </c>
      <c r="AB73" s="17">
        <f ca="1">IFERROR(__xludf.DUMMYFUNCTION("""COMPUTED_VALUE"""),1.00731107794623)</f>
        <v>1.00731107794623</v>
      </c>
      <c r="AC73" s="17">
        <f ca="1">IFERROR(__xludf.DUMMYFUNCTION("""COMPUTED_VALUE"""),0.730175198380045)</f>
        <v>0.73017519838004497</v>
      </c>
      <c r="AD73" s="17">
        <f ca="1">IFERROR(__xludf.DUMMYFUNCTION("""COMPUTED_VALUE"""),0.639489578115369)</f>
        <v>0.639489578115369</v>
      </c>
      <c r="AE73" s="17">
        <f ca="1">IFERROR(__xludf.DUMMYFUNCTION("""COMPUTED_VALUE"""),0.737873742532067)</f>
        <v>0.73787374253206695</v>
      </c>
      <c r="AF73" s="17">
        <f ca="1">IFERROR(__xludf.DUMMYFUNCTION("""COMPUTED_VALUE"""),0.707708803471686)</f>
        <v>0.70770880347168597</v>
      </c>
      <c r="AG73" s="17">
        <f ca="1">IFERROR(__xludf.DUMMYFUNCTION("""COMPUTED_VALUE"""),0.766433811716613)</f>
        <v>0.76643381171661296</v>
      </c>
      <c r="AH73" s="17">
        <f ca="1">IFERROR(__xludf.DUMMYFUNCTION("""COMPUTED_VALUE"""),0.659459448118314)</f>
        <v>0.65945944811831403</v>
      </c>
      <c r="AI73" s="17">
        <f ca="1">IFERROR(__xludf.DUMMYFUNCTION("""COMPUTED_VALUE"""),0.790802899273996)</f>
        <v>0.79080289927399605</v>
      </c>
      <c r="AJ73" s="17">
        <f ca="1">IFERROR(__xludf.DUMMYFUNCTION("""COMPUTED_VALUE"""),0.710129970438742)</f>
        <v>0.71012997043874204</v>
      </c>
    </row>
    <row r="74" spans="2:36" ht="15.75" customHeight="1" x14ac:dyDescent="0.45">
      <c r="B74" s="10" t="str">
        <f ca="1">IFERROR(__xludf.DUMMYFUNCTION("""COMPUTED_VALUE"""),"CBF")</f>
        <v>CBF</v>
      </c>
      <c r="C74" s="10" t="str">
        <f ca="1">IFERROR(__xludf.DUMMYFUNCTION("""COMPUTED_VALUE"""),"mcar")</f>
        <v>mcar</v>
      </c>
      <c r="D74" s="10">
        <f ca="1">IFERROR(__xludf.DUMMYFUNCTION("""COMPUTED_VALUE"""),0.4)</f>
        <v>0.4</v>
      </c>
      <c r="E74" s="17">
        <f ca="1">IFERROR(__xludf.DUMMYFUNCTION("""COMPUTED_VALUE"""),0.987277314371704)</f>
        <v>0.98727731437170396</v>
      </c>
      <c r="F74" s="17">
        <f ca="1">IFERROR(__xludf.DUMMYFUNCTION("""COMPUTED_VALUE"""),0.865061464735581)</f>
        <v>0.86506146473558099</v>
      </c>
      <c r="G74" s="17">
        <f ca="1">IFERROR(__xludf.DUMMYFUNCTION("""COMPUTED_VALUE"""),0.889082172887794)</f>
        <v>0.88908217288779401</v>
      </c>
      <c r="H74" s="17">
        <f ca="1">IFERROR(__xludf.DUMMYFUNCTION("""COMPUTED_VALUE"""),0.91361883382216)</f>
        <v>0.91361883382216003</v>
      </c>
      <c r="I74" s="17">
        <f ca="1">IFERROR(__xludf.DUMMYFUNCTION("""COMPUTED_VALUE"""),0.817839553462381)</f>
        <v>0.81783955346238102</v>
      </c>
      <c r="J74" s="17">
        <f ca="1">IFERROR(__xludf.DUMMYFUNCTION("""COMPUTED_VALUE"""),0.804911900663229)</f>
        <v>0.80491190066322904</v>
      </c>
      <c r="K74" s="17" t="str">
        <f ca="1">IFERROR(__xludf.DUMMYFUNCTION("""COMPUTED_VALUE"""),"nan")</f>
        <v>nan</v>
      </c>
      <c r="L74" s="17">
        <f ca="1">IFERROR(__xludf.DUMMYFUNCTION("""COMPUTED_VALUE"""),0.825724202510015)</f>
        <v>0.82572420251001499</v>
      </c>
      <c r="M74" s="17">
        <f ca="1">IFERROR(__xludf.DUMMYFUNCTION("""COMPUTED_VALUE"""),0.900065320578376)</f>
        <v>0.90006532057837596</v>
      </c>
      <c r="N74" s="17">
        <f ca="1">IFERROR(__xludf.DUMMYFUNCTION("""COMPUTED_VALUE"""),0.73544648584468)</f>
        <v>0.73544648584467998</v>
      </c>
      <c r="O74" s="17">
        <f ca="1">IFERROR(__xludf.DUMMYFUNCTION("""COMPUTED_VALUE"""),0.808459763636426)</f>
        <v>0.80845976363642602</v>
      </c>
      <c r="P74" s="17">
        <f ca="1">IFERROR(__xludf.DUMMYFUNCTION("""COMPUTED_VALUE"""),0.941251647822681)</f>
        <v>0.941251647822681</v>
      </c>
      <c r="Q74" s="17">
        <f ca="1">IFERROR(__xludf.DUMMYFUNCTION("""COMPUTED_VALUE"""),1.00608867945823)</f>
        <v>1.00608867945823</v>
      </c>
      <c r="R74" s="17">
        <f ca="1">IFERROR(__xludf.DUMMYFUNCTION("""COMPUTED_VALUE"""),0.904931732832868)</f>
        <v>0.90493173283286799</v>
      </c>
      <c r="S74" s="17">
        <f ca="1">IFERROR(__xludf.DUMMYFUNCTION("""COMPUTED_VALUE"""),0.911372344858073)</f>
        <v>0.91137234485807295</v>
      </c>
      <c r="T74" s="17">
        <f ca="1">IFERROR(__xludf.DUMMYFUNCTION("""COMPUTED_VALUE"""),0.843923169114052)</f>
        <v>0.84392316911405196</v>
      </c>
      <c r="U74" s="17">
        <f ca="1">IFERROR(__xludf.DUMMYFUNCTION("""COMPUTED_VALUE"""),0.890321874279293)</f>
        <v>0.89032187427929299</v>
      </c>
      <c r="V74" s="17">
        <f ca="1">IFERROR(__xludf.DUMMYFUNCTION("""COMPUTED_VALUE"""),0.920465956406589)</f>
        <v>0.92046595640658901</v>
      </c>
      <c r="W74" s="17">
        <f ca="1">IFERROR(__xludf.DUMMYFUNCTION("""COMPUTED_VALUE"""),0.690955994563964)</f>
        <v>0.69095599456396395</v>
      </c>
      <c r="X74" s="17">
        <f ca="1">IFERROR(__xludf.DUMMYFUNCTION("""COMPUTED_VALUE"""),0.786904436835739)</f>
        <v>0.78690443683573896</v>
      </c>
      <c r="Y74" s="17">
        <f ca="1">IFERROR(__xludf.DUMMYFUNCTION("""COMPUTED_VALUE"""),0.807452940203043)</f>
        <v>0.80745294020304303</v>
      </c>
      <c r="Z74" s="17">
        <f ca="1">IFERROR(__xludf.DUMMYFUNCTION("""COMPUTED_VALUE"""),0.848538605208738)</f>
        <v>0.84853860520873803</v>
      </c>
      <c r="AA74" s="17">
        <f ca="1">IFERROR(__xludf.DUMMYFUNCTION("""COMPUTED_VALUE"""),0.806392303074658)</f>
        <v>0.80639230307465803</v>
      </c>
      <c r="AB74" s="17">
        <f ca="1">IFERROR(__xludf.DUMMYFUNCTION("""COMPUTED_VALUE"""),1.1786659663212)</f>
        <v>1.1786659663212</v>
      </c>
      <c r="AC74" s="17">
        <f ca="1">IFERROR(__xludf.DUMMYFUNCTION("""COMPUTED_VALUE"""),0.903500868270104)</f>
        <v>0.90350086827010401</v>
      </c>
      <c r="AD74" s="17">
        <f ca="1">IFERROR(__xludf.DUMMYFUNCTION("""COMPUTED_VALUE"""),0.889380006358088)</f>
        <v>0.889380006358088</v>
      </c>
      <c r="AE74" s="17">
        <f ca="1">IFERROR(__xludf.DUMMYFUNCTION("""COMPUTED_VALUE"""),0.946132471468101)</f>
        <v>0.94613247146810098</v>
      </c>
      <c r="AF74" s="17">
        <f ca="1">IFERROR(__xludf.DUMMYFUNCTION("""COMPUTED_VALUE"""),0.863841736694004)</f>
        <v>0.86384173669400399</v>
      </c>
      <c r="AG74" s="17">
        <f ca="1">IFERROR(__xludf.DUMMYFUNCTION("""COMPUTED_VALUE"""),0.884397685246085)</f>
        <v>0.88439768524608497</v>
      </c>
      <c r="AH74" s="17">
        <f ca="1">IFERROR(__xludf.DUMMYFUNCTION("""COMPUTED_VALUE"""),0.8646015129589)</f>
        <v>0.86460151295889998</v>
      </c>
      <c r="AI74" s="17">
        <f ca="1">IFERROR(__xludf.DUMMYFUNCTION("""COMPUTED_VALUE"""),0.900928225016664)</f>
        <v>0.90092822501666403</v>
      </c>
      <c r="AJ74" s="17">
        <f ca="1">IFERROR(__xludf.DUMMYFUNCTION("""COMPUTED_VALUE"""),0.908124207659471)</f>
        <v>0.90812420765947099</v>
      </c>
    </row>
    <row r="75" spans="2:36" ht="15.75" customHeight="1" x14ac:dyDescent="0.45">
      <c r="B75" s="10" t="str">
        <f ca="1">IFERROR(__xludf.DUMMYFUNCTION("""COMPUTED_VALUE"""),"CBF")</f>
        <v>CBF</v>
      </c>
      <c r="C75" s="10" t="str">
        <f ca="1">IFERROR(__xludf.DUMMYFUNCTION("""COMPUTED_VALUE"""),"mcar")</f>
        <v>mcar</v>
      </c>
      <c r="D75" s="10">
        <f ca="1">IFERROR(__xludf.DUMMYFUNCTION("""COMPUTED_VALUE"""),0.6)</f>
        <v>0.6</v>
      </c>
      <c r="E75" s="17">
        <f ca="1">IFERROR(__xludf.DUMMYFUNCTION("""COMPUTED_VALUE"""),0.994540757129931)</f>
        <v>0.99454075712993095</v>
      </c>
      <c r="F75" s="17">
        <f ca="1">IFERROR(__xludf.DUMMYFUNCTION("""COMPUTED_VALUE"""),0.829571818550019)</f>
        <v>0.82957181855001905</v>
      </c>
      <c r="G75" s="17">
        <f ca="1">IFERROR(__xludf.DUMMYFUNCTION("""COMPUTED_VALUE"""),0.891726875140637)</f>
        <v>0.89172687514063698</v>
      </c>
      <c r="H75" s="17">
        <f ca="1">IFERROR(__xludf.DUMMYFUNCTION("""COMPUTED_VALUE"""),0.852576903235287)</f>
        <v>0.85257690323528701</v>
      </c>
      <c r="I75" s="17">
        <f ca="1">IFERROR(__xludf.DUMMYFUNCTION("""COMPUTED_VALUE"""),0.810367361379125)</f>
        <v>0.81036736137912502</v>
      </c>
      <c r="J75" s="17">
        <f ca="1">IFERROR(__xludf.DUMMYFUNCTION("""COMPUTED_VALUE"""),0.902842639279557)</f>
        <v>0.90284263927955699</v>
      </c>
      <c r="K75" s="17" t="str">
        <f ca="1">IFERROR(__xludf.DUMMYFUNCTION("""COMPUTED_VALUE"""),"nan")</f>
        <v>nan</v>
      </c>
      <c r="L75" s="17">
        <f ca="1">IFERROR(__xludf.DUMMYFUNCTION("""COMPUTED_VALUE"""),0.783203426864079)</f>
        <v>0.78320342686407896</v>
      </c>
      <c r="M75" s="17">
        <f ca="1">IFERROR(__xludf.DUMMYFUNCTION("""COMPUTED_VALUE"""),1.11662263877973)</f>
        <v>1.11662263877973</v>
      </c>
      <c r="N75" s="17">
        <f ca="1">IFERROR(__xludf.DUMMYFUNCTION("""COMPUTED_VALUE"""),1.17445372984455)</f>
        <v>1.1744537298445501</v>
      </c>
      <c r="O75" s="17">
        <f ca="1">IFERROR(__xludf.DUMMYFUNCTION("""COMPUTED_VALUE"""),0.786415424800565)</f>
        <v>0.78641542480056503</v>
      </c>
      <c r="P75" s="17">
        <f ca="1">IFERROR(__xludf.DUMMYFUNCTION("""COMPUTED_VALUE"""),1.01564144719438)</f>
        <v>1.01564144719438</v>
      </c>
      <c r="Q75" s="17">
        <f ca="1">IFERROR(__xludf.DUMMYFUNCTION("""COMPUTED_VALUE"""),1.05548802304624)</f>
        <v>1.05548802304624</v>
      </c>
      <c r="R75" s="17">
        <f ca="1">IFERROR(__xludf.DUMMYFUNCTION("""COMPUTED_VALUE"""),0.912824084577232)</f>
        <v>0.91282408457723196</v>
      </c>
      <c r="S75" s="17">
        <f ca="1">IFERROR(__xludf.DUMMYFUNCTION("""COMPUTED_VALUE"""),1.33935780577709)</f>
        <v>1.3393578057770901</v>
      </c>
      <c r="T75" s="17">
        <f ca="1">IFERROR(__xludf.DUMMYFUNCTION("""COMPUTED_VALUE"""),0.920330401592424)</f>
        <v>0.92033040159242396</v>
      </c>
      <c r="U75" s="17">
        <f ca="1">IFERROR(__xludf.DUMMYFUNCTION("""COMPUTED_VALUE"""),0.797754209833871)</f>
        <v>0.79775420983387102</v>
      </c>
      <c r="V75" s="17">
        <f ca="1">IFERROR(__xludf.DUMMYFUNCTION("""COMPUTED_VALUE"""),0.958204241375852)</f>
        <v>0.95820424137585203</v>
      </c>
      <c r="W75" s="17">
        <f ca="1">IFERROR(__xludf.DUMMYFUNCTION("""COMPUTED_VALUE"""),0.729126413293162)</f>
        <v>0.72912641329316197</v>
      </c>
      <c r="X75" s="17">
        <f ca="1">IFERROR(__xludf.DUMMYFUNCTION("""COMPUTED_VALUE"""),0.762572413431491)</f>
        <v>0.76257241343149096</v>
      </c>
      <c r="Y75" s="17">
        <f ca="1">IFERROR(__xludf.DUMMYFUNCTION("""COMPUTED_VALUE"""),0.892459206108055)</f>
        <v>0.89245920610805496</v>
      </c>
      <c r="Z75" s="17">
        <f ca="1">IFERROR(__xludf.DUMMYFUNCTION("""COMPUTED_VALUE"""),0.957695802481584)</f>
        <v>0.95769580248158404</v>
      </c>
      <c r="AA75" s="17">
        <f ca="1">IFERROR(__xludf.DUMMYFUNCTION("""COMPUTED_VALUE"""),0.76590722174499)</f>
        <v>0.76590722174499004</v>
      </c>
      <c r="AB75" s="17">
        <f ca="1">IFERROR(__xludf.DUMMYFUNCTION("""COMPUTED_VALUE"""),1.28827122978187)</f>
        <v>1.2882712297818699</v>
      </c>
      <c r="AC75" s="17">
        <f ca="1">IFERROR(__xludf.DUMMYFUNCTION("""COMPUTED_VALUE"""),0.897656381574799)</f>
        <v>0.89765638157479899</v>
      </c>
      <c r="AD75" s="17">
        <f ca="1">IFERROR(__xludf.DUMMYFUNCTION("""COMPUTED_VALUE"""),0.840843390183613)</f>
        <v>0.84084339018361298</v>
      </c>
      <c r="AE75" s="17">
        <f ca="1">IFERROR(__xludf.DUMMYFUNCTION("""COMPUTED_VALUE"""),1.05790958955583)</f>
        <v>1.0579095895558299</v>
      </c>
      <c r="AF75" s="17">
        <f ca="1">IFERROR(__xludf.DUMMYFUNCTION("""COMPUTED_VALUE"""),0.948829241220805)</f>
        <v>0.94882924122080503</v>
      </c>
      <c r="AG75" s="17">
        <f ca="1">IFERROR(__xludf.DUMMYFUNCTION("""COMPUTED_VALUE"""),0.994362962030932)</f>
        <v>0.994362962030932</v>
      </c>
      <c r="AH75" s="17">
        <f ca="1">IFERROR(__xludf.DUMMYFUNCTION("""COMPUTED_VALUE"""),0.819015842869044)</f>
        <v>0.81901584286904405</v>
      </c>
      <c r="AI75" s="17">
        <f ca="1">IFERROR(__xludf.DUMMYFUNCTION("""COMPUTED_VALUE"""),0.920565841853096)</f>
        <v>0.92056584185309598</v>
      </c>
      <c r="AJ75" s="17">
        <f ca="1">IFERROR(__xludf.DUMMYFUNCTION("""COMPUTED_VALUE"""),0.972325953501555)</f>
        <v>0.97232595350155504</v>
      </c>
    </row>
    <row r="76" spans="2:36" ht="15.75" customHeight="1" x14ac:dyDescent="0.45">
      <c r="B76" s="10" t="str">
        <f ca="1">IFERROR(__xludf.DUMMYFUNCTION("""COMPUTED_VALUE"""),"CBF")</f>
        <v>CBF</v>
      </c>
      <c r="C76" s="10" t="str">
        <f ca="1">IFERROR(__xludf.DUMMYFUNCTION("""COMPUTED_VALUE"""),"mcar")</f>
        <v>mcar</v>
      </c>
      <c r="D76" s="10">
        <f ca="1">IFERROR(__xludf.DUMMYFUNCTION("""COMPUTED_VALUE"""),0.8)</f>
        <v>0.8</v>
      </c>
      <c r="E76" s="17">
        <f ca="1">IFERROR(__xludf.DUMMYFUNCTION("""COMPUTED_VALUE"""),0.95962981083617)</f>
        <v>0.95962981083617005</v>
      </c>
      <c r="F76" s="17">
        <f ca="1">IFERROR(__xludf.DUMMYFUNCTION("""COMPUTED_VALUE"""),0.789056848472122)</f>
        <v>0.78905684847212199</v>
      </c>
      <c r="G76" s="17">
        <f ca="1">IFERROR(__xludf.DUMMYFUNCTION("""COMPUTED_VALUE"""),0.897455719956027)</f>
        <v>0.89745571995602702</v>
      </c>
      <c r="H76" s="17">
        <f ca="1">IFERROR(__xludf.DUMMYFUNCTION("""COMPUTED_VALUE"""),0.881234525829055)</f>
        <v>0.88123452582905504</v>
      </c>
      <c r="I76" s="17">
        <f ca="1">IFERROR(__xludf.DUMMYFUNCTION("""COMPUTED_VALUE"""),0.82616065482236)</f>
        <v>0.82616065482236001</v>
      </c>
      <c r="J76" s="17">
        <f ca="1">IFERROR(__xludf.DUMMYFUNCTION("""COMPUTED_VALUE"""),1.35506216643047)</f>
        <v>1.3550621664304701</v>
      </c>
      <c r="K76" s="17" t="str">
        <f ca="1">IFERROR(__xludf.DUMMYFUNCTION("""COMPUTED_VALUE"""),"nan")</f>
        <v>nan</v>
      </c>
      <c r="L76" s="17">
        <f ca="1">IFERROR(__xludf.DUMMYFUNCTION("""COMPUTED_VALUE"""),0.827503947901435)</f>
        <v>0.827503947901435</v>
      </c>
      <c r="M76" s="17">
        <f ca="1">IFERROR(__xludf.DUMMYFUNCTION("""COMPUTED_VALUE"""),1.13857575485252)</f>
        <v>1.1385757548525199</v>
      </c>
      <c r="N76" s="17">
        <f ca="1">IFERROR(__xludf.DUMMYFUNCTION("""COMPUTED_VALUE"""),1.09332612513587)</f>
        <v>1.0933261251358699</v>
      </c>
      <c r="O76" s="17">
        <f ca="1">IFERROR(__xludf.DUMMYFUNCTION("""COMPUTED_VALUE"""),0.698422984511201)</f>
        <v>0.69842298451120099</v>
      </c>
      <c r="P76" s="17">
        <f ca="1">IFERROR(__xludf.DUMMYFUNCTION("""COMPUTED_VALUE"""),1.06900468552771)</f>
        <v>1.06900468552771</v>
      </c>
      <c r="Q76" s="17">
        <f ca="1">IFERROR(__xludf.DUMMYFUNCTION("""COMPUTED_VALUE"""),1.15585316114776)</f>
        <v>1.15585316114776</v>
      </c>
      <c r="R76" s="17">
        <f ca="1">IFERROR(__xludf.DUMMYFUNCTION("""COMPUTED_VALUE"""),0.948149540111997)</f>
        <v>0.94814954011199704</v>
      </c>
      <c r="S76" s="17">
        <f ca="1">IFERROR(__xludf.DUMMYFUNCTION("""COMPUTED_VALUE"""),1.52850062102735)</f>
        <v>1.52850062102735</v>
      </c>
      <c r="T76" s="17">
        <f ca="1">IFERROR(__xludf.DUMMYFUNCTION("""COMPUTED_VALUE"""),0.925032068922939)</f>
        <v>0.92503206892293899</v>
      </c>
      <c r="U76" s="17">
        <f ca="1">IFERROR(__xludf.DUMMYFUNCTION("""COMPUTED_VALUE"""),1.27344406925813)</f>
        <v>1.2734440692581299</v>
      </c>
      <c r="V76" s="17">
        <f ca="1">IFERROR(__xludf.DUMMYFUNCTION("""COMPUTED_VALUE"""),1.2656083260438)</f>
        <v>1.2656083260438</v>
      </c>
      <c r="W76" s="17">
        <f ca="1">IFERROR(__xludf.DUMMYFUNCTION("""COMPUTED_VALUE"""),0.792031568523933)</f>
        <v>0.79203156852393297</v>
      </c>
      <c r="X76" s="17">
        <f ca="1">IFERROR(__xludf.DUMMYFUNCTION("""COMPUTED_VALUE"""),0.731721330341476)</f>
        <v>0.73172133034147602</v>
      </c>
      <c r="Y76" s="17">
        <f ca="1">IFERROR(__xludf.DUMMYFUNCTION("""COMPUTED_VALUE"""),0.835955874275788)</f>
        <v>0.83595587427578799</v>
      </c>
      <c r="Z76" s="17">
        <f ca="1">IFERROR(__xludf.DUMMYFUNCTION("""COMPUTED_VALUE"""),0.956688736779156)</f>
        <v>0.956688736779156</v>
      </c>
      <c r="AA76" s="17">
        <f ca="1">IFERROR(__xludf.DUMMYFUNCTION("""COMPUTED_VALUE"""),0.821167969715193)</f>
        <v>0.82116796971519301</v>
      </c>
      <c r="AB76" s="17">
        <f ca="1">IFERROR(__xludf.DUMMYFUNCTION("""COMPUTED_VALUE"""),1.46720207859076)</f>
        <v>1.46720207859076</v>
      </c>
      <c r="AC76" s="17">
        <f ca="1">IFERROR(__xludf.DUMMYFUNCTION("""COMPUTED_VALUE"""),0.885701415745754)</f>
        <v>0.88570141574575401</v>
      </c>
      <c r="AD76" s="17">
        <f ca="1">IFERROR(__xludf.DUMMYFUNCTION("""COMPUTED_VALUE"""),0.991771240216793)</f>
        <v>0.99177124021679297</v>
      </c>
      <c r="AE76" s="17">
        <f ca="1">IFERROR(__xludf.DUMMYFUNCTION("""COMPUTED_VALUE"""),1.87322911329861)</f>
        <v>1.8732291132986101</v>
      </c>
      <c r="AF76" s="17">
        <f ca="1">IFERROR(__xludf.DUMMYFUNCTION("""COMPUTED_VALUE"""),1.09383504430628)</f>
        <v>1.0938350443062801</v>
      </c>
      <c r="AG76" s="17">
        <f ca="1">IFERROR(__xludf.DUMMYFUNCTION("""COMPUTED_VALUE"""),1.09823086034484)</f>
        <v>1.0982308603448401</v>
      </c>
      <c r="AH76" s="17">
        <f ca="1">IFERROR(__xludf.DUMMYFUNCTION("""COMPUTED_VALUE"""),0.993860871598177)</f>
        <v>0.99386087159817704</v>
      </c>
      <c r="AI76" s="17">
        <f ca="1">IFERROR(__xludf.DUMMYFUNCTION("""COMPUTED_VALUE"""),0.98571821175784)</f>
        <v>0.98571821175784002</v>
      </c>
      <c r="AJ76" s="17">
        <f ca="1">IFERROR(__xludf.DUMMYFUNCTION("""COMPUTED_VALUE"""),1.0170524974991)</f>
        <v>1.0170524974991</v>
      </c>
    </row>
    <row r="77" spans="2:36" ht="15.75" customHeight="1" x14ac:dyDescent="0.45">
      <c r="B77" s="10" t="str">
        <f ca="1">IFERROR(__xludf.DUMMYFUNCTION("""COMPUTED_VALUE"""),"Car")</f>
        <v>Car</v>
      </c>
      <c r="C77" s="10" t="str">
        <f ca="1">IFERROR(__xludf.DUMMYFUNCTION("""COMPUTED_VALUE"""),"aligned_series")</f>
        <v>aligned_series</v>
      </c>
      <c r="D77" s="10">
        <f ca="1">IFERROR(__xludf.DUMMYFUNCTION("""COMPUTED_VALUE"""),0.1)</f>
        <v>0.1</v>
      </c>
      <c r="E77" s="17">
        <f ca="1">IFERROR(__xludf.DUMMYFUNCTION("""COMPUTED_VALUE"""),0.838255347075799)</f>
        <v>0.83825534707579896</v>
      </c>
      <c r="F77" s="17">
        <f ca="1">IFERROR(__xludf.DUMMYFUNCTION("""COMPUTED_VALUE"""),0.178175764206648)</f>
        <v>0.17817576420664799</v>
      </c>
      <c r="G77" s="17">
        <f ca="1">IFERROR(__xludf.DUMMYFUNCTION("""COMPUTED_VALUE"""),0.21710918076656)</f>
        <v>0.21710918076655999</v>
      </c>
      <c r="H77" s="17">
        <f ca="1">IFERROR(__xludf.DUMMYFUNCTION("""COMPUTED_VALUE"""),0.376581952961379)</f>
        <v>0.37658195296137897</v>
      </c>
      <c r="I77" s="17">
        <f ca="1">IFERROR(__xludf.DUMMYFUNCTION("""COMPUTED_VALUE"""),0.212260745057921)</f>
        <v>0.212260745057921</v>
      </c>
      <c r="J77" s="17">
        <f ca="1">IFERROR(__xludf.DUMMYFUNCTION("""COMPUTED_VALUE"""),0.771619924025171)</f>
        <v>0.77161992402517099</v>
      </c>
      <c r="K77" s="17" t="str">
        <f ca="1">IFERROR(__xludf.DUMMYFUNCTION("""COMPUTED_VALUE"""),"nan")</f>
        <v>nan</v>
      </c>
      <c r="L77" s="17">
        <f ca="1">IFERROR(__xludf.DUMMYFUNCTION("""COMPUTED_VALUE"""),0.368171656119175)</f>
        <v>0.36817165611917502</v>
      </c>
      <c r="M77" s="17">
        <f ca="1">IFERROR(__xludf.DUMMYFUNCTION("""COMPUTED_VALUE"""),0.222784803327569)</f>
        <v>0.222784803327569</v>
      </c>
      <c r="N77" s="17">
        <f ca="1">IFERROR(__xludf.DUMMYFUNCTION("""COMPUTED_VALUE"""),0.3193279879767)</f>
        <v>0.31932798797669998</v>
      </c>
      <c r="O77" s="17">
        <f ca="1">IFERROR(__xludf.DUMMYFUNCTION("""COMPUTED_VALUE"""),0.174708316625887)</f>
        <v>0.17470831662588701</v>
      </c>
      <c r="P77" s="17">
        <f ca="1">IFERROR(__xludf.DUMMYFUNCTION("""COMPUTED_VALUE"""),0.622263005587525)</f>
        <v>0.62226300558752501</v>
      </c>
      <c r="Q77" s="17">
        <f ca="1">IFERROR(__xludf.DUMMYFUNCTION("""COMPUTED_VALUE"""),0.417499357303731)</f>
        <v>0.417499357303731</v>
      </c>
      <c r="R77" s="17">
        <f ca="1">IFERROR(__xludf.DUMMYFUNCTION("""COMPUTED_VALUE"""),0.282762021381171)</f>
        <v>0.28276202138117101</v>
      </c>
      <c r="S77" s="17">
        <f ca="1">IFERROR(__xludf.DUMMYFUNCTION("""COMPUTED_VALUE"""),0.389212141980937)</f>
        <v>0.38921214198093701</v>
      </c>
      <c r="T77" s="17">
        <f ca="1">IFERROR(__xludf.DUMMYFUNCTION("""COMPUTED_VALUE"""),0.490539803649953)</f>
        <v>0.49053980364995298</v>
      </c>
      <c r="U77" s="17">
        <f ca="1">IFERROR(__xludf.DUMMYFUNCTION("""COMPUTED_VALUE"""),0.264956698489719)</f>
        <v>0.26495669848971898</v>
      </c>
      <c r="V77" s="17">
        <f ca="1">IFERROR(__xludf.DUMMYFUNCTION("""COMPUTED_VALUE"""),0.230972000962909)</f>
        <v>0.23097200096290901</v>
      </c>
      <c r="W77" s="17">
        <f ca="1">IFERROR(__xludf.DUMMYFUNCTION("""COMPUTED_VALUE"""),0.351581712181584)</f>
        <v>0.35158171218158402</v>
      </c>
      <c r="X77" s="17">
        <f ca="1">IFERROR(__xludf.DUMMYFUNCTION("""COMPUTED_VALUE"""),0.335102625229971)</f>
        <v>0.33510262522997097</v>
      </c>
      <c r="Y77" s="17">
        <f ca="1">IFERROR(__xludf.DUMMYFUNCTION("""COMPUTED_VALUE"""),0.431688379191896)</f>
        <v>0.43168837919189601</v>
      </c>
      <c r="Z77" s="17">
        <f ca="1">IFERROR(__xludf.DUMMYFUNCTION("""COMPUTED_VALUE"""),0.444110042550726)</f>
        <v>0.444110042550726</v>
      </c>
      <c r="AA77" s="17">
        <f ca="1">IFERROR(__xludf.DUMMYFUNCTION("""COMPUTED_VALUE"""),0.139360313149563)</f>
        <v>0.13936031314956299</v>
      </c>
      <c r="AB77" s="17">
        <f ca="1">IFERROR(__xludf.DUMMYFUNCTION("""COMPUTED_VALUE"""),0.207688313181447)</f>
        <v>0.20768831318144701</v>
      </c>
      <c r="AC77" s="17">
        <f ca="1">IFERROR(__xludf.DUMMYFUNCTION("""COMPUTED_VALUE"""),0.464223176399498)</f>
        <v>0.46422317639949801</v>
      </c>
      <c r="AD77" s="17">
        <f ca="1">IFERROR(__xludf.DUMMYFUNCTION("""COMPUTED_VALUE"""),0.404507821204963)</f>
        <v>0.40450782120496298</v>
      </c>
      <c r="AE77" s="17">
        <f ca="1">IFERROR(__xludf.DUMMYFUNCTION("""COMPUTED_VALUE"""),1.16135265946428)</f>
        <v>1.16135265946428</v>
      </c>
      <c r="AF77" s="17">
        <f ca="1">IFERROR(__xludf.DUMMYFUNCTION("""COMPUTED_VALUE"""),0.161862206752918)</f>
        <v>0.16186220675291799</v>
      </c>
      <c r="AG77" s="17">
        <f ca="1">IFERROR(__xludf.DUMMYFUNCTION("""COMPUTED_VALUE"""),0.640022913905578)</f>
        <v>0.64002291390557797</v>
      </c>
      <c r="AH77" s="17">
        <f ca="1">IFERROR(__xludf.DUMMYFUNCTION("""COMPUTED_VALUE"""),0.434728847290981)</f>
        <v>0.43472884729098099</v>
      </c>
      <c r="AI77" s="17">
        <f ca="1">IFERROR(__xludf.DUMMYFUNCTION("""COMPUTED_VALUE"""),0.851583255430391)</f>
        <v>0.85158325543039104</v>
      </c>
      <c r="AJ77" s="17">
        <f ca="1">IFERROR(__xludf.DUMMYFUNCTION("""COMPUTED_VALUE"""),0.396316999265617)</f>
        <v>0.39631699926561698</v>
      </c>
    </row>
    <row r="78" spans="2:36" ht="15.75" customHeight="1" x14ac:dyDescent="0.45">
      <c r="B78" s="10" t="str">
        <f ca="1">IFERROR(__xludf.DUMMYFUNCTION("""COMPUTED_VALUE"""),"Car")</f>
        <v>Car</v>
      </c>
      <c r="C78" s="10" t="str">
        <f ca="1">IFERROR(__xludf.DUMMYFUNCTION("""COMPUTED_VALUE"""),"aligned_series")</f>
        <v>aligned_series</v>
      </c>
      <c r="D78" s="10">
        <f ca="1">IFERROR(__xludf.DUMMYFUNCTION("""COMPUTED_VALUE"""),0.2)</f>
        <v>0.2</v>
      </c>
      <c r="E78" s="17">
        <f ca="1">IFERROR(__xludf.DUMMYFUNCTION("""COMPUTED_VALUE"""),0.836301748172376)</f>
        <v>0.83630174817237601</v>
      </c>
      <c r="F78" s="17">
        <f ca="1">IFERROR(__xludf.DUMMYFUNCTION("""COMPUTED_VALUE"""),0.218180502161365)</f>
        <v>0.218180502161365</v>
      </c>
      <c r="G78" s="17">
        <f ca="1">IFERROR(__xludf.DUMMYFUNCTION("""COMPUTED_VALUE"""),0.306813085578696)</f>
        <v>0.30681308557869602</v>
      </c>
      <c r="H78" s="17">
        <f ca="1">IFERROR(__xludf.DUMMYFUNCTION("""COMPUTED_VALUE"""),0.335571498726391)</f>
        <v>0.33557149872639103</v>
      </c>
      <c r="I78" s="17">
        <f ca="1">IFERROR(__xludf.DUMMYFUNCTION("""COMPUTED_VALUE"""),0.250165213668195)</f>
        <v>0.250165213668195</v>
      </c>
      <c r="J78" s="17">
        <f ca="1">IFERROR(__xludf.DUMMYFUNCTION("""COMPUTED_VALUE"""),1.45367723242722)</f>
        <v>1.45367723242722</v>
      </c>
      <c r="K78" s="17" t="str">
        <f ca="1">IFERROR(__xludf.DUMMYFUNCTION("""COMPUTED_VALUE"""),"nan")</f>
        <v>nan</v>
      </c>
      <c r="L78" s="17">
        <f ca="1">IFERROR(__xludf.DUMMYFUNCTION("""COMPUTED_VALUE"""),0.382609618513518)</f>
        <v>0.38260961851351799</v>
      </c>
      <c r="M78" s="17">
        <f ca="1">IFERROR(__xludf.DUMMYFUNCTION("""COMPUTED_VALUE"""),0.380169964917217)</f>
        <v>0.380169964917217</v>
      </c>
      <c r="N78" s="17">
        <f ca="1">IFERROR(__xludf.DUMMYFUNCTION("""COMPUTED_VALUE"""),0.36306527647556)</f>
        <v>0.36306527647555997</v>
      </c>
      <c r="O78" s="17">
        <f ca="1">IFERROR(__xludf.DUMMYFUNCTION("""COMPUTED_VALUE"""),0.248597146898249)</f>
        <v>0.24859714689824899</v>
      </c>
      <c r="P78" s="17">
        <f ca="1">IFERROR(__xludf.DUMMYFUNCTION("""COMPUTED_VALUE"""),0.756142705729264)</f>
        <v>0.75614270572926401</v>
      </c>
      <c r="Q78" s="17">
        <f ca="1">IFERROR(__xludf.DUMMYFUNCTION("""COMPUTED_VALUE"""),0.373402348463477)</f>
        <v>0.37340234846347697</v>
      </c>
      <c r="R78" s="17">
        <f ca="1">IFERROR(__xludf.DUMMYFUNCTION("""COMPUTED_VALUE"""),0.488476105045152)</f>
        <v>0.48847610504515199</v>
      </c>
      <c r="S78" s="17">
        <f ca="1">IFERROR(__xludf.DUMMYFUNCTION("""COMPUTED_VALUE"""),0.484498900729692)</f>
        <v>0.48449890072969198</v>
      </c>
      <c r="T78" s="17">
        <f ca="1">IFERROR(__xludf.DUMMYFUNCTION("""COMPUTED_VALUE"""),0.252720740809248)</f>
        <v>0.252720740809248</v>
      </c>
      <c r="U78" s="17">
        <f ca="1">IFERROR(__xludf.DUMMYFUNCTION("""COMPUTED_VALUE"""),0.272387893489394)</f>
        <v>0.27238789348939402</v>
      </c>
      <c r="V78" s="17">
        <f ca="1">IFERROR(__xludf.DUMMYFUNCTION("""COMPUTED_VALUE"""),0.22558041615051)</f>
        <v>0.22558041615051</v>
      </c>
      <c r="W78" s="17">
        <f ca="1">IFERROR(__xludf.DUMMYFUNCTION("""COMPUTED_VALUE"""),0.289823690174466)</f>
        <v>0.28982369017446602</v>
      </c>
      <c r="X78" s="17">
        <f ca="1">IFERROR(__xludf.DUMMYFUNCTION("""COMPUTED_VALUE"""),0.319129323639642)</f>
        <v>0.31912932363964203</v>
      </c>
      <c r="Y78" s="17">
        <f ca="1">IFERROR(__xludf.DUMMYFUNCTION("""COMPUTED_VALUE"""),0.399194292186976)</f>
        <v>0.399194292186976</v>
      </c>
      <c r="Z78" s="17">
        <f ca="1">IFERROR(__xludf.DUMMYFUNCTION("""COMPUTED_VALUE"""),0.393729489532939)</f>
        <v>0.39372948953293901</v>
      </c>
      <c r="AA78" s="17">
        <f ca="1">IFERROR(__xludf.DUMMYFUNCTION("""COMPUTED_VALUE"""),0.123457324281957)</f>
        <v>0.12345732428195701</v>
      </c>
      <c r="AB78" s="17">
        <f ca="1">IFERROR(__xludf.DUMMYFUNCTION("""COMPUTED_VALUE"""),0.271464474477869)</f>
        <v>0.27146447447786898</v>
      </c>
      <c r="AC78" s="17">
        <f ca="1">IFERROR(__xludf.DUMMYFUNCTION("""COMPUTED_VALUE"""),0.42201150628834)</f>
        <v>0.42201150628834</v>
      </c>
      <c r="AD78" s="17">
        <f ca="1">IFERROR(__xludf.DUMMYFUNCTION("""COMPUTED_VALUE"""),0.403833062081536)</f>
        <v>0.40383306208153602</v>
      </c>
      <c r="AE78" s="17">
        <f ca="1">IFERROR(__xludf.DUMMYFUNCTION("""COMPUTED_VALUE"""),1.11205768525434)</f>
        <v>1.11205768525434</v>
      </c>
      <c r="AF78" s="17">
        <f ca="1">IFERROR(__xludf.DUMMYFUNCTION("""COMPUTED_VALUE"""),0.289586298707743)</f>
        <v>0.289586298707743</v>
      </c>
      <c r="AG78" s="17">
        <f ca="1">IFERROR(__xludf.DUMMYFUNCTION("""COMPUTED_VALUE"""),0.655429388385224)</f>
        <v>0.65542938838522402</v>
      </c>
      <c r="AH78" s="17">
        <f ca="1">IFERROR(__xludf.DUMMYFUNCTION("""COMPUTED_VALUE"""),0.424806672465298)</f>
        <v>0.42480667246529802</v>
      </c>
      <c r="AI78" s="17">
        <f ca="1">IFERROR(__xludf.DUMMYFUNCTION("""COMPUTED_VALUE"""),0.849343377835421)</f>
        <v>0.84934337783542102</v>
      </c>
      <c r="AJ78" s="17">
        <f ca="1">IFERROR(__xludf.DUMMYFUNCTION("""COMPUTED_VALUE"""),0.480846471281516)</f>
        <v>0.48084647128151597</v>
      </c>
    </row>
    <row r="79" spans="2:36" ht="15.75" customHeight="1" x14ac:dyDescent="0.45">
      <c r="B79" s="10" t="str">
        <f ca="1">IFERROR(__xludf.DUMMYFUNCTION("""COMPUTED_VALUE"""),"Car")</f>
        <v>Car</v>
      </c>
      <c r="C79" s="10" t="str">
        <f ca="1">IFERROR(__xludf.DUMMYFUNCTION("""COMPUTED_VALUE"""),"aligned_series")</f>
        <v>aligned_series</v>
      </c>
      <c r="D79" s="10">
        <f ca="1">IFERROR(__xludf.DUMMYFUNCTION("""COMPUTED_VALUE"""),0.4)</f>
        <v>0.4</v>
      </c>
      <c r="E79" s="17">
        <f ca="1">IFERROR(__xludf.DUMMYFUNCTION("""COMPUTED_VALUE"""),0.838360860729642)</f>
        <v>0.838360860729642</v>
      </c>
      <c r="F79" s="17">
        <f ca="1">IFERROR(__xludf.DUMMYFUNCTION("""COMPUTED_VALUE"""),0.165458562655364)</f>
        <v>0.16545856265536399</v>
      </c>
      <c r="G79" s="17">
        <f ca="1">IFERROR(__xludf.DUMMYFUNCTION("""COMPUTED_VALUE"""),0.226828536417)</f>
        <v>0.22682853641699999</v>
      </c>
      <c r="H79" s="17">
        <f ca="1">IFERROR(__xludf.DUMMYFUNCTION("""COMPUTED_VALUE"""),0.31632046707739)</f>
        <v>0.31632046707738998</v>
      </c>
      <c r="I79" s="17">
        <f ca="1">IFERROR(__xludf.DUMMYFUNCTION("""COMPUTED_VALUE"""),0.238738597927956)</f>
        <v>0.23873859792795599</v>
      </c>
      <c r="J79" s="17">
        <f ca="1">IFERROR(__xludf.DUMMYFUNCTION("""COMPUTED_VALUE"""),1.46138394777106)</f>
        <v>1.46138394777106</v>
      </c>
      <c r="K79" s="17" t="str">
        <f ca="1">IFERROR(__xludf.DUMMYFUNCTION("""COMPUTED_VALUE"""),"nan")</f>
        <v>nan</v>
      </c>
      <c r="L79" s="17">
        <f ca="1">IFERROR(__xludf.DUMMYFUNCTION("""COMPUTED_VALUE"""),0.338553528097541)</f>
        <v>0.33855352809754102</v>
      </c>
      <c r="M79" s="17">
        <f ca="1">IFERROR(__xludf.DUMMYFUNCTION("""COMPUTED_VALUE"""),0.276281223606289)</f>
        <v>0.27628122360628898</v>
      </c>
      <c r="N79" s="17">
        <f ca="1">IFERROR(__xludf.DUMMYFUNCTION("""COMPUTED_VALUE"""),0.321779244977728)</f>
        <v>0.32177924497772797</v>
      </c>
      <c r="O79" s="17">
        <f ca="1">IFERROR(__xludf.DUMMYFUNCTION("""COMPUTED_VALUE"""),0.169669837872652)</f>
        <v>0.169669837872652</v>
      </c>
      <c r="P79" s="17">
        <f ca="1">IFERROR(__xludf.DUMMYFUNCTION("""COMPUTED_VALUE"""),0.750319560978466)</f>
        <v>0.75031956097846597</v>
      </c>
      <c r="Q79" s="17">
        <f ca="1">IFERROR(__xludf.DUMMYFUNCTION("""COMPUTED_VALUE"""),0.361876731094363)</f>
        <v>0.36187673109436302</v>
      </c>
      <c r="R79" s="17">
        <f ca="1">IFERROR(__xludf.DUMMYFUNCTION("""COMPUTED_VALUE"""),0.545521094985887)</f>
        <v>0.54552109498588697</v>
      </c>
      <c r="S79" s="17">
        <f ca="1">IFERROR(__xludf.DUMMYFUNCTION("""COMPUTED_VALUE"""),0.544717966766963)</f>
        <v>0.54471796676696305</v>
      </c>
      <c r="T79" s="17">
        <f ca="1">IFERROR(__xludf.DUMMYFUNCTION("""COMPUTED_VALUE"""),0.409027725965026)</f>
        <v>0.40902772596502601</v>
      </c>
      <c r="U79" s="17">
        <f ca="1">IFERROR(__xludf.DUMMYFUNCTION("""COMPUTED_VALUE"""),0.315356205938206)</f>
        <v>0.31535620593820601</v>
      </c>
      <c r="V79" s="17">
        <f ca="1">IFERROR(__xludf.DUMMYFUNCTION("""COMPUTED_VALUE"""),0.256468907304476)</f>
        <v>0.25646890730447602</v>
      </c>
      <c r="W79" s="17">
        <f ca="1">IFERROR(__xludf.DUMMYFUNCTION("""COMPUTED_VALUE"""),0.36552515157443)</f>
        <v>0.36552515157443</v>
      </c>
      <c r="X79" s="17">
        <f ca="1">IFERROR(__xludf.DUMMYFUNCTION("""COMPUTED_VALUE"""),0.325841920738315)</f>
        <v>0.32584192073831503</v>
      </c>
      <c r="Y79" s="17">
        <f ca="1">IFERROR(__xludf.DUMMYFUNCTION("""COMPUTED_VALUE"""),0.331318532248388)</f>
        <v>0.33131853224838798</v>
      </c>
      <c r="Z79" s="17">
        <f ca="1">IFERROR(__xludf.DUMMYFUNCTION("""COMPUTED_VALUE"""),0.341559803744104)</f>
        <v>0.341559803744104</v>
      </c>
      <c r="AA79" s="17">
        <f ca="1">IFERROR(__xludf.DUMMYFUNCTION("""COMPUTED_VALUE"""),0.152799296055915)</f>
        <v>0.152799296055915</v>
      </c>
      <c r="AB79" s="17">
        <f ca="1">IFERROR(__xludf.DUMMYFUNCTION("""COMPUTED_VALUE"""),0.577928607355993)</f>
        <v>0.57792860735599305</v>
      </c>
      <c r="AC79" s="17">
        <f ca="1">IFERROR(__xludf.DUMMYFUNCTION("""COMPUTED_VALUE"""),0.467270160482865)</f>
        <v>0.46727016048286502</v>
      </c>
      <c r="AD79" s="17">
        <f ca="1">IFERROR(__xludf.DUMMYFUNCTION("""COMPUTED_VALUE"""),0.343007177011402)</f>
        <v>0.34300717701140199</v>
      </c>
      <c r="AE79" s="17">
        <f ca="1">IFERROR(__xludf.DUMMYFUNCTION("""COMPUTED_VALUE"""),1.1039149809972)</f>
        <v>1.1039149809972</v>
      </c>
      <c r="AF79" s="17">
        <f ca="1">IFERROR(__xludf.DUMMYFUNCTION("""COMPUTED_VALUE"""),0.259426291018487)</f>
        <v>0.25942629101848702</v>
      </c>
      <c r="AG79" s="17">
        <f ca="1">IFERROR(__xludf.DUMMYFUNCTION("""COMPUTED_VALUE"""),0.662886249424478)</f>
        <v>0.66288624942447805</v>
      </c>
      <c r="AH79" s="17">
        <f ca="1">IFERROR(__xludf.DUMMYFUNCTION("""COMPUTED_VALUE"""),0.462780908558212)</f>
        <v>0.46278090855821202</v>
      </c>
      <c r="AI79" s="17">
        <f ca="1">IFERROR(__xludf.DUMMYFUNCTION("""COMPUTED_VALUE"""),0.859303868713729)</f>
        <v>0.85930386871372899</v>
      </c>
      <c r="AJ79" s="17">
        <f ca="1">IFERROR(__xludf.DUMMYFUNCTION("""COMPUTED_VALUE"""),0.536567374624146)</f>
        <v>0.53656737462414605</v>
      </c>
    </row>
    <row r="80" spans="2:36" ht="15.75" customHeight="1" x14ac:dyDescent="0.45">
      <c r="B80" s="10" t="str">
        <f ca="1">IFERROR(__xludf.DUMMYFUNCTION("""COMPUTED_VALUE"""),"Car")</f>
        <v>Car</v>
      </c>
      <c r="C80" s="10" t="str">
        <f ca="1">IFERROR(__xludf.DUMMYFUNCTION("""COMPUTED_VALUE"""),"aligned_series")</f>
        <v>aligned_series</v>
      </c>
      <c r="D80" s="10">
        <f ca="1">IFERROR(__xludf.DUMMYFUNCTION("""COMPUTED_VALUE"""),0.6)</f>
        <v>0.6</v>
      </c>
      <c r="E80" s="17">
        <f ca="1">IFERROR(__xludf.DUMMYFUNCTION("""COMPUTED_VALUE"""),0.851960571948312)</f>
        <v>0.85196057194831198</v>
      </c>
      <c r="F80" s="17">
        <f ca="1">IFERROR(__xludf.DUMMYFUNCTION("""COMPUTED_VALUE"""),0.168506381664272)</f>
        <v>0.16850638166427201</v>
      </c>
      <c r="G80" s="17">
        <f ca="1">IFERROR(__xludf.DUMMYFUNCTION("""COMPUTED_VALUE"""),0.234090185727653)</f>
        <v>0.234090185727653</v>
      </c>
      <c r="H80" s="17">
        <f ca="1">IFERROR(__xludf.DUMMYFUNCTION("""COMPUTED_VALUE"""),0.293842042369316)</f>
        <v>0.29384204236931599</v>
      </c>
      <c r="I80" s="17">
        <f ca="1">IFERROR(__xludf.DUMMYFUNCTION("""COMPUTED_VALUE"""),0.271770028252012)</f>
        <v>0.27177002825201202</v>
      </c>
      <c r="J80" s="17">
        <f ca="1">IFERROR(__xludf.DUMMYFUNCTION("""COMPUTED_VALUE"""),1.54643239839525)</f>
        <v>1.5464323983952499</v>
      </c>
      <c r="K80" s="17" t="str">
        <f ca="1">IFERROR(__xludf.DUMMYFUNCTION("""COMPUTED_VALUE"""),"nan")</f>
        <v>nan</v>
      </c>
      <c r="L80" s="17">
        <f ca="1">IFERROR(__xludf.DUMMYFUNCTION("""COMPUTED_VALUE"""),0.317193166418812)</f>
        <v>0.31719316641881201</v>
      </c>
      <c r="M80" s="17">
        <f ca="1">IFERROR(__xludf.DUMMYFUNCTION("""COMPUTED_VALUE"""),0.307154167436316)</f>
        <v>0.30715416743631602</v>
      </c>
      <c r="N80" s="17">
        <f ca="1">IFERROR(__xludf.DUMMYFUNCTION("""COMPUTED_VALUE"""),0.294431661480452)</f>
        <v>0.29443166148045202</v>
      </c>
      <c r="O80" s="17">
        <f ca="1">IFERROR(__xludf.DUMMYFUNCTION("""COMPUTED_VALUE"""),0.48445018503032)</f>
        <v>0.48445018503032</v>
      </c>
      <c r="P80" s="17">
        <f ca="1">IFERROR(__xludf.DUMMYFUNCTION("""COMPUTED_VALUE"""),0.888824247042172)</f>
        <v>0.888824247042172</v>
      </c>
      <c r="Q80" s="17">
        <f ca="1">IFERROR(__xludf.DUMMYFUNCTION("""COMPUTED_VALUE"""),0.67045617973125)</f>
        <v>0.67045617973125005</v>
      </c>
      <c r="R80" s="17">
        <f ca="1">IFERROR(__xludf.DUMMYFUNCTION("""COMPUTED_VALUE"""),0.620884607750669)</f>
        <v>0.620884607750669</v>
      </c>
      <c r="S80" s="17">
        <f ca="1">IFERROR(__xludf.DUMMYFUNCTION("""COMPUTED_VALUE"""),0.648572700477056)</f>
        <v>0.64857270047705595</v>
      </c>
      <c r="T80" s="17">
        <f ca="1">IFERROR(__xludf.DUMMYFUNCTION("""COMPUTED_VALUE"""),0.276024088418703)</f>
        <v>0.27602408841870302</v>
      </c>
      <c r="U80" s="17">
        <f ca="1">IFERROR(__xludf.DUMMYFUNCTION("""COMPUTED_VALUE"""),0.292770098004262)</f>
        <v>0.29277009800426201</v>
      </c>
      <c r="V80" s="17">
        <f ca="1">IFERROR(__xludf.DUMMYFUNCTION("""COMPUTED_VALUE"""),0.228880008822064)</f>
        <v>0.228880008822064</v>
      </c>
      <c r="W80" s="17">
        <f ca="1">IFERROR(__xludf.DUMMYFUNCTION("""COMPUTED_VALUE"""),0.328961867733218)</f>
        <v>0.32896186773321801</v>
      </c>
      <c r="X80" s="17">
        <f ca="1">IFERROR(__xludf.DUMMYFUNCTION("""COMPUTED_VALUE"""),0.29301600526115)</f>
        <v>0.29301600526115001</v>
      </c>
      <c r="Y80" s="17">
        <f ca="1">IFERROR(__xludf.DUMMYFUNCTION("""COMPUTED_VALUE"""),0.310753419876236)</f>
        <v>0.310753419876236</v>
      </c>
      <c r="Z80" s="17">
        <f ca="1">IFERROR(__xludf.DUMMYFUNCTION("""COMPUTED_VALUE"""),0.333879639228682)</f>
        <v>0.33387963922868202</v>
      </c>
      <c r="AA80" s="17">
        <f ca="1">IFERROR(__xludf.DUMMYFUNCTION("""COMPUTED_VALUE"""),0.482896280619124)</f>
        <v>0.48289628061912399</v>
      </c>
      <c r="AB80" s="17">
        <f ca="1">IFERROR(__xludf.DUMMYFUNCTION("""COMPUTED_VALUE"""),1.61087335040246)</f>
        <v>1.6108733504024599</v>
      </c>
      <c r="AC80" s="17">
        <f ca="1">IFERROR(__xludf.DUMMYFUNCTION("""COMPUTED_VALUE"""),0.3818527006164)</f>
        <v>0.38185270061639998</v>
      </c>
      <c r="AD80" s="17">
        <f ca="1">IFERROR(__xludf.DUMMYFUNCTION("""COMPUTED_VALUE"""),0.336217809317067)</f>
        <v>0.33621780931706702</v>
      </c>
      <c r="AE80" s="17">
        <f ca="1">IFERROR(__xludf.DUMMYFUNCTION("""COMPUTED_VALUE"""),1.12414948332176)</f>
        <v>1.12414948332176</v>
      </c>
      <c r="AF80" s="17">
        <f ca="1">IFERROR(__xludf.DUMMYFUNCTION("""COMPUTED_VALUE"""),0.235800886941828)</f>
        <v>0.23580088694182799</v>
      </c>
      <c r="AG80" s="17">
        <f ca="1">IFERROR(__xludf.DUMMYFUNCTION("""COMPUTED_VALUE"""),0.64450144078656)</f>
        <v>0.64450144078656002</v>
      </c>
      <c r="AH80" s="17">
        <f ca="1">IFERROR(__xludf.DUMMYFUNCTION("""COMPUTED_VALUE"""),0.466206907370294)</f>
        <v>0.46620690737029402</v>
      </c>
      <c r="AI80" s="17">
        <f ca="1">IFERROR(__xludf.DUMMYFUNCTION("""COMPUTED_VALUE"""),0.856869726044022)</f>
        <v>0.85686972604402201</v>
      </c>
      <c r="AJ80" s="17">
        <f ca="1">IFERROR(__xludf.DUMMYFUNCTION("""COMPUTED_VALUE"""),0.617081810216407)</f>
        <v>0.61708181021640696</v>
      </c>
    </row>
    <row r="81" spans="2:36" ht="15.75" customHeight="1" x14ac:dyDescent="0.45">
      <c r="B81" s="10" t="str">
        <f ca="1">IFERROR(__xludf.DUMMYFUNCTION("""COMPUTED_VALUE"""),"Car")</f>
        <v>Car</v>
      </c>
      <c r="C81" s="10" t="str">
        <f ca="1">IFERROR(__xludf.DUMMYFUNCTION("""COMPUTED_VALUE"""),"aligned_series")</f>
        <v>aligned_series</v>
      </c>
      <c r="D81" s="10">
        <f ca="1">IFERROR(__xludf.DUMMYFUNCTION("""COMPUTED_VALUE"""),0.8)</f>
        <v>0.8</v>
      </c>
      <c r="E81" s="17">
        <f ca="1">IFERROR(__xludf.DUMMYFUNCTION("""COMPUTED_VALUE"""),0.863716986335122)</f>
        <v>0.86371698633512195</v>
      </c>
      <c r="F81" s="17">
        <f ca="1">IFERROR(__xludf.DUMMYFUNCTION("""COMPUTED_VALUE"""),0.212232515813924)</f>
        <v>0.21223251581392399</v>
      </c>
      <c r="G81" s="17">
        <f ca="1">IFERROR(__xludf.DUMMYFUNCTION("""COMPUTED_VALUE"""),0.217409595050686)</f>
        <v>0.21740959505068599</v>
      </c>
      <c r="H81" s="17">
        <f ca="1">IFERROR(__xludf.DUMMYFUNCTION("""COMPUTED_VALUE"""),0.689519047940261)</f>
        <v>0.68951904794026098</v>
      </c>
      <c r="I81" s="17">
        <f ca="1">IFERROR(__xludf.DUMMYFUNCTION("""COMPUTED_VALUE"""),0.42428298944701)</f>
        <v>0.42428298944700998</v>
      </c>
      <c r="J81" s="17">
        <f ca="1">IFERROR(__xludf.DUMMYFUNCTION("""COMPUTED_VALUE"""),1.53746809356805)</f>
        <v>1.53746809356805</v>
      </c>
      <c r="K81" s="17" t="str">
        <f ca="1">IFERROR(__xludf.DUMMYFUNCTION("""COMPUTED_VALUE"""),"nan")</f>
        <v>nan</v>
      </c>
      <c r="L81" s="17">
        <f ca="1">IFERROR(__xludf.DUMMYFUNCTION("""COMPUTED_VALUE"""),0.32814910645308)</f>
        <v>0.32814910645307999</v>
      </c>
      <c r="M81" s="17">
        <f ca="1">IFERROR(__xludf.DUMMYFUNCTION("""COMPUTED_VALUE"""),0.225606589846073)</f>
        <v>0.22560658984607301</v>
      </c>
      <c r="N81" s="17">
        <f ca="1">IFERROR(__xludf.DUMMYFUNCTION("""COMPUTED_VALUE"""),0.292309042643701)</f>
        <v>0.292309042643701</v>
      </c>
      <c r="O81" s="17">
        <f ca="1">IFERROR(__xludf.DUMMYFUNCTION("""COMPUTED_VALUE"""),0.828851012164043)</f>
        <v>0.828851012164043</v>
      </c>
      <c r="P81" s="17">
        <f ca="1">IFERROR(__xludf.DUMMYFUNCTION("""COMPUTED_VALUE"""),1.02486456065022)</f>
        <v>1.02486456065022</v>
      </c>
      <c r="Q81" s="17">
        <f ca="1">IFERROR(__xludf.DUMMYFUNCTION("""COMPUTED_VALUE"""),0.866034912241365)</f>
        <v>0.86603491224136497</v>
      </c>
      <c r="R81" s="17">
        <f ca="1">IFERROR(__xludf.DUMMYFUNCTION("""COMPUTED_VALUE"""),0.784289886187376)</f>
        <v>0.78428988618737605</v>
      </c>
      <c r="S81" s="17">
        <f ca="1">IFERROR(__xludf.DUMMYFUNCTION("""COMPUTED_VALUE"""),0.758038907514835)</f>
        <v>0.75803890751483505</v>
      </c>
      <c r="T81" s="17">
        <f ca="1">IFERROR(__xludf.DUMMYFUNCTION("""COMPUTED_VALUE"""),0.435208857204091)</f>
        <v>0.43520885720409103</v>
      </c>
      <c r="U81" s="17">
        <f ca="1">IFERROR(__xludf.DUMMYFUNCTION("""COMPUTED_VALUE"""),0.355385130788814)</f>
        <v>0.35538513078881401</v>
      </c>
      <c r="V81" s="17">
        <f ca="1">IFERROR(__xludf.DUMMYFUNCTION("""COMPUTED_VALUE"""),0.276628462446386)</f>
        <v>0.276628462446386</v>
      </c>
      <c r="W81" s="17">
        <f ca="1">IFERROR(__xludf.DUMMYFUNCTION("""COMPUTED_VALUE"""),0.331625174137163)</f>
        <v>0.33162517413716303</v>
      </c>
      <c r="X81" s="17">
        <f ca="1">IFERROR(__xludf.DUMMYFUNCTION("""COMPUTED_VALUE"""),0.299405017429858)</f>
        <v>0.29940501742985798</v>
      </c>
      <c r="Y81" s="17">
        <f ca="1">IFERROR(__xludf.DUMMYFUNCTION("""COMPUTED_VALUE"""),0.314095752828527)</f>
        <v>0.31409575282852698</v>
      </c>
      <c r="Z81" s="17">
        <f ca="1">IFERROR(__xludf.DUMMYFUNCTION("""COMPUTED_VALUE"""),0.393986790321144)</f>
        <v>0.39398679032114398</v>
      </c>
      <c r="AA81" s="17">
        <f ca="1">IFERROR(__xludf.DUMMYFUNCTION("""COMPUTED_VALUE"""),0.36318693158763)</f>
        <v>0.36318693158762999</v>
      </c>
      <c r="AB81" s="17">
        <f ca="1">IFERROR(__xludf.DUMMYFUNCTION("""COMPUTED_VALUE"""),1.79461953144935)</f>
        <v>1.79461953144935</v>
      </c>
      <c r="AC81" s="17">
        <f ca="1">IFERROR(__xludf.DUMMYFUNCTION("""COMPUTED_VALUE"""),0.444150571043297)</f>
        <v>0.44415057104329703</v>
      </c>
      <c r="AD81" s="17">
        <f ca="1">IFERROR(__xludf.DUMMYFUNCTION("""COMPUTED_VALUE"""),0.343682338929777)</f>
        <v>0.34368233892977701</v>
      </c>
      <c r="AE81" s="17">
        <f ca="1">IFERROR(__xludf.DUMMYFUNCTION("""COMPUTED_VALUE"""),1.11159066411524)</f>
        <v>1.11159066411524</v>
      </c>
      <c r="AF81" s="17">
        <f ca="1">IFERROR(__xludf.DUMMYFUNCTION("""COMPUTED_VALUE"""),0.267720738638191)</f>
        <v>0.26772073863819101</v>
      </c>
      <c r="AG81" s="17">
        <f ca="1">IFERROR(__xludf.DUMMYFUNCTION("""COMPUTED_VALUE"""),0.778334374921425)</f>
        <v>0.77833437492142499</v>
      </c>
      <c r="AH81" s="17">
        <f ca="1">IFERROR(__xludf.DUMMYFUNCTION("""COMPUTED_VALUE"""),0.469634598374175)</f>
        <v>0.46963459837417498</v>
      </c>
      <c r="AI81" s="17">
        <f ca="1">IFERROR(__xludf.DUMMYFUNCTION("""COMPUTED_VALUE"""),0.85241373913553)</f>
        <v>0.85241373913552998</v>
      </c>
      <c r="AJ81" s="17">
        <f ca="1">IFERROR(__xludf.DUMMYFUNCTION("""COMPUTED_VALUE"""),0.704807451347459)</f>
        <v>0.70480745134745904</v>
      </c>
    </row>
    <row r="82" spans="2:36" ht="15.75" customHeight="1" x14ac:dyDescent="0.45">
      <c r="B82" s="10" t="str">
        <f ca="1">IFERROR(__xludf.DUMMYFUNCTION("""COMPUTED_VALUE"""),"Car")</f>
        <v>Car</v>
      </c>
      <c r="C82" s="10" t="str">
        <f ca="1">IFERROR(__xludf.DUMMYFUNCTION("""COMPUTED_VALUE"""),"aligned_timestamps")</f>
        <v>aligned_timestamps</v>
      </c>
      <c r="D82" s="10">
        <f ca="1">IFERROR(__xludf.DUMMYFUNCTION("""COMPUTED_VALUE"""),0.1)</f>
        <v>0.1</v>
      </c>
      <c r="E82" s="17">
        <f ca="1">IFERROR(__xludf.DUMMYFUNCTION("""COMPUTED_VALUE"""),0.591148365408936)</f>
        <v>0.59114836540893601</v>
      </c>
      <c r="F82" s="17">
        <f ca="1">IFERROR(__xludf.DUMMYFUNCTION("""COMPUTED_VALUE"""),0.29381495732852)</f>
        <v>0.29381495732851998</v>
      </c>
      <c r="G82" s="17">
        <f ca="1">IFERROR(__xludf.DUMMYFUNCTION("""COMPUTED_VALUE"""),0.385627886562661)</f>
        <v>0.385627886562661</v>
      </c>
      <c r="H82" s="17">
        <f ca="1">IFERROR(__xludf.DUMMYFUNCTION("""COMPUTED_VALUE"""),0.419231961588179)</f>
        <v>0.41923196158817899</v>
      </c>
      <c r="I82" s="17">
        <f ca="1">IFERROR(__xludf.DUMMYFUNCTION("""COMPUTED_VALUE"""),0.225440636580505)</f>
        <v>0.225440636580505</v>
      </c>
      <c r="J82" s="17">
        <f ca="1">IFERROR(__xludf.DUMMYFUNCTION("""COMPUTED_VALUE"""),0.538765261710049)</f>
        <v>0.53876526171004901</v>
      </c>
      <c r="K82" s="17" t="str">
        <f ca="1">IFERROR(__xludf.DUMMYFUNCTION("""COMPUTED_VALUE"""),"nan")</f>
        <v>nan</v>
      </c>
      <c r="L82" s="17">
        <f ca="1">IFERROR(__xludf.DUMMYFUNCTION("""COMPUTED_VALUE"""),0.437503029426766)</f>
        <v>0.437503029426766</v>
      </c>
      <c r="M82" s="17">
        <f ca="1">IFERROR(__xludf.DUMMYFUNCTION("""COMPUTED_VALUE"""),0.428515758732476)</f>
        <v>0.42851575873247599</v>
      </c>
      <c r="N82" s="17">
        <f ca="1">IFERROR(__xludf.DUMMYFUNCTION("""COMPUTED_VALUE"""),0.428554501841233)</f>
        <v>0.428554501841233</v>
      </c>
      <c r="O82" s="17">
        <f ca="1">IFERROR(__xludf.DUMMYFUNCTION("""COMPUTED_VALUE"""),0.299266513233206)</f>
        <v>0.29926651323320602</v>
      </c>
      <c r="P82" s="17">
        <f ca="1">IFERROR(__xludf.DUMMYFUNCTION("""COMPUTED_VALUE"""),0.474244206785822)</f>
        <v>0.47424420678582202</v>
      </c>
      <c r="Q82" s="17">
        <f ca="1">IFERROR(__xludf.DUMMYFUNCTION("""COMPUTED_VALUE"""),0.475224889492569)</f>
        <v>0.47522488949256902</v>
      </c>
      <c r="R82" s="17">
        <f ca="1">IFERROR(__xludf.DUMMYFUNCTION("""COMPUTED_VALUE"""),0.342852893853827)</f>
        <v>0.342852893853827</v>
      </c>
      <c r="S82" s="17">
        <f ca="1">IFERROR(__xludf.DUMMYFUNCTION("""COMPUTED_VALUE"""),0.288637956639409)</f>
        <v>0.288637956639409</v>
      </c>
      <c r="T82" s="17">
        <f ca="1">IFERROR(__xludf.DUMMYFUNCTION("""COMPUTED_VALUE"""),0.212567850024829)</f>
        <v>0.212567850024829</v>
      </c>
      <c r="U82" s="17">
        <f ca="1">IFERROR(__xludf.DUMMYFUNCTION("""COMPUTED_VALUE"""),0.227026125991333)</f>
        <v>0.22702612599133301</v>
      </c>
      <c r="V82" s="17">
        <f ca="1">IFERROR(__xludf.DUMMYFUNCTION("""COMPUTED_VALUE"""),0.198101665386647)</f>
        <v>0.198101665386647</v>
      </c>
      <c r="W82" s="17">
        <f ca="1">IFERROR(__xludf.DUMMYFUNCTION("""COMPUTED_VALUE"""),0.403646037659784)</f>
        <v>0.40364603765978402</v>
      </c>
      <c r="X82" s="17">
        <f ca="1">IFERROR(__xludf.DUMMYFUNCTION("""COMPUTED_VALUE"""),0.533606580930439)</f>
        <v>0.533606580930439</v>
      </c>
      <c r="Y82" s="17">
        <f ca="1">IFERROR(__xludf.DUMMYFUNCTION("""COMPUTED_VALUE"""),0.250841271937846)</f>
        <v>0.250841271937846</v>
      </c>
      <c r="Z82" s="17">
        <f ca="1">IFERROR(__xludf.DUMMYFUNCTION("""COMPUTED_VALUE"""),0.318978015733632)</f>
        <v>0.31897801573363199</v>
      </c>
      <c r="AA82" s="17">
        <f ca="1">IFERROR(__xludf.DUMMYFUNCTION("""COMPUTED_VALUE"""),0.134023954748058)</f>
        <v>0.13402395474805801</v>
      </c>
      <c r="AB82" s="17">
        <f ca="1">IFERROR(__xludf.DUMMYFUNCTION("""COMPUTED_VALUE"""),0.310028840269845)</f>
        <v>0.31002884026984501</v>
      </c>
      <c r="AC82" s="17">
        <f ca="1">IFERROR(__xludf.DUMMYFUNCTION("""COMPUTED_VALUE"""),0.340265112677462)</f>
        <v>0.34026511267746201</v>
      </c>
      <c r="AD82" s="17">
        <f ca="1">IFERROR(__xludf.DUMMYFUNCTION("""COMPUTED_VALUE"""),0.196974523355047)</f>
        <v>0.196974523355047</v>
      </c>
      <c r="AE82" s="17">
        <f ca="1">IFERROR(__xludf.DUMMYFUNCTION("""COMPUTED_VALUE"""),0.57896610248921)</f>
        <v>0.57896610248920999</v>
      </c>
      <c r="AF82" s="17">
        <f ca="1">IFERROR(__xludf.DUMMYFUNCTION("""COMPUTED_VALUE"""),0.2441662174928)</f>
        <v>0.24416621749279999</v>
      </c>
      <c r="AG82" s="17">
        <f ca="1">IFERROR(__xludf.DUMMYFUNCTION("""COMPUTED_VALUE"""),0.71277734997103)</f>
        <v>0.71277734997103004</v>
      </c>
      <c r="AH82" s="17">
        <f ca="1">IFERROR(__xludf.DUMMYFUNCTION("""COMPUTED_VALUE"""),0.157621634632932)</f>
        <v>0.157621634632932</v>
      </c>
      <c r="AI82" s="17">
        <f ca="1">IFERROR(__xludf.DUMMYFUNCTION("""COMPUTED_VALUE"""),0.93723044194762)</f>
        <v>0.93723044194761995</v>
      </c>
      <c r="AJ82" s="17">
        <f ca="1">IFERROR(__xludf.DUMMYFUNCTION("""COMPUTED_VALUE"""),0.565206804755257)</f>
        <v>0.56520680475525698</v>
      </c>
    </row>
    <row r="83" spans="2:36" ht="15.75" customHeight="1" x14ac:dyDescent="0.45">
      <c r="B83" s="10" t="str">
        <f ca="1">IFERROR(__xludf.DUMMYFUNCTION("""COMPUTED_VALUE"""),"Car")</f>
        <v>Car</v>
      </c>
      <c r="C83" s="10" t="str">
        <f ca="1">IFERROR(__xludf.DUMMYFUNCTION("""COMPUTED_VALUE"""),"aligned_timestamps")</f>
        <v>aligned_timestamps</v>
      </c>
      <c r="D83" s="10">
        <f ca="1">IFERROR(__xludf.DUMMYFUNCTION("""COMPUTED_VALUE"""),0.2)</f>
        <v>0.2</v>
      </c>
      <c r="E83" s="17">
        <f ca="1">IFERROR(__xludf.DUMMYFUNCTION("""COMPUTED_VALUE"""),0.836301748172376)</f>
        <v>0.83630174817237601</v>
      </c>
      <c r="F83" s="17">
        <f ca="1">IFERROR(__xludf.DUMMYFUNCTION("""COMPUTED_VALUE"""),0.218180502161365)</f>
        <v>0.218180502161365</v>
      </c>
      <c r="G83" s="17">
        <f ca="1">IFERROR(__xludf.DUMMYFUNCTION("""COMPUTED_VALUE"""),0.306813085578696)</f>
        <v>0.30681308557869602</v>
      </c>
      <c r="H83" s="17">
        <f ca="1">IFERROR(__xludf.DUMMYFUNCTION("""COMPUTED_VALUE"""),0.335571498726391)</f>
        <v>0.33557149872639103</v>
      </c>
      <c r="I83" s="17">
        <f ca="1">IFERROR(__xludf.DUMMYFUNCTION("""COMPUTED_VALUE"""),0.250165213668195)</f>
        <v>0.250165213668195</v>
      </c>
      <c r="J83" s="17">
        <f ca="1">IFERROR(__xludf.DUMMYFUNCTION("""COMPUTED_VALUE"""),1.45367723242722)</f>
        <v>1.45367723242722</v>
      </c>
      <c r="K83" s="17" t="str">
        <f ca="1">IFERROR(__xludf.DUMMYFUNCTION("""COMPUTED_VALUE"""),"nan")</f>
        <v>nan</v>
      </c>
      <c r="L83" s="17">
        <f ca="1">IFERROR(__xludf.DUMMYFUNCTION("""COMPUTED_VALUE"""),0.382609618513518)</f>
        <v>0.38260961851351799</v>
      </c>
      <c r="M83" s="17">
        <f ca="1">IFERROR(__xludf.DUMMYFUNCTION("""COMPUTED_VALUE"""),0.380169964917217)</f>
        <v>0.380169964917217</v>
      </c>
      <c r="N83" s="17">
        <f ca="1">IFERROR(__xludf.DUMMYFUNCTION("""COMPUTED_VALUE"""),0.36306527647556)</f>
        <v>0.36306527647555997</v>
      </c>
      <c r="O83" s="17">
        <f ca="1">IFERROR(__xludf.DUMMYFUNCTION("""COMPUTED_VALUE"""),0.248597146898249)</f>
        <v>0.24859714689824899</v>
      </c>
      <c r="P83" s="17">
        <f ca="1">IFERROR(__xludf.DUMMYFUNCTION("""COMPUTED_VALUE"""),0.756142705729264)</f>
        <v>0.75614270572926401</v>
      </c>
      <c r="Q83" s="17">
        <f ca="1">IFERROR(__xludf.DUMMYFUNCTION("""COMPUTED_VALUE"""),0.373402348463477)</f>
        <v>0.37340234846347697</v>
      </c>
      <c r="R83" s="17">
        <f ca="1">IFERROR(__xludf.DUMMYFUNCTION("""COMPUTED_VALUE"""),0.488476105045152)</f>
        <v>0.48847610504515199</v>
      </c>
      <c r="S83" s="17">
        <f ca="1">IFERROR(__xludf.DUMMYFUNCTION("""COMPUTED_VALUE"""),0.484498900729692)</f>
        <v>0.48449890072969198</v>
      </c>
      <c r="T83" s="17">
        <f ca="1">IFERROR(__xludf.DUMMYFUNCTION("""COMPUTED_VALUE"""),0.252720740809248)</f>
        <v>0.252720740809248</v>
      </c>
      <c r="U83" s="17">
        <f ca="1">IFERROR(__xludf.DUMMYFUNCTION("""COMPUTED_VALUE"""),0.272387893489394)</f>
        <v>0.27238789348939402</v>
      </c>
      <c r="V83" s="17">
        <f ca="1">IFERROR(__xludf.DUMMYFUNCTION("""COMPUTED_VALUE"""),0.22558041615051)</f>
        <v>0.22558041615051</v>
      </c>
      <c r="W83" s="17">
        <f ca="1">IFERROR(__xludf.DUMMYFUNCTION("""COMPUTED_VALUE"""),0.304170838887327)</f>
        <v>0.30417083888732699</v>
      </c>
      <c r="X83" s="17">
        <f ca="1">IFERROR(__xludf.DUMMYFUNCTION("""COMPUTED_VALUE"""),0.399978072223183)</f>
        <v>0.39997807222318299</v>
      </c>
      <c r="Y83" s="17">
        <f ca="1">IFERROR(__xludf.DUMMYFUNCTION("""COMPUTED_VALUE"""),0.399194292186976)</f>
        <v>0.399194292186976</v>
      </c>
      <c r="Z83" s="17">
        <f ca="1">IFERROR(__xludf.DUMMYFUNCTION("""COMPUTED_VALUE"""),0.393729489532939)</f>
        <v>0.39372948953293901</v>
      </c>
      <c r="AA83" s="17">
        <f ca="1">IFERROR(__xludf.DUMMYFUNCTION("""COMPUTED_VALUE"""),0.123457324281957)</f>
        <v>0.12345732428195701</v>
      </c>
      <c r="AB83" s="17">
        <f ca="1">IFERROR(__xludf.DUMMYFUNCTION("""COMPUTED_VALUE"""),0.241278109134591)</f>
        <v>0.241278109134591</v>
      </c>
      <c r="AC83" s="17">
        <f ca="1">IFERROR(__xludf.DUMMYFUNCTION("""COMPUTED_VALUE"""),0.421999637818692)</f>
        <v>0.42199963781869199</v>
      </c>
      <c r="AD83" s="17">
        <f ca="1">IFERROR(__xludf.DUMMYFUNCTION("""COMPUTED_VALUE"""),0.343634180272532)</f>
        <v>0.34363418027253201</v>
      </c>
      <c r="AE83" s="17">
        <f ca="1">IFERROR(__xludf.DUMMYFUNCTION("""COMPUTED_VALUE"""),1.10403820923853)</f>
        <v>1.1040382092385299</v>
      </c>
      <c r="AF83" s="17">
        <f ca="1">IFERROR(__xludf.DUMMYFUNCTION("""COMPUTED_VALUE"""),0.289586298707743)</f>
        <v>0.289586298707743</v>
      </c>
      <c r="AG83" s="17">
        <f ca="1">IFERROR(__xludf.DUMMYFUNCTION("""COMPUTED_VALUE"""),0.63322490525637)</f>
        <v>0.63322490525636999</v>
      </c>
      <c r="AH83" s="17">
        <f ca="1">IFERROR(__xludf.DUMMYFUNCTION("""COMPUTED_VALUE"""),0.424806672465298)</f>
        <v>0.42480667246529802</v>
      </c>
      <c r="AI83" s="17">
        <f ca="1">IFERROR(__xludf.DUMMYFUNCTION("""COMPUTED_VALUE"""),0.849343377835421)</f>
        <v>0.84934337783542102</v>
      </c>
      <c r="AJ83" s="17">
        <f ca="1">IFERROR(__xludf.DUMMYFUNCTION("""COMPUTED_VALUE"""),0.466738240261876)</f>
        <v>0.46673824026187599</v>
      </c>
    </row>
    <row r="84" spans="2:36" ht="15.75" customHeight="1" x14ac:dyDescent="0.45">
      <c r="B84" s="10" t="str">
        <f ca="1">IFERROR(__xludf.DUMMYFUNCTION("""COMPUTED_VALUE"""),"Car")</f>
        <v>Car</v>
      </c>
      <c r="C84" s="10" t="str">
        <f ca="1">IFERROR(__xludf.DUMMYFUNCTION("""COMPUTED_VALUE"""),"aligned_timestamps")</f>
        <v>aligned_timestamps</v>
      </c>
      <c r="D84" s="10">
        <f ca="1">IFERROR(__xludf.DUMMYFUNCTION("""COMPUTED_VALUE"""),0.4)</f>
        <v>0.4</v>
      </c>
      <c r="E84" s="17">
        <f ca="1">IFERROR(__xludf.DUMMYFUNCTION("""COMPUTED_VALUE"""),0.840967234842313)</f>
        <v>0.84096723484231295</v>
      </c>
      <c r="F84" s="17">
        <f ca="1">IFERROR(__xludf.DUMMYFUNCTION("""COMPUTED_VALUE"""),0.192810474189684)</f>
        <v>0.192810474189684</v>
      </c>
      <c r="G84" s="17">
        <f ca="1">IFERROR(__xludf.DUMMYFUNCTION("""COMPUTED_VALUE"""),0.232491590848106)</f>
        <v>0.232491590848106</v>
      </c>
      <c r="H84" s="17">
        <f ca="1">IFERROR(__xludf.DUMMYFUNCTION("""COMPUTED_VALUE"""),0.31227968002804)</f>
        <v>0.31227968002804002</v>
      </c>
      <c r="I84" s="17">
        <f ca="1">IFERROR(__xludf.DUMMYFUNCTION("""COMPUTED_VALUE"""),0.256575146760006)</f>
        <v>0.25657514676000598</v>
      </c>
      <c r="J84" s="17">
        <f ca="1">IFERROR(__xludf.DUMMYFUNCTION("""COMPUTED_VALUE"""),1.44643260658524)</f>
        <v>1.44643260658524</v>
      </c>
      <c r="K84" s="17" t="str">
        <f ca="1">IFERROR(__xludf.DUMMYFUNCTION("""COMPUTED_VALUE"""),"nan")</f>
        <v>nan</v>
      </c>
      <c r="L84" s="17">
        <f ca="1">IFERROR(__xludf.DUMMYFUNCTION("""COMPUTED_VALUE"""),0.375092276535251)</f>
        <v>0.37509227653525101</v>
      </c>
      <c r="M84" s="17">
        <f ca="1">IFERROR(__xludf.DUMMYFUNCTION("""COMPUTED_VALUE"""),0.277232083908143)</f>
        <v>0.27723208390814302</v>
      </c>
      <c r="N84" s="17">
        <f ca="1">IFERROR(__xludf.DUMMYFUNCTION("""COMPUTED_VALUE"""),0.365438905349037)</f>
        <v>0.365438905349037</v>
      </c>
      <c r="O84" s="17">
        <f ca="1">IFERROR(__xludf.DUMMYFUNCTION("""COMPUTED_VALUE"""),0.746514325512646)</f>
        <v>0.74651432551264596</v>
      </c>
      <c r="P84" s="17">
        <f ca="1">IFERROR(__xludf.DUMMYFUNCTION("""COMPUTED_VALUE"""),0.715159269744295)</f>
        <v>0.715159269744295</v>
      </c>
      <c r="Q84" s="17">
        <f ca="1">IFERROR(__xludf.DUMMYFUNCTION("""COMPUTED_VALUE"""),0.398456027159083)</f>
        <v>0.39845602715908301</v>
      </c>
      <c r="R84" s="17">
        <f ca="1">IFERROR(__xludf.DUMMYFUNCTION("""COMPUTED_VALUE"""),0.509149319824046)</f>
        <v>0.50914931982404599</v>
      </c>
      <c r="S84" s="17">
        <f ca="1">IFERROR(__xludf.DUMMYFUNCTION("""COMPUTED_VALUE"""),0.53539404738162)</f>
        <v>0.53539404738162</v>
      </c>
      <c r="T84" s="17">
        <f ca="1">IFERROR(__xludf.DUMMYFUNCTION("""COMPUTED_VALUE"""),0.474443228329983)</f>
        <v>0.47444322832998298</v>
      </c>
      <c r="U84" s="17">
        <f ca="1">IFERROR(__xludf.DUMMYFUNCTION("""COMPUTED_VALUE"""),0.344887047524131)</f>
        <v>0.34488704752413102</v>
      </c>
      <c r="V84" s="17">
        <f ca="1">IFERROR(__xludf.DUMMYFUNCTION("""COMPUTED_VALUE"""),0.519595820304895)</f>
        <v>0.51959582030489504</v>
      </c>
      <c r="W84" s="17">
        <f ca="1">IFERROR(__xludf.DUMMYFUNCTION("""COMPUTED_VALUE"""),0.709566758728579)</f>
        <v>0.70956675872857899</v>
      </c>
      <c r="X84" s="17">
        <f ca="1">IFERROR(__xludf.DUMMYFUNCTION("""COMPUTED_VALUE"""),0.322476883262586)</f>
        <v>0.322476883262586</v>
      </c>
      <c r="Y84" s="17">
        <f ca="1">IFERROR(__xludf.DUMMYFUNCTION("""COMPUTED_VALUE"""),0.498426173325514)</f>
        <v>0.49842617332551398</v>
      </c>
      <c r="Z84" s="17">
        <f ca="1">IFERROR(__xludf.DUMMYFUNCTION("""COMPUTED_VALUE"""),0.742916397954767)</f>
        <v>0.74291639795476705</v>
      </c>
      <c r="AA84" s="17">
        <f ca="1">IFERROR(__xludf.DUMMYFUNCTION("""COMPUTED_VALUE"""),0.330835250745877)</f>
        <v>0.330835250745877</v>
      </c>
      <c r="AB84" s="17">
        <f ca="1">IFERROR(__xludf.DUMMYFUNCTION("""COMPUTED_VALUE"""),0.309659436232391)</f>
        <v>0.30965943623239101</v>
      </c>
      <c r="AC84" s="17">
        <f ca="1">IFERROR(__xludf.DUMMYFUNCTION("""COMPUTED_VALUE"""),0.666355599196966)</f>
        <v>0.66635559919696596</v>
      </c>
      <c r="AD84" s="17">
        <f ca="1">IFERROR(__xludf.DUMMYFUNCTION("""COMPUTED_VALUE"""),0.937966691012001)</f>
        <v>0.93796669101200103</v>
      </c>
      <c r="AE84" s="17">
        <f ca="1">IFERROR(__xludf.DUMMYFUNCTION("""COMPUTED_VALUE"""),1.16788961496482)</f>
        <v>1.1678896149648199</v>
      </c>
      <c r="AF84" s="17">
        <f ca="1">IFERROR(__xludf.DUMMYFUNCTION("""COMPUTED_VALUE"""),0.370729547271052)</f>
        <v>0.37072954727105201</v>
      </c>
      <c r="AG84" s="17">
        <f ca="1">IFERROR(__xludf.DUMMYFUNCTION("""COMPUTED_VALUE"""),1.25342356853972)</f>
        <v>1.2534235685397199</v>
      </c>
      <c r="AH84" s="17">
        <f ca="1">IFERROR(__xludf.DUMMYFUNCTION("""COMPUTED_VALUE"""),1.39387081208074)</f>
        <v>1.3938708120807399</v>
      </c>
      <c r="AI84" s="17">
        <f ca="1">IFERROR(__xludf.DUMMYFUNCTION("""COMPUTED_VALUE"""),1.25451951119827)</f>
        <v>1.2545195111982701</v>
      </c>
      <c r="AJ84" s="17">
        <f ca="1">IFERROR(__xludf.DUMMYFUNCTION("""COMPUTED_VALUE"""),1.18825964704892)</f>
        <v>1.18825964704892</v>
      </c>
    </row>
    <row r="85" spans="2:36" ht="15.75" customHeight="1" x14ac:dyDescent="0.45">
      <c r="B85" s="10" t="str">
        <f ca="1">IFERROR(__xludf.DUMMYFUNCTION("""COMPUTED_VALUE"""),"Car")</f>
        <v>Car</v>
      </c>
      <c r="C85" s="10" t="str">
        <f ca="1">IFERROR(__xludf.DUMMYFUNCTION("""COMPUTED_VALUE"""),"aligned_timestamps")</f>
        <v>aligned_timestamps</v>
      </c>
      <c r="D85" s="10">
        <f ca="1">IFERROR(__xludf.DUMMYFUNCTION("""COMPUTED_VALUE"""),0.6)</f>
        <v>0.6</v>
      </c>
      <c r="E85" s="17">
        <f ca="1">IFERROR(__xludf.DUMMYFUNCTION("""COMPUTED_VALUE"""),0.89615130449769)</f>
        <v>0.89615130449768998</v>
      </c>
      <c r="F85" s="17">
        <f ca="1">IFERROR(__xludf.DUMMYFUNCTION("""COMPUTED_VALUE"""),0.250965873576548)</f>
        <v>0.25096587357654798</v>
      </c>
      <c r="G85" s="17">
        <f ca="1">IFERROR(__xludf.DUMMYFUNCTION("""COMPUTED_VALUE"""),0.245949719173301)</f>
        <v>0.245949719173301</v>
      </c>
      <c r="H85" s="17">
        <f ca="1">IFERROR(__xludf.DUMMYFUNCTION("""COMPUTED_VALUE"""),0.320784372378465)</f>
        <v>0.32078437237846502</v>
      </c>
      <c r="I85" s="17">
        <f ca="1">IFERROR(__xludf.DUMMYFUNCTION("""COMPUTED_VALUE"""),0.368286887940569)</f>
        <v>0.36828688794056902</v>
      </c>
      <c r="J85" s="17">
        <f ca="1">IFERROR(__xludf.DUMMYFUNCTION("""COMPUTED_VALUE"""),1.27299355527928)</f>
        <v>1.2729935552792799</v>
      </c>
      <c r="K85" s="17" t="str">
        <f ca="1">IFERROR(__xludf.DUMMYFUNCTION("""COMPUTED_VALUE"""),"nan")</f>
        <v>nan</v>
      </c>
      <c r="L85" s="17">
        <f ca="1">IFERROR(__xludf.DUMMYFUNCTION("""COMPUTED_VALUE"""),0.384318498458068)</f>
        <v>0.38431849845806798</v>
      </c>
      <c r="M85" s="17">
        <f ca="1">IFERROR(__xludf.DUMMYFUNCTION("""COMPUTED_VALUE"""),1.47575633151683)</f>
        <v>1.4757563315168301</v>
      </c>
      <c r="N85" s="17">
        <f ca="1">IFERROR(__xludf.DUMMYFUNCTION("""COMPUTED_VALUE"""),0.373115555960779)</f>
        <v>0.373115555960779</v>
      </c>
      <c r="O85" s="17">
        <f ca="1">IFERROR(__xludf.DUMMYFUNCTION("""COMPUTED_VALUE"""),0.700712678217594)</f>
        <v>0.70071267821759398</v>
      </c>
      <c r="P85" s="17">
        <f ca="1">IFERROR(__xludf.DUMMYFUNCTION("""COMPUTED_VALUE"""),0.820326265172368)</f>
        <v>0.82032626517236795</v>
      </c>
      <c r="Q85" s="17">
        <f ca="1">IFERROR(__xludf.DUMMYFUNCTION("""COMPUTED_VALUE"""),0.403657315088182)</f>
        <v>0.40365731508818198</v>
      </c>
      <c r="R85" s="17">
        <f ca="1">IFERROR(__xludf.DUMMYFUNCTION("""COMPUTED_VALUE"""),0.74556420693144)</f>
        <v>0.74556420693143999</v>
      </c>
      <c r="S85" s="17">
        <f ca="1">IFERROR(__xludf.DUMMYFUNCTION("""COMPUTED_VALUE"""),0.575537414234591)</f>
        <v>0.57553741423459104</v>
      </c>
      <c r="T85" s="17">
        <f ca="1">IFERROR(__xludf.DUMMYFUNCTION("""COMPUTED_VALUE"""),0.390462136129351)</f>
        <v>0.39046213612935099</v>
      </c>
      <c r="U85" s="17">
        <f ca="1">IFERROR(__xludf.DUMMYFUNCTION("""COMPUTED_VALUE"""),0.417288120745163)</f>
        <v>0.41728812074516303</v>
      </c>
      <c r="V85" s="17">
        <f ca="1">IFERROR(__xludf.DUMMYFUNCTION("""COMPUTED_VALUE"""),0.470935146411728)</f>
        <v>0.47093514641172801</v>
      </c>
      <c r="W85" s="17">
        <f ca="1">IFERROR(__xludf.DUMMYFUNCTION("""COMPUTED_VALUE"""),0.854012247008046)</f>
        <v>0.85401224700804601</v>
      </c>
      <c r="X85" s="17">
        <f ca="1">IFERROR(__xludf.DUMMYFUNCTION("""COMPUTED_VALUE"""),0.27948315362947)</f>
        <v>0.27948315362947002</v>
      </c>
      <c r="Y85" s="17">
        <f ca="1">IFERROR(__xludf.DUMMYFUNCTION("""COMPUTED_VALUE"""),0.434786768341274)</f>
        <v>0.434786768341274</v>
      </c>
      <c r="Z85" s="17">
        <f ca="1">IFERROR(__xludf.DUMMYFUNCTION("""COMPUTED_VALUE"""),0.847138573999382)</f>
        <v>0.84713857399938197</v>
      </c>
      <c r="AA85" s="17">
        <f ca="1">IFERROR(__xludf.DUMMYFUNCTION("""COMPUTED_VALUE"""),0.876123157869528)</f>
        <v>0.87612315786952799</v>
      </c>
      <c r="AB85" s="17">
        <f ca="1">IFERROR(__xludf.DUMMYFUNCTION("""COMPUTED_VALUE"""),0.347583858483957)</f>
        <v>0.34758385848395701</v>
      </c>
      <c r="AC85" s="17">
        <f ca="1">IFERROR(__xludf.DUMMYFUNCTION("""COMPUTED_VALUE"""),0.900415000380834)</f>
        <v>0.900415000380834</v>
      </c>
      <c r="AD85" s="17">
        <f ca="1">IFERROR(__xludf.DUMMYFUNCTION("""COMPUTED_VALUE"""),0.79112580563684)</f>
        <v>0.79112580563683998</v>
      </c>
      <c r="AE85" s="17" t="str">
        <f ca="1">IFERROR(__xludf.DUMMYFUNCTION("""COMPUTED_VALUE"""),"nan")</f>
        <v>nan</v>
      </c>
      <c r="AF85" s="17">
        <f ca="1">IFERROR(__xludf.DUMMYFUNCTION("""COMPUTED_VALUE"""),0.35507391437184)</f>
        <v>0.35507391437183999</v>
      </c>
      <c r="AG85" s="17">
        <f ca="1">IFERROR(__xludf.DUMMYFUNCTION("""COMPUTED_VALUE"""),1.08384804995247)</f>
        <v>1.0838480499524701</v>
      </c>
      <c r="AH85" s="17">
        <f ca="1">IFERROR(__xludf.DUMMYFUNCTION("""COMPUTED_VALUE"""),1.00163668237985)</f>
        <v>1.0016366823798499</v>
      </c>
      <c r="AI85" s="17">
        <f ca="1">IFERROR(__xludf.DUMMYFUNCTION("""COMPUTED_VALUE"""),1.04806103820507)</f>
        <v>1.0480610382050699</v>
      </c>
      <c r="AJ85" s="17">
        <f ca="1">IFERROR(__xludf.DUMMYFUNCTION("""COMPUTED_VALUE"""),0.954509747366691)</f>
        <v>0.95450974736669103</v>
      </c>
    </row>
    <row r="86" spans="2:36" ht="15.75" customHeight="1" x14ac:dyDescent="0.45">
      <c r="B86" s="10" t="str">
        <f ca="1">IFERROR(__xludf.DUMMYFUNCTION("""COMPUTED_VALUE"""),"Car")</f>
        <v>Car</v>
      </c>
      <c r="C86" s="10" t="str">
        <f ca="1">IFERROR(__xludf.DUMMYFUNCTION("""COMPUTED_VALUE"""),"aligned_timestamps")</f>
        <v>aligned_timestamps</v>
      </c>
      <c r="D86" s="10">
        <f ca="1">IFERROR(__xludf.DUMMYFUNCTION("""COMPUTED_VALUE"""),0.8)</f>
        <v>0.8</v>
      </c>
      <c r="E86" s="17">
        <f ca="1">IFERROR(__xludf.DUMMYFUNCTION("""COMPUTED_VALUE"""),0.997566620376901)</f>
        <v>0.99756662037690103</v>
      </c>
      <c r="F86" s="17">
        <f ca="1">IFERROR(__xludf.DUMMYFUNCTION("""COMPUTED_VALUE"""),0.302271199607941)</f>
        <v>0.30227119960794102</v>
      </c>
      <c r="G86" s="17">
        <f ca="1">IFERROR(__xludf.DUMMYFUNCTION("""COMPUTED_VALUE"""),0.373106523874612)</f>
        <v>0.37310652387461202</v>
      </c>
      <c r="H86" s="17">
        <f ca="1">IFERROR(__xludf.DUMMYFUNCTION("""COMPUTED_VALUE"""),0.342352995771398)</f>
        <v>0.34235299577139799</v>
      </c>
      <c r="I86" s="17">
        <f ca="1">IFERROR(__xludf.DUMMYFUNCTION("""COMPUTED_VALUE"""),0.588785312583619)</f>
        <v>0.58878531258361899</v>
      </c>
      <c r="J86" s="17">
        <f ca="1">IFERROR(__xludf.DUMMYFUNCTION("""COMPUTED_VALUE"""),1.58994437427008)</f>
        <v>1.5899443742700801</v>
      </c>
      <c r="K86" s="17" t="str">
        <f ca="1">IFERROR(__xludf.DUMMYFUNCTION("""COMPUTED_VALUE"""),"nan")</f>
        <v>nan</v>
      </c>
      <c r="L86" s="17">
        <f ca="1">IFERROR(__xludf.DUMMYFUNCTION("""COMPUTED_VALUE"""),0.411613343985645)</f>
        <v>0.41161334398564497</v>
      </c>
      <c r="M86" s="17">
        <f ca="1">IFERROR(__xludf.DUMMYFUNCTION("""COMPUTED_VALUE"""),1.24445735369187)</f>
        <v>1.2444573536918699</v>
      </c>
      <c r="N86" s="17">
        <f ca="1">IFERROR(__xludf.DUMMYFUNCTION("""COMPUTED_VALUE"""),0.387839663496815)</f>
        <v>0.38783966349681498</v>
      </c>
      <c r="O86" s="17">
        <f ca="1">IFERROR(__xludf.DUMMYFUNCTION("""COMPUTED_VALUE"""),1.09016953005888)</f>
        <v>1.0901695300588801</v>
      </c>
      <c r="P86" s="17">
        <f ca="1">IFERROR(__xludf.DUMMYFUNCTION("""COMPUTED_VALUE"""),1.49173860477183)</f>
        <v>1.49173860477183</v>
      </c>
      <c r="Q86" s="17">
        <f ca="1">IFERROR(__xludf.DUMMYFUNCTION("""COMPUTED_VALUE"""),0.415267707637841)</f>
        <v>0.41526770763784099</v>
      </c>
      <c r="R86" s="17">
        <f ca="1">IFERROR(__xludf.DUMMYFUNCTION("""COMPUTED_VALUE"""),0.817845797157329)</f>
        <v>0.81784579715732897</v>
      </c>
      <c r="S86" s="17">
        <f ca="1">IFERROR(__xludf.DUMMYFUNCTION("""COMPUTED_VALUE"""),0.786082823435125)</f>
        <v>0.78608282343512503</v>
      </c>
      <c r="T86" s="17">
        <f ca="1">IFERROR(__xludf.DUMMYFUNCTION("""COMPUTED_VALUE"""),0.589970898658933)</f>
        <v>0.58997089865893304</v>
      </c>
      <c r="U86" s="17">
        <f ca="1">IFERROR(__xludf.DUMMYFUNCTION("""COMPUTED_VALUE"""),0.68072765423471)</f>
        <v>0.68072765423471004</v>
      </c>
      <c r="V86" s="17">
        <f ca="1">IFERROR(__xludf.DUMMYFUNCTION("""COMPUTED_VALUE"""),0.965434010345507)</f>
        <v>0.96543401034550702</v>
      </c>
      <c r="W86" s="17">
        <f ca="1">IFERROR(__xludf.DUMMYFUNCTION("""COMPUTED_VALUE"""),0.928339658281817)</f>
        <v>0.92833965828181697</v>
      </c>
      <c r="X86" s="17">
        <f ca="1">IFERROR(__xludf.DUMMYFUNCTION("""COMPUTED_VALUE"""),0.294969823399031)</f>
        <v>0.29496982339903099</v>
      </c>
      <c r="Y86" s="17">
        <f ca="1">IFERROR(__xludf.DUMMYFUNCTION("""COMPUTED_VALUE"""),0.905401376354976)</f>
        <v>0.90540137635497597</v>
      </c>
      <c r="Z86" s="17">
        <f ca="1">IFERROR(__xludf.DUMMYFUNCTION("""COMPUTED_VALUE"""),0.96852139670951)</f>
        <v>0.96852139670950999</v>
      </c>
      <c r="AA86" s="17">
        <f ca="1">IFERROR(__xludf.DUMMYFUNCTION("""COMPUTED_VALUE"""),0.680269094080475)</f>
        <v>0.68026909408047498</v>
      </c>
      <c r="AB86" s="17">
        <f ca="1">IFERROR(__xludf.DUMMYFUNCTION("""COMPUTED_VALUE"""),0.914620535944667)</f>
        <v>0.91462053594466697</v>
      </c>
      <c r="AC86" s="17">
        <f ca="1">IFERROR(__xludf.DUMMYFUNCTION("""COMPUTED_VALUE"""),0.914658225934393)</f>
        <v>0.91465822593439305</v>
      </c>
      <c r="AD86" s="17">
        <f ca="1">IFERROR(__xludf.DUMMYFUNCTION("""COMPUTED_VALUE"""),0.961785044628248)</f>
        <v>0.96178504462824799</v>
      </c>
      <c r="AE86" s="17" t="str">
        <f ca="1">IFERROR(__xludf.DUMMYFUNCTION("""COMPUTED_VALUE"""),"nan")</f>
        <v>nan</v>
      </c>
      <c r="AF86" s="17">
        <f ca="1">IFERROR(__xludf.DUMMYFUNCTION("""COMPUTED_VALUE"""),1.15413832513521)</f>
        <v>1.15413832513521</v>
      </c>
      <c r="AG86" s="17">
        <f ca="1">IFERROR(__xludf.DUMMYFUNCTION("""COMPUTED_VALUE"""),1.18711929847854)</f>
        <v>1.1871192984785399</v>
      </c>
      <c r="AH86" s="17">
        <f ca="1">IFERROR(__xludf.DUMMYFUNCTION("""COMPUTED_VALUE"""),1.05230510572461)</f>
        <v>1.05230510572461</v>
      </c>
      <c r="AI86" s="17">
        <f ca="1">IFERROR(__xludf.DUMMYFUNCTION("""COMPUTED_VALUE"""),1.07513499767081)</f>
        <v>1.07513499767081</v>
      </c>
      <c r="AJ86" s="17">
        <f ca="1">IFERROR(__xludf.DUMMYFUNCTION("""COMPUTED_VALUE"""),1.3662835362937)</f>
        <v>1.3662835362937</v>
      </c>
    </row>
    <row r="87" spans="2:36" ht="15.75" customHeight="1" x14ac:dyDescent="0.45">
      <c r="B87" s="10" t="str">
        <f ca="1">IFERROR(__xludf.DUMMYFUNCTION("""COMPUTED_VALUE"""),"Car")</f>
        <v>Car</v>
      </c>
      <c r="C87" s="10" t="str">
        <f ca="1">IFERROR(__xludf.DUMMYFUNCTION("""COMPUTED_VALUE"""),"mcar")</f>
        <v>mcar</v>
      </c>
      <c r="D87" s="10">
        <f ca="1">IFERROR(__xludf.DUMMYFUNCTION("""COMPUTED_VALUE"""),0.1)</f>
        <v>0.1</v>
      </c>
      <c r="E87" s="17">
        <f ca="1">IFERROR(__xludf.DUMMYFUNCTION("""COMPUTED_VALUE"""),1.09137866068553)</f>
        <v>1.09137866068553</v>
      </c>
      <c r="F87" s="17">
        <f ca="1">IFERROR(__xludf.DUMMYFUNCTION("""COMPUTED_VALUE"""),0.161346785116442)</f>
        <v>0.16134678511644199</v>
      </c>
      <c r="G87" s="17">
        <f ca="1">IFERROR(__xludf.DUMMYFUNCTION("""COMPUTED_VALUE"""),0.167557531527605)</f>
        <v>0.167557531527605</v>
      </c>
      <c r="H87" s="17">
        <f ca="1">IFERROR(__xludf.DUMMYFUNCTION("""COMPUTED_VALUE"""),0.258826929774761)</f>
        <v>0.25882692977476102</v>
      </c>
      <c r="I87" s="17">
        <f ca="1">IFERROR(__xludf.DUMMYFUNCTION("""COMPUTED_VALUE"""),0.118361275289942)</f>
        <v>0.118361275289942</v>
      </c>
      <c r="J87" s="17">
        <f ca="1">IFERROR(__xludf.DUMMYFUNCTION("""COMPUTED_VALUE"""),0.16296018957205)</f>
        <v>0.16296018957205</v>
      </c>
      <c r="K87" s="17" t="str">
        <f ca="1">IFERROR(__xludf.DUMMYFUNCTION("""COMPUTED_VALUE"""),"nan")</f>
        <v>nan</v>
      </c>
      <c r="L87" s="17">
        <f ca="1">IFERROR(__xludf.DUMMYFUNCTION("""COMPUTED_VALUE"""),0.279599334328809)</f>
        <v>0.27959933432880901</v>
      </c>
      <c r="M87" s="17">
        <f ca="1">IFERROR(__xludf.DUMMYFUNCTION("""COMPUTED_VALUE"""),0.17004759452833)</f>
        <v>0.17004759452832999</v>
      </c>
      <c r="N87" s="17">
        <f ca="1">IFERROR(__xludf.DUMMYFUNCTION("""COMPUTED_VALUE"""),0.136057605275347)</f>
        <v>0.13605760527534699</v>
      </c>
      <c r="O87" s="17">
        <f ca="1">IFERROR(__xludf.DUMMYFUNCTION("""COMPUTED_VALUE"""),0.125150687367738)</f>
        <v>0.12515068736773799</v>
      </c>
      <c r="P87" s="17">
        <f ca="1">IFERROR(__xludf.DUMMYFUNCTION("""COMPUTED_VALUE"""),0.562028818223223)</f>
        <v>0.56202881822322304</v>
      </c>
      <c r="Q87" s="17">
        <f ca="1">IFERROR(__xludf.DUMMYFUNCTION("""COMPUTED_VALUE"""),0.429053101066412)</f>
        <v>0.42905310106641198</v>
      </c>
      <c r="R87" s="17">
        <f ca="1">IFERROR(__xludf.DUMMYFUNCTION("""COMPUTED_VALUE"""),0.105532340031052)</f>
        <v>0.105532340031052</v>
      </c>
      <c r="S87" s="17">
        <f ca="1">IFERROR(__xludf.DUMMYFUNCTION("""COMPUTED_VALUE"""),0.236518931337757)</f>
        <v>0.236518931337757</v>
      </c>
      <c r="T87" s="17">
        <f ca="1">IFERROR(__xludf.DUMMYFUNCTION("""COMPUTED_VALUE"""),0.154034449104115)</f>
        <v>0.15403444910411501</v>
      </c>
      <c r="U87" s="17">
        <f ca="1">IFERROR(__xludf.DUMMYFUNCTION("""COMPUTED_VALUE"""),0.186866130600954)</f>
        <v>0.186866130600954</v>
      </c>
      <c r="V87" s="17">
        <f ca="1">IFERROR(__xludf.DUMMYFUNCTION("""COMPUTED_VALUE"""),0.140799580346308)</f>
        <v>0.14079958034630799</v>
      </c>
      <c r="W87" s="17">
        <f ca="1">IFERROR(__xludf.DUMMYFUNCTION("""COMPUTED_VALUE"""),0.265912323152426)</f>
        <v>0.26591232315242602</v>
      </c>
      <c r="X87" s="17">
        <f ca="1">IFERROR(__xludf.DUMMYFUNCTION("""COMPUTED_VALUE"""),0.168483781121417)</f>
        <v>0.16848378112141699</v>
      </c>
      <c r="Y87" s="17">
        <f ca="1">IFERROR(__xludf.DUMMYFUNCTION("""COMPUTED_VALUE"""),0.112572617555973)</f>
        <v>0.112572617555973</v>
      </c>
      <c r="Z87" s="17">
        <f ca="1">IFERROR(__xludf.DUMMYFUNCTION("""COMPUTED_VALUE"""),0.197470459385568)</f>
        <v>0.19747045938556801</v>
      </c>
      <c r="AA87" s="17">
        <f ca="1">IFERROR(__xludf.DUMMYFUNCTION("""COMPUTED_VALUE"""),0.0481764528277617)</f>
        <v>4.8176452827761701E-2</v>
      </c>
      <c r="AB87" s="17">
        <f ca="1">IFERROR(__xludf.DUMMYFUNCTION("""COMPUTED_VALUE"""),0.174604651902035)</f>
        <v>0.174604651902035</v>
      </c>
      <c r="AC87" s="17">
        <f ca="1">IFERROR(__xludf.DUMMYFUNCTION("""COMPUTED_VALUE"""),0.444621659810373)</f>
        <v>0.44462165981037299</v>
      </c>
      <c r="AD87" s="17">
        <f ca="1">IFERROR(__xludf.DUMMYFUNCTION("""COMPUTED_VALUE"""),0.138571567066549)</f>
        <v>0.138571567066549</v>
      </c>
      <c r="AE87" s="17">
        <f ca="1">IFERROR(__xludf.DUMMYFUNCTION("""COMPUTED_VALUE"""),0.806755119054566)</f>
        <v>0.80675511905456598</v>
      </c>
      <c r="AF87" s="17">
        <f ca="1">IFERROR(__xludf.DUMMYFUNCTION("""COMPUTED_VALUE"""),0.380557499596036)</f>
        <v>0.38055749959603602</v>
      </c>
      <c r="AG87" s="17">
        <f ca="1">IFERROR(__xludf.DUMMYFUNCTION("""COMPUTED_VALUE"""),0.173746936919864)</f>
        <v>0.17374693691986401</v>
      </c>
      <c r="AH87" s="17">
        <f ca="1">IFERROR(__xludf.DUMMYFUNCTION("""COMPUTED_VALUE"""),0.101835169468401)</f>
        <v>0.101835169468401</v>
      </c>
      <c r="AI87" s="17">
        <f ca="1">IFERROR(__xludf.DUMMYFUNCTION("""COMPUTED_VALUE"""),0.248412476085015)</f>
        <v>0.24841247608501499</v>
      </c>
      <c r="AJ87" s="17">
        <f ca="1">IFERROR(__xludf.DUMMYFUNCTION("""COMPUTED_VALUE"""),0.133715604059169)</f>
        <v>0.13371560405916899</v>
      </c>
    </row>
    <row r="88" spans="2:36" ht="15.75" customHeight="1" x14ac:dyDescent="0.45">
      <c r="B88" s="10" t="str">
        <f ca="1">IFERROR(__xludf.DUMMYFUNCTION("""COMPUTED_VALUE"""),"Car")</f>
        <v>Car</v>
      </c>
      <c r="C88" s="10" t="str">
        <f ca="1">IFERROR(__xludf.DUMMYFUNCTION("""COMPUTED_VALUE"""),"mcar")</f>
        <v>mcar</v>
      </c>
      <c r="D88" s="10">
        <f ca="1">IFERROR(__xludf.DUMMYFUNCTION("""COMPUTED_VALUE"""),0.2)</f>
        <v>0.2</v>
      </c>
      <c r="E88" s="17">
        <f ca="1">IFERROR(__xludf.DUMMYFUNCTION("""COMPUTED_VALUE"""),1.06879764165058)</f>
        <v>1.06879764165058</v>
      </c>
      <c r="F88" s="17">
        <f ca="1">IFERROR(__xludf.DUMMYFUNCTION("""COMPUTED_VALUE"""),0.157928489263998)</f>
        <v>0.157928489263998</v>
      </c>
      <c r="G88" s="17">
        <f ca="1">IFERROR(__xludf.DUMMYFUNCTION("""COMPUTED_VALUE"""),0.157476977442951)</f>
        <v>0.157476977442951</v>
      </c>
      <c r="H88" s="17">
        <f ca="1">IFERROR(__xludf.DUMMYFUNCTION("""COMPUTED_VALUE"""),0.298921242232661)</f>
        <v>0.29892124223266098</v>
      </c>
      <c r="I88" s="17">
        <f ca="1">IFERROR(__xludf.DUMMYFUNCTION("""COMPUTED_VALUE"""),0.133386343041992)</f>
        <v>0.13338634304199201</v>
      </c>
      <c r="J88" s="17">
        <f ca="1">IFERROR(__xludf.DUMMYFUNCTION("""COMPUTED_VALUE"""),0.15534997287977)</f>
        <v>0.15534997287977001</v>
      </c>
      <c r="K88" s="17" t="str">
        <f ca="1">IFERROR(__xludf.DUMMYFUNCTION("""COMPUTED_VALUE"""),"nan")</f>
        <v>nan</v>
      </c>
      <c r="L88" s="17">
        <f ca="1">IFERROR(__xludf.DUMMYFUNCTION("""COMPUTED_VALUE"""),0.295804661197184)</f>
        <v>0.29580466119718402</v>
      </c>
      <c r="M88" s="17">
        <f ca="1">IFERROR(__xludf.DUMMYFUNCTION("""COMPUTED_VALUE"""),0.160844784232317)</f>
        <v>0.16084478423231699</v>
      </c>
      <c r="N88" s="17">
        <f ca="1">IFERROR(__xludf.DUMMYFUNCTION("""COMPUTED_VALUE"""),0.156423423252113)</f>
        <v>0.156423423252113</v>
      </c>
      <c r="O88" s="17">
        <f ca="1">IFERROR(__xludf.DUMMYFUNCTION("""COMPUTED_VALUE"""),0.133039181886272)</f>
        <v>0.13303918188627201</v>
      </c>
      <c r="P88" s="17">
        <f ca="1">IFERROR(__xludf.DUMMYFUNCTION("""COMPUTED_VALUE"""),0.561166103491691)</f>
        <v>0.56116610349169105</v>
      </c>
      <c r="Q88" s="17">
        <f ca="1">IFERROR(__xludf.DUMMYFUNCTION("""COMPUTED_VALUE"""),0.482549403830398)</f>
        <v>0.48254940383039802</v>
      </c>
      <c r="R88" s="17">
        <f ca="1">IFERROR(__xludf.DUMMYFUNCTION("""COMPUTED_VALUE"""),0.122185027402491)</f>
        <v>0.122185027402491</v>
      </c>
      <c r="S88" s="17">
        <f ca="1">IFERROR(__xludf.DUMMYFUNCTION("""COMPUTED_VALUE"""),0.26855607777438)</f>
        <v>0.26855607777438001</v>
      </c>
      <c r="T88" s="17">
        <f ca="1">IFERROR(__xludf.DUMMYFUNCTION("""COMPUTED_VALUE"""),0.154972015099753)</f>
        <v>0.154972015099753</v>
      </c>
      <c r="U88" s="17">
        <f ca="1">IFERROR(__xludf.DUMMYFUNCTION("""COMPUTED_VALUE"""),0.200545290680862)</f>
        <v>0.20054529068086199</v>
      </c>
      <c r="V88" s="17">
        <f ca="1">IFERROR(__xludf.DUMMYFUNCTION("""COMPUTED_VALUE"""),0.170685892477924)</f>
        <v>0.17068589247792401</v>
      </c>
      <c r="W88" s="17">
        <f ca="1">IFERROR(__xludf.DUMMYFUNCTION("""COMPUTED_VALUE"""),0.223126720068092)</f>
        <v>0.223126720068092</v>
      </c>
      <c r="X88" s="17">
        <f ca="1">IFERROR(__xludf.DUMMYFUNCTION("""COMPUTED_VALUE"""),0.183684724778267)</f>
        <v>0.183684724778267</v>
      </c>
      <c r="Y88" s="17">
        <f ca="1">IFERROR(__xludf.DUMMYFUNCTION("""COMPUTED_VALUE"""),0.129023011237384)</f>
        <v>0.12902301123738399</v>
      </c>
      <c r="Z88" s="17">
        <f ca="1">IFERROR(__xludf.DUMMYFUNCTION("""COMPUTED_VALUE"""),0.192313576226808)</f>
        <v>0.192313576226808</v>
      </c>
      <c r="AA88" s="17">
        <f ca="1">IFERROR(__xludf.DUMMYFUNCTION("""COMPUTED_VALUE"""),0.0741659728772765)</f>
        <v>7.4165972877276498E-2</v>
      </c>
      <c r="AB88" s="17">
        <f ca="1">IFERROR(__xludf.DUMMYFUNCTION("""COMPUTED_VALUE"""),0.238177034602073)</f>
        <v>0.23817703460207301</v>
      </c>
      <c r="AC88" s="17">
        <f ca="1">IFERROR(__xludf.DUMMYFUNCTION("""COMPUTED_VALUE"""),0.411949606881008)</f>
        <v>0.41194960688100801</v>
      </c>
      <c r="AD88" s="17">
        <f ca="1">IFERROR(__xludf.DUMMYFUNCTION("""COMPUTED_VALUE"""),0.141820599038688)</f>
        <v>0.14182059903868799</v>
      </c>
      <c r="AE88" s="17">
        <f ca="1">IFERROR(__xludf.DUMMYFUNCTION("""COMPUTED_VALUE"""),1.27538182462099)</f>
        <v>1.27538182462099</v>
      </c>
      <c r="AF88" s="17">
        <f ca="1">IFERROR(__xludf.DUMMYFUNCTION("""COMPUTED_VALUE"""),0.291228521976586)</f>
        <v>0.291228521976586</v>
      </c>
      <c r="AG88" s="17">
        <f ca="1">IFERROR(__xludf.DUMMYFUNCTION("""COMPUTED_VALUE"""),0.652298951946968)</f>
        <v>0.65229895194696796</v>
      </c>
      <c r="AH88" s="17">
        <f ca="1">IFERROR(__xludf.DUMMYFUNCTION("""COMPUTED_VALUE"""),0.185365708077001)</f>
        <v>0.18536570807700101</v>
      </c>
      <c r="AI88" s="17">
        <f ca="1">IFERROR(__xludf.DUMMYFUNCTION("""COMPUTED_VALUE"""),1.05377385242896)</f>
        <v>1.0537738524289599</v>
      </c>
      <c r="AJ88" s="17">
        <f ca="1">IFERROR(__xludf.DUMMYFUNCTION("""COMPUTED_VALUE"""),0.237393456692411)</f>
        <v>0.23739345669241099</v>
      </c>
    </row>
    <row r="89" spans="2:36" ht="15.75" customHeight="1" x14ac:dyDescent="0.45">
      <c r="B89" s="10" t="str">
        <f ca="1">IFERROR(__xludf.DUMMYFUNCTION("""COMPUTED_VALUE"""),"Car")</f>
        <v>Car</v>
      </c>
      <c r="C89" s="10" t="str">
        <f ca="1">IFERROR(__xludf.DUMMYFUNCTION("""COMPUTED_VALUE"""),"mcar")</f>
        <v>mcar</v>
      </c>
      <c r="D89" s="10">
        <f ca="1">IFERROR(__xludf.DUMMYFUNCTION("""COMPUTED_VALUE"""),0.4)</f>
        <v>0.4</v>
      </c>
      <c r="E89" s="17">
        <f ca="1">IFERROR(__xludf.DUMMYFUNCTION("""COMPUTED_VALUE"""),1.02305497354789)</f>
        <v>1.02305497354789</v>
      </c>
      <c r="F89" s="17">
        <f ca="1">IFERROR(__xludf.DUMMYFUNCTION("""COMPUTED_VALUE"""),0.165173536869961)</f>
        <v>0.165173536869961</v>
      </c>
      <c r="G89" s="17">
        <f ca="1">IFERROR(__xludf.DUMMYFUNCTION("""COMPUTED_VALUE"""),0.153489567881938)</f>
        <v>0.15348956788193799</v>
      </c>
      <c r="H89" s="17">
        <f ca="1">IFERROR(__xludf.DUMMYFUNCTION("""COMPUTED_VALUE"""),0.314975448768777)</f>
        <v>0.31497544876877698</v>
      </c>
      <c r="I89" s="17">
        <f ca="1">IFERROR(__xludf.DUMMYFUNCTION("""COMPUTED_VALUE"""),0.178202029718233)</f>
        <v>0.17820202971823301</v>
      </c>
      <c r="J89" s="17">
        <f ca="1">IFERROR(__xludf.DUMMYFUNCTION("""COMPUTED_VALUE"""),0.163055931492961)</f>
        <v>0.16305593149296099</v>
      </c>
      <c r="K89" s="17" t="str">
        <f ca="1">IFERROR(__xludf.DUMMYFUNCTION("""COMPUTED_VALUE"""),"nan")</f>
        <v>nan</v>
      </c>
      <c r="L89" s="17">
        <f ca="1">IFERROR(__xludf.DUMMYFUNCTION("""COMPUTED_VALUE"""),0.320996247193295)</f>
        <v>0.320996247193295</v>
      </c>
      <c r="M89" s="17">
        <f ca="1">IFERROR(__xludf.DUMMYFUNCTION("""COMPUTED_VALUE"""),0.152581324813205)</f>
        <v>0.15258132481320499</v>
      </c>
      <c r="N89" s="17">
        <f ca="1">IFERROR(__xludf.DUMMYFUNCTION("""COMPUTED_VALUE"""),0.229134816192072)</f>
        <v>0.22913481619207199</v>
      </c>
      <c r="O89" s="17">
        <f ca="1">IFERROR(__xludf.DUMMYFUNCTION("""COMPUTED_VALUE"""),0.127654669690281)</f>
        <v>0.127654669690281</v>
      </c>
      <c r="P89" s="17">
        <f ca="1">IFERROR(__xludf.DUMMYFUNCTION("""COMPUTED_VALUE"""),0.56065526782021)</f>
        <v>0.56065526782021002</v>
      </c>
      <c r="Q89" s="17">
        <f ca="1">IFERROR(__xludf.DUMMYFUNCTION("""COMPUTED_VALUE"""),0.523597162357203)</f>
        <v>0.52359716235720299</v>
      </c>
      <c r="R89" s="17">
        <f ca="1">IFERROR(__xludf.DUMMYFUNCTION("""COMPUTED_VALUE"""),0.124313634980225)</f>
        <v>0.124313634980225</v>
      </c>
      <c r="S89" s="17">
        <f ca="1">IFERROR(__xludf.DUMMYFUNCTION("""COMPUTED_VALUE"""),0.423902712897661)</f>
        <v>0.42390271289766102</v>
      </c>
      <c r="T89" s="17">
        <f ca="1">IFERROR(__xludf.DUMMYFUNCTION("""COMPUTED_VALUE"""),0.183339132894214)</f>
        <v>0.183339132894214</v>
      </c>
      <c r="U89" s="17">
        <f ca="1">IFERROR(__xludf.DUMMYFUNCTION("""COMPUTED_VALUE"""),0.218157967425451)</f>
        <v>0.21815796742545099</v>
      </c>
      <c r="V89" s="17">
        <f ca="1">IFERROR(__xludf.DUMMYFUNCTION("""COMPUTED_VALUE"""),0.172181698941583)</f>
        <v>0.172181698941583</v>
      </c>
      <c r="W89" s="17">
        <f ca="1">IFERROR(__xludf.DUMMYFUNCTION("""COMPUTED_VALUE"""),0.242962198253766)</f>
        <v>0.242962198253766</v>
      </c>
      <c r="X89" s="17">
        <f ca="1">IFERROR(__xludf.DUMMYFUNCTION("""COMPUTED_VALUE"""),0.215310040261613)</f>
        <v>0.21531004026161299</v>
      </c>
      <c r="Y89" s="17">
        <f ca="1">IFERROR(__xludf.DUMMYFUNCTION("""COMPUTED_VALUE"""),0.162571785085039)</f>
        <v>0.162571785085039</v>
      </c>
      <c r="Z89" s="17">
        <f ca="1">IFERROR(__xludf.DUMMYFUNCTION("""COMPUTED_VALUE"""),0.261536940410192)</f>
        <v>0.26153694041019199</v>
      </c>
      <c r="AA89" s="17">
        <f ca="1">IFERROR(__xludf.DUMMYFUNCTION("""COMPUTED_VALUE"""),0.0983131315773068)</f>
        <v>9.8313131577306798E-2</v>
      </c>
      <c r="AB89" s="17">
        <f ca="1">IFERROR(__xludf.DUMMYFUNCTION("""COMPUTED_VALUE"""),0.201590405463715)</f>
        <v>0.20159040546371501</v>
      </c>
      <c r="AC89" s="17">
        <f ca="1">IFERROR(__xludf.DUMMYFUNCTION("""COMPUTED_VALUE"""),0.332028513715071)</f>
        <v>0.33202851371507103</v>
      </c>
      <c r="AD89" s="17">
        <f ca="1">IFERROR(__xludf.DUMMYFUNCTION("""COMPUTED_VALUE"""),0.197071846828919)</f>
        <v>0.19707184682891901</v>
      </c>
      <c r="AE89" s="17">
        <f ca="1">IFERROR(__xludf.DUMMYFUNCTION("""COMPUTED_VALUE"""),0.997499176454977)</f>
        <v>0.99749917645497699</v>
      </c>
      <c r="AF89" s="17">
        <f ca="1">IFERROR(__xludf.DUMMYFUNCTION("""COMPUTED_VALUE"""),0.364901423825676)</f>
        <v>0.36490142382567597</v>
      </c>
      <c r="AG89" s="17">
        <f ca="1">IFERROR(__xludf.DUMMYFUNCTION("""COMPUTED_VALUE"""),0.940663207597279)</f>
        <v>0.94066320759727895</v>
      </c>
      <c r="AH89" s="17">
        <f ca="1">IFERROR(__xludf.DUMMYFUNCTION("""COMPUTED_VALUE"""),0.316077992490087)</f>
        <v>0.316077992490087</v>
      </c>
      <c r="AI89" s="17">
        <f ca="1">IFERROR(__xludf.DUMMYFUNCTION("""COMPUTED_VALUE"""),1.08371479545715)</f>
        <v>1.08371479545715</v>
      </c>
      <c r="AJ89" s="17">
        <f ca="1">IFERROR(__xludf.DUMMYFUNCTION("""COMPUTED_VALUE"""),0.570103576398579)</f>
        <v>0.570103576398579</v>
      </c>
    </row>
    <row r="90" spans="2:36" ht="15.75" customHeight="1" x14ac:dyDescent="0.45">
      <c r="B90" s="10" t="str">
        <f ca="1">IFERROR(__xludf.DUMMYFUNCTION("""COMPUTED_VALUE"""),"Car")</f>
        <v>Car</v>
      </c>
      <c r="C90" s="10" t="str">
        <f ca="1">IFERROR(__xludf.DUMMYFUNCTION("""COMPUTED_VALUE"""),"mcar")</f>
        <v>mcar</v>
      </c>
      <c r="D90" s="10">
        <f ca="1">IFERROR(__xludf.DUMMYFUNCTION("""COMPUTED_VALUE"""),0.6)</f>
        <v>0.6</v>
      </c>
      <c r="E90" s="17">
        <f ca="1">IFERROR(__xludf.DUMMYFUNCTION("""COMPUTED_VALUE"""),1.0184428635204)</f>
        <v>1.0184428635203999</v>
      </c>
      <c r="F90" s="17">
        <f ca="1">IFERROR(__xludf.DUMMYFUNCTION("""COMPUTED_VALUE"""),0.174459266490949)</f>
        <v>0.17445926649094901</v>
      </c>
      <c r="G90" s="17">
        <f ca="1">IFERROR(__xludf.DUMMYFUNCTION("""COMPUTED_VALUE"""),0.156395630324814)</f>
        <v>0.15639563032481399</v>
      </c>
      <c r="H90" s="17">
        <f ca="1">IFERROR(__xludf.DUMMYFUNCTION("""COMPUTED_VALUE"""),0.308895138553974)</f>
        <v>0.30889513855397399</v>
      </c>
      <c r="I90" s="17">
        <f ca="1">IFERROR(__xludf.DUMMYFUNCTION("""COMPUTED_VALUE"""),0.223507990523683)</f>
        <v>0.223507990523683</v>
      </c>
      <c r="J90" s="17">
        <f ca="1">IFERROR(__xludf.DUMMYFUNCTION("""COMPUTED_VALUE"""),0.348577288866534)</f>
        <v>0.348577288866534</v>
      </c>
      <c r="K90" s="17" t="str">
        <f ca="1">IFERROR(__xludf.DUMMYFUNCTION("""COMPUTED_VALUE"""),"nan")</f>
        <v>nan</v>
      </c>
      <c r="L90" s="17">
        <f ca="1">IFERROR(__xludf.DUMMYFUNCTION("""COMPUTED_VALUE"""),0.320861495761319)</f>
        <v>0.320861495761319</v>
      </c>
      <c r="M90" s="17">
        <f ca="1">IFERROR(__xludf.DUMMYFUNCTION("""COMPUTED_VALUE"""),0.155605213388385)</f>
        <v>0.15560521338838501</v>
      </c>
      <c r="N90" s="17">
        <f ca="1">IFERROR(__xludf.DUMMYFUNCTION("""COMPUTED_VALUE"""),0.252387127831937)</f>
        <v>0.25238712783193701</v>
      </c>
      <c r="O90" s="17">
        <f ca="1">IFERROR(__xludf.DUMMYFUNCTION("""COMPUTED_VALUE"""),0.146313232732501)</f>
        <v>0.14631323273250099</v>
      </c>
      <c r="P90" s="17">
        <f ca="1">IFERROR(__xludf.DUMMYFUNCTION("""COMPUTED_VALUE"""),0.611374133093974)</f>
        <v>0.61137413309397404</v>
      </c>
      <c r="Q90" s="17">
        <f ca="1">IFERROR(__xludf.DUMMYFUNCTION("""COMPUTED_VALUE"""),0.627678667714166)</f>
        <v>0.62767866771416603</v>
      </c>
      <c r="R90" s="17">
        <f ca="1">IFERROR(__xludf.DUMMYFUNCTION("""COMPUTED_VALUE"""),0.166402937465046)</f>
        <v>0.166402937465046</v>
      </c>
      <c r="S90" s="17">
        <f ca="1">IFERROR(__xludf.DUMMYFUNCTION("""COMPUTED_VALUE"""),0.814886997726721)</f>
        <v>0.81488699772672102</v>
      </c>
      <c r="T90" s="17">
        <f ca="1">IFERROR(__xludf.DUMMYFUNCTION("""COMPUTED_VALUE"""),0.222575628159111)</f>
        <v>0.222575628159111</v>
      </c>
      <c r="U90" s="17">
        <f ca="1">IFERROR(__xludf.DUMMYFUNCTION("""COMPUTED_VALUE"""),0.274450717823022)</f>
        <v>0.27445071782302199</v>
      </c>
      <c r="V90" s="17">
        <f ca="1">IFERROR(__xludf.DUMMYFUNCTION("""COMPUTED_VALUE"""),0.182382031691592)</f>
        <v>0.18238203169159201</v>
      </c>
      <c r="W90" s="17">
        <f ca="1">IFERROR(__xludf.DUMMYFUNCTION("""COMPUTED_VALUE"""),0.29149693274157)</f>
        <v>0.29149693274157001</v>
      </c>
      <c r="X90" s="17">
        <f ca="1">IFERROR(__xludf.DUMMYFUNCTION("""COMPUTED_VALUE"""),0.206598440182367)</f>
        <v>0.206598440182367</v>
      </c>
      <c r="Y90" s="17">
        <f ca="1">IFERROR(__xludf.DUMMYFUNCTION("""COMPUTED_VALUE"""),0.227515680569153)</f>
        <v>0.227515680569153</v>
      </c>
      <c r="Z90" s="17">
        <f ca="1">IFERROR(__xludf.DUMMYFUNCTION("""COMPUTED_VALUE"""),0.379334456384103)</f>
        <v>0.37933445638410301</v>
      </c>
      <c r="AA90" s="17">
        <f ca="1">IFERROR(__xludf.DUMMYFUNCTION("""COMPUTED_VALUE"""),0.12088838247903)</f>
        <v>0.12088838247903</v>
      </c>
      <c r="AB90" s="17">
        <f ca="1">IFERROR(__xludf.DUMMYFUNCTION("""COMPUTED_VALUE"""),0.234349654412975)</f>
        <v>0.23434965441297501</v>
      </c>
      <c r="AC90" s="17">
        <f ca="1">IFERROR(__xludf.DUMMYFUNCTION("""COMPUTED_VALUE"""),0.418587096541171)</f>
        <v>0.41858709654117099</v>
      </c>
      <c r="AD90" s="17">
        <f ca="1">IFERROR(__xludf.DUMMYFUNCTION("""COMPUTED_VALUE"""),0.390025050558697)</f>
        <v>0.39002505055869702</v>
      </c>
      <c r="AE90" s="17">
        <f ca="1">IFERROR(__xludf.DUMMYFUNCTION("""COMPUTED_VALUE"""),1.05647658055144)</f>
        <v>1.05647658055144</v>
      </c>
      <c r="AF90" s="17">
        <f ca="1">IFERROR(__xludf.DUMMYFUNCTION("""COMPUTED_VALUE"""),0.338426602354001)</f>
        <v>0.33842660235400102</v>
      </c>
      <c r="AG90" s="17">
        <f ca="1">IFERROR(__xludf.DUMMYFUNCTION("""COMPUTED_VALUE"""),0.878098877272434)</f>
        <v>0.87809887727243396</v>
      </c>
      <c r="AH90" s="17">
        <f ca="1">IFERROR(__xludf.DUMMYFUNCTION("""COMPUTED_VALUE"""),0.677542004972811)</f>
        <v>0.67754200497281103</v>
      </c>
      <c r="AI90" s="17">
        <f ca="1">IFERROR(__xludf.DUMMYFUNCTION("""COMPUTED_VALUE"""),0.997175040591104)</f>
        <v>0.99717504059110396</v>
      </c>
      <c r="AJ90" s="17">
        <f ca="1">IFERROR(__xludf.DUMMYFUNCTION("""COMPUTED_VALUE"""),0.733236052051821)</f>
        <v>0.73323605205182096</v>
      </c>
    </row>
    <row r="91" spans="2:36" ht="15.75" customHeight="1" x14ac:dyDescent="0.45">
      <c r="B91" s="10" t="str">
        <f ca="1">IFERROR(__xludf.DUMMYFUNCTION("""COMPUTED_VALUE"""),"Car")</f>
        <v>Car</v>
      </c>
      <c r="C91" s="10" t="str">
        <f ca="1">IFERROR(__xludf.DUMMYFUNCTION("""COMPUTED_VALUE"""),"mcar")</f>
        <v>mcar</v>
      </c>
      <c r="D91" s="10">
        <f ca="1">IFERROR(__xludf.DUMMYFUNCTION("""COMPUTED_VALUE"""),0.8)</f>
        <v>0.8</v>
      </c>
      <c r="E91" s="17">
        <f ca="1">IFERROR(__xludf.DUMMYFUNCTION("""COMPUTED_VALUE"""),0.985284541700985)</f>
        <v>0.98528454170098501</v>
      </c>
      <c r="F91" s="17">
        <f ca="1">IFERROR(__xludf.DUMMYFUNCTION("""COMPUTED_VALUE"""),0.217584262890498)</f>
        <v>0.21758426289049801</v>
      </c>
      <c r="G91" s="17">
        <f ca="1">IFERROR(__xludf.DUMMYFUNCTION("""COMPUTED_VALUE"""),0.182176756371115)</f>
        <v>0.182176756371115</v>
      </c>
      <c r="H91" s="17">
        <f ca="1">IFERROR(__xludf.DUMMYFUNCTION("""COMPUTED_VALUE"""),0.314907933305443)</f>
        <v>0.31490793330544298</v>
      </c>
      <c r="I91" s="17">
        <f ca="1">IFERROR(__xludf.DUMMYFUNCTION("""COMPUTED_VALUE"""),0.340186243475001)</f>
        <v>0.34018624347500098</v>
      </c>
      <c r="J91" s="17">
        <f ca="1">IFERROR(__xludf.DUMMYFUNCTION("""COMPUTED_VALUE"""),0.74628520953214)</f>
        <v>0.74628520953213995</v>
      </c>
      <c r="K91" s="17" t="str">
        <f ca="1">IFERROR(__xludf.DUMMYFUNCTION("""COMPUTED_VALUE"""),"nan")</f>
        <v>nan</v>
      </c>
      <c r="L91" s="17">
        <f ca="1">IFERROR(__xludf.DUMMYFUNCTION("""COMPUTED_VALUE"""),0.331709183891939)</f>
        <v>0.33170918389193899</v>
      </c>
      <c r="M91" s="17">
        <f ca="1">IFERROR(__xludf.DUMMYFUNCTION("""COMPUTED_VALUE"""),0.19072198529646)</f>
        <v>0.19072198529646001</v>
      </c>
      <c r="N91" s="17">
        <f ca="1">IFERROR(__xludf.DUMMYFUNCTION("""COMPUTED_VALUE"""),0.275965719213869)</f>
        <v>0.27596571921386898</v>
      </c>
      <c r="O91" s="17">
        <f ca="1">IFERROR(__xludf.DUMMYFUNCTION("""COMPUTED_VALUE"""),0.164171765755195)</f>
        <v>0.16417176575519499</v>
      </c>
      <c r="P91" s="17">
        <f ca="1">IFERROR(__xludf.DUMMYFUNCTION("""COMPUTED_VALUE"""),0.659382571565311)</f>
        <v>0.65938257156531099</v>
      </c>
      <c r="Q91" s="17">
        <f ca="1">IFERROR(__xludf.DUMMYFUNCTION("""COMPUTED_VALUE"""),0.756186611404614)</f>
        <v>0.75618661140461396</v>
      </c>
      <c r="R91" s="17">
        <f ca="1">IFERROR(__xludf.DUMMYFUNCTION("""COMPUTED_VALUE"""),0.204674870478142)</f>
        <v>0.20467487047814201</v>
      </c>
      <c r="S91" s="17">
        <f ca="1">IFERROR(__xludf.DUMMYFUNCTION("""COMPUTED_VALUE"""),1.4603154837097)</f>
        <v>1.4603154837097001</v>
      </c>
      <c r="T91" s="17">
        <f ca="1">IFERROR(__xludf.DUMMYFUNCTION("""COMPUTED_VALUE"""),0.346403599043008)</f>
        <v>0.34640359904300799</v>
      </c>
      <c r="U91" s="17">
        <f ca="1">IFERROR(__xludf.DUMMYFUNCTION("""COMPUTED_VALUE"""),0.355061215146485)</f>
        <v>0.35506121514648498</v>
      </c>
      <c r="V91" s="17">
        <f ca="1">IFERROR(__xludf.DUMMYFUNCTION("""COMPUTED_VALUE"""),0.274396964289535)</f>
        <v>0.27439696428953497</v>
      </c>
      <c r="W91" s="17">
        <f ca="1">IFERROR(__xludf.DUMMYFUNCTION("""COMPUTED_VALUE"""),0.383505386457375)</f>
        <v>0.38350538645737497</v>
      </c>
      <c r="X91" s="17">
        <f ca="1">IFERROR(__xludf.DUMMYFUNCTION("""COMPUTED_VALUE"""),0.214258022501976)</f>
        <v>0.21425802250197601</v>
      </c>
      <c r="Y91" s="17">
        <f ca="1">IFERROR(__xludf.DUMMYFUNCTION("""COMPUTED_VALUE"""),0.342373999768185)</f>
        <v>0.342373999768185</v>
      </c>
      <c r="Z91" s="17">
        <f ca="1">IFERROR(__xludf.DUMMYFUNCTION("""COMPUTED_VALUE"""),0.52303077946951)</f>
        <v>0.52303077946951004</v>
      </c>
      <c r="AA91" s="17">
        <f ca="1">IFERROR(__xludf.DUMMYFUNCTION("""COMPUTED_VALUE"""),0.176278044389539)</f>
        <v>0.17627804438953901</v>
      </c>
      <c r="AB91" s="17">
        <f ca="1">IFERROR(__xludf.DUMMYFUNCTION("""COMPUTED_VALUE"""),0.33656983236229)</f>
        <v>0.33656983236228999</v>
      </c>
      <c r="AC91" s="17">
        <f ca="1">IFERROR(__xludf.DUMMYFUNCTION("""COMPUTED_VALUE"""),0.515349104923846)</f>
        <v>0.515349104923846</v>
      </c>
      <c r="AD91" s="17">
        <f ca="1">IFERROR(__xludf.DUMMYFUNCTION("""COMPUTED_VALUE"""),0.50972096292632)</f>
        <v>0.50972096292631996</v>
      </c>
      <c r="AE91" s="17" t="str">
        <f ca="1">IFERROR(__xludf.DUMMYFUNCTION("""COMPUTED_VALUE"""),"nan")</f>
        <v>nan</v>
      </c>
      <c r="AF91" s="17">
        <f ca="1">IFERROR(__xludf.DUMMYFUNCTION("""COMPUTED_VALUE"""),0.529399580286639)</f>
        <v>0.52939958028663903</v>
      </c>
      <c r="AG91" s="17">
        <f ca="1">IFERROR(__xludf.DUMMYFUNCTION("""COMPUTED_VALUE"""),1.12858704669143)</f>
        <v>1.1285870466914301</v>
      </c>
      <c r="AH91" s="17">
        <f ca="1">IFERROR(__xludf.DUMMYFUNCTION("""COMPUTED_VALUE"""),0.900860466386913)</f>
        <v>0.90086046638691297</v>
      </c>
      <c r="AI91" s="17">
        <f ca="1">IFERROR(__xludf.DUMMYFUNCTION("""COMPUTED_VALUE"""),0.966887595406258)</f>
        <v>0.96688759540625802</v>
      </c>
      <c r="AJ91" s="17">
        <f ca="1">IFERROR(__xludf.DUMMYFUNCTION("""COMPUTED_VALUE"""),0.835531198342125)</f>
        <v>0.83553119834212497</v>
      </c>
    </row>
    <row r="92" spans="2:36" ht="15.75" customHeight="1" x14ac:dyDescent="0.45">
      <c r="B92" s="10" t="str">
        <f ca="1">IFERROR(__xludf.DUMMYFUNCTION("""COMPUTED_VALUE"""),"CinCECGTorso")</f>
        <v>CinCECGTorso</v>
      </c>
      <c r="C92" s="10" t="str">
        <f ca="1">IFERROR(__xludf.DUMMYFUNCTION("""COMPUTED_VALUE"""),"aligned_series")</f>
        <v>aligned_series</v>
      </c>
      <c r="D92" s="10">
        <f ca="1">IFERROR(__xludf.DUMMYFUNCTION("""COMPUTED_VALUE"""),0.1)</f>
        <v>0.1</v>
      </c>
      <c r="E92" s="17">
        <f ca="1">IFERROR(__xludf.DUMMYFUNCTION("""COMPUTED_VALUE"""),0.112021242771854)</f>
        <v>0.112021242771854</v>
      </c>
      <c r="F92" s="17">
        <f ca="1">IFERROR(__xludf.DUMMYFUNCTION("""COMPUTED_VALUE"""),0.174149783682727)</f>
        <v>0.17414978368272699</v>
      </c>
      <c r="G92" s="17">
        <f ca="1">IFERROR(__xludf.DUMMYFUNCTION("""COMPUTED_VALUE"""),0.1790185408039)</f>
        <v>0.17901854080390001</v>
      </c>
      <c r="H92" s="17">
        <f ca="1">IFERROR(__xludf.DUMMYFUNCTION("""COMPUTED_VALUE"""),0.122338150887265)</f>
        <v>0.122338150887265</v>
      </c>
      <c r="I92" s="17">
        <f ca="1">IFERROR(__xludf.DUMMYFUNCTION("""COMPUTED_VALUE"""),0.136085268714247)</f>
        <v>0.136085268714247</v>
      </c>
      <c r="J92" s="17">
        <f ca="1">IFERROR(__xludf.DUMMYFUNCTION("""COMPUTED_VALUE"""),0.237273774317604)</f>
        <v>0.23727377431760399</v>
      </c>
      <c r="K92" s="17" t="str">
        <f ca="1">IFERROR(__xludf.DUMMYFUNCTION("""COMPUTED_VALUE"""),"nan")</f>
        <v>nan</v>
      </c>
      <c r="L92" s="17">
        <f ca="1">IFERROR(__xludf.DUMMYFUNCTION("""COMPUTED_VALUE"""),0.474654375933527)</f>
        <v>0.474654375933527</v>
      </c>
      <c r="M92" s="17">
        <f ca="1">IFERROR(__xludf.DUMMYFUNCTION("""COMPUTED_VALUE"""),0.298213399988824)</f>
        <v>0.29821339998882401</v>
      </c>
      <c r="N92" s="17">
        <f ca="1">IFERROR(__xludf.DUMMYFUNCTION("""COMPUTED_VALUE"""),0.161695918390674)</f>
        <v>0.16169591839067399</v>
      </c>
      <c r="O92" s="17">
        <f ca="1">IFERROR(__xludf.DUMMYFUNCTION("""COMPUTED_VALUE"""),0.314003336696857)</f>
        <v>0.31400333669685698</v>
      </c>
      <c r="P92" s="17">
        <f ca="1">IFERROR(__xludf.DUMMYFUNCTION("""COMPUTED_VALUE"""),0.155677449035778)</f>
        <v>0.15567744903577799</v>
      </c>
      <c r="Q92" s="17">
        <f ca="1">IFERROR(__xludf.DUMMYFUNCTION("""COMPUTED_VALUE"""),0.197323826712295)</f>
        <v>0.19732382671229501</v>
      </c>
      <c r="R92" s="17">
        <f ca="1">IFERROR(__xludf.DUMMYFUNCTION("""COMPUTED_VALUE"""),0.280731384737992)</f>
        <v>0.28073138473799197</v>
      </c>
      <c r="S92" s="17">
        <f ca="1">IFERROR(__xludf.DUMMYFUNCTION("""COMPUTED_VALUE"""),0.082842749871846)</f>
        <v>8.2842749871846005E-2</v>
      </c>
      <c r="T92" s="17">
        <f ca="1">IFERROR(__xludf.DUMMYFUNCTION("""COMPUTED_VALUE"""),0.267295291196862)</f>
        <v>0.26729529119686202</v>
      </c>
      <c r="U92" s="17">
        <f ca="1">IFERROR(__xludf.DUMMYFUNCTION("""COMPUTED_VALUE"""),0.604643775820782)</f>
        <v>0.60464377582078199</v>
      </c>
      <c r="V92" s="17">
        <f ca="1">IFERROR(__xludf.DUMMYFUNCTION("""COMPUTED_VALUE"""),0.0880618422258023)</f>
        <v>8.8061842225802295E-2</v>
      </c>
      <c r="W92" s="17">
        <f ca="1">IFERROR(__xludf.DUMMYFUNCTION("""COMPUTED_VALUE"""),0.105619698227351)</f>
        <v>0.105619698227351</v>
      </c>
      <c r="X92" s="17">
        <f ca="1">IFERROR(__xludf.DUMMYFUNCTION("""COMPUTED_VALUE"""),0.178305197129533)</f>
        <v>0.17830519712953299</v>
      </c>
      <c r="Y92" s="17">
        <f ca="1">IFERROR(__xludf.DUMMYFUNCTION("""COMPUTED_VALUE"""),0.0891607269105531)</f>
        <v>8.9160726910553101E-2</v>
      </c>
      <c r="Z92" s="17">
        <f ca="1">IFERROR(__xludf.DUMMYFUNCTION("""COMPUTED_VALUE"""),0.0859619217654591)</f>
        <v>8.5961921765459096E-2</v>
      </c>
      <c r="AA92" s="17">
        <f ca="1">IFERROR(__xludf.DUMMYFUNCTION("""COMPUTED_VALUE"""),0.163207410790618)</f>
        <v>0.16320741079061801</v>
      </c>
      <c r="AB92" s="17">
        <f ca="1">IFERROR(__xludf.DUMMYFUNCTION("""COMPUTED_VALUE"""),0.255777342153473)</f>
        <v>0.25577734215347298</v>
      </c>
      <c r="AC92" s="17">
        <f ca="1">IFERROR(__xludf.DUMMYFUNCTION("""COMPUTED_VALUE"""),0.102669399214343)</f>
        <v>0.102669399214343</v>
      </c>
      <c r="AD92" s="17">
        <f ca="1">IFERROR(__xludf.DUMMYFUNCTION("""COMPUTED_VALUE"""),0.104412140609561)</f>
        <v>0.104412140609561</v>
      </c>
      <c r="AE92" s="17">
        <f ca="1">IFERROR(__xludf.DUMMYFUNCTION("""COMPUTED_VALUE"""),0.503386450705548)</f>
        <v>0.50338645070554799</v>
      </c>
      <c r="AF92" s="17">
        <f ca="1">IFERROR(__xludf.DUMMYFUNCTION("""COMPUTED_VALUE"""),0.144812305408482)</f>
        <v>0.144812305408482</v>
      </c>
      <c r="AG92" s="17">
        <f ca="1">IFERROR(__xludf.DUMMYFUNCTION("""COMPUTED_VALUE"""),0.0932594019372582)</f>
        <v>9.3259401937258193E-2</v>
      </c>
      <c r="AH92" s="17">
        <f ca="1">IFERROR(__xludf.DUMMYFUNCTION("""COMPUTED_VALUE"""),0.0863457593528865)</f>
        <v>8.6345759352886506E-2</v>
      </c>
      <c r="AI92" s="17">
        <f ca="1">IFERROR(__xludf.DUMMYFUNCTION("""COMPUTED_VALUE"""),0.103840168017046)</f>
        <v>0.103840168017046</v>
      </c>
      <c r="AJ92" s="17">
        <f ca="1">IFERROR(__xludf.DUMMYFUNCTION("""COMPUTED_VALUE"""),0.0916982404010658)</f>
        <v>9.1698240401065806E-2</v>
      </c>
    </row>
    <row r="93" spans="2:36" ht="15.75" customHeight="1" x14ac:dyDescent="0.45">
      <c r="B93" s="10" t="str">
        <f ca="1">IFERROR(__xludf.DUMMYFUNCTION("""COMPUTED_VALUE"""),"CinCECGTorso")</f>
        <v>CinCECGTorso</v>
      </c>
      <c r="C93" s="10" t="str">
        <f ca="1">IFERROR(__xludf.DUMMYFUNCTION("""COMPUTED_VALUE"""),"aligned_series")</f>
        <v>aligned_series</v>
      </c>
      <c r="D93" s="10">
        <f ca="1">IFERROR(__xludf.DUMMYFUNCTION("""COMPUTED_VALUE"""),0.2)</f>
        <v>0.2</v>
      </c>
      <c r="E93" s="17">
        <f ca="1">IFERROR(__xludf.DUMMYFUNCTION("""COMPUTED_VALUE"""),0.154946305563398)</f>
        <v>0.154946305563398</v>
      </c>
      <c r="F93" s="17">
        <f ca="1">IFERROR(__xludf.DUMMYFUNCTION("""COMPUTED_VALUE"""),0.221534141059791)</f>
        <v>0.221534141059791</v>
      </c>
      <c r="G93" s="17">
        <f ca="1">IFERROR(__xludf.DUMMYFUNCTION("""COMPUTED_VALUE"""),0.226163786485282)</f>
        <v>0.22616378648528199</v>
      </c>
      <c r="H93" s="17">
        <f ca="1">IFERROR(__xludf.DUMMYFUNCTION("""COMPUTED_VALUE"""),0.213599065071213)</f>
        <v>0.21359906507121301</v>
      </c>
      <c r="I93" s="17">
        <f ca="1">IFERROR(__xludf.DUMMYFUNCTION("""COMPUTED_VALUE"""),0.148328104874221)</f>
        <v>0.14832810487422099</v>
      </c>
      <c r="J93" s="17">
        <f ca="1">IFERROR(__xludf.DUMMYFUNCTION("""COMPUTED_VALUE"""),0.22336240068522)</f>
        <v>0.22336240068522001</v>
      </c>
      <c r="K93" s="17" t="str">
        <f ca="1">IFERROR(__xludf.DUMMYFUNCTION("""COMPUTED_VALUE"""),"nan")</f>
        <v>nan</v>
      </c>
      <c r="L93" s="17">
        <f ca="1">IFERROR(__xludf.DUMMYFUNCTION("""COMPUTED_VALUE"""),0.399494175914421)</f>
        <v>0.39949417591442099</v>
      </c>
      <c r="M93" s="17">
        <f ca="1">IFERROR(__xludf.DUMMYFUNCTION("""COMPUTED_VALUE"""),0.226023370485322)</f>
        <v>0.22602337048532201</v>
      </c>
      <c r="N93" s="17">
        <f ca="1">IFERROR(__xludf.DUMMYFUNCTION("""COMPUTED_VALUE"""),0.205862934165656)</f>
        <v>0.20586293416565599</v>
      </c>
      <c r="O93" s="17">
        <f ca="1">IFERROR(__xludf.DUMMYFUNCTION("""COMPUTED_VALUE"""),0.295940700314687)</f>
        <v>0.295940700314687</v>
      </c>
      <c r="P93" s="17">
        <f ca="1">IFERROR(__xludf.DUMMYFUNCTION("""COMPUTED_VALUE"""),0.662170307739296)</f>
        <v>0.66217030773929597</v>
      </c>
      <c r="Q93" s="17">
        <f ca="1">IFERROR(__xludf.DUMMYFUNCTION("""COMPUTED_VALUE"""),0.32241595757031)</f>
        <v>0.32241595757031</v>
      </c>
      <c r="R93" s="17">
        <f ca="1">IFERROR(__xludf.DUMMYFUNCTION("""COMPUTED_VALUE"""),0.215908123160014)</f>
        <v>0.21590812316001401</v>
      </c>
      <c r="S93" s="17">
        <f ca="1">IFERROR(__xludf.DUMMYFUNCTION("""COMPUTED_VALUE"""),0.115266227223111)</f>
        <v>0.115266227223111</v>
      </c>
      <c r="T93" s="17">
        <f ca="1">IFERROR(__xludf.DUMMYFUNCTION("""COMPUTED_VALUE"""),0.232544426896557)</f>
        <v>0.23254442689655699</v>
      </c>
      <c r="U93" s="17">
        <f ca="1">IFERROR(__xludf.DUMMYFUNCTION("""COMPUTED_VALUE"""),0.409439375841685)</f>
        <v>0.40943937584168499</v>
      </c>
      <c r="V93" s="17">
        <f ca="1">IFERROR(__xludf.DUMMYFUNCTION("""COMPUTED_VALUE"""),0.0974318008908231)</f>
        <v>9.7431800890823095E-2</v>
      </c>
      <c r="W93" s="17">
        <f ca="1">IFERROR(__xludf.DUMMYFUNCTION("""COMPUTED_VALUE"""),0.146011229641967)</f>
        <v>0.146011229641967</v>
      </c>
      <c r="X93" s="17">
        <f ca="1">IFERROR(__xludf.DUMMYFUNCTION("""COMPUTED_VALUE"""),0.317024803263855)</f>
        <v>0.31702480326385502</v>
      </c>
      <c r="Y93" s="17">
        <f ca="1">IFERROR(__xludf.DUMMYFUNCTION("""COMPUTED_VALUE"""),0.13453293753361)</f>
        <v>0.13453293753361001</v>
      </c>
      <c r="Z93" s="17">
        <f ca="1">IFERROR(__xludf.DUMMYFUNCTION("""COMPUTED_VALUE"""),0.100584322497156)</f>
        <v>0.100584322497156</v>
      </c>
      <c r="AA93" s="17">
        <f ca="1">IFERROR(__xludf.DUMMYFUNCTION("""COMPUTED_VALUE"""),0.163461962822003)</f>
        <v>0.16346196282200301</v>
      </c>
      <c r="AB93" s="17">
        <f ca="1">IFERROR(__xludf.DUMMYFUNCTION("""COMPUTED_VALUE"""),0.212392802149957)</f>
        <v>0.21239280214995701</v>
      </c>
      <c r="AC93" s="17">
        <f ca="1">IFERROR(__xludf.DUMMYFUNCTION("""COMPUTED_VALUE"""),0.129056690995323)</f>
        <v>0.12905669099532299</v>
      </c>
      <c r="AD93" s="17">
        <f ca="1">IFERROR(__xludf.DUMMYFUNCTION("""COMPUTED_VALUE"""),0.133443263170426)</f>
        <v>0.13344326317042601</v>
      </c>
      <c r="AE93" s="17">
        <f ca="1">IFERROR(__xludf.DUMMYFUNCTION("""COMPUTED_VALUE"""),0.590862198079672)</f>
        <v>0.590862198079672</v>
      </c>
      <c r="AF93" s="17">
        <f ca="1">IFERROR(__xludf.DUMMYFUNCTION("""COMPUTED_VALUE"""),0.185320971493526)</f>
        <v>0.185320971493526</v>
      </c>
      <c r="AG93" s="17">
        <f ca="1">IFERROR(__xludf.DUMMYFUNCTION("""COMPUTED_VALUE"""),0.0932553741480414)</f>
        <v>9.3255374148041401E-2</v>
      </c>
      <c r="AH93" s="17">
        <f ca="1">IFERROR(__xludf.DUMMYFUNCTION("""COMPUTED_VALUE"""),0.0777677151151368)</f>
        <v>7.7767715115136804E-2</v>
      </c>
      <c r="AI93" s="17">
        <f ca="1">IFERROR(__xludf.DUMMYFUNCTION("""COMPUTED_VALUE"""),0.0924004918777086)</f>
        <v>9.2400491877708602E-2</v>
      </c>
      <c r="AJ93" s="17">
        <f ca="1">IFERROR(__xludf.DUMMYFUNCTION("""COMPUTED_VALUE"""),0.0866990360242268)</f>
        <v>8.6699036024226794E-2</v>
      </c>
    </row>
    <row r="94" spans="2:36" ht="15.75" customHeight="1" x14ac:dyDescent="0.45">
      <c r="B94" s="10" t="str">
        <f ca="1">IFERROR(__xludf.DUMMYFUNCTION("""COMPUTED_VALUE"""),"CinCECGTorso")</f>
        <v>CinCECGTorso</v>
      </c>
      <c r="C94" s="10" t="str">
        <f ca="1">IFERROR(__xludf.DUMMYFUNCTION("""COMPUTED_VALUE"""),"aligned_series")</f>
        <v>aligned_series</v>
      </c>
      <c r="D94" s="10">
        <f ca="1">IFERROR(__xludf.DUMMYFUNCTION("""COMPUTED_VALUE"""),0.4)</f>
        <v>0.4</v>
      </c>
      <c r="E94" s="17">
        <f ca="1">IFERROR(__xludf.DUMMYFUNCTION("""COMPUTED_VALUE"""),0.168895188687462)</f>
        <v>0.16889518868746201</v>
      </c>
      <c r="F94" s="17">
        <f ca="1">IFERROR(__xludf.DUMMYFUNCTION("""COMPUTED_VALUE"""),0.280255407619902)</f>
        <v>0.28025540761990198</v>
      </c>
      <c r="G94" s="17">
        <f ca="1">IFERROR(__xludf.DUMMYFUNCTION("""COMPUTED_VALUE"""),0.292739261223361)</f>
        <v>0.29273926122336102</v>
      </c>
      <c r="H94" s="17">
        <f ca="1">IFERROR(__xludf.DUMMYFUNCTION("""COMPUTED_VALUE"""),0.294046352887865)</f>
        <v>0.29404635288786501</v>
      </c>
      <c r="I94" s="17">
        <f ca="1">IFERROR(__xludf.DUMMYFUNCTION("""COMPUTED_VALUE"""),0.130530565687146)</f>
        <v>0.13053056568714599</v>
      </c>
      <c r="J94" s="17">
        <f ca="1">IFERROR(__xludf.DUMMYFUNCTION("""COMPUTED_VALUE"""),0.172055199813384)</f>
        <v>0.17205519981338399</v>
      </c>
      <c r="K94" s="17" t="str">
        <f ca="1">IFERROR(__xludf.DUMMYFUNCTION("""COMPUTED_VALUE"""),"nan")</f>
        <v>nan</v>
      </c>
      <c r="L94" s="17">
        <f ca="1">IFERROR(__xludf.DUMMYFUNCTION("""COMPUTED_VALUE"""),0.433106605803972)</f>
        <v>0.43310660580397198</v>
      </c>
      <c r="M94" s="17">
        <f ca="1">IFERROR(__xludf.DUMMYFUNCTION("""COMPUTED_VALUE"""),0.319075485861426)</f>
        <v>0.31907548586142598</v>
      </c>
      <c r="N94" s="17">
        <f ca="1">IFERROR(__xludf.DUMMYFUNCTION("""COMPUTED_VALUE"""),0.22823754486923)</f>
        <v>0.22823754486923001</v>
      </c>
      <c r="O94" s="17">
        <f ca="1">IFERROR(__xludf.DUMMYFUNCTION("""COMPUTED_VALUE"""),0.299060944596297)</f>
        <v>0.29906094459629701</v>
      </c>
      <c r="P94" s="17">
        <f ca="1">IFERROR(__xludf.DUMMYFUNCTION("""COMPUTED_VALUE"""),0.716460099287154)</f>
        <v>0.71646009928715404</v>
      </c>
      <c r="Q94" s="17">
        <f ca="1">IFERROR(__xludf.DUMMYFUNCTION("""COMPUTED_VALUE"""),0.365949864063488)</f>
        <v>0.36594986406348801</v>
      </c>
      <c r="R94" s="17">
        <f ca="1">IFERROR(__xludf.DUMMYFUNCTION("""COMPUTED_VALUE"""),0.194802571242891)</f>
        <v>0.19480257124289099</v>
      </c>
      <c r="S94" s="17">
        <f ca="1">IFERROR(__xludf.DUMMYFUNCTION("""COMPUTED_VALUE"""),0.127921849940945)</f>
        <v>0.12792184994094499</v>
      </c>
      <c r="T94" s="17">
        <f ca="1">IFERROR(__xludf.DUMMYFUNCTION("""COMPUTED_VALUE"""),0.212959188031098)</f>
        <v>0.21295918803109801</v>
      </c>
      <c r="U94" s="17">
        <f ca="1">IFERROR(__xludf.DUMMYFUNCTION("""COMPUTED_VALUE"""),0.494207967566743)</f>
        <v>0.49420796756674301</v>
      </c>
      <c r="V94" s="17">
        <f ca="1">IFERROR(__xludf.DUMMYFUNCTION("""COMPUTED_VALUE"""),0.0914466249846357)</f>
        <v>9.1446624984635697E-2</v>
      </c>
      <c r="W94" s="17">
        <f ca="1">IFERROR(__xludf.DUMMYFUNCTION("""COMPUTED_VALUE"""),0.147528634178792)</f>
        <v>0.147528634178792</v>
      </c>
      <c r="X94" s="17">
        <f ca="1">IFERROR(__xludf.DUMMYFUNCTION("""COMPUTED_VALUE"""),0.165817396097505)</f>
        <v>0.16581739609750501</v>
      </c>
      <c r="Y94" s="17">
        <f ca="1">IFERROR(__xludf.DUMMYFUNCTION("""COMPUTED_VALUE"""),0.12851726273371)</f>
        <v>0.12851726273371</v>
      </c>
      <c r="Z94" s="17">
        <f ca="1">IFERROR(__xludf.DUMMYFUNCTION("""COMPUTED_VALUE"""),0.115612127592676)</f>
        <v>0.115612127592676</v>
      </c>
      <c r="AA94" s="17">
        <f ca="1">IFERROR(__xludf.DUMMYFUNCTION("""COMPUTED_VALUE"""),0.140150911136651)</f>
        <v>0.14015091113665101</v>
      </c>
      <c r="AB94" s="17">
        <f ca="1">IFERROR(__xludf.DUMMYFUNCTION("""COMPUTED_VALUE"""),1.1465937721639)</f>
        <v>1.1465937721638999</v>
      </c>
      <c r="AC94" s="17">
        <f ca="1">IFERROR(__xludf.DUMMYFUNCTION("""COMPUTED_VALUE"""),0.170750023047554)</f>
        <v>0.17075002304755399</v>
      </c>
      <c r="AD94" s="17">
        <f ca="1">IFERROR(__xludf.DUMMYFUNCTION("""COMPUTED_VALUE"""),0.128618939883924)</f>
        <v>0.12861893988392401</v>
      </c>
      <c r="AE94" s="17">
        <f ca="1">IFERROR(__xludf.DUMMYFUNCTION("""COMPUTED_VALUE"""),0.553949710005453)</f>
        <v>0.55394971000545301</v>
      </c>
      <c r="AF94" s="17">
        <f ca="1">IFERROR(__xludf.DUMMYFUNCTION("""COMPUTED_VALUE"""),0.15571537694681)</f>
        <v>0.15571537694681001</v>
      </c>
      <c r="AG94" s="17">
        <f ca="1">IFERROR(__xludf.DUMMYFUNCTION("""COMPUTED_VALUE"""),0.109016114864263)</f>
        <v>0.10901611486426301</v>
      </c>
      <c r="AH94" s="17">
        <f ca="1">IFERROR(__xludf.DUMMYFUNCTION("""COMPUTED_VALUE"""),0.0951273190948671)</f>
        <v>9.5127319094867102E-2</v>
      </c>
      <c r="AI94" s="17">
        <f ca="1">IFERROR(__xludf.DUMMYFUNCTION("""COMPUTED_VALUE"""),0.104706909545975)</f>
        <v>0.104706909545975</v>
      </c>
      <c r="AJ94" s="17">
        <f ca="1">IFERROR(__xludf.DUMMYFUNCTION("""COMPUTED_VALUE"""),0.0994913337894195)</f>
        <v>9.9491333789419503E-2</v>
      </c>
    </row>
    <row r="95" spans="2:36" ht="15.75" customHeight="1" x14ac:dyDescent="0.45">
      <c r="B95" s="10" t="str">
        <f ca="1">IFERROR(__xludf.DUMMYFUNCTION("""COMPUTED_VALUE"""),"CinCECGTorso")</f>
        <v>CinCECGTorso</v>
      </c>
      <c r="C95" s="10" t="str">
        <f ca="1">IFERROR(__xludf.DUMMYFUNCTION("""COMPUTED_VALUE"""),"aligned_series")</f>
        <v>aligned_series</v>
      </c>
      <c r="D95" s="10">
        <f ca="1">IFERROR(__xludf.DUMMYFUNCTION("""COMPUTED_VALUE"""),0.6)</f>
        <v>0.6</v>
      </c>
      <c r="E95" s="17">
        <f ca="1">IFERROR(__xludf.DUMMYFUNCTION("""COMPUTED_VALUE"""),0.187973145420371)</f>
        <v>0.187973145420371</v>
      </c>
      <c r="F95" s="17">
        <f ca="1">IFERROR(__xludf.DUMMYFUNCTION("""COMPUTED_VALUE"""),0.306706668223185)</f>
        <v>0.30670666822318499</v>
      </c>
      <c r="G95" s="17">
        <f ca="1">IFERROR(__xludf.DUMMYFUNCTION("""COMPUTED_VALUE"""),0.394719625926994)</f>
        <v>0.394719625926994</v>
      </c>
      <c r="H95" s="17">
        <f ca="1">IFERROR(__xludf.DUMMYFUNCTION("""COMPUTED_VALUE"""),0.870710591237417)</f>
        <v>0.87071059123741701</v>
      </c>
      <c r="I95" s="17">
        <f ca="1">IFERROR(__xludf.DUMMYFUNCTION("""COMPUTED_VALUE"""),0.170214589867329)</f>
        <v>0.17021458986732901</v>
      </c>
      <c r="J95" s="17">
        <f ca="1">IFERROR(__xludf.DUMMYFUNCTION("""COMPUTED_VALUE"""),0.167115976714992)</f>
        <v>0.16711597671499201</v>
      </c>
      <c r="K95" s="17" t="str">
        <f ca="1">IFERROR(__xludf.DUMMYFUNCTION("""COMPUTED_VALUE"""),"nan")</f>
        <v>nan</v>
      </c>
      <c r="L95" s="17">
        <f ca="1">IFERROR(__xludf.DUMMYFUNCTION("""COMPUTED_VALUE"""),0.517937249693081)</f>
        <v>0.51793724969308097</v>
      </c>
      <c r="M95" s="17">
        <f ca="1">IFERROR(__xludf.DUMMYFUNCTION("""COMPUTED_VALUE"""),0.313440498521219)</f>
        <v>0.31344049852121902</v>
      </c>
      <c r="N95" s="17">
        <f ca="1">IFERROR(__xludf.DUMMYFUNCTION("""COMPUTED_VALUE"""),0.315219552383112)</f>
        <v>0.315219552383112</v>
      </c>
      <c r="O95" s="17">
        <f ca="1">IFERROR(__xludf.DUMMYFUNCTION("""COMPUTED_VALUE"""),0.307951765471816)</f>
        <v>0.30795176547181602</v>
      </c>
      <c r="P95" s="17">
        <f ca="1">IFERROR(__xludf.DUMMYFUNCTION("""COMPUTED_VALUE"""),0.667449519868127)</f>
        <v>0.66744951986812695</v>
      </c>
      <c r="Q95" s="17">
        <f ca="1">IFERROR(__xludf.DUMMYFUNCTION("""COMPUTED_VALUE"""),0.323267745265093)</f>
        <v>0.323267745265093</v>
      </c>
      <c r="R95" s="17">
        <f ca="1">IFERROR(__xludf.DUMMYFUNCTION("""COMPUTED_VALUE"""),0.196591724917667)</f>
        <v>0.19659172491766699</v>
      </c>
      <c r="S95" s="17">
        <f ca="1">IFERROR(__xludf.DUMMYFUNCTION("""COMPUTED_VALUE"""),0.124278738483337)</f>
        <v>0.124278738483337</v>
      </c>
      <c r="T95" s="17">
        <f ca="1">IFERROR(__xludf.DUMMYFUNCTION("""COMPUTED_VALUE"""),0.248646190972664)</f>
        <v>0.24864619097266399</v>
      </c>
      <c r="U95" s="17">
        <f ca="1">IFERROR(__xludf.DUMMYFUNCTION("""COMPUTED_VALUE"""),0.326100620879036)</f>
        <v>0.32610062087903602</v>
      </c>
      <c r="V95" s="17">
        <f ca="1">IFERROR(__xludf.DUMMYFUNCTION("""COMPUTED_VALUE"""),0.0929569687412513)</f>
        <v>9.2956968741251297E-2</v>
      </c>
      <c r="W95" s="17">
        <f ca="1">IFERROR(__xludf.DUMMYFUNCTION("""COMPUTED_VALUE"""),0.173122555833755)</f>
        <v>0.17312255583375499</v>
      </c>
      <c r="X95" s="17">
        <f ca="1">IFERROR(__xludf.DUMMYFUNCTION("""COMPUTED_VALUE"""),0.176762720826167)</f>
        <v>0.17676272082616701</v>
      </c>
      <c r="Y95" s="17">
        <f ca="1">IFERROR(__xludf.DUMMYFUNCTION("""COMPUTED_VALUE"""),0.117914836863237)</f>
        <v>0.117914836863237</v>
      </c>
      <c r="Z95" s="17">
        <f ca="1">IFERROR(__xludf.DUMMYFUNCTION("""COMPUTED_VALUE"""),0.117687968466415)</f>
        <v>0.11768796846641499</v>
      </c>
      <c r="AA95" s="17">
        <f ca="1">IFERROR(__xludf.DUMMYFUNCTION("""COMPUTED_VALUE"""),0.1469542314256)</f>
        <v>0.14695423142559999</v>
      </c>
      <c r="AB95" s="17">
        <f ca="1">IFERROR(__xludf.DUMMYFUNCTION("""COMPUTED_VALUE"""),2.41936527449239)</f>
        <v>2.4193652744923901</v>
      </c>
      <c r="AC95" s="17">
        <f ca="1">IFERROR(__xludf.DUMMYFUNCTION("""COMPUTED_VALUE"""),0.1746710995071)</f>
        <v>0.1746710995071</v>
      </c>
      <c r="AD95" s="17">
        <f ca="1">IFERROR(__xludf.DUMMYFUNCTION("""COMPUTED_VALUE"""),0.134634256273115)</f>
        <v>0.13463425627311501</v>
      </c>
      <c r="AE95" s="17">
        <f ca="1">IFERROR(__xludf.DUMMYFUNCTION("""COMPUTED_VALUE"""),0.545831972343268)</f>
        <v>0.54583197234326797</v>
      </c>
      <c r="AF95" s="17">
        <f ca="1">IFERROR(__xludf.DUMMYFUNCTION("""COMPUTED_VALUE"""),0.136000238776436)</f>
        <v>0.13600023877643599</v>
      </c>
      <c r="AG95" s="17">
        <f ca="1">IFERROR(__xludf.DUMMYFUNCTION("""COMPUTED_VALUE"""),0.0955396242703476)</f>
        <v>9.5539624270347595E-2</v>
      </c>
      <c r="AH95" s="17">
        <f ca="1">IFERROR(__xludf.DUMMYFUNCTION("""COMPUTED_VALUE"""),0.0913616770908086)</f>
        <v>9.1361677090808599E-2</v>
      </c>
      <c r="AI95" s="17">
        <f ca="1">IFERROR(__xludf.DUMMYFUNCTION("""COMPUTED_VALUE"""),0.09862564520624)</f>
        <v>9.8625645206239995E-2</v>
      </c>
      <c r="AJ95" s="17">
        <f ca="1">IFERROR(__xludf.DUMMYFUNCTION("""COMPUTED_VALUE"""),0.0955521971022087)</f>
        <v>9.5552197102208705E-2</v>
      </c>
    </row>
    <row r="96" spans="2:36" ht="15.75" customHeight="1" x14ac:dyDescent="0.45">
      <c r="B96" s="10" t="str">
        <f ca="1">IFERROR(__xludf.DUMMYFUNCTION("""COMPUTED_VALUE"""),"CinCECGTorso")</f>
        <v>CinCECGTorso</v>
      </c>
      <c r="C96" s="10" t="str">
        <f ca="1">IFERROR(__xludf.DUMMYFUNCTION("""COMPUTED_VALUE"""),"aligned_series")</f>
        <v>aligned_series</v>
      </c>
      <c r="D96" s="10">
        <f ca="1">IFERROR(__xludf.DUMMYFUNCTION("""COMPUTED_VALUE"""),0.8)</f>
        <v>0.8</v>
      </c>
      <c r="E96" s="17">
        <f ca="1">IFERROR(__xludf.DUMMYFUNCTION("""COMPUTED_VALUE"""),0.238242298425453)</f>
        <v>0.238242298425453</v>
      </c>
      <c r="F96" s="17">
        <f ca="1">IFERROR(__xludf.DUMMYFUNCTION("""COMPUTED_VALUE"""),0.264435316064114)</f>
        <v>0.26443531606411402</v>
      </c>
      <c r="G96" s="17">
        <f ca="1">IFERROR(__xludf.DUMMYFUNCTION("""COMPUTED_VALUE"""),0.283083834093744)</f>
        <v>0.28308383409374399</v>
      </c>
      <c r="H96" s="17">
        <f ca="1">IFERROR(__xludf.DUMMYFUNCTION("""COMPUTED_VALUE"""),0.970690111331526)</f>
        <v>0.97069011133152605</v>
      </c>
      <c r="I96" s="17">
        <f ca="1">IFERROR(__xludf.DUMMYFUNCTION("""COMPUTED_VALUE"""),0.215245077838782)</f>
        <v>0.215245077838782</v>
      </c>
      <c r="J96" s="17">
        <f ca="1">IFERROR(__xludf.DUMMYFUNCTION("""COMPUTED_VALUE"""),0.151101276718782)</f>
        <v>0.15110127671878201</v>
      </c>
      <c r="K96" s="17" t="str">
        <f ca="1">IFERROR(__xludf.DUMMYFUNCTION("""COMPUTED_VALUE"""),"nan")</f>
        <v>nan</v>
      </c>
      <c r="L96" s="17">
        <f ca="1">IFERROR(__xludf.DUMMYFUNCTION("""COMPUTED_VALUE"""),0.659054982415753)</f>
        <v>0.659054982415753</v>
      </c>
      <c r="M96" s="17">
        <f ca="1">IFERROR(__xludf.DUMMYFUNCTION("""COMPUTED_VALUE"""),0.369047924440176)</f>
        <v>0.36904792444017598</v>
      </c>
      <c r="N96" s="17">
        <f ca="1">IFERROR(__xludf.DUMMYFUNCTION("""COMPUTED_VALUE"""),0.312112750175887)</f>
        <v>0.31211275017588702</v>
      </c>
      <c r="O96" s="17">
        <f ca="1">IFERROR(__xludf.DUMMYFUNCTION("""COMPUTED_VALUE"""),0.281522517508483)</f>
        <v>0.28152251750848301</v>
      </c>
      <c r="P96" s="17">
        <f ca="1">IFERROR(__xludf.DUMMYFUNCTION("""COMPUTED_VALUE"""),0.836999208215961)</f>
        <v>0.83699920821596097</v>
      </c>
      <c r="Q96" s="17">
        <f ca="1">IFERROR(__xludf.DUMMYFUNCTION("""COMPUTED_VALUE"""),0.312856830825758)</f>
        <v>0.31285683082575799</v>
      </c>
      <c r="R96" s="17">
        <f ca="1">IFERROR(__xludf.DUMMYFUNCTION("""COMPUTED_VALUE"""),0.286256969203652)</f>
        <v>0.28625696920365201</v>
      </c>
      <c r="S96" s="17">
        <f ca="1">IFERROR(__xludf.DUMMYFUNCTION("""COMPUTED_VALUE"""),0.18856172686911)</f>
        <v>0.18856172686910999</v>
      </c>
      <c r="T96" s="17">
        <f ca="1">IFERROR(__xludf.DUMMYFUNCTION("""COMPUTED_VALUE"""),0.264698172198259)</f>
        <v>0.26469817219825897</v>
      </c>
      <c r="U96" s="17">
        <f ca="1">IFERROR(__xludf.DUMMYFUNCTION("""COMPUTED_VALUE"""),0.34726101241777)</f>
        <v>0.34726101241777002</v>
      </c>
      <c r="V96" s="17">
        <f ca="1">IFERROR(__xludf.DUMMYFUNCTION("""COMPUTED_VALUE"""),0.112331643943026)</f>
        <v>0.112331643943026</v>
      </c>
      <c r="W96" s="17">
        <f ca="1">IFERROR(__xludf.DUMMYFUNCTION("""COMPUTED_VALUE"""),0.191309273299666)</f>
        <v>0.19130927329966599</v>
      </c>
      <c r="X96" s="17">
        <f ca="1">IFERROR(__xludf.DUMMYFUNCTION("""COMPUTED_VALUE"""),0.171116558321825)</f>
        <v>0.17111655832182501</v>
      </c>
      <c r="Y96" s="17">
        <f ca="1">IFERROR(__xludf.DUMMYFUNCTION("""COMPUTED_VALUE"""),0.100144674355849)</f>
        <v>0.10014467435584901</v>
      </c>
      <c r="Z96" s="17">
        <f ca="1">IFERROR(__xludf.DUMMYFUNCTION("""COMPUTED_VALUE"""),0.120594607437167)</f>
        <v>0.120594607437167</v>
      </c>
      <c r="AA96" s="17">
        <f ca="1">IFERROR(__xludf.DUMMYFUNCTION("""COMPUTED_VALUE"""),0.168639592700575)</f>
        <v>0.16863959270057499</v>
      </c>
      <c r="AB96" s="17">
        <f ca="1">IFERROR(__xludf.DUMMYFUNCTION("""COMPUTED_VALUE"""),4.00478137992138)</f>
        <v>4.0047813799213801</v>
      </c>
      <c r="AC96" s="17">
        <f ca="1">IFERROR(__xludf.DUMMYFUNCTION("""COMPUTED_VALUE"""),0.201448948054912)</f>
        <v>0.20144894805491201</v>
      </c>
      <c r="AD96" s="17">
        <f ca="1">IFERROR(__xludf.DUMMYFUNCTION("""COMPUTED_VALUE"""),0.178303578541826)</f>
        <v>0.17830357854182599</v>
      </c>
      <c r="AE96" s="17">
        <f ca="1">IFERROR(__xludf.DUMMYFUNCTION("""COMPUTED_VALUE"""),0.5854003442241)</f>
        <v>0.58540034422410003</v>
      </c>
      <c r="AF96" s="17">
        <f ca="1">IFERROR(__xludf.DUMMYFUNCTION("""COMPUTED_VALUE"""),0.18471594742517)</f>
        <v>0.18471594742517</v>
      </c>
      <c r="AG96" s="17">
        <f ca="1">IFERROR(__xludf.DUMMYFUNCTION("""COMPUTED_VALUE"""),0.0971828862129082)</f>
        <v>9.7182886212908201E-2</v>
      </c>
      <c r="AH96" s="17">
        <f ca="1">IFERROR(__xludf.DUMMYFUNCTION("""COMPUTED_VALUE"""),0.089064206715778)</f>
        <v>8.9064206715777999E-2</v>
      </c>
      <c r="AI96" s="17">
        <f ca="1">IFERROR(__xludf.DUMMYFUNCTION("""COMPUTED_VALUE"""),0.096248987320662)</f>
        <v>9.6248987320662005E-2</v>
      </c>
      <c r="AJ96" s="17">
        <f ca="1">IFERROR(__xludf.DUMMYFUNCTION("""COMPUTED_VALUE"""),0.0916405748108105)</f>
        <v>9.1640574810810504E-2</v>
      </c>
    </row>
    <row r="97" spans="2:36" ht="15.75" customHeight="1" x14ac:dyDescent="0.45">
      <c r="B97" s="10" t="str">
        <f ca="1">IFERROR(__xludf.DUMMYFUNCTION("""COMPUTED_VALUE"""),"CinCECGTorso")</f>
        <v>CinCECGTorso</v>
      </c>
      <c r="C97" s="10" t="str">
        <f ca="1">IFERROR(__xludf.DUMMYFUNCTION("""COMPUTED_VALUE"""),"aligned_timestamps")</f>
        <v>aligned_timestamps</v>
      </c>
      <c r="D97" s="10">
        <f ca="1">IFERROR(__xludf.DUMMYFUNCTION("""COMPUTED_VALUE"""),0.1)</f>
        <v>0.1</v>
      </c>
      <c r="E97" s="17">
        <f ca="1">IFERROR(__xludf.DUMMYFUNCTION("""COMPUTED_VALUE"""),0.18421025734605)</f>
        <v>0.18421025734605001</v>
      </c>
      <c r="F97" s="17">
        <f ca="1">IFERROR(__xludf.DUMMYFUNCTION("""COMPUTED_VALUE"""),0.269322722889393)</f>
        <v>0.26932272288939302</v>
      </c>
      <c r="G97" s="17">
        <f ca="1">IFERROR(__xludf.DUMMYFUNCTION("""COMPUTED_VALUE"""),0.274305429402446)</f>
        <v>0.27430542940244601</v>
      </c>
      <c r="H97" s="17">
        <f ca="1">IFERROR(__xludf.DUMMYFUNCTION("""COMPUTED_VALUE"""),0.238004388994342)</f>
        <v>0.23800438899434201</v>
      </c>
      <c r="I97" s="17">
        <f ca="1">IFERROR(__xludf.DUMMYFUNCTION("""COMPUTED_VALUE"""),0.171286856023778)</f>
        <v>0.17128685602377799</v>
      </c>
      <c r="J97" s="17">
        <f ca="1">IFERROR(__xludf.DUMMYFUNCTION("""COMPUTED_VALUE"""),0.228031415350757)</f>
        <v>0.22803141535075699</v>
      </c>
      <c r="K97" s="17" t="str">
        <f ca="1">IFERROR(__xludf.DUMMYFUNCTION("""COMPUTED_VALUE"""),"nan")</f>
        <v>nan</v>
      </c>
      <c r="L97" s="17">
        <f ca="1">IFERROR(__xludf.DUMMYFUNCTION("""COMPUTED_VALUE"""),0.437941245717564)</f>
        <v>0.43794124571756399</v>
      </c>
      <c r="M97" s="17">
        <f ca="1">IFERROR(__xludf.DUMMYFUNCTION("""COMPUTED_VALUE"""),0.249157967077813)</f>
        <v>0.24915796707781299</v>
      </c>
      <c r="N97" s="17">
        <f ca="1">IFERROR(__xludf.DUMMYFUNCTION("""COMPUTED_VALUE"""),0.220345886956296)</f>
        <v>0.22034588695629601</v>
      </c>
      <c r="O97" s="17">
        <f ca="1">IFERROR(__xludf.DUMMYFUNCTION("""COMPUTED_VALUE"""),0.341489654670124)</f>
        <v>0.34148965467012399</v>
      </c>
      <c r="P97" s="17">
        <f ca="1">IFERROR(__xludf.DUMMYFUNCTION("""COMPUTED_VALUE"""),0.640040747737902)</f>
        <v>0.64004074773790198</v>
      </c>
      <c r="Q97" s="17">
        <f ca="1">IFERROR(__xludf.DUMMYFUNCTION("""COMPUTED_VALUE"""),0.343161663362896)</f>
        <v>0.343161663362896</v>
      </c>
      <c r="R97" s="17">
        <f ca="1">IFERROR(__xludf.DUMMYFUNCTION("""COMPUTED_VALUE"""),0.228264988921559)</f>
        <v>0.228264988921559</v>
      </c>
      <c r="S97" s="17">
        <f ca="1">IFERROR(__xludf.DUMMYFUNCTION("""COMPUTED_VALUE"""),0.127941996774509)</f>
        <v>0.12794199677450899</v>
      </c>
      <c r="T97" s="17">
        <f ca="1">IFERROR(__xludf.DUMMYFUNCTION("""COMPUTED_VALUE"""),0.283534271238766)</f>
        <v>0.28353427123876601</v>
      </c>
      <c r="U97" s="17">
        <f ca="1">IFERROR(__xludf.DUMMYFUNCTION("""COMPUTED_VALUE"""),0.289639769325224)</f>
        <v>0.28963976932522401</v>
      </c>
      <c r="V97" s="17">
        <f ca="1">IFERROR(__xludf.DUMMYFUNCTION("""COMPUTED_VALUE"""),0.0885647979289111)</f>
        <v>8.8564797928911101E-2</v>
      </c>
      <c r="W97" s="17">
        <f ca="1">IFERROR(__xludf.DUMMYFUNCTION("""COMPUTED_VALUE"""),0.126588815922793)</f>
        <v>0.126588815922793</v>
      </c>
      <c r="X97" s="17">
        <f ca="1">IFERROR(__xludf.DUMMYFUNCTION("""COMPUTED_VALUE"""),0.192360658691913)</f>
        <v>0.19236065869191299</v>
      </c>
      <c r="Y97" s="17">
        <f ca="1">IFERROR(__xludf.DUMMYFUNCTION("""COMPUTED_VALUE"""),0.132199558278204)</f>
        <v>0.13219955827820401</v>
      </c>
      <c r="Z97" s="17">
        <f ca="1">IFERROR(__xludf.DUMMYFUNCTION("""COMPUTED_VALUE"""),0.116292454159157)</f>
        <v>0.116292454159157</v>
      </c>
      <c r="AA97" s="17">
        <f ca="1">IFERROR(__xludf.DUMMYFUNCTION("""COMPUTED_VALUE"""),0.169742208844403)</f>
        <v>0.169742208844403</v>
      </c>
      <c r="AB97" s="17">
        <f ca="1">IFERROR(__xludf.DUMMYFUNCTION("""COMPUTED_VALUE"""),0.321872642432474)</f>
        <v>0.32187264243247399</v>
      </c>
      <c r="AC97" s="17">
        <f ca="1">IFERROR(__xludf.DUMMYFUNCTION("""COMPUTED_VALUE"""),0.137352845547545)</f>
        <v>0.13735284554754501</v>
      </c>
      <c r="AD97" s="17">
        <f ca="1">IFERROR(__xludf.DUMMYFUNCTION("""COMPUTED_VALUE"""),0.131312887258842)</f>
        <v>0.13131288725884199</v>
      </c>
      <c r="AE97" s="17">
        <f ca="1">IFERROR(__xludf.DUMMYFUNCTION("""COMPUTED_VALUE"""),0.714420441338555)</f>
        <v>0.71442044133855498</v>
      </c>
      <c r="AF97" s="17">
        <f ca="1">IFERROR(__xludf.DUMMYFUNCTION("""COMPUTED_VALUE"""),0.0965388430622355)</f>
        <v>9.6538843062235494E-2</v>
      </c>
      <c r="AG97" s="17">
        <f ca="1">IFERROR(__xludf.DUMMYFUNCTION("""COMPUTED_VALUE"""),0.0541729767542753)</f>
        <v>5.41729767542753E-2</v>
      </c>
      <c r="AH97" s="17">
        <f ca="1">IFERROR(__xludf.DUMMYFUNCTION("""COMPUTED_VALUE"""),0.0478811325926835)</f>
        <v>4.7881132592683499E-2</v>
      </c>
      <c r="AI97" s="17">
        <f ca="1">IFERROR(__xludf.DUMMYFUNCTION("""COMPUTED_VALUE"""),0.0507298252327815)</f>
        <v>5.0729825232781502E-2</v>
      </c>
      <c r="AJ97" s="17">
        <f ca="1">IFERROR(__xludf.DUMMYFUNCTION("""COMPUTED_VALUE"""),0.0529198575266615)</f>
        <v>5.29198575266615E-2</v>
      </c>
    </row>
    <row r="98" spans="2:36" ht="15.75" customHeight="1" x14ac:dyDescent="0.45">
      <c r="B98" s="10" t="str">
        <f ca="1">IFERROR(__xludf.DUMMYFUNCTION("""COMPUTED_VALUE"""),"CinCECGTorso")</f>
        <v>CinCECGTorso</v>
      </c>
      <c r="C98" s="10" t="str">
        <f ca="1">IFERROR(__xludf.DUMMYFUNCTION("""COMPUTED_VALUE"""),"aligned_timestamps")</f>
        <v>aligned_timestamps</v>
      </c>
      <c r="D98" s="10">
        <f ca="1">IFERROR(__xludf.DUMMYFUNCTION("""COMPUTED_VALUE"""),0.2)</f>
        <v>0.2</v>
      </c>
      <c r="E98" s="17">
        <f ca="1">IFERROR(__xludf.DUMMYFUNCTION("""COMPUTED_VALUE"""),0.154946305563398)</f>
        <v>0.154946305563398</v>
      </c>
      <c r="F98" s="17">
        <f ca="1">IFERROR(__xludf.DUMMYFUNCTION("""COMPUTED_VALUE"""),0.221534141059791)</f>
        <v>0.221534141059791</v>
      </c>
      <c r="G98" s="17">
        <f ca="1">IFERROR(__xludf.DUMMYFUNCTION("""COMPUTED_VALUE"""),0.226163786485282)</f>
        <v>0.22616378648528199</v>
      </c>
      <c r="H98" s="17">
        <f ca="1">IFERROR(__xludf.DUMMYFUNCTION("""COMPUTED_VALUE"""),0.213599065071213)</f>
        <v>0.21359906507121301</v>
      </c>
      <c r="I98" s="17">
        <f ca="1">IFERROR(__xludf.DUMMYFUNCTION("""COMPUTED_VALUE"""),0.148328104874221)</f>
        <v>0.14832810487422099</v>
      </c>
      <c r="J98" s="17">
        <f ca="1">IFERROR(__xludf.DUMMYFUNCTION("""COMPUTED_VALUE"""),0.22336240068522)</f>
        <v>0.22336240068522001</v>
      </c>
      <c r="K98" s="17" t="str">
        <f ca="1">IFERROR(__xludf.DUMMYFUNCTION("""COMPUTED_VALUE"""),"nan")</f>
        <v>nan</v>
      </c>
      <c r="L98" s="17">
        <f ca="1">IFERROR(__xludf.DUMMYFUNCTION("""COMPUTED_VALUE"""),0.399494175914421)</f>
        <v>0.39949417591442099</v>
      </c>
      <c r="M98" s="17">
        <f ca="1">IFERROR(__xludf.DUMMYFUNCTION("""COMPUTED_VALUE"""),0.226023370485322)</f>
        <v>0.22602337048532201</v>
      </c>
      <c r="N98" s="17">
        <f ca="1">IFERROR(__xludf.DUMMYFUNCTION("""COMPUTED_VALUE"""),0.205862934165656)</f>
        <v>0.20586293416565599</v>
      </c>
      <c r="O98" s="17">
        <f ca="1">IFERROR(__xludf.DUMMYFUNCTION("""COMPUTED_VALUE"""),0.295940700314687)</f>
        <v>0.295940700314687</v>
      </c>
      <c r="P98" s="17">
        <f ca="1">IFERROR(__xludf.DUMMYFUNCTION("""COMPUTED_VALUE"""),0.662170307739296)</f>
        <v>0.66217030773929597</v>
      </c>
      <c r="Q98" s="17">
        <f ca="1">IFERROR(__xludf.DUMMYFUNCTION("""COMPUTED_VALUE"""),0.32241595757031)</f>
        <v>0.32241595757031</v>
      </c>
      <c r="R98" s="17">
        <f ca="1">IFERROR(__xludf.DUMMYFUNCTION("""COMPUTED_VALUE"""),0.215908123160014)</f>
        <v>0.21590812316001401</v>
      </c>
      <c r="S98" s="17">
        <f ca="1">IFERROR(__xludf.DUMMYFUNCTION("""COMPUTED_VALUE"""),0.115266227223111)</f>
        <v>0.115266227223111</v>
      </c>
      <c r="T98" s="17">
        <f ca="1">IFERROR(__xludf.DUMMYFUNCTION("""COMPUTED_VALUE"""),0.232544426896557)</f>
        <v>0.23254442689655699</v>
      </c>
      <c r="U98" s="17">
        <f ca="1">IFERROR(__xludf.DUMMYFUNCTION("""COMPUTED_VALUE"""),0.409439375841685)</f>
        <v>0.40943937584168499</v>
      </c>
      <c r="V98" s="17">
        <f ca="1">IFERROR(__xludf.DUMMYFUNCTION("""COMPUTED_VALUE"""),0.0974318008908231)</f>
        <v>9.7431800890823095E-2</v>
      </c>
      <c r="W98" s="17">
        <f ca="1">IFERROR(__xludf.DUMMYFUNCTION("""COMPUTED_VALUE"""),0.142121888600307)</f>
        <v>0.142121888600307</v>
      </c>
      <c r="X98" s="17">
        <f ca="1">IFERROR(__xludf.DUMMYFUNCTION("""COMPUTED_VALUE"""),0.223067454275291)</f>
        <v>0.22306745427529101</v>
      </c>
      <c r="Y98" s="17">
        <f ca="1">IFERROR(__xludf.DUMMYFUNCTION("""COMPUTED_VALUE"""),0.13453293753361)</f>
        <v>0.13453293753361001</v>
      </c>
      <c r="Z98" s="17">
        <f ca="1">IFERROR(__xludf.DUMMYFUNCTION("""COMPUTED_VALUE"""),0.100584322497156)</f>
        <v>0.100584322497156</v>
      </c>
      <c r="AA98" s="17">
        <f ca="1">IFERROR(__xludf.DUMMYFUNCTION("""COMPUTED_VALUE"""),0.163461962822003)</f>
        <v>0.16346196282200301</v>
      </c>
      <c r="AB98" s="17">
        <f ca="1">IFERROR(__xludf.DUMMYFUNCTION("""COMPUTED_VALUE"""),0.160001448872942)</f>
        <v>0.16000144887294199</v>
      </c>
      <c r="AC98" s="17">
        <f ca="1">IFERROR(__xludf.DUMMYFUNCTION("""COMPUTED_VALUE"""),0.129056690995323)</f>
        <v>0.12905669099532299</v>
      </c>
      <c r="AD98" s="17">
        <f ca="1">IFERROR(__xludf.DUMMYFUNCTION("""COMPUTED_VALUE"""),0.106563387724202)</f>
        <v>0.106563387724202</v>
      </c>
      <c r="AE98" s="17">
        <f ca="1">IFERROR(__xludf.DUMMYFUNCTION("""COMPUTED_VALUE"""),0.616810624997546)</f>
        <v>0.61681062499754602</v>
      </c>
      <c r="AF98" s="17">
        <f ca="1">IFERROR(__xludf.DUMMYFUNCTION("""COMPUTED_VALUE"""),0.185320971493526)</f>
        <v>0.185320971493526</v>
      </c>
      <c r="AG98" s="17">
        <f ca="1">IFERROR(__xludf.DUMMYFUNCTION("""COMPUTED_VALUE"""),0.0886401761736525)</f>
        <v>8.8640176173652496E-2</v>
      </c>
      <c r="AH98" s="17">
        <f ca="1">IFERROR(__xludf.DUMMYFUNCTION("""COMPUTED_VALUE"""),0.0777677151151368)</f>
        <v>7.7767715115136804E-2</v>
      </c>
      <c r="AI98" s="17">
        <f ca="1">IFERROR(__xludf.DUMMYFUNCTION("""COMPUTED_VALUE"""),0.0924004918777086)</f>
        <v>9.2400491877708602E-2</v>
      </c>
      <c r="AJ98" s="17">
        <f ca="1">IFERROR(__xludf.DUMMYFUNCTION("""COMPUTED_VALUE"""),0.0857809726419893)</f>
        <v>8.5780972641989306E-2</v>
      </c>
    </row>
    <row r="99" spans="2:36" ht="15.75" customHeight="1" x14ac:dyDescent="0.45">
      <c r="B99" s="10" t="str">
        <f ca="1">IFERROR(__xludf.DUMMYFUNCTION("""COMPUTED_VALUE"""),"CinCECGTorso")</f>
        <v>CinCECGTorso</v>
      </c>
      <c r="C99" s="10" t="str">
        <f ca="1">IFERROR(__xludf.DUMMYFUNCTION("""COMPUTED_VALUE"""),"aligned_timestamps")</f>
        <v>aligned_timestamps</v>
      </c>
      <c r="D99" s="10">
        <f ca="1">IFERROR(__xludf.DUMMYFUNCTION("""COMPUTED_VALUE"""),0.4)</f>
        <v>0.4</v>
      </c>
      <c r="E99" s="17">
        <f ca="1">IFERROR(__xludf.DUMMYFUNCTION("""COMPUTED_VALUE"""),0.237716990796612)</f>
        <v>0.23771699079661199</v>
      </c>
      <c r="F99" s="17">
        <f ca="1">IFERROR(__xludf.DUMMYFUNCTION("""COMPUTED_VALUE"""),0.259425481607802)</f>
        <v>0.25942548160780199</v>
      </c>
      <c r="G99" s="17">
        <f ca="1">IFERROR(__xludf.DUMMYFUNCTION("""COMPUTED_VALUE"""),0.261933344041064)</f>
        <v>0.261933344041064</v>
      </c>
      <c r="H99" s="17">
        <f ca="1">IFERROR(__xludf.DUMMYFUNCTION("""COMPUTED_VALUE"""),0.265642630802877)</f>
        <v>0.26564263080287698</v>
      </c>
      <c r="I99" s="17">
        <f ca="1">IFERROR(__xludf.DUMMYFUNCTION("""COMPUTED_VALUE"""),0.249757993167777)</f>
        <v>0.249757993167777</v>
      </c>
      <c r="J99" s="17">
        <f ca="1">IFERROR(__xludf.DUMMYFUNCTION("""COMPUTED_VALUE"""),0.274930342993782)</f>
        <v>0.274930342993782</v>
      </c>
      <c r="K99" s="17" t="str">
        <f ca="1">IFERROR(__xludf.DUMMYFUNCTION("""COMPUTED_VALUE"""),"nan")</f>
        <v>nan</v>
      </c>
      <c r="L99" s="17">
        <f ca="1">IFERROR(__xludf.DUMMYFUNCTION("""COMPUTED_VALUE"""),0.556235450949213)</f>
        <v>0.55623545094921301</v>
      </c>
      <c r="M99" s="17">
        <f ca="1">IFERROR(__xludf.DUMMYFUNCTION("""COMPUTED_VALUE"""),0.309711173703807)</f>
        <v>0.30971117370380702</v>
      </c>
      <c r="N99" s="17">
        <f ca="1">IFERROR(__xludf.DUMMYFUNCTION("""COMPUTED_VALUE"""),0.263772750665752)</f>
        <v>0.26377275066575201</v>
      </c>
      <c r="O99" s="17">
        <f ca="1">IFERROR(__xludf.DUMMYFUNCTION("""COMPUTED_VALUE"""),0.327763957372826)</f>
        <v>0.32776395737282599</v>
      </c>
      <c r="P99" s="17">
        <f ca="1">IFERROR(__xludf.DUMMYFUNCTION("""COMPUTED_VALUE"""),0.659477189227015)</f>
        <v>0.65947718922701504</v>
      </c>
      <c r="Q99" s="17">
        <f ca="1">IFERROR(__xludf.DUMMYFUNCTION("""COMPUTED_VALUE"""),0.359631696345996)</f>
        <v>0.35963169634599601</v>
      </c>
      <c r="R99" s="17">
        <f ca="1">IFERROR(__xludf.DUMMYFUNCTION("""COMPUTED_VALUE"""),0.418677493813838)</f>
        <v>0.41867749381383801</v>
      </c>
      <c r="S99" s="17">
        <f ca="1">IFERROR(__xludf.DUMMYFUNCTION("""COMPUTED_VALUE"""),0.244592272808672)</f>
        <v>0.24459227280867199</v>
      </c>
      <c r="T99" s="17">
        <f ca="1">IFERROR(__xludf.DUMMYFUNCTION("""COMPUTED_VALUE"""),0.350896380102257)</f>
        <v>0.35089638010225699</v>
      </c>
      <c r="U99" s="17">
        <f ca="1">IFERROR(__xludf.DUMMYFUNCTION("""COMPUTED_VALUE"""),0.620316093458248)</f>
        <v>0.62031609345824801</v>
      </c>
      <c r="V99" s="17">
        <f ca="1">IFERROR(__xludf.DUMMYFUNCTION("""COMPUTED_VALUE"""),0.262569129395823)</f>
        <v>0.262569129395823</v>
      </c>
      <c r="W99" s="17">
        <f ca="1">IFERROR(__xludf.DUMMYFUNCTION("""COMPUTED_VALUE"""),0.242552120960456)</f>
        <v>0.242552120960456</v>
      </c>
      <c r="X99" s="17">
        <f ca="1">IFERROR(__xludf.DUMMYFUNCTION("""COMPUTED_VALUE"""),0.24891842625768)</f>
        <v>0.24891842625767999</v>
      </c>
      <c r="Y99" s="17">
        <f ca="1">IFERROR(__xludf.DUMMYFUNCTION("""COMPUTED_VALUE"""),0.258104613555214)</f>
        <v>0.25810461355521402</v>
      </c>
      <c r="Z99" s="17">
        <f ca="1">IFERROR(__xludf.DUMMYFUNCTION("""COMPUTED_VALUE"""),0.256074298168121)</f>
        <v>0.256074298168121</v>
      </c>
      <c r="AA99" s="17">
        <f ca="1">IFERROR(__xludf.DUMMYFUNCTION("""COMPUTED_VALUE"""),0.21139310671999)</f>
        <v>0.21139310671999001</v>
      </c>
      <c r="AB99" s="17">
        <f ca="1">IFERROR(__xludf.DUMMYFUNCTION("""COMPUTED_VALUE"""),0.420472211566468)</f>
        <v>0.42047221156646802</v>
      </c>
      <c r="AC99" s="17">
        <f ca="1">IFERROR(__xludf.DUMMYFUNCTION("""COMPUTED_VALUE"""),0.247499105910647)</f>
        <v>0.247499105910647</v>
      </c>
      <c r="AD99" s="17">
        <f ca="1">IFERROR(__xludf.DUMMYFUNCTION("""COMPUTED_VALUE"""),0.256985839539083)</f>
        <v>0.25698583953908299</v>
      </c>
      <c r="AE99" s="17" t="str">
        <f ca="1">IFERROR(__xludf.DUMMYFUNCTION("""COMPUTED_VALUE"""),"nan")</f>
        <v>nan</v>
      </c>
      <c r="AF99" s="17">
        <f ca="1">IFERROR(__xludf.DUMMYFUNCTION("""COMPUTED_VALUE"""),0.892277851421482)</f>
        <v>0.89227785142148197</v>
      </c>
      <c r="AG99" s="17">
        <f ca="1">IFERROR(__xludf.DUMMYFUNCTION("""COMPUTED_VALUE"""),0.313911687689232)</f>
        <v>0.313911687689232</v>
      </c>
      <c r="AH99" s="17">
        <f ca="1">IFERROR(__xludf.DUMMYFUNCTION("""COMPUTED_VALUE"""),0.316837248917611)</f>
        <v>0.316837248917611</v>
      </c>
      <c r="AI99" s="17">
        <f ca="1">IFERROR(__xludf.DUMMYFUNCTION("""COMPUTED_VALUE"""),0.329389540755451)</f>
        <v>0.32938954075545102</v>
      </c>
      <c r="AJ99" s="17">
        <f ca="1">IFERROR(__xludf.DUMMYFUNCTION("""COMPUTED_VALUE"""),0.344848008242113)</f>
        <v>0.34484800824211298</v>
      </c>
    </row>
    <row r="100" spans="2:36" ht="15.75" customHeight="1" x14ac:dyDescent="0.45">
      <c r="B100" s="10" t="str">
        <f ca="1">IFERROR(__xludf.DUMMYFUNCTION("""COMPUTED_VALUE"""),"CinCECGTorso")</f>
        <v>CinCECGTorso</v>
      </c>
      <c r="C100" s="10" t="str">
        <f ca="1">IFERROR(__xludf.DUMMYFUNCTION("""COMPUTED_VALUE"""),"aligned_timestamps")</f>
        <v>aligned_timestamps</v>
      </c>
      <c r="D100" s="10">
        <f ca="1">IFERROR(__xludf.DUMMYFUNCTION("""COMPUTED_VALUE"""),0.6)</f>
        <v>0.6</v>
      </c>
      <c r="E100" s="17">
        <f ca="1">IFERROR(__xludf.DUMMYFUNCTION("""COMPUTED_VALUE"""),0.734086696157891)</f>
        <v>0.73408669615789102</v>
      </c>
      <c r="F100" s="17">
        <f ca="1">IFERROR(__xludf.DUMMYFUNCTION("""COMPUTED_VALUE"""),0.605457177720122)</f>
        <v>0.60545717772012198</v>
      </c>
      <c r="G100" s="17">
        <f ca="1">IFERROR(__xludf.DUMMYFUNCTION("""COMPUTED_VALUE"""),0.599931276759452)</f>
        <v>0.59993127675945201</v>
      </c>
      <c r="H100" s="17">
        <f ca="1">IFERROR(__xludf.DUMMYFUNCTION("""COMPUTED_VALUE"""),0.678524595025139)</f>
        <v>0.67852459502513895</v>
      </c>
      <c r="I100" s="17">
        <f ca="1">IFERROR(__xludf.DUMMYFUNCTION("""COMPUTED_VALUE"""),0.643534275139313)</f>
        <v>0.64353427513931305</v>
      </c>
      <c r="J100" s="17">
        <f ca="1">IFERROR(__xludf.DUMMYFUNCTION("""COMPUTED_VALUE"""),0.605673181466974)</f>
        <v>0.60567318146697402</v>
      </c>
      <c r="K100" s="17" t="str">
        <f ca="1">IFERROR(__xludf.DUMMYFUNCTION("""COMPUTED_VALUE"""),"nan")</f>
        <v>nan</v>
      </c>
      <c r="L100" s="17">
        <f ca="1">IFERROR(__xludf.DUMMYFUNCTION("""COMPUTED_VALUE"""),0.758421920386118)</f>
        <v>0.758421920386118</v>
      </c>
      <c r="M100" s="17">
        <f ca="1">IFERROR(__xludf.DUMMYFUNCTION("""COMPUTED_VALUE"""),0.626144432561743)</f>
        <v>0.62614443256174301</v>
      </c>
      <c r="N100" s="17">
        <f ca="1">IFERROR(__xludf.DUMMYFUNCTION("""COMPUTED_VALUE"""),0.749519299643093)</f>
        <v>0.74951929964309305</v>
      </c>
      <c r="O100" s="17">
        <f ca="1">IFERROR(__xludf.DUMMYFUNCTION("""COMPUTED_VALUE"""),0.640336068802251)</f>
        <v>0.64033606880225102</v>
      </c>
      <c r="P100" s="17">
        <f ca="1">IFERROR(__xludf.DUMMYFUNCTION("""COMPUTED_VALUE"""),1.04500874429517)</f>
        <v>1.0450087442951701</v>
      </c>
      <c r="Q100" s="17">
        <f ca="1">IFERROR(__xludf.DUMMYFUNCTION("""COMPUTED_VALUE"""),0.852409257870457)</f>
        <v>0.85240925787045696</v>
      </c>
      <c r="R100" s="17">
        <f ca="1">IFERROR(__xludf.DUMMYFUNCTION("""COMPUTED_VALUE"""),0.66626293858086)</f>
        <v>0.66626293858086005</v>
      </c>
      <c r="S100" s="17">
        <f ca="1">IFERROR(__xludf.DUMMYFUNCTION("""COMPUTED_VALUE"""),0.6039903946455)</f>
        <v>0.60399039464549997</v>
      </c>
      <c r="T100" s="17">
        <f ca="1">IFERROR(__xludf.DUMMYFUNCTION("""COMPUTED_VALUE"""),0.772755432195729)</f>
        <v>0.77275543219572895</v>
      </c>
      <c r="U100" s="17">
        <f ca="1">IFERROR(__xludf.DUMMYFUNCTION("""COMPUTED_VALUE"""),0.697666761082052)</f>
        <v>0.69766676108205194</v>
      </c>
      <c r="V100" s="17">
        <f ca="1">IFERROR(__xludf.DUMMYFUNCTION("""COMPUTED_VALUE"""),0.614781728334827)</f>
        <v>0.61478172833482703</v>
      </c>
      <c r="W100" s="17">
        <f ca="1">IFERROR(__xludf.DUMMYFUNCTION("""COMPUTED_VALUE"""),0.689953416385589)</f>
        <v>0.68995341638558905</v>
      </c>
      <c r="X100" s="17">
        <f ca="1">IFERROR(__xludf.DUMMYFUNCTION("""COMPUTED_VALUE"""),0.728021632582977)</f>
        <v>0.72802163258297703</v>
      </c>
      <c r="Y100" s="17">
        <f ca="1">IFERROR(__xludf.DUMMYFUNCTION("""COMPUTED_VALUE"""),0.726316950319912)</f>
        <v>0.72631695031991195</v>
      </c>
      <c r="Z100" s="17">
        <f ca="1">IFERROR(__xludf.DUMMYFUNCTION("""COMPUTED_VALUE"""),0.587380073814647)</f>
        <v>0.58738007381464696</v>
      </c>
      <c r="AA100" s="17">
        <f ca="1">IFERROR(__xludf.DUMMYFUNCTION("""COMPUTED_VALUE"""),1.63306374679235)</f>
        <v>1.6330637467923499</v>
      </c>
      <c r="AB100" s="17">
        <f ca="1">IFERROR(__xludf.DUMMYFUNCTION("""COMPUTED_VALUE"""),0.673686705427289)</f>
        <v>0.67368670542728903</v>
      </c>
      <c r="AC100" s="17">
        <f ca="1">IFERROR(__xludf.DUMMYFUNCTION("""COMPUTED_VALUE"""),0.649113831341246)</f>
        <v>0.64911383134124601</v>
      </c>
      <c r="AD100" s="17">
        <f ca="1">IFERROR(__xludf.DUMMYFUNCTION("""COMPUTED_VALUE"""),0.684325320940256)</f>
        <v>0.684325320940256</v>
      </c>
      <c r="AE100" s="17" t="str">
        <f ca="1">IFERROR(__xludf.DUMMYFUNCTION("""COMPUTED_VALUE"""),"nan")</f>
        <v>nan</v>
      </c>
      <c r="AF100" s="17">
        <f ca="1">IFERROR(__xludf.DUMMYFUNCTION("""COMPUTED_VALUE"""),1.0973236844686)</f>
        <v>1.0973236844686001</v>
      </c>
      <c r="AG100" s="17">
        <f ca="1">IFERROR(__xludf.DUMMYFUNCTION("""COMPUTED_VALUE"""),1.10304638518552)</f>
        <v>1.1030463851855199</v>
      </c>
      <c r="AH100" s="17">
        <f ca="1">IFERROR(__xludf.DUMMYFUNCTION("""COMPUTED_VALUE"""),0.857338585687072)</f>
        <v>0.857338585687072</v>
      </c>
      <c r="AI100" s="17">
        <f ca="1">IFERROR(__xludf.DUMMYFUNCTION("""COMPUTED_VALUE"""),0.852058272084937)</f>
        <v>0.85205827208493701</v>
      </c>
      <c r="AJ100" s="17">
        <f ca="1">IFERROR(__xludf.DUMMYFUNCTION("""COMPUTED_VALUE"""),1.30800857294195)</f>
        <v>1.3080085729419499</v>
      </c>
    </row>
    <row r="101" spans="2:36" ht="15.75" customHeight="1" x14ac:dyDescent="0.45">
      <c r="B101" s="10" t="str">
        <f ca="1">IFERROR(__xludf.DUMMYFUNCTION("""COMPUTED_VALUE"""),"CinCECGTorso")</f>
        <v>CinCECGTorso</v>
      </c>
      <c r="C101" s="10" t="str">
        <f ca="1">IFERROR(__xludf.DUMMYFUNCTION("""COMPUTED_VALUE"""),"aligned_timestamps")</f>
        <v>aligned_timestamps</v>
      </c>
      <c r="D101" s="10">
        <f ca="1">IFERROR(__xludf.DUMMYFUNCTION("""COMPUTED_VALUE"""),0.8)</f>
        <v>0.8</v>
      </c>
      <c r="E101" s="17">
        <f ca="1">IFERROR(__xludf.DUMMYFUNCTION("""COMPUTED_VALUE"""),1.07663411980177)</f>
        <v>1.0766341198017699</v>
      </c>
      <c r="F101" s="17">
        <f ca="1">IFERROR(__xludf.DUMMYFUNCTION("""COMPUTED_VALUE"""),1.04279849710995)</f>
        <v>1.04279849710995</v>
      </c>
      <c r="G101" s="17">
        <f ca="1">IFERROR(__xludf.DUMMYFUNCTION("""COMPUTED_VALUE"""),1.21900373227675)</f>
        <v>1.21900373227675</v>
      </c>
      <c r="H101" s="17">
        <f ca="1">IFERROR(__xludf.DUMMYFUNCTION("""COMPUTED_VALUE"""),1.33900816284398)</f>
        <v>1.3390081628439801</v>
      </c>
      <c r="I101" s="17">
        <f ca="1">IFERROR(__xludf.DUMMYFUNCTION("""COMPUTED_VALUE"""),1.0094688453197)</f>
        <v>1.0094688453197</v>
      </c>
      <c r="J101" s="17">
        <f ca="1">IFERROR(__xludf.DUMMYFUNCTION("""COMPUTED_VALUE"""),1.05051138371083)</f>
        <v>1.05051138371083</v>
      </c>
      <c r="K101" s="17" t="str">
        <f ca="1">IFERROR(__xludf.DUMMYFUNCTION("""COMPUTED_VALUE"""),"nan")</f>
        <v>nan</v>
      </c>
      <c r="L101" s="17">
        <f ca="1">IFERROR(__xludf.DUMMYFUNCTION("""COMPUTED_VALUE"""),1.1167819210714)</f>
        <v>1.1167819210714001</v>
      </c>
      <c r="M101" s="17">
        <f ca="1">IFERROR(__xludf.DUMMYFUNCTION("""COMPUTED_VALUE"""),1.76103272624824)</f>
        <v>1.7610327262482399</v>
      </c>
      <c r="N101" s="17">
        <f ca="1">IFERROR(__xludf.DUMMYFUNCTION("""COMPUTED_VALUE"""),1.28259190717716)</f>
        <v>1.2825919071771601</v>
      </c>
      <c r="O101" s="17">
        <f ca="1">IFERROR(__xludf.DUMMYFUNCTION("""COMPUTED_VALUE"""),1.09748476389396)</f>
        <v>1.09748476389396</v>
      </c>
      <c r="P101" s="17">
        <f ca="1">IFERROR(__xludf.DUMMYFUNCTION("""COMPUTED_VALUE"""),1.17908407334712)</f>
        <v>1.17908407334712</v>
      </c>
      <c r="Q101" s="17">
        <f ca="1">IFERROR(__xludf.DUMMYFUNCTION("""COMPUTED_VALUE"""),1.56624015529861)</f>
        <v>1.56624015529861</v>
      </c>
      <c r="R101" s="17">
        <f ca="1">IFERROR(__xludf.DUMMYFUNCTION("""COMPUTED_VALUE"""),1.19365333820164)</f>
        <v>1.1936533382016401</v>
      </c>
      <c r="S101" s="17">
        <f ca="1">IFERROR(__xludf.DUMMYFUNCTION("""COMPUTED_VALUE"""),1.07923565205828)</f>
        <v>1.07923565205828</v>
      </c>
      <c r="T101" s="17">
        <f ca="1">IFERROR(__xludf.DUMMYFUNCTION("""COMPUTED_VALUE"""),1.12934330928398)</f>
        <v>1.12934330928398</v>
      </c>
      <c r="U101" s="17">
        <f ca="1">IFERROR(__xludf.DUMMYFUNCTION("""COMPUTED_VALUE"""),1.17039079405258)</f>
        <v>1.17039079405258</v>
      </c>
      <c r="V101" s="17">
        <f ca="1">IFERROR(__xludf.DUMMYFUNCTION("""COMPUTED_VALUE"""),1.17289563435499)</f>
        <v>1.1728956343549899</v>
      </c>
      <c r="W101" s="17">
        <f ca="1">IFERROR(__xludf.DUMMYFUNCTION("""COMPUTED_VALUE"""),1.10199813101943)</f>
        <v>1.10199813101943</v>
      </c>
      <c r="X101" s="17">
        <f ca="1">IFERROR(__xludf.DUMMYFUNCTION("""COMPUTED_VALUE"""),1.21253305501941)</f>
        <v>1.21253305501941</v>
      </c>
      <c r="Y101" s="17">
        <f ca="1">IFERROR(__xludf.DUMMYFUNCTION("""COMPUTED_VALUE"""),1.16278342002743)</f>
        <v>1.1627834200274301</v>
      </c>
      <c r="Z101" s="17">
        <f ca="1">IFERROR(__xludf.DUMMYFUNCTION("""COMPUTED_VALUE"""),1.10441826046152)</f>
        <v>1.10441826046152</v>
      </c>
      <c r="AA101" s="17">
        <f ca="1">IFERROR(__xludf.DUMMYFUNCTION("""COMPUTED_VALUE"""),1.02326812003387)</f>
        <v>1.02326812003387</v>
      </c>
      <c r="AB101" s="17">
        <f ca="1">IFERROR(__xludf.DUMMYFUNCTION("""COMPUTED_VALUE"""),1.11428321806845)</f>
        <v>1.1142832180684501</v>
      </c>
      <c r="AC101" s="17">
        <f ca="1">IFERROR(__xludf.DUMMYFUNCTION("""COMPUTED_VALUE"""),1.06988259527513)</f>
        <v>1.0698825952751301</v>
      </c>
      <c r="AD101" s="17">
        <f ca="1">IFERROR(__xludf.DUMMYFUNCTION("""COMPUTED_VALUE"""),1.08668591976329)</f>
        <v>1.0866859197632901</v>
      </c>
      <c r="AE101" s="17" t="str">
        <f ca="1">IFERROR(__xludf.DUMMYFUNCTION("""COMPUTED_VALUE"""),"nan")</f>
        <v>nan</v>
      </c>
      <c r="AF101" s="17">
        <f ca="1">IFERROR(__xludf.DUMMYFUNCTION("""COMPUTED_VALUE"""),1.20569379985523)</f>
        <v>1.20569379985523</v>
      </c>
      <c r="AG101" s="17">
        <f ca="1">IFERROR(__xludf.DUMMYFUNCTION("""COMPUTED_VALUE"""),1.19250079760728)</f>
        <v>1.1925007976072799</v>
      </c>
      <c r="AH101" s="17">
        <f ca="1">IFERROR(__xludf.DUMMYFUNCTION("""COMPUTED_VALUE"""),1.20709187533612)</f>
        <v>1.2070918753361199</v>
      </c>
      <c r="AI101" s="17">
        <f ca="1">IFERROR(__xludf.DUMMYFUNCTION("""COMPUTED_VALUE"""),1.20387346343954)</f>
        <v>1.20387346343954</v>
      </c>
      <c r="AJ101" s="17">
        <f ca="1">IFERROR(__xludf.DUMMYFUNCTION("""COMPUTED_VALUE"""),1.41212764884609)</f>
        <v>1.4121276488460901</v>
      </c>
    </row>
    <row r="102" spans="2:36" ht="15.75" customHeight="1" x14ac:dyDescent="0.45">
      <c r="B102" s="10" t="str">
        <f ca="1">IFERROR(__xludf.DUMMYFUNCTION("""COMPUTED_VALUE"""),"CinCECGTorso")</f>
        <v>CinCECGTorso</v>
      </c>
      <c r="C102" s="10" t="str">
        <f ca="1">IFERROR(__xludf.DUMMYFUNCTION("""COMPUTED_VALUE"""),"mcar")</f>
        <v>mcar</v>
      </c>
      <c r="D102" s="10">
        <f ca="1">IFERROR(__xludf.DUMMYFUNCTION("""COMPUTED_VALUE"""),0.1)</f>
        <v>0.1</v>
      </c>
      <c r="E102" s="17">
        <f ca="1">IFERROR(__xludf.DUMMYFUNCTION("""COMPUTED_VALUE"""),1.01524103633456)</f>
        <v>1.0152410363345601</v>
      </c>
      <c r="F102" s="17">
        <f ca="1">IFERROR(__xludf.DUMMYFUNCTION("""COMPUTED_VALUE"""),0.797047554302689)</f>
        <v>0.79704755430268903</v>
      </c>
      <c r="G102" s="17">
        <f ca="1">IFERROR(__xludf.DUMMYFUNCTION("""COMPUTED_VALUE"""),0.856796648047452)</f>
        <v>0.85679664804745204</v>
      </c>
      <c r="H102" s="17">
        <f ca="1">IFERROR(__xludf.DUMMYFUNCTION("""COMPUTED_VALUE"""),1.00992797507901)</f>
        <v>1.00992797507901</v>
      </c>
      <c r="I102" s="17">
        <f ca="1">IFERROR(__xludf.DUMMYFUNCTION("""COMPUTED_VALUE"""),0.467300526191265)</f>
        <v>0.467300526191265</v>
      </c>
      <c r="J102" s="17">
        <f ca="1">IFERROR(__xludf.DUMMYFUNCTION("""COMPUTED_VALUE"""),0.56593821395027)</f>
        <v>0.56593821395027</v>
      </c>
      <c r="K102" s="17" t="str">
        <f ca="1">IFERROR(__xludf.DUMMYFUNCTION("""COMPUTED_VALUE"""),"nan")</f>
        <v>nan</v>
      </c>
      <c r="L102" s="17">
        <f ca="1">IFERROR(__xludf.DUMMYFUNCTION("""COMPUTED_VALUE"""),0.646233909350219)</f>
        <v>0.64623390935021896</v>
      </c>
      <c r="M102" s="17">
        <f ca="1">IFERROR(__xludf.DUMMYFUNCTION("""COMPUTED_VALUE"""),0.722175117593874)</f>
        <v>0.72217511759387398</v>
      </c>
      <c r="N102" s="17">
        <f ca="1">IFERROR(__xludf.DUMMYFUNCTION("""COMPUTED_VALUE"""),0.408327999296592)</f>
        <v>0.40832799929659203</v>
      </c>
      <c r="O102" s="17">
        <f ca="1">IFERROR(__xludf.DUMMYFUNCTION("""COMPUTED_VALUE"""),0.6327717837787)</f>
        <v>0.63277178377870003</v>
      </c>
      <c r="P102" s="17">
        <f ca="1">IFERROR(__xludf.DUMMYFUNCTION("""COMPUTED_VALUE"""),0.64840949971591)</f>
        <v>0.64840949971591</v>
      </c>
      <c r="Q102" s="17">
        <f ca="1">IFERROR(__xludf.DUMMYFUNCTION("""COMPUTED_VALUE"""),0.932678441260359)</f>
        <v>0.93267844126035904</v>
      </c>
      <c r="R102" s="17">
        <f ca="1">IFERROR(__xludf.DUMMYFUNCTION("""COMPUTED_VALUE"""),0.44635876987258)</f>
        <v>0.44635876987258</v>
      </c>
      <c r="S102" s="17">
        <f ca="1">IFERROR(__xludf.DUMMYFUNCTION("""COMPUTED_VALUE"""),0.601504215326747)</f>
        <v>0.60150421532674703</v>
      </c>
      <c r="T102" s="17">
        <f ca="1">IFERROR(__xludf.DUMMYFUNCTION("""COMPUTED_VALUE"""),0.41337235922308)</f>
        <v>0.41337235922308002</v>
      </c>
      <c r="U102" s="17">
        <f ca="1">IFERROR(__xludf.DUMMYFUNCTION("""COMPUTED_VALUE"""),0.468217606512978)</f>
        <v>0.468217606512978</v>
      </c>
      <c r="V102" s="17">
        <f ca="1">IFERROR(__xludf.DUMMYFUNCTION("""COMPUTED_VALUE"""),0.437242968742787)</f>
        <v>0.43724296874278701</v>
      </c>
      <c r="W102" s="17">
        <f ca="1">IFERROR(__xludf.DUMMYFUNCTION("""COMPUTED_VALUE"""),0.338029909654022)</f>
        <v>0.33802990965402202</v>
      </c>
      <c r="X102" s="17">
        <f ca="1">IFERROR(__xludf.DUMMYFUNCTION("""COMPUTED_VALUE"""),0.629185016440196)</f>
        <v>0.62918501644019598</v>
      </c>
      <c r="Y102" s="17">
        <f ca="1">IFERROR(__xludf.DUMMYFUNCTION("""COMPUTED_VALUE"""),0.379649469564119)</f>
        <v>0.37964946956411899</v>
      </c>
      <c r="Z102" s="17">
        <f ca="1">IFERROR(__xludf.DUMMYFUNCTION("""COMPUTED_VALUE"""),0.478655259649678)</f>
        <v>0.47865525964967798</v>
      </c>
      <c r="AA102" s="17">
        <f ca="1">IFERROR(__xludf.DUMMYFUNCTION("""COMPUTED_VALUE"""),0.115065377422747)</f>
        <v>0.115065377422747</v>
      </c>
      <c r="AB102" s="17">
        <f ca="1">IFERROR(__xludf.DUMMYFUNCTION("""COMPUTED_VALUE"""),0.510476427942035)</f>
        <v>0.51047642794203496</v>
      </c>
      <c r="AC102" s="17">
        <f ca="1">IFERROR(__xludf.DUMMYFUNCTION("""COMPUTED_VALUE"""),0.304216381657576)</f>
        <v>0.30421638165757597</v>
      </c>
      <c r="AD102" s="17">
        <f ca="1">IFERROR(__xludf.DUMMYFUNCTION("""COMPUTED_VALUE"""),0.478539997557642)</f>
        <v>0.47853999755764198</v>
      </c>
      <c r="AE102" s="17">
        <f ca="1">IFERROR(__xludf.DUMMYFUNCTION("""COMPUTED_VALUE"""),0.840933876806221)</f>
        <v>0.840933876806221</v>
      </c>
      <c r="AF102" s="17">
        <f ca="1">IFERROR(__xludf.DUMMYFUNCTION("""COMPUTED_VALUE"""),0.322483713102474)</f>
        <v>0.32248371310247398</v>
      </c>
      <c r="AG102" s="17">
        <f ca="1">IFERROR(__xludf.DUMMYFUNCTION("""COMPUTED_VALUE"""),0.634655433875861)</f>
        <v>0.63465543387586099</v>
      </c>
      <c r="AH102" s="17">
        <f ca="1">IFERROR(__xludf.DUMMYFUNCTION("""COMPUTED_VALUE"""),0.416826138064899)</f>
        <v>0.41682613806489899</v>
      </c>
      <c r="AI102" s="17">
        <f ca="1">IFERROR(__xludf.DUMMYFUNCTION("""COMPUTED_VALUE"""),0.836970101554327)</f>
        <v>0.83697010155432705</v>
      </c>
      <c r="AJ102" s="17">
        <f ca="1">IFERROR(__xludf.DUMMYFUNCTION("""COMPUTED_VALUE"""),0.582762753939084)</f>
        <v>0.58276275393908405</v>
      </c>
    </row>
    <row r="103" spans="2:36" ht="15.75" customHeight="1" x14ac:dyDescent="0.45">
      <c r="B103" s="10" t="str">
        <f ca="1">IFERROR(__xludf.DUMMYFUNCTION("""COMPUTED_VALUE"""),"CinCECGTorso")</f>
        <v>CinCECGTorso</v>
      </c>
      <c r="C103" s="10" t="str">
        <f ca="1">IFERROR(__xludf.DUMMYFUNCTION("""COMPUTED_VALUE"""),"mcar")</f>
        <v>mcar</v>
      </c>
      <c r="D103" s="10">
        <f ca="1">IFERROR(__xludf.DUMMYFUNCTION("""COMPUTED_VALUE"""),0.2)</f>
        <v>0.2</v>
      </c>
      <c r="E103" s="17">
        <f ca="1">IFERROR(__xludf.DUMMYFUNCTION("""COMPUTED_VALUE"""),1.02787263121441)</f>
        <v>1.02787263121441</v>
      </c>
      <c r="F103" s="17">
        <f ca="1">IFERROR(__xludf.DUMMYFUNCTION("""COMPUTED_VALUE"""),0.835955409612457)</f>
        <v>0.83595540961245696</v>
      </c>
      <c r="G103" s="17">
        <f ca="1">IFERROR(__xludf.DUMMYFUNCTION("""COMPUTED_VALUE"""),0.878575856693072)</f>
        <v>0.87857585669307203</v>
      </c>
      <c r="H103" s="17">
        <f ca="1">IFERROR(__xludf.DUMMYFUNCTION("""COMPUTED_VALUE"""),1.02945017084642)</f>
        <v>1.0294501708464201</v>
      </c>
      <c r="I103" s="17">
        <f ca="1">IFERROR(__xludf.DUMMYFUNCTION("""COMPUTED_VALUE"""),0.568821974897716)</f>
        <v>0.56882197489771602</v>
      </c>
      <c r="J103" s="17">
        <f ca="1">IFERROR(__xludf.DUMMYFUNCTION("""COMPUTED_VALUE"""),0.976071095038349)</f>
        <v>0.97607109503834899</v>
      </c>
      <c r="K103" s="17" t="str">
        <f ca="1">IFERROR(__xludf.DUMMYFUNCTION("""COMPUTED_VALUE"""),"nan")</f>
        <v>nan</v>
      </c>
      <c r="L103" s="17">
        <f ca="1">IFERROR(__xludf.DUMMYFUNCTION("""COMPUTED_VALUE"""),0.720031978916838)</f>
        <v>0.72003197891683801</v>
      </c>
      <c r="M103" s="17">
        <f ca="1">IFERROR(__xludf.DUMMYFUNCTION("""COMPUTED_VALUE"""),0.856402746927363)</f>
        <v>0.85640274692736296</v>
      </c>
      <c r="N103" s="17">
        <f ca="1">IFERROR(__xludf.DUMMYFUNCTION("""COMPUTED_VALUE"""),0.457543015006798)</f>
        <v>0.457543015006798</v>
      </c>
      <c r="O103" s="17">
        <f ca="1">IFERROR(__xludf.DUMMYFUNCTION("""COMPUTED_VALUE"""),0.676965743471595)</f>
        <v>0.67696574347159499</v>
      </c>
      <c r="P103" s="17">
        <f ca="1">IFERROR(__xludf.DUMMYFUNCTION("""COMPUTED_VALUE"""),0.857360566299225)</f>
        <v>0.85736056629922497</v>
      </c>
      <c r="Q103" s="17">
        <f ca="1">IFERROR(__xludf.DUMMYFUNCTION("""COMPUTED_VALUE"""),0.967767324311615)</f>
        <v>0.96776732431161505</v>
      </c>
      <c r="R103" s="17">
        <f ca="1">IFERROR(__xludf.DUMMYFUNCTION("""COMPUTED_VALUE"""),0.52102638249576)</f>
        <v>0.52102638249576005</v>
      </c>
      <c r="S103" s="17">
        <f ca="1">IFERROR(__xludf.DUMMYFUNCTION("""COMPUTED_VALUE"""),0.603947674293554)</f>
        <v>0.603947674293554</v>
      </c>
      <c r="T103" s="17">
        <f ca="1">IFERROR(__xludf.DUMMYFUNCTION("""COMPUTED_VALUE"""),0.432341443195179)</f>
        <v>0.43234144319517898</v>
      </c>
      <c r="U103" s="17">
        <f ca="1">IFERROR(__xludf.DUMMYFUNCTION("""COMPUTED_VALUE"""),0.544569656021342)</f>
        <v>0.544569656021342</v>
      </c>
      <c r="V103" s="17">
        <f ca="1">IFERROR(__xludf.DUMMYFUNCTION("""COMPUTED_VALUE"""),0.634146988981013)</f>
        <v>0.63414698898101296</v>
      </c>
      <c r="W103" s="17">
        <f ca="1">IFERROR(__xludf.DUMMYFUNCTION("""COMPUTED_VALUE"""),0.499993709759098)</f>
        <v>0.49999370975909802</v>
      </c>
      <c r="X103" s="17">
        <f ca="1">IFERROR(__xludf.DUMMYFUNCTION("""COMPUTED_VALUE"""),0.671541239023286)</f>
        <v>0.671541239023286</v>
      </c>
      <c r="Y103" s="17">
        <f ca="1">IFERROR(__xludf.DUMMYFUNCTION("""COMPUTED_VALUE"""),0.438537634746887)</f>
        <v>0.43853763474688701</v>
      </c>
      <c r="Z103" s="17">
        <f ca="1">IFERROR(__xludf.DUMMYFUNCTION("""COMPUTED_VALUE"""),0.751127278665976)</f>
        <v>0.75112727866597595</v>
      </c>
      <c r="AA103" s="17">
        <f ca="1">IFERROR(__xludf.DUMMYFUNCTION("""COMPUTED_VALUE"""),0.190659036071438)</f>
        <v>0.190659036071438</v>
      </c>
      <c r="AB103" s="17">
        <f ca="1">IFERROR(__xludf.DUMMYFUNCTION("""COMPUTED_VALUE"""),0.683517575650282)</f>
        <v>0.68351757565028204</v>
      </c>
      <c r="AC103" s="17">
        <f ca="1">IFERROR(__xludf.DUMMYFUNCTION("""COMPUTED_VALUE"""),0.406642950867613)</f>
        <v>0.40664295086761298</v>
      </c>
      <c r="AD103" s="17">
        <f ca="1">IFERROR(__xludf.DUMMYFUNCTION("""COMPUTED_VALUE"""),0.599975719036583)</f>
        <v>0.59997571903658298</v>
      </c>
      <c r="AE103" s="17">
        <f ca="1">IFERROR(__xludf.DUMMYFUNCTION("""COMPUTED_VALUE"""),0.951881838400057)</f>
        <v>0.95188183840005702</v>
      </c>
      <c r="AF103" s="17">
        <f ca="1">IFERROR(__xludf.DUMMYFUNCTION("""COMPUTED_VALUE"""),0.367422810893127)</f>
        <v>0.36742281089312701</v>
      </c>
      <c r="AG103" s="17">
        <f ca="1">IFERROR(__xludf.DUMMYFUNCTION("""COMPUTED_VALUE"""),0.90482665941624)</f>
        <v>0.90482665941623996</v>
      </c>
      <c r="AH103" s="17">
        <f ca="1">IFERROR(__xludf.DUMMYFUNCTION("""COMPUTED_VALUE"""),0.671128331228402)</f>
        <v>0.67112833122840199</v>
      </c>
      <c r="AI103" s="17">
        <f ca="1">IFERROR(__xludf.DUMMYFUNCTION("""COMPUTED_VALUE"""),0.991917148980633)</f>
        <v>0.99191714898063299</v>
      </c>
      <c r="AJ103" s="17">
        <f ca="1">IFERROR(__xludf.DUMMYFUNCTION("""COMPUTED_VALUE"""),0.620166226695985)</f>
        <v>0.62016622669598498</v>
      </c>
    </row>
    <row r="104" spans="2:36" ht="15.75" customHeight="1" x14ac:dyDescent="0.45">
      <c r="B104" s="10" t="str">
        <f ca="1">IFERROR(__xludf.DUMMYFUNCTION("""COMPUTED_VALUE"""),"CinCECGTorso")</f>
        <v>CinCECGTorso</v>
      </c>
      <c r="C104" s="10" t="str">
        <f ca="1">IFERROR(__xludf.DUMMYFUNCTION("""COMPUTED_VALUE"""),"mcar")</f>
        <v>mcar</v>
      </c>
      <c r="D104" s="10">
        <f ca="1">IFERROR(__xludf.DUMMYFUNCTION("""COMPUTED_VALUE"""),0.4)</f>
        <v>0.4</v>
      </c>
      <c r="E104" s="17">
        <f ca="1">IFERROR(__xludf.DUMMYFUNCTION("""COMPUTED_VALUE"""),1.0352697774779)</f>
        <v>1.0352697774779001</v>
      </c>
      <c r="F104" s="17">
        <f ca="1">IFERROR(__xludf.DUMMYFUNCTION("""COMPUTED_VALUE"""),0.804479740128716)</f>
        <v>0.80447974012871604</v>
      </c>
      <c r="G104" s="17">
        <f ca="1">IFERROR(__xludf.DUMMYFUNCTION("""COMPUTED_VALUE"""),0.843474814616408)</f>
        <v>0.84347481461640805</v>
      </c>
      <c r="H104" s="17">
        <f ca="1">IFERROR(__xludf.DUMMYFUNCTION("""COMPUTED_VALUE"""),1.06125975877603)</f>
        <v>1.06125975877603</v>
      </c>
      <c r="I104" s="17">
        <f ca="1">IFERROR(__xludf.DUMMYFUNCTION("""COMPUTED_VALUE"""),0.642829310587034)</f>
        <v>0.64282931058703396</v>
      </c>
      <c r="J104" s="17">
        <f ca="1">IFERROR(__xludf.DUMMYFUNCTION("""COMPUTED_VALUE"""),0.928235325336002)</f>
        <v>0.92823532533600195</v>
      </c>
      <c r="K104" s="17" t="str">
        <f ca="1">IFERROR(__xludf.DUMMYFUNCTION("""COMPUTED_VALUE"""),"nan")</f>
        <v>nan</v>
      </c>
      <c r="L104" s="17">
        <f ca="1">IFERROR(__xludf.DUMMYFUNCTION("""COMPUTED_VALUE"""),0.757273483499375)</f>
        <v>0.75727348349937496</v>
      </c>
      <c r="M104" s="17">
        <f ca="1">IFERROR(__xludf.DUMMYFUNCTION("""COMPUTED_VALUE"""),0.835978318022703)</f>
        <v>0.83597831802270295</v>
      </c>
      <c r="N104" s="17">
        <f ca="1">IFERROR(__xludf.DUMMYFUNCTION("""COMPUTED_VALUE"""),0.699578142013858)</f>
        <v>0.69957814201385804</v>
      </c>
      <c r="O104" s="17">
        <f ca="1">IFERROR(__xludf.DUMMYFUNCTION("""COMPUTED_VALUE"""),0.633938098662293)</f>
        <v>0.633938098662293</v>
      </c>
      <c r="P104" s="17">
        <f ca="1">IFERROR(__xludf.DUMMYFUNCTION("""COMPUTED_VALUE"""),0.738406453285758)</f>
        <v>0.73840645328575805</v>
      </c>
      <c r="Q104" s="17">
        <f ca="1">IFERROR(__xludf.DUMMYFUNCTION("""COMPUTED_VALUE"""),1.1292095363014)</f>
        <v>1.1292095363014001</v>
      </c>
      <c r="R104" s="17">
        <f ca="1">IFERROR(__xludf.DUMMYFUNCTION("""COMPUTED_VALUE"""),0.503585799161736)</f>
        <v>0.50358579916173596</v>
      </c>
      <c r="S104" s="17">
        <f ca="1">IFERROR(__xludf.DUMMYFUNCTION("""COMPUTED_VALUE"""),0.799922713045556)</f>
        <v>0.79992271304555596</v>
      </c>
      <c r="T104" s="17">
        <f ca="1">IFERROR(__xludf.DUMMYFUNCTION("""COMPUTED_VALUE"""),0.46035813161775)</f>
        <v>0.46035813161775002</v>
      </c>
      <c r="U104" s="17">
        <f ca="1">IFERROR(__xludf.DUMMYFUNCTION("""COMPUTED_VALUE"""),0.647304215813617)</f>
        <v>0.64730421581361697</v>
      </c>
      <c r="V104" s="17">
        <f ca="1">IFERROR(__xludf.DUMMYFUNCTION("""COMPUTED_VALUE"""),0.782086961254725)</f>
        <v>0.78208696125472499</v>
      </c>
      <c r="W104" s="17">
        <f ca="1">IFERROR(__xludf.DUMMYFUNCTION("""COMPUTED_VALUE"""),0.676879632498295)</f>
        <v>0.67687963249829497</v>
      </c>
      <c r="X104" s="17">
        <f ca="1">IFERROR(__xludf.DUMMYFUNCTION("""COMPUTED_VALUE"""),0.710077679339133)</f>
        <v>0.71007767933913302</v>
      </c>
      <c r="Y104" s="17">
        <f ca="1">IFERROR(__xludf.DUMMYFUNCTION("""COMPUTED_VALUE"""),0.572116980304938)</f>
        <v>0.57211698030493796</v>
      </c>
      <c r="Z104" s="17">
        <f ca="1">IFERROR(__xludf.DUMMYFUNCTION("""COMPUTED_VALUE"""),0.638211202431835)</f>
        <v>0.63821120243183505</v>
      </c>
      <c r="AA104" s="17">
        <f ca="1">IFERROR(__xludf.DUMMYFUNCTION("""COMPUTED_VALUE"""),0.291394924103536)</f>
        <v>0.29139492410353601</v>
      </c>
      <c r="AB104" s="17">
        <f ca="1">IFERROR(__xludf.DUMMYFUNCTION("""COMPUTED_VALUE"""),0.687273465333862)</f>
        <v>0.68727346533386202</v>
      </c>
      <c r="AC104" s="17">
        <f ca="1">IFERROR(__xludf.DUMMYFUNCTION("""COMPUTED_VALUE"""),0.490918424564356)</f>
        <v>0.49091842456435603</v>
      </c>
      <c r="AD104" s="17">
        <f ca="1">IFERROR(__xludf.DUMMYFUNCTION("""COMPUTED_VALUE"""),0.64259701572232)</f>
        <v>0.64259701572231998</v>
      </c>
      <c r="AE104" s="17">
        <f ca="1">IFERROR(__xludf.DUMMYFUNCTION("""COMPUTED_VALUE"""),1.03310073311545)</f>
        <v>1.03310073311545</v>
      </c>
      <c r="AF104" s="17">
        <f ca="1">IFERROR(__xludf.DUMMYFUNCTION("""COMPUTED_VALUE"""),0.938343323349665)</f>
        <v>0.93834332334966497</v>
      </c>
      <c r="AG104" s="17">
        <f ca="1">IFERROR(__xludf.DUMMYFUNCTION("""COMPUTED_VALUE"""),0.98182209960216)</f>
        <v>0.98182209960216005</v>
      </c>
      <c r="AH104" s="17">
        <f ca="1">IFERROR(__xludf.DUMMYFUNCTION("""COMPUTED_VALUE"""),0.840267947498742)</f>
        <v>0.84026794749874201</v>
      </c>
      <c r="AI104" s="17">
        <f ca="1">IFERROR(__xludf.DUMMYFUNCTION("""COMPUTED_VALUE"""),1.05961947000826)</f>
        <v>1.05961947000826</v>
      </c>
      <c r="AJ104" s="17">
        <f ca="1">IFERROR(__xludf.DUMMYFUNCTION("""COMPUTED_VALUE"""),0.776765156179934)</f>
        <v>0.77676515617993402</v>
      </c>
    </row>
    <row r="105" spans="2:36" ht="15.75" customHeight="1" x14ac:dyDescent="0.45">
      <c r="B105" s="10" t="str">
        <f ca="1">IFERROR(__xludf.DUMMYFUNCTION("""COMPUTED_VALUE"""),"CinCECGTorso")</f>
        <v>CinCECGTorso</v>
      </c>
      <c r="C105" s="10" t="str">
        <f ca="1">IFERROR(__xludf.DUMMYFUNCTION("""COMPUTED_VALUE"""),"mcar")</f>
        <v>mcar</v>
      </c>
      <c r="D105" s="10">
        <f ca="1">IFERROR(__xludf.DUMMYFUNCTION("""COMPUTED_VALUE"""),0.6)</f>
        <v>0.6</v>
      </c>
      <c r="E105" s="17">
        <f ca="1">IFERROR(__xludf.DUMMYFUNCTION("""COMPUTED_VALUE"""),0.95778202136974)</f>
        <v>0.95778202136974</v>
      </c>
      <c r="F105" s="17">
        <f ca="1">IFERROR(__xludf.DUMMYFUNCTION("""COMPUTED_VALUE"""),0.826603252463748)</f>
        <v>0.826603252463748</v>
      </c>
      <c r="G105" s="17">
        <f ca="1">IFERROR(__xludf.DUMMYFUNCTION("""COMPUTED_VALUE"""),0.877099337761966)</f>
        <v>0.87709933776196602</v>
      </c>
      <c r="H105" s="17">
        <f ca="1">IFERROR(__xludf.DUMMYFUNCTION("""COMPUTED_VALUE"""),0.995412861977004)</f>
        <v>0.99541286197700396</v>
      </c>
      <c r="I105" s="17">
        <f ca="1">IFERROR(__xludf.DUMMYFUNCTION("""COMPUTED_VALUE"""),0.693463956985936)</f>
        <v>0.69346395698593599</v>
      </c>
      <c r="J105" s="17">
        <f ca="1">IFERROR(__xludf.DUMMYFUNCTION("""COMPUTED_VALUE"""),1.00058315353703)</f>
        <v>1.00058315353703</v>
      </c>
      <c r="K105" s="17" t="str">
        <f ca="1">IFERROR(__xludf.DUMMYFUNCTION("""COMPUTED_VALUE"""),"nan")</f>
        <v>nan</v>
      </c>
      <c r="L105" s="17">
        <f ca="1">IFERROR(__xludf.DUMMYFUNCTION("""COMPUTED_VALUE"""),0.754960927616851)</f>
        <v>0.75496092761685096</v>
      </c>
      <c r="M105" s="17">
        <f ca="1">IFERROR(__xludf.DUMMYFUNCTION("""COMPUTED_VALUE"""),0.849592337319277)</f>
        <v>0.84959233731927697</v>
      </c>
      <c r="N105" s="17">
        <f ca="1">IFERROR(__xludf.DUMMYFUNCTION("""COMPUTED_VALUE"""),0.871289917428281)</f>
        <v>0.87128991742828099</v>
      </c>
      <c r="O105" s="17">
        <f ca="1">IFERROR(__xludf.DUMMYFUNCTION("""COMPUTED_VALUE"""),0.722580744061214)</f>
        <v>0.72258074406121398</v>
      </c>
      <c r="P105" s="17">
        <f ca="1">IFERROR(__xludf.DUMMYFUNCTION("""COMPUTED_VALUE"""),0.815714952173355)</f>
        <v>0.81571495217335499</v>
      </c>
      <c r="Q105" s="17">
        <f ca="1">IFERROR(__xludf.DUMMYFUNCTION("""COMPUTED_VALUE"""),1.11561195548715)</f>
        <v>1.11561195548715</v>
      </c>
      <c r="R105" s="17">
        <f ca="1">IFERROR(__xludf.DUMMYFUNCTION("""COMPUTED_VALUE"""),0.563617685793017)</f>
        <v>0.56361768579301696</v>
      </c>
      <c r="S105" s="17">
        <f ca="1">IFERROR(__xludf.DUMMYFUNCTION("""COMPUTED_VALUE"""),0.755815404179569)</f>
        <v>0.75581540417956905</v>
      </c>
      <c r="T105" s="17">
        <f ca="1">IFERROR(__xludf.DUMMYFUNCTION("""COMPUTED_VALUE"""),0.592448751409741)</f>
        <v>0.59244875140974096</v>
      </c>
      <c r="U105" s="17">
        <f ca="1">IFERROR(__xludf.DUMMYFUNCTION("""COMPUTED_VALUE"""),0.817512177964066)</f>
        <v>0.81751217796406594</v>
      </c>
      <c r="V105" s="17">
        <f ca="1">IFERROR(__xludf.DUMMYFUNCTION("""COMPUTED_VALUE"""),0.72551379987914)</f>
        <v>0.72551379987914</v>
      </c>
      <c r="W105" s="17">
        <f ca="1">IFERROR(__xludf.DUMMYFUNCTION("""COMPUTED_VALUE"""),0.715077512708547)</f>
        <v>0.71507751270854703</v>
      </c>
      <c r="X105" s="17">
        <f ca="1">IFERROR(__xludf.DUMMYFUNCTION("""COMPUTED_VALUE"""),0.798503004595484)</f>
        <v>0.79850300459548396</v>
      </c>
      <c r="Y105" s="17">
        <f ca="1">IFERROR(__xludf.DUMMYFUNCTION("""COMPUTED_VALUE"""),0.809033266617005)</f>
        <v>0.80903326661700503</v>
      </c>
      <c r="Z105" s="17">
        <f ca="1">IFERROR(__xludf.DUMMYFUNCTION("""COMPUTED_VALUE"""),0.696514935869294)</f>
        <v>0.69651493586929403</v>
      </c>
      <c r="AA105" s="17">
        <f ca="1">IFERROR(__xludf.DUMMYFUNCTION("""COMPUTED_VALUE"""),0.500223761423072)</f>
        <v>0.50022376142307201</v>
      </c>
      <c r="AB105" s="17">
        <f ca="1">IFERROR(__xludf.DUMMYFUNCTION("""COMPUTED_VALUE"""),0.825194266937849)</f>
        <v>0.82519426693784903</v>
      </c>
      <c r="AC105" s="17">
        <f ca="1">IFERROR(__xludf.DUMMYFUNCTION("""COMPUTED_VALUE"""),0.656224798896977)</f>
        <v>0.65622479889697705</v>
      </c>
      <c r="AD105" s="17">
        <f ca="1">IFERROR(__xludf.DUMMYFUNCTION("""COMPUTED_VALUE"""),0.718072787894432)</f>
        <v>0.71807278789443196</v>
      </c>
      <c r="AE105" s="17">
        <f ca="1">IFERROR(__xludf.DUMMYFUNCTION("""COMPUTED_VALUE"""),1.01052463504346)</f>
        <v>1.01052463504346</v>
      </c>
      <c r="AF105" s="17">
        <f ca="1">IFERROR(__xludf.DUMMYFUNCTION("""COMPUTED_VALUE"""),1.12414483303227)</f>
        <v>1.1241448330322701</v>
      </c>
      <c r="AG105" s="17">
        <f ca="1">IFERROR(__xludf.DUMMYFUNCTION("""COMPUTED_VALUE"""),1.04004679292422)</f>
        <v>1.0400467929242201</v>
      </c>
      <c r="AH105" s="17">
        <f ca="1">IFERROR(__xludf.DUMMYFUNCTION("""COMPUTED_VALUE"""),0.964289990037947)</f>
        <v>0.96428999003794702</v>
      </c>
      <c r="AI105" s="17">
        <f ca="1">IFERROR(__xludf.DUMMYFUNCTION("""COMPUTED_VALUE"""),0.965764762688205)</f>
        <v>0.96576476268820499</v>
      </c>
      <c r="AJ105" s="17">
        <f ca="1">IFERROR(__xludf.DUMMYFUNCTION("""COMPUTED_VALUE"""),0.916250649071822)</f>
        <v>0.91625064907182197</v>
      </c>
    </row>
    <row r="106" spans="2:36" ht="15.75" customHeight="1" x14ac:dyDescent="0.45">
      <c r="B106" s="10" t="str">
        <f ca="1">IFERROR(__xludf.DUMMYFUNCTION("""COMPUTED_VALUE"""),"CinCECGTorso")</f>
        <v>CinCECGTorso</v>
      </c>
      <c r="C106" s="10" t="str">
        <f ca="1">IFERROR(__xludf.DUMMYFUNCTION("""COMPUTED_VALUE"""),"mcar")</f>
        <v>mcar</v>
      </c>
      <c r="D106" s="10">
        <f ca="1">IFERROR(__xludf.DUMMYFUNCTION("""COMPUTED_VALUE"""),0.8)</f>
        <v>0.8</v>
      </c>
      <c r="E106" s="17">
        <f ca="1">IFERROR(__xludf.DUMMYFUNCTION("""COMPUTED_VALUE"""),0.970563153906574)</f>
        <v>0.97056315390657399</v>
      </c>
      <c r="F106" s="17">
        <f ca="1">IFERROR(__xludf.DUMMYFUNCTION("""COMPUTED_VALUE"""),0.893413047645043)</f>
        <v>0.89341304764504303</v>
      </c>
      <c r="G106" s="17">
        <f ca="1">IFERROR(__xludf.DUMMYFUNCTION("""COMPUTED_VALUE"""),0.908875158740711)</f>
        <v>0.90887515874071101</v>
      </c>
      <c r="H106" s="17">
        <f ca="1">IFERROR(__xludf.DUMMYFUNCTION("""COMPUTED_VALUE"""),1.02120893157588)</f>
        <v>1.0212089315758801</v>
      </c>
      <c r="I106" s="17">
        <f ca="1">IFERROR(__xludf.DUMMYFUNCTION("""COMPUTED_VALUE"""),0.819916682798272)</f>
        <v>0.81991668279827201</v>
      </c>
      <c r="J106" s="17">
        <f ca="1">IFERROR(__xludf.DUMMYFUNCTION("""COMPUTED_VALUE"""),1.0236586510096)</f>
        <v>1.0236586510096</v>
      </c>
      <c r="K106" s="17" t="str">
        <f ca="1">IFERROR(__xludf.DUMMYFUNCTION("""COMPUTED_VALUE"""),"nan")</f>
        <v>nan</v>
      </c>
      <c r="L106" s="17">
        <f ca="1">IFERROR(__xludf.DUMMYFUNCTION("""COMPUTED_VALUE"""),0.905042482253327)</f>
        <v>0.90504248225332695</v>
      </c>
      <c r="M106" s="17">
        <f ca="1">IFERROR(__xludf.DUMMYFUNCTION("""COMPUTED_VALUE"""),0.959832598726332)</f>
        <v>0.95983259872633198</v>
      </c>
      <c r="N106" s="17">
        <f ca="1">IFERROR(__xludf.DUMMYFUNCTION("""COMPUTED_VALUE"""),0.946941573561156)</f>
        <v>0.94694157356115605</v>
      </c>
      <c r="O106" s="17">
        <f ca="1">IFERROR(__xludf.DUMMYFUNCTION("""COMPUTED_VALUE"""),0.901253976217557)</f>
        <v>0.90125397621755698</v>
      </c>
      <c r="P106" s="17">
        <f ca="1">IFERROR(__xludf.DUMMYFUNCTION("""COMPUTED_VALUE"""),1.0075535247061)</f>
        <v>1.0075535247061</v>
      </c>
      <c r="Q106" s="17">
        <f ca="1">IFERROR(__xludf.DUMMYFUNCTION("""COMPUTED_VALUE"""),1.09899533766462)</f>
        <v>1.09899533766462</v>
      </c>
      <c r="R106" s="17">
        <f ca="1">IFERROR(__xludf.DUMMYFUNCTION("""COMPUTED_VALUE"""),1.06733359442135)</f>
        <v>1.06733359442135</v>
      </c>
      <c r="S106" s="17">
        <f ca="1">IFERROR(__xludf.DUMMYFUNCTION("""COMPUTED_VALUE"""),0.968309674549448)</f>
        <v>0.96830967454944805</v>
      </c>
      <c r="T106" s="17">
        <f ca="1">IFERROR(__xludf.DUMMYFUNCTION("""COMPUTED_VALUE"""),0.760939574789451)</f>
        <v>0.76093957478945096</v>
      </c>
      <c r="U106" s="17">
        <f ca="1">IFERROR(__xludf.DUMMYFUNCTION("""COMPUTED_VALUE"""),0.902992938517599)</f>
        <v>0.90299293851759899</v>
      </c>
      <c r="V106" s="17">
        <f ca="1">IFERROR(__xludf.DUMMYFUNCTION("""COMPUTED_VALUE"""),0.868587982946469)</f>
        <v>0.86858798294646899</v>
      </c>
      <c r="W106" s="17">
        <f ca="1">IFERROR(__xludf.DUMMYFUNCTION("""COMPUTED_VALUE"""),0.846676473007362)</f>
        <v>0.84667647300736204</v>
      </c>
      <c r="X106" s="17">
        <f ca="1">IFERROR(__xludf.DUMMYFUNCTION("""COMPUTED_VALUE"""),0.801984105712095)</f>
        <v>0.801984105712095</v>
      </c>
      <c r="Y106" s="17">
        <f ca="1">IFERROR(__xludf.DUMMYFUNCTION("""COMPUTED_VALUE"""),0.886339692972557)</f>
        <v>0.88633969297255699</v>
      </c>
      <c r="Z106" s="17">
        <f ca="1">IFERROR(__xludf.DUMMYFUNCTION("""COMPUTED_VALUE"""),0.876860459722576)</f>
        <v>0.87686045972257598</v>
      </c>
      <c r="AA106" s="17">
        <f ca="1">IFERROR(__xludf.DUMMYFUNCTION("""COMPUTED_VALUE"""),1.11272495802253)</f>
        <v>1.11272495802253</v>
      </c>
      <c r="AB106" s="17">
        <f ca="1">IFERROR(__xludf.DUMMYFUNCTION("""COMPUTED_VALUE"""),1.12479635929376)</f>
        <v>1.12479635929376</v>
      </c>
      <c r="AC106" s="17">
        <f ca="1">IFERROR(__xludf.DUMMYFUNCTION("""COMPUTED_VALUE"""),0.819629955156783)</f>
        <v>0.81962995515678305</v>
      </c>
      <c r="AD106" s="17">
        <f ca="1">IFERROR(__xludf.DUMMYFUNCTION("""COMPUTED_VALUE"""),0.901825864639392)</f>
        <v>0.90182586463939196</v>
      </c>
      <c r="AE106" s="17" t="str">
        <f ca="1">IFERROR(__xludf.DUMMYFUNCTION("""COMPUTED_VALUE"""),"nan")</f>
        <v>nan</v>
      </c>
      <c r="AF106" s="17">
        <f ca="1">IFERROR(__xludf.DUMMYFUNCTION("""COMPUTED_VALUE"""),1.03397762908689)</f>
        <v>1.0339776290868901</v>
      </c>
      <c r="AG106" s="17">
        <f ca="1">IFERROR(__xludf.DUMMYFUNCTION("""COMPUTED_VALUE"""),1.06518791638888)</f>
        <v>1.06518791638888</v>
      </c>
      <c r="AH106" s="17">
        <f ca="1">IFERROR(__xludf.DUMMYFUNCTION("""COMPUTED_VALUE"""),1.06867398592348)</f>
        <v>1.06867398592348</v>
      </c>
      <c r="AI106" s="17">
        <f ca="1">IFERROR(__xludf.DUMMYFUNCTION("""COMPUTED_VALUE"""),0.991265931770702)</f>
        <v>0.99126593177070199</v>
      </c>
      <c r="AJ106" s="17">
        <f ca="1">IFERROR(__xludf.DUMMYFUNCTION("""COMPUTED_VALUE"""),0.985914572344868)</f>
        <v>0.98591457234486801</v>
      </c>
    </row>
    <row r="107" spans="2:36" ht="15.75" customHeight="1" x14ac:dyDescent="0.45">
      <c r="B107" s="10" t="str">
        <f ca="1">IFERROR(__xludf.DUMMYFUNCTION("""COMPUTED_VALUE"""),"Colposcopy")</f>
        <v>Colposcopy</v>
      </c>
      <c r="C107" s="10" t="str">
        <f ca="1">IFERROR(__xludf.DUMMYFUNCTION("""COMPUTED_VALUE"""),"aligned_series")</f>
        <v>aligned_series</v>
      </c>
      <c r="D107" s="10">
        <f ca="1">IFERROR(__xludf.DUMMYFUNCTION("""COMPUTED_VALUE"""),0.1)</f>
        <v>0.1</v>
      </c>
      <c r="E107" s="17">
        <f ca="1">IFERROR(__xludf.DUMMYFUNCTION("""COMPUTED_VALUE"""),1.17320017636571)</f>
        <v>1.1732001763657101</v>
      </c>
      <c r="F107" s="17">
        <f ca="1">IFERROR(__xludf.DUMMYFUNCTION("""COMPUTED_VALUE"""),0.930590548825764)</f>
        <v>0.93059054882576397</v>
      </c>
      <c r="G107" s="17">
        <f ca="1">IFERROR(__xludf.DUMMYFUNCTION("""COMPUTED_VALUE"""),0.942276432614406)</f>
        <v>0.94227643261440597</v>
      </c>
      <c r="H107" s="17">
        <f ca="1">IFERROR(__xludf.DUMMYFUNCTION("""COMPUTED_VALUE"""),0.976285306511202)</f>
        <v>0.97628530651120204</v>
      </c>
      <c r="I107" s="17">
        <f ca="1">IFERROR(__xludf.DUMMYFUNCTION("""COMPUTED_VALUE"""),0.935795811540749)</f>
        <v>0.93579581154074898</v>
      </c>
      <c r="J107" s="17">
        <f ca="1">IFERROR(__xludf.DUMMYFUNCTION("""COMPUTED_VALUE"""),0.982133113088472)</f>
        <v>0.98213311308847195</v>
      </c>
      <c r="K107" s="17" t="str">
        <f ca="1">IFERROR(__xludf.DUMMYFUNCTION("""COMPUTED_VALUE"""),"nan")</f>
        <v>nan</v>
      </c>
      <c r="L107" s="17">
        <f ca="1">IFERROR(__xludf.DUMMYFUNCTION("""COMPUTED_VALUE"""),0.968383593292951)</f>
        <v>0.96838359329295098</v>
      </c>
      <c r="M107" s="17">
        <f ca="1">IFERROR(__xludf.DUMMYFUNCTION("""COMPUTED_VALUE"""),0.928104867888978)</f>
        <v>0.92810486788897795</v>
      </c>
      <c r="N107" s="17">
        <f ca="1">IFERROR(__xludf.DUMMYFUNCTION("""COMPUTED_VALUE"""),1.04935107338509)</f>
        <v>1.0493510733850899</v>
      </c>
      <c r="O107" s="17">
        <f ca="1">IFERROR(__xludf.DUMMYFUNCTION("""COMPUTED_VALUE"""),0.887530196228907)</f>
        <v>0.88753019622890705</v>
      </c>
      <c r="P107" s="17">
        <f ca="1">IFERROR(__xludf.DUMMYFUNCTION("""COMPUTED_VALUE"""),1.15258126663435)</f>
        <v>1.15258126663435</v>
      </c>
      <c r="Q107" s="17">
        <f ca="1">IFERROR(__xludf.DUMMYFUNCTION("""COMPUTED_VALUE"""),1.61884297183006)</f>
        <v>1.6188429718300601</v>
      </c>
      <c r="R107" s="17">
        <f ca="1">IFERROR(__xludf.DUMMYFUNCTION("""COMPUTED_VALUE"""),1.10189508019142)</f>
        <v>1.10189508019142</v>
      </c>
      <c r="S107" s="17">
        <f ca="1">IFERROR(__xludf.DUMMYFUNCTION("""COMPUTED_VALUE"""),1.10335350769757)</f>
        <v>1.10335350769757</v>
      </c>
      <c r="T107" s="17">
        <f ca="1">IFERROR(__xludf.DUMMYFUNCTION("""COMPUTED_VALUE"""),0.944214001904818)</f>
        <v>0.94421400190481797</v>
      </c>
      <c r="U107" s="17">
        <f ca="1">IFERROR(__xludf.DUMMYFUNCTION("""COMPUTED_VALUE"""),1.13134951385412)</f>
        <v>1.1313495138541201</v>
      </c>
      <c r="V107" s="17">
        <f ca="1">IFERROR(__xludf.DUMMYFUNCTION("""COMPUTED_VALUE"""),1.11767017872102)</f>
        <v>1.1176701787210199</v>
      </c>
      <c r="W107" s="17">
        <f ca="1">IFERROR(__xludf.DUMMYFUNCTION("""COMPUTED_VALUE"""),1.01856729303719)</f>
        <v>1.0185672930371901</v>
      </c>
      <c r="X107" s="17">
        <f ca="1">IFERROR(__xludf.DUMMYFUNCTION("""COMPUTED_VALUE"""),0.924876171985637)</f>
        <v>0.92487617198563699</v>
      </c>
      <c r="Y107" s="17">
        <f ca="1">IFERROR(__xludf.DUMMYFUNCTION("""COMPUTED_VALUE"""),0.945589218621975)</f>
        <v>0.94558921862197498</v>
      </c>
      <c r="Z107" s="17">
        <f ca="1">IFERROR(__xludf.DUMMYFUNCTION("""COMPUTED_VALUE"""),1.03972681210138)</f>
        <v>1.0397268121013801</v>
      </c>
      <c r="AA107" s="17">
        <f ca="1">IFERROR(__xludf.DUMMYFUNCTION("""COMPUTED_VALUE"""),0.79382429165785)</f>
        <v>0.79382429165784996</v>
      </c>
      <c r="AB107" s="17">
        <f ca="1">IFERROR(__xludf.DUMMYFUNCTION("""COMPUTED_VALUE"""),1.28894484255699)</f>
        <v>1.28894484255699</v>
      </c>
      <c r="AC107" s="17">
        <f ca="1">IFERROR(__xludf.DUMMYFUNCTION("""COMPUTED_VALUE"""),0.897043670973409)</f>
        <v>0.89704367097340898</v>
      </c>
      <c r="AD107" s="17">
        <f ca="1">IFERROR(__xludf.DUMMYFUNCTION("""COMPUTED_VALUE"""),0.972307483921426)</f>
        <v>0.97230748392142596</v>
      </c>
      <c r="AE107" s="17">
        <f ca="1">IFERROR(__xludf.DUMMYFUNCTION("""COMPUTED_VALUE"""),1.24067872051944)</f>
        <v>1.2406787205194401</v>
      </c>
      <c r="AF107" s="17">
        <f ca="1">IFERROR(__xludf.DUMMYFUNCTION("""COMPUTED_VALUE"""),1.57369247959071)</f>
        <v>1.5736924795907099</v>
      </c>
      <c r="AG107" s="17">
        <f ca="1">IFERROR(__xludf.DUMMYFUNCTION("""COMPUTED_VALUE"""),1.31046325416498)</f>
        <v>1.3104632541649801</v>
      </c>
      <c r="AH107" s="17">
        <f ca="1">IFERROR(__xludf.DUMMYFUNCTION("""COMPUTED_VALUE"""),0.870065475023829)</f>
        <v>0.87006547502382903</v>
      </c>
      <c r="AI107" s="17">
        <f ca="1">IFERROR(__xludf.DUMMYFUNCTION("""COMPUTED_VALUE"""),0.844335137852598)</f>
        <v>0.84433513785259795</v>
      </c>
      <c r="AJ107" s="17">
        <f ca="1">IFERROR(__xludf.DUMMYFUNCTION("""COMPUTED_VALUE"""),0.965488961571771)</f>
        <v>0.965488961571771</v>
      </c>
    </row>
    <row r="108" spans="2:36" ht="15.75" customHeight="1" x14ac:dyDescent="0.45">
      <c r="B108" s="10" t="str">
        <f ca="1">IFERROR(__xludf.DUMMYFUNCTION("""COMPUTED_VALUE"""),"Colposcopy")</f>
        <v>Colposcopy</v>
      </c>
      <c r="C108" s="10" t="str">
        <f ca="1">IFERROR(__xludf.DUMMYFUNCTION("""COMPUTED_VALUE"""),"aligned_series")</f>
        <v>aligned_series</v>
      </c>
      <c r="D108" s="10">
        <f ca="1">IFERROR(__xludf.DUMMYFUNCTION("""COMPUTED_VALUE"""),0.2)</f>
        <v>0.2</v>
      </c>
      <c r="E108" s="17">
        <f ca="1">IFERROR(__xludf.DUMMYFUNCTION("""COMPUTED_VALUE"""),1.09771977158211)</f>
        <v>1.0977197715821101</v>
      </c>
      <c r="F108" s="17">
        <f ca="1">IFERROR(__xludf.DUMMYFUNCTION("""COMPUTED_VALUE"""),0.902624375956661)</f>
        <v>0.90262437595666101</v>
      </c>
      <c r="G108" s="17">
        <f ca="1">IFERROR(__xludf.DUMMYFUNCTION("""COMPUTED_VALUE"""),0.917988015469446)</f>
        <v>0.91798801546944597</v>
      </c>
      <c r="H108" s="17">
        <f ca="1">IFERROR(__xludf.DUMMYFUNCTION("""COMPUTED_VALUE"""),0.976430313932087)</f>
        <v>0.97643031393208701</v>
      </c>
      <c r="I108" s="17">
        <f ca="1">IFERROR(__xludf.DUMMYFUNCTION("""COMPUTED_VALUE"""),0.895729298816018)</f>
        <v>0.89572929881601804</v>
      </c>
      <c r="J108" s="17">
        <f ca="1">IFERROR(__xludf.DUMMYFUNCTION("""COMPUTED_VALUE"""),0.938923667106032)</f>
        <v>0.93892366710603203</v>
      </c>
      <c r="K108" s="17" t="str">
        <f ca="1">IFERROR(__xludf.DUMMYFUNCTION("""COMPUTED_VALUE"""),"nan")</f>
        <v>nan</v>
      </c>
      <c r="L108" s="17">
        <f ca="1">IFERROR(__xludf.DUMMYFUNCTION("""COMPUTED_VALUE"""),1.00510414437977)</f>
        <v>1.0051041443797699</v>
      </c>
      <c r="M108" s="17">
        <f ca="1">IFERROR(__xludf.DUMMYFUNCTION("""COMPUTED_VALUE"""),0.905636247601146)</f>
        <v>0.90563624760114603</v>
      </c>
      <c r="N108" s="17">
        <f ca="1">IFERROR(__xludf.DUMMYFUNCTION("""COMPUTED_VALUE"""),1.12884304209663)</f>
        <v>1.12884304209663</v>
      </c>
      <c r="O108" s="17">
        <f ca="1">IFERROR(__xludf.DUMMYFUNCTION("""COMPUTED_VALUE"""),0.901432910120279)</f>
        <v>0.90143291012027904</v>
      </c>
      <c r="P108" s="17">
        <f ca="1">IFERROR(__xludf.DUMMYFUNCTION("""COMPUTED_VALUE"""),1.14261084014215)</f>
        <v>1.14261084014215</v>
      </c>
      <c r="Q108" s="17">
        <f ca="1">IFERROR(__xludf.DUMMYFUNCTION("""COMPUTED_VALUE"""),1.60181708380637)</f>
        <v>1.6018170838063699</v>
      </c>
      <c r="R108" s="17">
        <f ca="1">IFERROR(__xludf.DUMMYFUNCTION("""COMPUTED_VALUE"""),1.03860157270149)</f>
        <v>1.0386015727014899</v>
      </c>
      <c r="S108" s="17">
        <f ca="1">IFERROR(__xludf.DUMMYFUNCTION("""COMPUTED_VALUE"""),1.08282323864587)</f>
        <v>1.08282323864587</v>
      </c>
      <c r="T108" s="17">
        <f ca="1">IFERROR(__xludf.DUMMYFUNCTION("""COMPUTED_VALUE"""),0.994257462928312)</f>
        <v>0.99425746292831196</v>
      </c>
      <c r="U108" s="17">
        <f ca="1">IFERROR(__xludf.DUMMYFUNCTION("""COMPUTED_VALUE"""),0.957474638075654)</f>
        <v>0.95747463807565403</v>
      </c>
      <c r="V108" s="17">
        <f ca="1">IFERROR(__xludf.DUMMYFUNCTION("""COMPUTED_VALUE"""),0.990945495134926)</f>
        <v>0.99094549513492602</v>
      </c>
      <c r="W108" s="17">
        <f ca="1">IFERROR(__xludf.DUMMYFUNCTION("""COMPUTED_VALUE"""),0.951769821015792)</f>
        <v>0.95176982101579199</v>
      </c>
      <c r="X108" s="17">
        <f ca="1">IFERROR(__xludf.DUMMYFUNCTION("""COMPUTED_VALUE"""),0.89895116254054)</f>
        <v>0.89895116254053997</v>
      </c>
      <c r="Y108" s="17">
        <f ca="1">IFERROR(__xludf.DUMMYFUNCTION("""COMPUTED_VALUE"""),0.909103149011569)</f>
        <v>0.90910314901156897</v>
      </c>
      <c r="Z108" s="17">
        <f ca="1">IFERROR(__xludf.DUMMYFUNCTION("""COMPUTED_VALUE"""),1.02208629039115)</f>
        <v>1.0220862903911501</v>
      </c>
      <c r="AA108" s="17">
        <f ca="1">IFERROR(__xludf.DUMMYFUNCTION("""COMPUTED_VALUE"""),0.822404640088221)</f>
        <v>0.82240464008822101</v>
      </c>
      <c r="AB108" s="17">
        <f ca="1">IFERROR(__xludf.DUMMYFUNCTION("""COMPUTED_VALUE"""),1.18929322307475)</f>
        <v>1.1892932230747499</v>
      </c>
      <c r="AC108" s="17">
        <f ca="1">IFERROR(__xludf.DUMMYFUNCTION("""COMPUTED_VALUE"""),0.907006071150761)</f>
        <v>0.90700607115076104</v>
      </c>
      <c r="AD108" s="17">
        <f ca="1">IFERROR(__xludf.DUMMYFUNCTION("""COMPUTED_VALUE"""),0.970808538368139)</f>
        <v>0.97080853836813896</v>
      </c>
      <c r="AE108" s="17">
        <f ca="1">IFERROR(__xludf.DUMMYFUNCTION("""COMPUTED_VALUE"""),1.17671564733995)</f>
        <v>1.17671564733995</v>
      </c>
      <c r="AF108" s="17">
        <f ca="1">IFERROR(__xludf.DUMMYFUNCTION("""COMPUTED_VALUE"""),1.14051272734221)</f>
        <v>1.14051272734221</v>
      </c>
      <c r="AG108" s="17">
        <f ca="1">IFERROR(__xludf.DUMMYFUNCTION("""COMPUTED_VALUE"""),1.19519146615123)</f>
        <v>1.19519146615123</v>
      </c>
      <c r="AH108" s="17">
        <f ca="1">IFERROR(__xludf.DUMMYFUNCTION("""COMPUTED_VALUE"""),0.813121607542974)</f>
        <v>0.81312160754297402</v>
      </c>
      <c r="AI108" s="17">
        <f ca="1">IFERROR(__xludf.DUMMYFUNCTION("""COMPUTED_VALUE"""),0.819076904091939)</f>
        <v>0.81907690409193901</v>
      </c>
      <c r="AJ108" s="17">
        <f ca="1">IFERROR(__xludf.DUMMYFUNCTION("""COMPUTED_VALUE"""),1.006224474245)</f>
        <v>1.0062244742449999</v>
      </c>
    </row>
    <row r="109" spans="2:36" ht="15.75" customHeight="1" x14ac:dyDescent="0.45">
      <c r="B109" s="10" t="str">
        <f ca="1">IFERROR(__xludf.DUMMYFUNCTION("""COMPUTED_VALUE"""),"Colposcopy")</f>
        <v>Colposcopy</v>
      </c>
      <c r="C109" s="10" t="str">
        <f ca="1">IFERROR(__xludf.DUMMYFUNCTION("""COMPUTED_VALUE"""),"aligned_series")</f>
        <v>aligned_series</v>
      </c>
      <c r="D109" s="10">
        <f ca="1">IFERROR(__xludf.DUMMYFUNCTION("""COMPUTED_VALUE"""),0.4)</f>
        <v>0.4</v>
      </c>
      <c r="E109" s="17">
        <f ca="1">IFERROR(__xludf.DUMMYFUNCTION("""COMPUTED_VALUE"""),1.16279349476968)</f>
        <v>1.1627934947696801</v>
      </c>
      <c r="F109" s="17">
        <f ca="1">IFERROR(__xludf.DUMMYFUNCTION("""COMPUTED_VALUE"""),0.853833806783406)</f>
        <v>0.85383380678340604</v>
      </c>
      <c r="G109" s="17">
        <f ca="1">IFERROR(__xludf.DUMMYFUNCTION("""COMPUTED_VALUE"""),0.87208457923869)</f>
        <v>0.87208457923868998</v>
      </c>
      <c r="H109" s="17">
        <f ca="1">IFERROR(__xludf.DUMMYFUNCTION("""COMPUTED_VALUE"""),1.02048500665897)</f>
        <v>1.0204850066589699</v>
      </c>
      <c r="I109" s="17">
        <f ca="1">IFERROR(__xludf.DUMMYFUNCTION("""COMPUTED_VALUE"""),0.94007600007654)</f>
        <v>0.94007600007654002</v>
      </c>
      <c r="J109" s="17">
        <f ca="1">IFERROR(__xludf.DUMMYFUNCTION("""COMPUTED_VALUE"""),0.989153779032532)</f>
        <v>0.98915377903253199</v>
      </c>
      <c r="K109" s="17" t="str">
        <f ca="1">IFERROR(__xludf.DUMMYFUNCTION("""COMPUTED_VALUE"""),"nan")</f>
        <v>nan</v>
      </c>
      <c r="L109" s="17">
        <f ca="1">IFERROR(__xludf.DUMMYFUNCTION("""COMPUTED_VALUE"""),0.911392508639858)</f>
        <v>0.91139250863985799</v>
      </c>
      <c r="M109" s="17">
        <f ca="1">IFERROR(__xludf.DUMMYFUNCTION("""COMPUTED_VALUE"""),0.848821622450276)</f>
        <v>0.84882162245027604</v>
      </c>
      <c r="N109" s="17">
        <f ca="1">IFERROR(__xludf.DUMMYFUNCTION("""COMPUTED_VALUE"""),1.09944754762659)</f>
        <v>1.0994475476265899</v>
      </c>
      <c r="O109" s="17">
        <f ca="1">IFERROR(__xludf.DUMMYFUNCTION("""COMPUTED_VALUE"""),0.870018647741667)</f>
        <v>0.87001864774166704</v>
      </c>
      <c r="P109" s="17">
        <f ca="1">IFERROR(__xludf.DUMMYFUNCTION("""COMPUTED_VALUE"""),1.32282995032247)</f>
        <v>1.3228299503224701</v>
      </c>
      <c r="Q109" s="17">
        <f ca="1">IFERROR(__xludf.DUMMYFUNCTION("""COMPUTED_VALUE"""),1.69699138914416)</f>
        <v>1.6969913891441599</v>
      </c>
      <c r="R109" s="17">
        <f ca="1">IFERROR(__xludf.DUMMYFUNCTION("""COMPUTED_VALUE"""),1.06827239899808)</f>
        <v>1.06827239899808</v>
      </c>
      <c r="S109" s="17">
        <f ca="1">IFERROR(__xludf.DUMMYFUNCTION("""COMPUTED_VALUE"""),1.24611087499894)</f>
        <v>1.24611087499894</v>
      </c>
      <c r="T109" s="17">
        <f ca="1">IFERROR(__xludf.DUMMYFUNCTION("""COMPUTED_VALUE"""),0.972290257051598)</f>
        <v>0.97229025705159799</v>
      </c>
      <c r="U109" s="17">
        <f ca="1">IFERROR(__xludf.DUMMYFUNCTION("""COMPUTED_VALUE"""),1.03522713814547)</f>
        <v>1.0352271381454701</v>
      </c>
      <c r="V109" s="17">
        <f ca="1">IFERROR(__xludf.DUMMYFUNCTION("""COMPUTED_VALUE"""),0.994617946354854)</f>
        <v>0.99461794635485401</v>
      </c>
      <c r="W109" s="17">
        <f ca="1">IFERROR(__xludf.DUMMYFUNCTION("""COMPUTED_VALUE"""),0.93066989975897)</f>
        <v>0.93066989975896997</v>
      </c>
      <c r="X109" s="17">
        <f ca="1">IFERROR(__xludf.DUMMYFUNCTION("""COMPUTED_VALUE"""),0.895273702519575)</f>
        <v>0.89527370251957505</v>
      </c>
      <c r="Y109" s="17">
        <f ca="1">IFERROR(__xludf.DUMMYFUNCTION("""COMPUTED_VALUE"""),0.822162423139145)</f>
        <v>0.822162423139145</v>
      </c>
      <c r="Z109" s="17">
        <f ca="1">IFERROR(__xludf.DUMMYFUNCTION("""COMPUTED_VALUE"""),1.01830889165378)</f>
        <v>1.0183088916537799</v>
      </c>
      <c r="AA109" s="17">
        <f ca="1">IFERROR(__xludf.DUMMYFUNCTION("""COMPUTED_VALUE"""),0.780647818764152)</f>
        <v>0.78064781876415201</v>
      </c>
      <c r="AB109" s="17">
        <f ca="1">IFERROR(__xludf.DUMMYFUNCTION("""COMPUTED_VALUE"""),1.55341423339467)</f>
        <v>1.5534142333946701</v>
      </c>
      <c r="AC109" s="17">
        <f ca="1">IFERROR(__xludf.DUMMYFUNCTION("""COMPUTED_VALUE"""),0.989791608906606)</f>
        <v>0.989791608906606</v>
      </c>
      <c r="AD109" s="17">
        <f ca="1">IFERROR(__xludf.DUMMYFUNCTION("""COMPUTED_VALUE"""),0.96629215280428)</f>
        <v>0.96629215280428005</v>
      </c>
      <c r="AE109" s="17">
        <f ca="1">IFERROR(__xludf.DUMMYFUNCTION("""COMPUTED_VALUE"""),1.34132789550965)</f>
        <v>1.3413278955096499</v>
      </c>
      <c r="AF109" s="17">
        <f ca="1">IFERROR(__xludf.DUMMYFUNCTION("""COMPUTED_VALUE"""),1.18816587711911)</f>
        <v>1.1881658771191099</v>
      </c>
      <c r="AG109" s="17">
        <f ca="1">IFERROR(__xludf.DUMMYFUNCTION("""COMPUTED_VALUE"""),1.1462255229655)</f>
        <v>1.1462255229655001</v>
      </c>
      <c r="AH109" s="17">
        <f ca="1">IFERROR(__xludf.DUMMYFUNCTION("""COMPUTED_VALUE"""),0.748144797310276)</f>
        <v>0.74814479731027606</v>
      </c>
      <c r="AI109" s="17">
        <f ca="1">IFERROR(__xludf.DUMMYFUNCTION("""COMPUTED_VALUE"""),0.753263932494765)</f>
        <v>0.75326393249476498</v>
      </c>
      <c r="AJ109" s="17">
        <f ca="1">IFERROR(__xludf.DUMMYFUNCTION("""COMPUTED_VALUE"""),0.941061642838238)</f>
        <v>0.94106164283823801</v>
      </c>
    </row>
    <row r="110" spans="2:36" ht="15.75" customHeight="1" x14ac:dyDescent="0.45">
      <c r="B110" s="10" t="str">
        <f ca="1">IFERROR(__xludf.DUMMYFUNCTION("""COMPUTED_VALUE"""),"Colposcopy")</f>
        <v>Colposcopy</v>
      </c>
      <c r="C110" s="10" t="str">
        <f ca="1">IFERROR(__xludf.DUMMYFUNCTION("""COMPUTED_VALUE"""),"aligned_series")</f>
        <v>aligned_series</v>
      </c>
      <c r="D110" s="10">
        <f ca="1">IFERROR(__xludf.DUMMYFUNCTION("""COMPUTED_VALUE"""),0.6)</f>
        <v>0.6</v>
      </c>
      <c r="E110" s="17">
        <f ca="1">IFERROR(__xludf.DUMMYFUNCTION("""COMPUTED_VALUE"""),1.13565461290204)</f>
        <v>1.13565461290204</v>
      </c>
      <c r="F110" s="17">
        <f ca="1">IFERROR(__xludf.DUMMYFUNCTION("""COMPUTED_VALUE"""),0.918377951161472)</f>
        <v>0.91837795116147203</v>
      </c>
      <c r="G110" s="17">
        <f ca="1">IFERROR(__xludf.DUMMYFUNCTION("""COMPUTED_VALUE"""),0.945122970508661)</f>
        <v>0.94512297050866101</v>
      </c>
      <c r="H110" s="17">
        <f ca="1">IFERROR(__xludf.DUMMYFUNCTION("""COMPUTED_VALUE"""),2.26438272862242)</f>
        <v>2.2643827286224201</v>
      </c>
      <c r="I110" s="17">
        <f ca="1">IFERROR(__xludf.DUMMYFUNCTION("""COMPUTED_VALUE"""),0.964129650976229)</f>
        <v>0.96412965097622905</v>
      </c>
      <c r="J110" s="17">
        <f ca="1">IFERROR(__xludf.DUMMYFUNCTION("""COMPUTED_VALUE"""),1.20037259825381)</f>
        <v>1.20037259825381</v>
      </c>
      <c r="K110" s="17" t="str">
        <f ca="1">IFERROR(__xludf.DUMMYFUNCTION("""COMPUTED_VALUE"""),"nan")</f>
        <v>nan</v>
      </c>
      <c r="L110" s="17">
        <f ca="1">IFERROR(__xludf.DUMMYFUNCTION("""COMPUTED_VALUE"""),0.961980918222587)</f>
        <v>0.96198091822258702</v>
      </c>
      <c r="M110" s="17">
        <f ca="1">IFERROR(__xludf.DUMMYFUNCTION("""COMPUTED_VALUE"""),0.907763940191692)</f>
        <v>0.90776394019169204</v>
      </c>
      <c r="N110" s="17">
        <f ca="1">IFERROR(__xludf.DUMMYFUNCTION("""COMPUTED_VALUE"""),1.05972005856162)</f>
        <v>1.05972005856162</v>
      </c>
      <c r="O110" s="17">
        <f ca="1">IFERROR(__xludf.DUMMYFUNCTION("""COMPUTED_VALUE"""),0.87971148096893)</f>
        <v>0.87971148096893004</v>
      </c>
      <c r="P110" s="17">
        <f ca="1">IFERROR(__xludf.DUMMYFUNCTION("""COMPUTED_VALUE"""),1.30935280915867)</f>
        <v>1.3093528091586699</v>
      </c>
      <c r="Q110" s="17">
        <f ca="1">IFERROR(__xludf.DUMMYFUNCTION("""COMPUTED_VALUE"""),1.32876412016953)</f>
        <v>1.3287641201695299</v>
      </c>
      <c r="R110" s="17">
        <f ca="1">IFERROR(__xludf.DUMMYFUNCTION("""COMPUTED_VALUE"""),1.11204950354149)</f>
        <v>1.1120495035414899</v>
      </c>
      <c r="S110" s="17">
        <f ca="1">IFERROR(__xludf.DUMMYFUNCTION("""COMPUTED_VALUE"""),1.23913740697965)</f>
        <v>1.2391374069796499</v>
      </c>
      <c r="T110" s="17">
        <f ca="1">IFERROR(__xludf.DUMMYFUNCTION("""COMPUTED_VALUE"""),0.975322741611521)</f>
        <v>0.97532274161152099</v>
      </c>
      <c r="U110" s="17">
        <f ca="1">IFERROR(__xludf.DUMMYFUNCTION("""COMPUTED_VALUE"""),0.887484551754864)</f>
        <v>0.88748455175486396</v>
      </c>
      <c r="V110" s="17">
        <f ca="1">IFERROR(__xludf.DUMMYFUNCTION("""COMPUTED_VALUE"""),1.09321287619221)</f>
        <v>1.09321287619221</v>
      </c>
      <c r="W110" s="17">
        <f ca="1">IFERROR(__xludf.DUMMYFUNCTION("""COMPUTED_VALUE"""),0.897973534658218)</f>
        <v>0.89797353465821805</v>
      </c>
      <c r="X110" s="17">
        <f ca="1">IFERROR(__xludf.DUMMYFUNCTION("""COMPUTED_VALUE"""),0.930260158880126)</f>
        <v>0.93026015888012603</v>
      </c>
      <c r="Y110" s="17">
        <f ca="1">IFERROR(__xludf.DUMMYFUNCTION("""COMPUTED_VALUE"""),0.846880446835528)</f>
        <v>0.84688044683552799</v>
      </c>
      <c r="Z110" s="17">
        <f ca="1">IFERROR(__xludf.DUMMYFUNCTION("""COMPUTED_VALUE"""),0.998334042549481)</f>
        <v>0.99833404254948099</v>
      </c>
      <c r="AA110" s="17">
        <f ca="1">IFERROR(__xludf.DUMMYFUNCTION("""COMPUTED_VALUE"""),0.802764809870849)</f>
        <v>0.80276480987084897</v>
      </c>
      <c r="AB110" s="17">
        <f ca="1">IFERROR(__xludf.DUMMYFUNCTION("""COMPUTED_VALUE"""),1.66079552371932)</f>
        <v>1.6607955237193199</v>
      </c>
      <c r="AC110" s="17">
        <f ca="1">IFERROR(__xludf.DUMMYFUNCTION("""COMPUTED_VALUE"""),0.901431427216706)</f>
        <v>0.90143142721670599</v>
      </c>
      <c r="AD110" s="17">
        <f ca="1">IFERROR(__xludf.DUMMYFUNCTION("""COMPUTED_VALUE"""),0.960087253428857)</f>
        <v>0.96008725342885703</v>
      </c>
      <c r="AE110" s="17">
        <f ca="1">IFERROR(__xludf.DUMMYFUNCTION("""COMPUTED_VALUE"""),1.29289581132253)</f>
        <v>1.29289581132253</v>
      </c>
      <c r="AF110" s="17">
        <f ca="1">IFERROR(__xludf.DUMMYFUNCTION("""COMPUTED_VALUE"""),1.26961933546304)</f>
        <v>1.2696193354630401</v>
      </c>
      <c r="AG110" s="17">
        <f ca="1">IFERROR(__xludf.DUMMYFUNCTION("""COMPUTED_VALUE"""),1.11572074137661)</f>
        <v>1.1157207413766099</v>
      </c>
      <c r="AH110" s="17">
        <f ca="1">IFERROR(__xludf.DUMMYFUNCTION("""COMPUTED_VALUE"""),0.76655155338769)</f>
        <v>0.76655155338768999</v>
      </c>
      <c r="AI110" s="17">
        <f ca="1">IFERROR(__xludf.DUMMYFUNCTION("""COMPUTED_VALUE"""),0.763150486922001)</f>
        <v>0.76315048692200105</v>
      </c>
      <c r="AJ110" s="17">
        <f ca="1">IFERROR(__xludf.DUMMYFUNCTION("""COMPUTED_VALUE"""),1.00393343181156)</f>
        <v>1.00393343181156</v>
      </c>
    </row>
    <row r="111" spans="2:36" ht="15.75" customHeight="1" x14ac:dyDescent="0.45">
      <c r="B111" s="10" t="str">
        <f ca="1">IFERROR(__xludf.DUMMYFUNCTION("""COMPUTED_VALUE"""),"Colposcopy")</f>
        <v>Colposcopy</v>
      </c>
      <c r="C111" s="10" t="str">
        <f ca="1">IFERROR(__xludf.DUMMYFUNCTION("""COMPUTED_VALUE"""),"aligned_series")</f>
        <v>aligned_series</v>
      </c>
      <c r="D111" s="10">
        <f ca="1">IFERROR(__xludf.DUMMYFUNCTION("""COMPUTED_VALUE"""),0.8)</f>
        <v>0.8</v>
      </c>
      <c r="E111" s="17">
        <f ca="1">IFERROR(__xludf.DUMMYFUNCTION("""COMPUTED_VALUE"""),1.15252092531846)</f>
        <v>1.1525209253184601</v>
      </c>
      <c r="F111" s="17">
        <f ca="1">IFERROR(__xludf.DUMMYFUNCTION("""COMPUTED_VALUE"""),0.95631392699966)</f>
        <v>0.95631392699966</v>
      </c>
      <c r="G111" s="17">
        <f ca="1">IFERROR(__xludf.DUMMYFUNCTION("""COMPUTED_VALUE"""),1.00998626799663)</f>
        <v>1.00998626799663</v>
      </c>
      <c r="H111" s="17">
        <f ca="1">IFERROR(__xludf.DUMMYFUNCTION("""COMPUTED_VALUE"""),2.78220949616033)</f>
        <v>2.7822094961603301</v>
      </c>
      <c r="I111" s="17">
        <f ca="1">IFERROR(__xludf.DUMMYFUNCTION("""COMPUTED_VALUE"""),1.05495608259693)</f>
        <v>1.05495608259693</v>
      </c>
      <c r="J111" s="17">
        <f ca="1">IFERROR(__xludf.DUMMYFUNCTION("""COMPUTED_VALUE"""),1.34922576993108)</f>
        <v>1.3492257699310799</v>
      </c>
      <c r="K111" s="17" t="str">
        <f ca="1">IFERROR(__xludf.DUMMYFUNCTION("""COMPUTED_VALUE"""),"nan")</f>
        <v>nan</v>
      </c>
      <c r="L111" s="17">
        <f ca="1">IFERROR(__xludf.DUMMYFUNCTION("""COMPUTED_VALUE"""),1.0383175781892)</f>
        <v>1.0383175781892</v>
      </c>
      <c r="M111" s="17">
        <f ca="1">IFERROR(__xludf.DUMMYFUNCTION("""COMPUTED_VALUE"""),1.06809519819898)</f>
        <v>1.0680951981989799</v>
      </c>
      <c r="N111" s="17">
        <f ca="1">IFERROR(__xludf.DUMMYFUNCTION("""COMPUTED_VALUE"""),1.07571107009035)</f>
        <v>1.0757110700903501</v>
      </c>
      <c r="O111" s="17">
        <f ca="1">IFERROR(__xludf.DUMMYFUNCTION("""COMPUTED_VALUE"""),0.833681071382027)</f>
        <v>0.83368107138202696</v>
      </c>
      <c r="P111" s="17">
        <f ca="1">IFERROR(__xludf.DUMMYFUNCTION("""COMPUTED_VALUE"""),1.32028528442591)</f>
        <v>1.3202852844259101</v>
      </c>
      <c r="Q111" s="17">
        <f ca="1">IFERROR(__xludf.DUMMYFUNCTION("""COMPUTED_VALUE"""),1.27520497357012)</f>
        <v>1.2752049735701201</v>
      </c>
      <c r="R111" s="17">
        <f ca="1">IFERROR(__xludf.DUMMYFUNCTION("""COMPUTED_VALUE"""),1.21576702615064)</f>
        <v>1.2157670261506399</v>
      </c>
      <c r="S111" s="17">
        <f ca="1">IFERROR(__xludf.DUMMYFUNCTION("""COMPUTED_VALUE"""),1.34250683593716)</f>
        <v>1.3425068359371599</v>
      </c>
      <c r="T111" s="17">
        <f ca="1">IFERROR(__xludf.DUMMYFUNCTION("""COMPUTED_VALUE"""),0.944146267586241)</f>
        <v>0.94414626758624098</v>
      </c>
      <c r="U111" s="17">
        <f ca="1">IFERROR(__xludf.DUMMYFUNCTION("""COMPUTED_VALUE"""),0.919281093099398)</f>
        <v>0.91928109309939798</v>
      </c>
      <c r="V111" s="17">
        <f ca="1">IFERROR(__xludf.DUMMYFUNCTION("""COMPUTED_VALUE"""),1.09120126991572)</f>
        <v>1.0912012699157201</v>
      </c>
      <c r="W111" s="17">
        <f ca="1">IFERROR(__xludf.DUMMYFUNCTION("""COMPUTED_VALUE"""),0.905697648725973)</f>
        <v>0.90569764872597303</v>
      </c>
      <c r="X111" s="17">
        <f ca="1">IFERROR(__xludf.DUMMYFUNCTION("""COMPUTED_VALUE"""),0.982471554782986)</f>
        <v>0.98247155478298598</v>
      </c>
      <c r="Y111" s="17">
        <f ca="1">IFERROR(__xludf.DUMMYFUNCTION("""COMPUTED_VALUE"""),0.887793323474511)</f>
        <v>0.88779332347451101</v>
      </c>
      <c r="Z111" s="17">
        <f ca="1">IFERROR(__xludf.DUMMYFUNCTION("""COMPUTED_VALUE"""),1.00372043253701)</f>
        <v>1.0037204325370099</v>
      </c>
      <c r="AA111" s="17">
        <f ca="1">IFERROR(__xludf.DUMMYFUNCTION("""COMPUTED_VALUE"""),0.794057824679952)</f>
        <v>0.79405782467995201</v>
      </c>
      <c r="AB111" s="17">
        <f ca="1">IFERROR(__xludf.DUMMYFUNCTION("""COMPUTED_VALUE"""),2.28298623041401)</f>
        <v>2.2829862304140098</v>
      </c>
      <c r="AC111" s="17">
        <f ca="1">IFERROR(__xludf.DUMMYFUNCTION("""COMPUTED_VALUE"""),0.916167510855304)</f>
        <v>0.91616751085530401</v>
      </c>
      <c r="AD111" s="17">
        <f ca="1">IFERROR(__xludf.DUMMYFUNCTION("""COMPUTED_VALUE"""),0.977585824130591)</f>
        <v>0.97758582413059103</v>
      </c>
      <c r="AE111" s="17">
        <f ca="1">IFERROR(__xludf.DUMMYFUNCTION("""COMPUTED_VALUE"""),1.3078150026592)</f>
        <v>1.3078150026591999</v>
      </c>
      <c r="AF111" s="17">
        <f ca="1">IFERROR(__xludf.DUMMYFUNCTION("""COMPUTED_VALUE"""),1.2694415596239)</f>
        <v>1.2694415596238999</v>
      </c>
      <c r="AG111" s="17">
        <f ca="1">IFERROR(__xludf.DUMMYFUNCTION("""COMPUTED_VALUE"""),1.15802651551002)</f>
        <v>1.15802651551002</v>
      </c>
      <c r="AH111" s="17">
        <f ca="1">IFERROR(__xludf.DUMMYFUNCTION("""COMPUTED_VALUE"""),0.789452485996756)</f>
        <v>0.78945248599675599</v>
      </c>
      <c r="AI111" s="17">
        <f ca="1">IFERROR(__xludf.DUMMYFUNCTION("""COMPUTED_VALUE"""),0.788875370861947)</f>
        <v>0.78887537086194703</v>
      </c>
      <c r="AJ111" s="17">
        <f ca="1">IFERROR(__xludf.DUMMYFUNCTION("""COMPUTED_VALUE"""),1.02879198726401)</f>
        <v>1.0287919872640101</v>
      </c>
    </row>
    <row r="112" spans="2:36" ht="15.75" customHeight="1" x14ac:dyDescent="0.45">
      <c r="B112" s="10" t="str">
        <f ca="1">IFERROR(__xludf.DUMMYFUNCTION("""COMPUTED_VALUE"""),"Colposcopy")</f>
        <v>Colposcopy</v>
      </c>
      <c r="C112" s="10" t="str">
        <f ca="1">IFERROR(__xludf.DUMMYFUNCTION("""COMPUTED_VALUE"""),"aligned_timestamps")</f>
        <v>aligned_timestamps</v>
      </c>
      <c r="D112" s="10">
        <f ca="1">IFERROR(__xludf.DUMMYFUNCTION("""COMPUTED_VALUE"""),0.1)</f>
        <v>0.1</v>
      </c>
      <c r="E112" s="17">
        <f ca="1">IFERROR(__xludf.DUMMYFUNCTION("""COMPUTED_VALUE"""),1.21283462918268)</f>
        <v>1.2128346291826799</v>
      </c>
      <c r="F112" s="17">
        <f ca="1">IFERROR(__xludf.DUMMYFUNCTION("""COMPUTED_VALUE"""),0.954119105134459)</f>
        <v>0.95411910513445897</v>
      </c>
      <c r="G112" s="17">
        <f ca="1">IFERROR(__xludf.DUMMYFUNCTION("""COMPUTED_VALUE"""),0.97424735766571)</f>
        <v>0.97424735766571002</v>
      </c>
      <c r="H112" s="17">
        <f ca="1">IFERROR(__xludf.DUMMYFUNCTION("""COMPUTED_VALUE"""),0.973868259796254)</f>
        <v>0.97386825979625402</v>
      </c>
      <c r="I112" s="17">
        <f ca="1">IFERROR(__xludf.DUMMYFUNCTION("""COMPUTED_VALUE"""),0.924952242988279)</f>
        <v>0.92495224298827905</v>
      </c>
      <c r="J112" s="17">
        <f ca="1">IFERROR(__xludf.DUMMYFUNCTION("""COMPUTED_VALUE"""),0.987575603812901)</f>
        <v>0.98757560381290099</v>
      </c>
      <c r="K112" s="17" t="str">
        <f ca="1">IFERROR(__xludf.DUMMYFUNCTION("""COMPUTED_VALUE"""),"nan")</f>
        <v>nan</v>
      </c>
      <c r="L112" s="17">
        <f ca="1">IFERROR(__xludf.DUMMYFUNCTION("""COMPUTED_VALUE"""),0.963540049729964)</f>
        <v>0.96354004972996399</v>
      </c>
      <c r="M112" s="17">
        <f ca="1">IFERROR(__xludf.DUMMYFUNCTION("""COMPUTED_VALUE"""),0.890216749028901)</f>
        <v>0.89021674902890102</v>
      </c>
      <c r="N112" s="17">
        <f ca="1">IFERROR(__xludf.DUMMYFUNCTION("""COMPUTED_VALUE"""),1.04049297855156)</f>
        <v>1.04049297855156</v>
      </c>
      <c r="O112" s="17">
        <f ca="1">IFERROR(__xludf.DUMMYFUNCTION("""COMPUTED_VALUE"""),0.867123097695303)</f>
        <v>0.86712309769530305</v>
      </c>
      <c r="P112" s="17">
        <f ca="1">IFERROR(__xludf.DUMMYFUNCTION("""COMPUTED_VALUE"""),1.17076689869604)</f>
        <v>1.17076689869604</v>
      </c>
      <c r="Q112" s="17">
        <f ca="1">IFERROR(__xludf.DUMMYFUNCTION("""COMPUTED_VALUE"""),1.66018374707806)</f>
        <v>1.66018374707806</v>
      </c>
      <c r="R112" s="17">
        <f ca="1">IFERROR(__xludf.DUMMYFUNCTION("""COMPUTED_VALUE"""),1.001689825627)</f>
        <v>1.0016898256269999</v>
      </c>
      <c r="S112" s="17">
        <f ca="1">IFERROR(__xludf.DUMMYFUNCTION("""COMPUTED_VALUE"""),1.04746624687125)</f>
        <v>1.0474662468712499</v>
      </c>
      <c r="T112" s="17">
        <f ca="1">IFERROR(__xludf.DUMMYFUNCTION("""COMPUTED_VALUE"""),0.877926034975515)</f>
        <v>0.87792603497551502</v>
      </c>
      <c r="U112" s="17">
        <f ca="1">IFERROR(__xludf.DUMMYFUNCTION("""COMPUTED_VALUE"""),1.09274974318859)</f>
        <v>1.09274974318859</v>
      </c>
      <c r="V112" s="17">
        <f ca="1">IFERROR(__xludf.DUMMYFUNCTION("""COMPUTED_VALUE"""),0.881892217242215)</f>
        <v>0.881892217242215</v>
      </c>
      <c r="W112" s="17">
        <f ca="1">IFERROR(__xludf.DUMMYFUNCTION("""COMPUTED_VALUE"""),0.835366618694818)</f>
        <v>0.83536661869481799</v>
      </c>
      <c r="X112" s="17">
        <f ca="1">IFERROR(__xludf.DUMMYFUNCTION("""COMPUTED_VALUE"""),0.942266511211755)</f>
        <v>0.94226651121175498</v>
      </c>
      <c r="Y112" s="17">
        <f ca="1">IFERROR(__xludf.DUMMYFUNCTION("""COMPUTED_VALUE"""),0.856244429061083)</f>
        <v>0.856244429061083</v>
      </c>
      <c r="Z112" s="17">
        <f ca="1">IFERROR(__xludf.DUMMYFUNCTION("""COMPUTED_VALUE"""),0.906895429903805)</f>
        <v>0.90689542990380501</v>
      </c>
      <c r="AA112" s="17">
        <f ca="1">IFERROR(__xludf.DUMMYFUNCTION("""COMPUTED_VALUE"""),0.789776097729197)</f>
        <v>0.78977609772919699</v>
      </c>
      <c r="AB112" s="17">
        <f ca="1">IFERROR(__xludf.DUMMYFUNCTION("""COMPUTED_VALUE"""),1.29466556618914)</f>
        <v>1.29466556618914</v>
      </c>
      <c r="AC112" s="17">
        <f ca="1">IFERROR(__xludf.DUMMYFUNCTION("""COMPUTED_VALUE"""),0.825040302151464)</f>
        <v>0.82504030215146396</v>
      </c>
      <c r="AD112" s="17">
        <f ca="1">IFERROR(__xludf.DUMMYFUNCTION("""COMPUTED_VALUE"""),0.847263371598396)</f>
        <v>0.84726337159839604</v>
      </c>
      <c r="AE112" s="17">
        <f ca="1">IFERROR(__xludf.DUMMYFUNCTION("""COMPUTED_VALUE"""),1.11041439477096)</f>
        <v>1.1104143947709599</v>
      </c>
      <c r="AF112" s="17">
        <f ca="1">IFERROR(__xludf.DUMMYFUNCTION("""COMPUTED_VALUE"""),1.15978285539032)</f>
        <v>1.15978285539032</v>
      </c>
      <c r="AG112" s="17">
        <f ca="1">IFERROR(__xludf.DUMMYFUNCTION("""COMPUTED_VALUE"""),1.10061717522671)</f>
        <v>1.10061717522671</v>
      </c>
      <c r="AH112" s="17">
        <f ca="1">IFERROR(__xludf.DUMMYFUNCTION("""COMPUTED_VALUE"""),0.754769237517517)</f>
        <v>0.75476923751751701</v>
      </c>
      <c r="AI112" s="17">
        <f ca="1">IFERROR(__xludf.DUMMYFUNCTION("""COMPUTED_VALUE"""),0.886798664622023)</f>
        <v>0.88679866462202295</v>
      </c>
      <c r="AJ112" s="17">
        <f ca="1">IFERROR(__xludf.DUMMYFUNCTION("""COMPUTED_VALUE"""),0.881678658333203)</f>
        <v>0.88167865833320302</v>
      </c>
    </row>
    <row r="113" spans="2:36" ht="15.75" customHeight="1" x14ac:dyDescent="0.45">
      <c r="B113" s="10" t="str">
        <f ca="1">IFERROR(__xludf.DUMMYFUNCTION("""COMPUTED_VALUE"""),"Colposcopy")</f>
        <v>Colposcopy</v>
      </c>
      <c r="C113" s="10" t="str">
        <f ca="1">IFERROR(__xludf.DUMMYFUNCTION("""COMPUTED_VALUE"""),"aligned_timestamps")</f>
        <v>aligned_timestamps</v>
      </c>
      <c r="D113" s="10">
        <f ca="1">IFERROR(__xludf.DUMMYFUNCTION("""COMPUTED_VALUE"""),0.2)</f>
        <v>0.2</v>
      </c>
      <c r="E113" s="17">
        <f ca="1">IFERROR(__xludf.DUMMYFUNCTION("""COMPUTED_VALUE"""),1.09771977158211)</f>
        <v>1.0977197715821101</v>
      </c>
      <c r="F113" s="17">
        <f ca="1">IFERROR(__xludf.DUMMYFUNCTION("""COMPUTED_VALUE"""),0.902624375956661)</f>
        <v>0.90262437595666101</v>
      </c>
      <c r="G113" s="17">
        <f ca="1">IFERROR(__xludf.DUMMYFUNCTION("""COMPUTED_VALUE"""),0.917988015469446)</f>
        <v>0.91798801546944597</v>
      </c>
      <c r="H113" s="17">
        <f ca="1">IFERROR(__xludf.DUMMYFUNCTION("""COMPUTED_VALUE"""),0.976430313932087)</f>
        <v>0.97643031393208701</v>
      </c>
      <c r="I113" s="17">
        <f ca="1">IFERROR(__xludf.DUMMYFUNCTION("""COMPUTED_VALUE"""),0.895729298816018)</f>
        <v>0.89572929881601804</v>
      </c>
      <c r="J113" s="17">
        <f ca="1">IFERROR(__xludf.DUMMYFUNCTION("""COMPUTED_VALUE"""),0.938923667106032)</f>
        <v>0.93892366710603203</v>
      </c>
      <c r="K113" s="17" t="str">
        <f ca="1">IFERROR(__xludf.DUMMYFUNCTION("""COMPUTED_VALUE"""),"nan")</f>
        <v>nan</v>
      </c>
      <c r="L113" s="17">
        <f ca="1">IFERROR(__xludf.DUMMYFUNCTION("""COMPUTED_VALUE"""),1.00510414437977)</f>
        <v>1.0051041443797699</v>
      </c>
      <c r="M113" s="17">
        <f ca="1">IFERROR(__xludf.DUMMYFUNCTION("""COMPUTED_VALUE"""),0.905636247601146)</f>
        <v>0.90563624760114603</v>
      </c>
      <c r="N113" s="17">
        <f ca="1">IFERROR(__xludf.DUMMYFUNCTION("""COMPUTED_VALUE"""),1.12884304209663)</f>
        <v>1.12884304209663</v>
      </c>
      <c r="O113" s="17">
        <f ca="1">IFERROR(__xludf.DUMMYFUNCTION("""COMPUTED_VALUE"""),0.901432910120279)</f>
        <v>0.90143291012027904</v>
      </c>
      <c r="P113" s="17">
        <f ca="1">IFERROR(__xludf.DUMMYFUNCTION("""COMPUTED_VALUE"""),1.14261084014215)</f>
        <v>1.14261084014215</v>
      </c>
      <c r="Q113" s="17">
        <f ca="1">IFERROR(__xludf.DUMMYFUNCTION("""COMPUTED_VALUE"""),1.60181708380637)</f>
        <v>1.6018170838063699</v>
      </c>
      <c r="R113" s="17">
        <f ca="1">IFERROR(__xludf.DUMMYFUNCTION("""COMPUTED_VALUE"""),1.03860157270149)</f>
        <v>1.0386015727014899</v>
      </c>
      <c r="S113" s="17">
        <f ca="1">IFERROR(__xludf.DUMMYFUNCTION("""COMPUTED_VALUE"""),1.08282323864587)</f>
        <v>1.08282323864587</v>
      </c>
      <c r="T113" s="17">
        <f ca="1">IFERROR(__xludf.DUMMYFUNCTION("""COMPUTED_VALUE"""),0.994257462928312)</f>
        <v>0.99425746292831196</v>
      </c>
      <c r="U113" s="17">
        <f ca="1">IFERROR(__xludf.DUMMYFUNCTION("""COMPUTED_VALUE"""),0.957474638075654)</f>
        <v>0.95747463807565403</v>
      </c>
      <c r="V113" s="17">
        <f ca="1">IFERROR(__xludf.DUMMYFUNCTION("""COMPUTED_VALUE"""),0.990945495134926)</f>
        <v>0.99094549513492602</v>
      </c>
      <c r="W113" s="17">
        <f ca="1">IFERROR(__xludf.DUMMYFUNCTION("""COMPUTED_VALUE"""),0.957928699209635)</f>
        <v>0.95792869920963497</v>
      </c>
      <c r="X113" s="17">
        <f ca="1">IFERROR(__xludf.DUMMYFUNCTION("""COMPUTED_VALUE"""),0.995779348143373)</f>
        <v>0.99577934814337299</v>
      </c>
      <c r="Y113" s="17">
        <f ca="1">IFERROR(__xludf.DUMMYFUNCTION("""COMPUTED_VALUE"""),0.909103149011569)</f>
        <v>0.90910314901156897</v>
      </c>
      <c r="Z113" s="17">
        <f ca="1">IFERROR(__xludf.DUMMYFUNCTION("""COMPUTED_VALUE"""),1.02208629039115)</f>
        <v>1.0220862903911501</v>
      </c>
      <c r="AA113" s="17">
        <f ca="1">IFERROR(__xludf.DUMMYFUNCTION("""COMPUTED_VALUE"""),0.822404640088221)</f>
        <v>0.82240464008822101</v>
      </c>
      <c r="AB113" s="17">
        <f ca="1">IFERROR(__xludf.DUMMYFUNCTION("""COMPUTED_VALUE"""),1.19134958251208)</f>
        <v>1.1913495825120799</v>
      </c>
      <c r="AC113" s="17">
        <f ca="1">IFERROR(__xludf.DUMMYFUNCTION("""COMPUTED_VALUE"""),0.907006071150761)</f>
        <v>0.90700607115076104</v>
      </c>
      <c r="AD113" s="17">
        <f ca="1">IFERROR(__xludf.DUMMYFUNCTION("""COMPUTED_VALUE"""),0.969483736928048)</f>
        <v>0.96948373692804801</v>
      </c>
      <c r="AE113" s="17">
        <f ca="1">IFERROR(__xludf.DUMMYFUNCTION("""COMPUTED_VALUE"""),1.17806311074188)</f>
        <v>1.17806311074188</v>
      </c>
      <c r="AF113" s="17">
        <f ca="1">IFERROR(__xludf.DUMMYFUNCTION("""COMPUTED_VALUE"""),1.14051272734221)</f>
        <v>1.14051272734221</v>
      </c>
      <c r="AG113" s="17">
        <f ca="1">IFERROR(__xludf.DUMMYFUNCTION("""COMPUTED_VALUE"""),1.24831611589545)</f>
        <v>1.2483161158954501</v>
      </c>
      <c r="AH113" s="17">
        <f ca="1">IFERROR(__xludf.DUMMYFUNCTION("""COMPUTED_VALUE"""),0.813121607542974)</f>
        <v>0.81312160754297402</v>
      </c>
      <c r="AI113" s="17">
        <f ca="1">IFERROR(__xludf.DUMMYFUNCTION("""COMPUTED_VALUE"""),0.819076904091939)</f>
        <v>0.81907690409193901</v>
      </c>
      <c r="AJ113" s="17">
        <f ca="1">IFERROR(__xludf.DUMMYFUNCTION("""COMPUTED_VALUE"""),0.979759036211837)</f>
        <v>0.97975903621183702</v>
      </c>
    </row>
    <row r="114" spans="2:36" ht="15.75" customHeight="1" x14ac:dyDescent="0.45">
      <c r="B114" s="10" t="str">
        <f ca="1">IFERROR(__xludf.DUMMYFUNCTION("""COMPUTED_VALUE"""),"Colposcopy")</f>
        <v>Colposcopy</v>
      </c>
      <c r="C114" s="10" t="str">
        <f ca="1">IFERROR(__xludf.DUMMYFUNCTION("""COMPUTED_VALUE"""),"aligned_timestamps")</f>
        <v>aligned_timestamps</v>
      </c>
      <c r="D114" s="10">
        <f ca="1">IFERROR(__xludf.DUMMYFUNCTION("""COMPUTED_VALUE"""),0.4)</f>
        <v>0.4</v>
      </c>
      <c r="E114" s="17">
        <f ca="1">IFERROR(__xludf.DUMMYFUNCTION("""COMPUTED_VALUE"""),1.00781617576878)</f>
        <v>1.00781617576878</v>
      </c>
      <c r="F114" s="17">
        <f ca="1">IFERROR(__xludf.DUMMYFUNCTION("""COMPUTED_VALUE"""),0.846826514836963)</f>
        <v>0.84682651483696303</v>
      </c>
      <c r="G114" s="17">
        <f ca="1">IFERROR(__xludf.DUMMYFUNCTION("""COMPUTED_VALUE"""),0.857633608546618)</f>
        <v>0.85763360854661796</v>
      </c>
      <c r="H114" s="17">
        <f ca="1">IFERROR(__xludf.DUMMYFUNCTION("""COMPUTED_VALUE"""),0.935254554481092)</f>
        <v>0.93525455448109196</v>
      </c>
      <c r="I114" s="17">
        <f ca="1">IFERROR(__xludf.DUMMYFUNCTION("""COMPUTED_VALUE"""),0.844686129636686)</f>
        <v>0.84468612963668599</v>
      </c>
      <c r="J114" s="17">
        <f ca="1">IFERROR(__xludf.DUMMYFUNCTION("""COMPUTED_VALUE"""),1.34950295321655)</f>
        <v>1.3495029532165499</v>
      </c>
      <c r="K114" s="17" t="str">
        <f ca="1">IFERROR(__xludf.DUMMYFUNCTION("""COMPUTED_VALUE"""),"nan")</f>
        <v>nan</v>
      </c>
      <c r="L114" s="17">
        <f ca="1">IFERROR(__xludf.DUMMYFUNCTION("""COMPUTED_VALUE"""),0.930391333464933)</f>
        <v>0.93039133346493297</v>
      </c>
      <c r="M114" s="17">
        <f ca="1">IFERROR(__xludf.DUMMYFUNCTION("""COMPUTED_VALUE"""),0.849123707742511)</f>
        <v>0.849123707742511</v>
      </c>
      <c r="N114" s="17">
        <f ca="1">IFERROR(__xludf.DUMMYFUNCTION("""COMPUTED_VALUE"""),1.07162945917433)</f>
        <v>1.0716294591743301</v>
      </c>
      <c r="O114" s="17">
        <f ca="1">IFERROR(__xludf.DUMMYFUNCTION("""COMPUTED_VALUE"""),0.951331694264011)</f>
        <v>0.95133169426401099</v>
      </c>
      <c r="P114" s="17">
        <f ca="1">IFERROR(__xludf.DUMMYFUNCTION("""COMPUTED_VALUE"""),1.11786800672559)</f>
        <v>1.1178680067255899</v>
      </c>
      <c r="Q114" s="17">
        <f ca="1">IFERROR(__xludf.DUMMYFUNCTION("""COMPUTED_VALUE"""),1.42393338024731)</f>
        <v>1.42393338024731</v>
      </c>
      <c r="R114" s="17">
        <f ca="1">IFERROR(__xludf.DUMMYFUNCTION("""COMPUTED_VALUE"""),1.05485017793021)</f>
        <v>1.05485017793021</v>
      </c>
      <c r="S114" s="17">
        <f ca="1">IFERROR(__xludf.DUMMYFUNCTION("""COMPUTED_VALUE"""),1.04784474411341)</f>
        <v>1.04784474411341</v>
      </c>
      <c r="T114" s="17">
        <f ca="1">IFERROR(__xludf.DUMMYFUNCTION("""COMPUTED_VALUE"""),1.1090117450197)</f>
        <v>1.1090117450196999</v>
      </c>
      <c r="U114" s="17">
        <f ca="1">IFERROR(__xludf.DUMMYFUNCTION("""COMPUTED_VALUE"""),1.12494820880282)</f>
        <v>1.12494820880282</v>
      </c>
      <c r="V114" s="17">
        <f ca="1">IFERROR(__xludf.DUMMYFUNCTION("""COMPUTED_VALUE"""),1.04755591962795)</f>
        <v>1.04755591962795</v>
      </c>
      <c r="W114" s="17">
        <f ca="1">IFERROR(__xludf.DUMMYFUNCTION("""COMPUTED_VALUE"""),0.916773784902492)</f>
        <v>0.91677378490249195</v>
      </c>
      <c r="X114" s="17">
        <f ca="1">IFERROR(__xludf.DUMMYFUNCTION("""COMPUTED_VALUE"""),0.831148875323651)</f>
        <v>0.831148875323651</v>
      </c>
      <c r="Y114" s="17">
        <f ca="1">IFERROR(__xludf.DUMMYFUNCTION("""COMPUTED_VALUE"""),0.965858568962814)</f>
        <v>0.96585856896281397</v>
      </c>
      <c r="Z114" s="17">
        <f ca="1">IFERROR(__xludf.DUMMYFUNCTION("""COMPUTED_VALUE"""),0.965673854443853)</f>
        <v>0.96567385444385301</v>
      </c>
      <c r="AA114" s="17">
        <f ca="1">IFERROR(__xludf.DUMMYFUNCTION("""COMPUTED_VALUE"""),0.938411787315131)</f>
        <v>0.93841178731513097</v>
      </c>
      <c r="AB114" s="17">
        <f ca="1">IFERROR(__xludf.DUMMYFUNCTION("""COMPUTED_VALUE"""),1.4864751201316)</f>
        <v>1.4864751201316</v>
      </c>
      <c r="AC114" s="17">
        <f ca="1">IFERROR(__xludf.DUMMYFUNCTION("""COMPUTED_VALUE"""),1.00699648277417)</f>
        <v>1.00699648277417</v>
      </c>
      <c r="AD114" s="17">
        <f ca="1">IFERROR(__xludf.DUMMYFUNCTION("""COMPUTED_VALUE"""),0.9520618845846)</f>
        <v>0.95206188458459995</v>
      </c>
      <c r="AE114" s="17">
        <f ca="1">IFERROR(__xludf.DUMMYFUNCTION("""COMPUTED_VALUE"""),1.12404061702883)</f>
        <v>1.12404061702883</v>
      </c>
      <c r="AF114" s="17">
        <f ca="1">IFERROR(__xludf.DUMMYFUNCTION("""COMPUTED_VALUE"""),1.06166907609529)</f>
        <v>1.06166907609529</v>
      </c>
      <c r="AG114" s="17">
        <f ca="1">IFERROR(__xludf.DUMMYFUNCTION("""COMPUTED_VALUE"""),1.01605595656827)</f>
        <v>1.0160559565682701</v>
      </c>
      <c r="AH114" s="17">
        <f ca="1">IFERROR(__xludf.DUMMYFUNCTION("""COMPUTED_VALUE"""),0.941382885332217)</f>
        <v>0.94138288533221703</v>
      </c>
      <c r="AI114" s="17">
        <f ca="1">IFERROR(__xludf.DUMMYFUNCTION("""COMPUTED_VALUE"""),0.955259209458702)</f>
        <v>0.95525920945870202</v>
      </c>
      <c r="AJ114" s="17">
        <f ca="1">IFERROR(__xludf.DUMMYFUNCTION("""COMPUTED_VALUE"""),1.11651520735929)</f>
        <v>1.1165152073592901</v>
      </c>
    </row>
    <row r="115" spans="2:36" ht="15.75" customHeight="1" x14ac:dyDescent="0.45">
      <c r="B115" s="10" t="str">
        <f ca="1">IFERROR(__xludf.DUMMYFUNCTION("""COMPUTED_VALUE"""),"Colposcopy")</f>
        <v>Colposcopy</v>
      </c>
      <c r="C115" s="10" t="str">
        <f ca="1">IFERROR(__xludf.DUMMYFUNCTION("""COMPUTED_VALUE"""),"aligned_timestamps")</f>
        <v>aligned_timestamps</v>
      </c>
      <c r="D115" s="10">
        <f ca="1">IFERROR(__xludf.DUMMYFUNCTION("""COMPUTED_VALUE"""),0.6)</f>
        <v>0.6</v>
      </c>
      <c r="E115" s="17">
        <f ca="1">IFERROR(__xludf.DUMMYFUNCTION("""COMPUTED_VALUE"""),0.96945908086974)</f>
        <v>0.96945908086973998</v>
      </c>
      <c r="F115" s="17">
        <f ca="1">IFERROR(__xludf.DUMMYFUNCTION("""COMPUTED_VALUE"""),0.870192892551835)</f>
        <v>0.87019289255183496</v>
      </c>
      <c r="G115" s="17">
        <f ca="1">IFERROR(__xludf.DUMMYFUNCTION("""COMPUTED_VALUE"""),0.951792467708212)</f>
        <v>0.95179246770821202</v>
      </c>
      <c r="H115" s="17">
        <f ca="1">IFERROR(__xludf.DUMMYFUNCTION("""COMPUTED_VALUE"""),0.906483044660985)</f>
        <v>0.90648304466098495</v>
      </c>
      <c r="I115" s="17">
        <f ca="1">IFERROR(__xludf.DUMMYFUNCTION("""COMPUTED_VALUE"""),0.853999750196643)</f>
        <v>0.85399975019664298</v>
      </c>
      <c r="J115" s="17">
        <f ca="1">IFERROR(__xludf.DUMMYFUNCTION("""COMPUTED_VALUE"""),1.30728132398673)</f>
        <v>1.30728132398673</v>
      </c>
      <c r="K115" s="17" t="str">
        <f ca="1">IFERROR(__xludf.DUMMYFUNCTION("""COMPUTED_VALUE"""),"nan")</f>
        <v>nan</v>
      </c>
      <c r="L115" s="17">
        <f ca="1">IFERROR(__xludf.DUMMYFUNCTION("""COMPUTED_VALUE"""),0.953358636839641)</f>
        <v>0.95335863683964095</v>
      </c>
      <c r="M115" s="17">
        <f ca="1">IFERROR(__xludf.DUMMYFUNCTION("""COMPUTED_VALUE"""),0.993942554841501)</f>
        <v>0.99394255484150096</v>
      </c>
      <c r="N115" s="17">
        <f ca="1">IFERROR(__xludf.DUMMYFUNCTION("""COMPUTED_VALUE"""),1.02191697202782)</f>
        <v>1.0219169720278201</v>
      </c>
      <c r="O115" s="17">
        <f ca="1">IFERROR(__xludf.DUMMYFUNCTION("""COMPUTED_VALUE"""),0.926229914503205)</f>
        <v>0.92622991450320502</v>
      </c>
      <c r="P115" s="17">
        <f ca="1">IFERROR(__xludf.DUMMYFUNCTION("""COMPUTED_VALUE"""),1.14515910499526)</f>
        <v>1.1451591049952601</v>
      </c>
      <c r="Q115" s="17">
        <f ca="1">IFERROR(__xludf.DUMMYFUNCTION("""COMPUTED_VALUE"""),1.3471209809485)</f>
        <v>1.3471209809485001</v>
      </c>
      <c r="R115" s="17">
        <f ca="1">IFERROR(__xludf.DUMMYFUNCTION("""COMPUTED_VALUE"""),1.10620666688309)</f>
        <v>1.1062066668830901</v>
      </c>
      <c r="S115" s="17">
        <f ca="1">IFERROR(__xludf.DUMMYFUNCTION("""COMPUTED_VALUE"""),1.07522567509992)</f>
        <v>1.0752256750999201</v>
      </c>
      <c r="T115" s="17">
        <f ca="1">IFERROR(__xludf.DUMMYFUNCTION("""COMPUTED_VALUE"""),1.03260076843849)</f>
        <v>1.0326007684384899</v>
      </c>
      <c r="U115" s="17">
        <f ca="1">IFERROR(__xludf.DUMMYFUNCTION("""COMPUTED_VALUE"""),1.19571827203299)</f>
        <v>1.19571827203299</v>
      </c>
      <c r="V115" s="17">
        <f ca="1">IFERROR(__xludf.DUMMYFUNCTION("""COMPUTED_VALUE"""),1.07276296573367)</f>
        <v>1.0727629657336699</v>
      </c>
      <c r="W115" s="17">
        <f ca="1">IFERROR(__xludf.DUMMYFUNCTION("""COMPUTED_VALUE"""),0.91568699725163)</f>
        <v>0.91568699725163005</v>
      </c>
      <c r="X115" s="17">
        <f ca="1">IFERROR(__xludf.DUMMYFUNCTION("""COMPUTED_VALUE"""),0.843636362246289)</f>
        <v>0.84363636224628902</v>
      </c>
      <c r="Y115" s="17">
        <f ca="1">IFERROR(__xludf.DUMMYFUNCTION("""COMPUTED_VALUE"""),1.02900082486805)</f>
        <v>1.02900082486805</v>
      </c>
      <c r="Z115" s="17">
        <f ca="1">IFERROR(__xludf.DUMMYFUNCTION("""COMPUTED_VALUE"""),0.920677168613445)</f>
        <v>0.92067716861344495</v>
      </c>
      <c r="AA115" s="17">
        <f ca="1">IFERROR(__xludf.DUMMYFUNCTION("""COMPUTED_VALUE"""),1.12158425507805)</f>
        <v>1.1215842550780499</v>
      </c>
      <c r="AB115" s="17">
        <f ca="1">IFERROR(__xludf.DUMMYFUNCTION("""COMPUTED_VALUE"""),1.57056008869251)</f>
        <v>1.57056008869251</v>
      </c>
      <c r="AC115" s="17">
        <f ca="1">IFERROR(__xludf.DUMMYFUNCTION("""COMPUTED_VALUE"""),0.948863826685427)</f>
        <v>0.94886382668542701</v>
      </c>
      <c r="AD115" s="17">
        <f ca="1">IFERROR(__xludf.DUMMYFUNCTION("""COMPUTED_VALUE"""),0.972702593647115)</f>
        <v>0.97270259364711498</v>
      </c>
      <c r="AE115" s="17">
        <f ca="1">IFERROR(__xludf.DUMMYFUNCTION("""COMPUTED_VALUE"""),1.30426744690692)</f>
        <v>1.30426744690692</v>
      </c>
      <c r="AF115" s="17">
        <f ca="1">IFERROR(__xludf.DUMMYFUNCTION("""COMPUTED_VALUE"""),1.17218001234454)</f>
        <v>1.1721800123445401</v>
      </c>
      <c r="AG115" s="17">
        <f ca="1">IFERROR(__xludf.DUMMYFUNCTION("""COMPUTED_VALUE"""),1.01715258585041)</f>
        <v>1.01715258585041</v>
      </c>
      <c r="AH115" s="17">
        <f ca="1">IFERROR(__xludf.DUMMYFUNCTION("""COMPUTED_VALUE"""),0.894675284222216)</f>
        <v>0.89467528422221598</v>
      </c>
      <c r="AI115" s="17">
        <f ca="1">IFERROR(__xludf.DUMMYFUNCTION("""COMPUTED_VALUE"""),0.903214276158006)</f>
        <v>0.90321427615800598</v>
      </c>
      <c r="AJ115" s="17">
        <f ca="1">IFERROR(__xludf.DUMMYFUNCTION("""COMPUTED_VALUE"""),1.00797464406225)</f>
        <v>1.0079746440622499</v>
      </c>
    </row>
    <row r="116" spans="2:36" ht="15.75" customHeight="1" x14ac:dyDescent="0.45">
      <c r="B116" s="10" t="str">
        <f ca="1">IFERROR(__xludf.DUMMYFUNCTION("""COMPUTED_VALUE"""),"Colposcopy")</f>
        <v>Colposcopy</v>
      </c>
      <c r="C116" s="10" t="str">
        <f ca="1">IFERROR(__xludf.DUMMYFUNCTION("""COMPUTED_VALUE"""),"aligned_timestamps")</f>
        <v>aligned_timestamps</v>
      </c>
      <c r="D116" s="10">
        <f ca="1">IFERROR(__xludf.DUMMYFUNCTION("""COMPUTED_VALUE"""),0.8)</f>
        <v>0.8</v>
      </c>
      <c r="E116" s="17">
        <f ca="1">IFERROR(__xludf.DUMMYFUNCTION("""COMPUTED_VALUE"""),0.924815872850943)</f>
        <v>0.92481587285094302</v>
      </c>
      <c r="F116" s="17">
        <f ca="1">IFERROR(__xludf.DUMMYFUNCTION("""COMPUTED_VALUE"""),0.924181136596082)</f>
        <v>0.92418113659608203</v>
      </c>
      <c r="G116" s="17">
        <f ca="1">IFERROR(__xludf.DUMMYFUNCTION("""COMPUTED_VALUE"""),1.07762621457205)</f>
        <v>1.0776262145720501</v>
      </c>
      <c r="H116" s="17">
        <f ca="1">IFERROR(__xludf.DUMMYFUNCTION("""COMPUTED_VALUE"""),0.921492960854995)</f>
        <v>0.92149296085499499</v>
      </c>
      <c r="I116" s="17">
        <f ca="1">IFERROR(__xludf.DUMMYFUNCTION("""COMPUTED_VALUE"""),0.836727406976684)</f>
        <v>0.83672740697668402</v>
      </c>
      <c r="J116" s="17">
        <f ca="1">IFERROR(__xludf.DUMMYFUNCTION("""COMPUTED_VALUE"""),1.42669842831167)</f>
        <v>1.4266984283116699</v>
      </c>
      <c r="K116" s="17" t="str">
        <f ca="1">IFERROR(__xludf.DUMMYFUNCTION("""COMPUTED_VALUE"""),"nan")</f>
        <v>nan</v>
      </c>
      <c r="L116" s="17">
        <f ca="1">IFERROR(__xludf.DUMMYFUNCTION("""COMPUTED_VALUE"""),0.941526235330513)</f>
        <v>0.94152623533051305</v>
      </c>
      <c r="M116" s="17">
        <f ca="1">IFERROR(__xludf.DUMMYFUNCTION("""COMPUTED_VALUE"""),1.06484338433781)</f>
        <v>1.06484338433781</v>
      </c>
      <c r="N116" s="17">
        <f ca="1">IFERROR(__xludf.DUMMYFUNCTION("""COMPUTED_VALUE"""),1.06653688537795)</f>
        <v>1.06653688537795</v>
      </c>
      <c r="O116" s="17">
        <f ca="1">IFERROR(__xludf.DUMMYFUNCTION("""COMPUTED_VALUE"""),0.944245835396869)</f>
        <v>0.94424583539686902</v>
      </c>
      <c r="P116" s="17">
        <f ca="1">IFERROR(__xludf.DUMMYFUNCTION("""COMPUTED_VALUE"""),1.28650982964403)</f>
        <v>1.28650982964403</v>
      </c>
      <c r="Q116" s="17">
        <f ca="1">IFERROR(__xludf.DUMMYFUNCTION("""COMPUTED_VALUE"""),1.32222261205979)</f>
        <v>1.32222261205979</v>
      </c>
      <c r="R116" s="17">
        <f ca="1">IFERROR(__xludf.DUMMYFUNCTION("""COMPUTED_VALUE"""),1.12833575127396)</f>
        <v>1.12833575127396</v>
      </c>
      <c r="S116" s="17">
        <f ca="1">IFERROR(__xludf.DUMMYFUNCTION("""COMPUTED_VALUE"""),1.19831106579421)</f>
        <v>1.19831106579421</v>
      </c>
      <c r="T116" s="17">
        <f ca="1">IFERROR(__xludf.DUMMYFUNCTION("""COMPUTED_VALUE"""),1.0699894185628)</f>
        <v>1.0699894185628001</v>
      </c>
      <c r="U116" s="17">
        <f ca="1">IFERROR(__xludf.DUMMYFUNCTION("""COMPUTED_VALUE"""),1.02997712639005)</f>
        <v>1.0299771263900499</v>
      </c>
      <c r="V116" s="17">
        <f ca="1">IFERROR(__xludf.DUMMYFUNCTION("""COMPUTED_VALUE"""),1.10899869170116)</f>
        <v>1.1089986917011601</v>
      </c>
      <c r="W116" s="17">
        <f ca="1">IFERROR(__xludf.DUMMYFUNCTION("""COMPUTED_VALUE"""),0.888670835134143)</f>
        <v>0.88867083513414302</v>
      </c>
      <c r="X116" s="17">
        <f ca="1">IFERROR(__xludf.DUMMYFUNCTION("""COMPUTED_VALUE"""),0.855178509310508)</f>
        <v>0.85517850931050798</v>
      </c>
      <c r="Y116" s="17">
        <f ca="1">IFERROR(__xludf.DUMMYFUNCTION("""COMPUTED_VALUE"""),1.04774558417249)</f>
        <v>1.0477455841724901</v>
      </c>
      <c r="Z116" s="17">
        <f ca="1">IFERROR(__xludf.DUMMYFUNCTION("""COMPUTED_VALUE"""),0.920042967722094)</f>
        <v>0.92004296772209404</v>
      </c>
      <c r="AA116" s="17">
        <f ca="1">IFERROR(__xludf.DUMMYFUNCTION("""COMPUTED_VALUE"""),1.64072205954981)</f>
        <v>1.64072205954981</v>
      </c>
      <c r="AB116" s="17">
        <f ca="1">IFERROR(__xludf.DUMMYFUNCTION("""COMPUTED_VALUE"""),1.6501231932904)</f>
        <v>1.6501231932903999</v>
      </c>
      <c r="AC116" s="17">
        <f ca="1">IFERROR(__xludf.DUMMYFUNCTION("""COMPUTED_VALUE"""),0.952174633987337)</f>
        <v>0.95217463398733704</v>
      </c>
      <c r="AD116" s="17">
        <f ca="1">IFERROR(__xludf.DUMMYFUNCTION("""COMPUTED_VALUE"""),0.963648866076396)</f>
        <v>0.96364886607639599</v>
      </c>
      <c r="AE116" s="17">
        <f ca="1">IFERROR(__xludf.DUMMYFUNCTION("""COMPUTED_VALUE"""),1.64482467691629)</f>
        <v>1.64482467691629</v>
      </c>
      <c r="AF116" s="17">
        <f ca="1">IFERROR(__xludf.DUMMYFUNCTION("""COMPUTED_VALUE"""),1.27789476897963)</f>
        <v>1.2778947689796301</v>
      </c>
      <c r="AG116" s="17">
        <f ca="1">IFERROR(__xludf.DUMMYFUNCTION("""COMPUTED_VALUE"""),0.948526213087829)</f>
        <v>0.94852621308782903</v>
      </c>
      <c r="AH116" s="17">
        <f ca="1">IFERROR(__xludf.DUMMYFUNCTION("""COMPUTED_VALUE"""),0.913409723324411)</f>
        <v>0.91340972332441095</v>
      </c>
      <c r="AI116" s="17">
        <f ca="1">IFERROR(__xludf.DUMMYFUNCTION("""COMPUTED_VALUE"""),0.974508326568266)</f>
        <v>0.97450832656826603</v>
      </c>
      <c r="AJ116" s="17">
        <f ca="1">IFERROR(__xludf.DUMMYFUNCTION("""COMPUTED_VALUE"""),1.04906694139388)</f>
        <v>1.04906694139388</v>
      </c>
    </row>
    <row r="117" spans="2:36" ht="15.75" customHeight="1" x14ac:dyDescent="0.45">
      <c r="B117" s="10" t="str">
        <f ca="1">IFERROR(__xludf.DUMMYFUNCTION("""COMPUTED_VALUE"""),"Colposcopy")</f>
        <v>Colposcopy</v>
      </c>
      <c r="C117" s="10" t="str">
        <f ca="1">IFERROR(__xludf.DUMMYFUNCTION("""COMPUTED_VALUE"""),"mcar")</f>
        <v>mcar</v>
      </c>
      <c r="D117" s="10">
        <f ca="1">IFERROR(__xludf.DUMMYFUNCTION("""COMPUTED_VALUE"""),0.1)</f>
        <v>0.1</v>
      </c>
      <c r="E117" s="17">
        <f ca="1">IFERROR(__xludf.DUMMYFUNCTION("""COMPUTED_VALUE"""),1.00955561734305)</f>
        <v>1.00955561734305</v>
      </c>
      <c r="F117" s="17">
        <f ca="1">IFERROR(__xludf.DUMMYFUNCTION("""COMPUTED_VALUE"""),0.847750730588456)</f>
        <v>0.84775073058845596</v>
      </c>
      <c r="G117" s="17">
        <f ca="1">IFERROR(__xludf.DUMMYFUNCTION("""COMPUTED_VALUE"""),0.85082841731366)</f>
        <v>0.85082841731365999</v>
      </c>
      <c r="H117" s="17">
        <f ca="1">IFERROR(__xludf.DUMMYFUNCTION("""COMPUTED_VALUE"""),0.879894005380323)</f>
        <v>0.87989400538032303</v>
      </c>
      <c r="I117" s="17">
        <f ca="1">IFERROR(__xludf.DUMMYFUNCTION("""COMPUTED_VALUE"""),0.817188365044422)</f>
        <v>0.81718836504442205</v>
      </c>
      <c r="J117" s="17">
        <f ca="1">IFERROR(__xludf.DUMMYFUNCTION("""COMPUTED_VALUE"""),0.840331278305514)</f>
        <v>0.84033127830551402</v>
      </c>
      <c r="K117" s="17" t="str">
        <f ca="1">IFERROR(__xludf.DUMMYFUNCTION("""COMPUTED_VALUE"""),"nan")</f>
        <v>nan</v>
      </c>
      <c r="L117" s="17">
        <f ca="1">IFERROR(__xludf.DUMMYFUNCTION("""COMPUTED_VALUE"""),0.870715389148779)</f>
        <v>0.870715389148779</v>
      </c>
      <c r="M117" s="17">
        <f ca="1">IFERROR(__xludf.DUMMYFUNCTION("""COMPUTED_VALUE"""),0.891082993538251)</f>
        <v>0.89108299353825104</v>
      </c>
      <c r="N117" s="17">
        <f ca="1">IFERROR(__xludf.DUMMYFUNCTION("""COMPUTED_VALUE"""),0.788150193989935)</f>
        <v>0.78815019398993502</v>
      </c>
      <c r="O117" s="17">
        <f ca="1">IFERROR(__xludf.DUMMYFUNCTION("""COMPUTED_VALUE"""),0.775376754644384)</f>
        <v>0.77537675464438405</v>
      </c>
      <c r="P117" s="17">
        <f ca="1">IFERROR(__xludf.DUMMYFUNCTION("""COMPUTED_VALUE"""),0.862912610212583)</f>
        <v>0.86291261021258303</v>
      </c>
      <c r="Q117" s="17">
        <f ca="1">IFERROR(__xludf.DUMMYFUNCTION("""COMPUTED_VALUE"""),1.59968485753086)</f>
        <v>1.59968485753086</v>
      </c>
      <c r="R117" s="17">
        <f ca="1">IFERROR(__xludf.DUMMYFUNCTION("""COMPUTED_VALUE"""),0.826143765208161)</f>
        <v>0.82614376520816102</v>
      </c>
      <c r="S117" s="17">
        <f ca="1">IFERROR(__xludf.DUMMYFUNCTION("""COMPUTED_VALUE"""),0.852651382178061)</f>
        <v>0.85265138217806102</v>
      </c>
      <c r="T117" s="17">
        <f ca="1">IFERROR(__xludf.DUMMYFUNCTION("""COMPUTED_VALUE"""),0.755230937216115)</f>
        <v>0.75523093721611501</v>
      </c>
      <c r="U117" s="17">
        <f ca="1">IFERROR(__xludf.DUMMYFUNCTION("""COMPUTED_VALUE"""),0.735711131104448)</f>
        <v>0.73571113110444797</v>
      </c>
      <c r="V117" s="17">
        <f ca="1">IFERROR(__xludf.DUMMYFUNCTION("""COMPUTED_VALUE"""),0.960582411388432)</f>
        <v>0.96058241138843203</v>
      </c>
      <c r="W117" s="17">
        <f ca="1">IFERROR(__xludf.DUMMYFUNCTION("""COMPUTED_VALUE"""),0.758230005802089)</f>
        <v>0.75823000580208899</v>
      </c>
      <c r="X117" s="17">
        <f ca="1">IFERROR(__xludf.DUMMYFUNCTION("""COMPUTED_VALUE"""),0.79148738008385)</f>
        <v>0.79148738008385</v>
      </c>
      <c r="Y117" s="17">
        <f ca="1">IFERROR(__xludf.DUMMYFUNCTION("""COMPUTED_VALUE"""),0.718217571099604)</f>
        <v>0.71821757109960405</v>
      </c>
      <c r="Z117" s="17">
        <f ca="1">IFERROR(__xludf.DUMMYFUNCTION("""COMPUTED_VALUE"""),0.870479075380808)</f>
        <v>0.87047907538080804</v>
      </c>
      <c r="AA117" s="17">
        <f ca="1">IFERROR(__xludf.DUMMYFUNCTION("""COMPUTED_VALUE"""),0.772842132348055)</f>
        <v>0.77284213234805499</v>
      </c>
      <c r="AB117" s="17">
        <f ca="1">IFERROR(__xludf.DUMMYFUNCTION("""COMPUTED_VALUE"""),1.01981902782824)</f>
        <v>1.01981902782824</v>
      </c>
      <c r="AC117" s="17">
        <f ca="1">IFERROR(__xludf.DUMMYFUNCTION("""COMPUTED_VALUE"""),0.788659527977484)</f>
        <v>0.78865952797748395</v>
      </c>
      <c r="AD117" s="17">
        <f ca="1">IFERROR(__xludf.DUMMYFUNCTION("""COMPUTED_VALUE"""),0.797316516362166)</f>
        <v>0.79731651636216605</v>
      </c>
      <c r="AE117" s="17">
        <f ca="1">IFERROR(__xludf.DUMMYFUNCTION("""COMPUTED_VALUE"""),0.761132331328786)</f>
        <v>0.76113233132878599</v>
      </c>
      <c r="AF117" s="17">
        <f ca="1">IFERROR(__xludf.DUMMYFUNCTION("""COMPUTED_VALUE"""),0.894468612234081)</f>
        <v>0.89446861223408103</v>
      </c>
      <c r="AG117" s="17">
        <f ca="1">IFERROR(__xludf.DUMMYFUNCTION("""COMPUTED_VALUE"""),1.00471405218312)</f>
        <v>1.0047140521831199</v>
      </c>
      <c r="AH117" s="17">
        <f ca="1">IFERROR(__xludf.DUMMYFUNCTION("""COMPUTED_VALUE"""),0.726232584183026)</f>
        <v>0.72623258418302605</v>
      </c>
      <c r="AI117" s="17">
        <f ca="1">IFERROR(__xludf.DUMMYFUNCTION("""COMPUTED_VALUE"""),0.751377936429948)</f>
        <v>0.75137793642994799</v>
      </c>
      <c r="AJ117" s="17">
        <f ca="1">IFERROR(__xludf.DUMMYFUNCTION("""COMPUTED_VALUE"""),0.851663157092556)</f>
        <v>0.85166315709255602</v>
      </c>
    </row>
    <row r="118" spans="2:36" ht="15.75" customHeight="1" x14ac:dyDescent="0.45">
      <c r="B118" s="10" t="str">
        <f ca="1">IFERROR(__xludf.DUMMYFUNCTION("""COMPUTED_VALUE"""),"Colposcopy")</f>
        <v>Colposcopy</v>
      </c>
      <c r="C118" s="10" t="str">
        <f ca="1">IFERROR(__xludf.DUMMYFUNCTION("""COMPUTED_VALUE"""),"mcar")</f>
        <v>mcar</v>
      </c>
      <c r="D118" s="10">
        <f ca="1">IFERROR(__xludf.DUMMYFUNCTION("""COMPUTED_VALUE"""),0.2)</f>
        <v>0.2</v>
      </c>
      <c r="E118" s="17">
        <f ca="1">IFERROR(__xludf.DUMMYFUNCTION("""COMPUTED_VALUE"""),0.942086228991377)</f>
        <v>0.94208622899137695</v>
      </c>
      <c r="F118" s="17">
        <f ca="1">IFERROR(__xludf.DUMMYFUNCTION("""COMPUTED_VALUE"""),0.798026935689571)</f>
        <v>0.79802693568957095</v>
      </c>
      <c r="G118" s="17">
        <f ca="1">IFERROR(__xludf.DUMMYFUNCTION("""COMPUTED_VALUE"""),0.800150205336326)</f>
        <v>0.80015020533632597</v>
      </c>
      <c r="H118" s="17">
        <f ca="1">IFERROR(__xludf.DUMMYFUNCTION("""COMPUTED_VALUE"""),0.832672969616834)</f>
        <v>0.83267296961683401</v>
      </c>
      <c r="I118" s="17">
        <f ca="1">IFERROR(__xludf.DUMMYFUNCTION("""COMPUTED_VALUE"""),0.785163009419442)</f>
        <v>0.78516300941944195</v>
      </c>
      <c r="J118" s="17">
        <f ca="1">IFERROR(__xludf.DUMMYFUNCTION("""COMPUTED_VALUE"""),0.81494692002016)</f>
        <v>0.81494692002016</v>
      </c>
      <c r="K118" s="17" t="str">
        <f ca="1">IFERROR(__xludf.DUMMYFUNCTION("""COMPUTED_VALUE"""),"nan")</f>
        <v>nan</v>
      </c>
      <c r="L118" s="17">
        <f ca="1">IFERROR(__xludf.DUMMYFUNCTION("""COMPUTED_VALUE"""),0.83019740469481)</f>
        <v>0.83019740469480996</v>
      </c>
      <c r="M118" s="17">
        <f ca="1">IFERROR(__xludf.DUMMYFUNCTION("""COMPUTED_VALUE"""),0.809107975972096)</f>
        <v>0.80910797597209605</v>
      </c>
      <c r="N118" s="17">
        <f ca="1">IFERROR(__xludf.DUMMYFUNCTION("""COMPUTED_VALUE"""),0.74704918611794)</f>
        <v>0.74704918611794002</v>
      </c>
      <c r="O118" s="17">
        <f ca="1">IFERROR(__xludf.DUMMYFUNCTION("""COMPUTED_VALUE"""),0.745636314409351)</f>
        <v>0.74563631440935096</v>
      </c>
      <c r="P118" s="17">
        <f ca="1">IFERROR(__xludf.DUMMYFUNCTION("""COMPUTED_VALUE"""),0.850502734984215)</f>
        <v>0.85050273498421503</v>
      </c>
      <c r="Q118" s="17">
        <f ca="1">IFERROR(__xludf.DUMMYFUNCTION("""COMPUTED_VALUE"""),1.3527679073094)</f>
        <v>1.3527679073094001</v>
      </c>
      <c r="R118" s="17">
        <f ca="1">IFERROR(__xludf.DUMMYFUNCTION("""COMPUTED_VALUE"""),0.799024840195441)</f>
        <v>0.79902484019544096</v>
      </c>
      <c r="S118" s="17">
        <f ca="1">IFERROR(__xludf.DUMMYFUNCTION("""COMPUTED_VALUE"""),0.847619379701328)</f>
        <v>0.84761937970132795</v>
      </c>
      <c r="T118" s="17">
        <f ca="1">IFERROR(__xludf.DUMMYFUNCTION("""COMPUTED_VALUE"""),0.736904193091602)</f>
        <v>0.73690419309160204</v>
      </c>
      <c r="U118" s="17">
        <f ca="1">IFERROR(__xludf.DUMMYFUNCTION("""COMPUTED_VALUE"""),0.787992945161646)</f>
        <v>0.78799294516164597</v>
      </c>
      <c r="V118" s="17">
        <f ca="1">IFERROR(__xludf.DUMMYFUNCTION("""COMPUTED_VALUE"""),0.935778103413484)</f>
        <v>0.935778103413484</v>
      </c>
      <c r="W118" s="17">
        <f ca="1">IFERROR(__xludf.DUMMYFUNCTION("""COMPUTED_VALUE"""),0.701597195608033)</f>
        <v>0.70159719560803302</v>
      </c>
      <c r="X118" s="17">
        <f ca="1">IFERROR(__xludf.DUMMYFUNCTION("""COMPUTED_VALUE"""),0.780415037541429)</f>
        <v>0.78041503754142905</v>
      </c>
      <c r="Y118" s="17">
        <f ca="1">IFERROR(__xludf.DUMMYFUNCTION("""COMPUTED_VALUE"""),0.705808369186404)</f>
        <v>0.70580836918640399</v>
      </c>
      <c r="Z118" s="17">
        <f ca="1">IFERROR(__xludf.DUMMYFUNCTION("""COMPUTED_VALUE"""),0.790953051694183)</f>
        <v>0.79095305169418295</v>
      </c>
      <c r="AA118" s="17">
        <f ca="1">IFERROR(__xludf.DUMMYFUNCTION("""COMPUTED_VALUE"""),0.73485540852989)</f>
        <v>0.73485540852988995</v>
      </c>
      <c r="AB118" s="17">
        <f ca="1">IFERROR(__xludf.DUMMYFUNCTION("""COMPUTED_VALUE"""),0.910276520632274)</f>
        <v>0.91027652063227404</v>
      </c>
      <c r="AC118" s="17">
        <f ca="1">IFERROR(__xludf.DUMMYFUNCTION("""COMPUTED_VALUE"""),0.831187758872165)</f>
        <v>0.83118775887216501</v>
      </c>
      <c r="AD118" s="17">
        <f ca="1">IFERROR(__xludf.DUMMYFUNCTION("""COMPUTED_VALUE"""),0.753119354912998)</f>
        <v>0.75311935491299797</v>
      </c>
      <c r="AE118" s="17">
        <f ca="1">IFERROR(__xludf.DUMMYFUNCTION("""COMPUTED_VALUE"""),0.747714149350561)</f>
        <v>0.74771414935056102</v>
      </c>
      <c r="AF118" s="17">
        <f ca="1">IFERROR(__xludf.DUMMYFUNCTION("""COMPUTED_VALUE"""),0.846237731616717)</f>
        <v>0.846237731616717</v>
      </c>
      <c r="AG118" s="17">
        <f ca="1">IFERROR(__xludf.DUMMYFUNCTION("""COMPUTED_VALUE"""),0.841649305177403)</f>
        <v>0.841649305177403</v>
      </c>
      <c r="AH118" s="17">
        <f ca="1">IFERROR(__xludf.DUMMYFUNCTION("""COMPUTED_VALUE"""),0.695845834439541)</f>
        <v>0.69584583443954096</v>
      </c>
      <c r="AI118" s="17">
        <f ca="1">IFERROR(__xludf.DUMMYFUNCTION("""COMPUTED_VALUE"""),0.737382011766505)</f>
        <v>0.73738201176650497</v>
      </c>
      <c r="AJ118" s="17">
        <f ca="1">IFERROR(__xludf.DUMMYFUNCTION("""COMPUTED_VALUE"""),0.82639406119263)</f>
        <v>0.82639406119263004</v>
      </c>
    </row>
    <row r="119" spans="2:36" ht="15.75" customHeight="1" x14ac:dyDescent="0.45">
      <c r="B119" s="10" t="str">
        <f ca="1">IFERROR(__xludf.DUMMYFUNCTION("""COMPUTED_VALUE"""),"Colposcopy")</f>
        <v>Colposcopy</v>
      </c>
      <c r="C119" s="10" t="str">
        <f ca="1">IFERROR(__xludf.DUMMYFUNCTION("""COMPUTED_VALUE"""),"mcar")</f>
        <v>mcar</v>
      </c>
      <c r="D119" s="10">
        <f ca="1">IFERROR(__xludf.DUMMYFUNCTION("""COMPUTED_VALUE"""),0.4)</f>
        <v>0.4</v>
      </c>
      <c r="E119" s="17">
        <f ca="1">IFERROR(__xludf.DUMMYFUNCTION("""COMPUTED_VALUE"""),0.942939822930351)</f>
        <v>0.94293982293035095</v>
      </c>
      <c r="F119" s="17">
        <f ca="1">IFERROR(__xludf.DUMMYFUNCTION("""COMPUTED_VALUE"""),0.787704189288296)</f>
        <v>0.787704189288296</v>
      </c>
      <c r="G119" s="17">
        <f ca="1">IFERROR(__xludf.DUMMYFUNCTION("""COMPUTED_VALUE"""),0.792244038070835)</f>
        <v>0.79224403807083499</v>
      </c>
      <c r="H119" s="17">
        <f ca="1">IFERROR(__xludf.DUMMYFUNCTION("""COMPUTED_VALUE"""),0.844811033332374)</f>
        <v>0.84481103333237395</v>
      </c>
      <c r="I119" s="17">
        <f ca="1">IFERROR(__xludf.DUMMYFUNCTION("""COMPUTED_VALUE"""),0.763857784959169)</f>
        <v>0.76385778495916901</v>
      </c>
      <c r="J119" s="17">
        <f ca="1">IFERROR(__xludf.DUMMYFUNCTION("""COMPUTED_VALUE"""),0.811107745661684)</f>
        <v>0.81110774566168398</v>
      </c>
      <c r="K119" s="17" t="str">
        <f ca="1">IFERROR(__xludf.DUMMYFUNCTION("""COMPUTED_VALUE"""),"nan")</f>
        <v>nan</v>
      </c>
      <c r="L119" s="17">
        <f ca="1">IFERROR(__xludf.DUMMYFUNCTION("""COMPUTED_VALUE"""),0.775825190303277)</f>
        <v>0.77582519030327701</v>
      </c>
      <c r="M119" s="17">
        <f ca="1">IFERROR(__xludf.DUMMYFUNCTION("""COMPUTED_VALUE"""),0.779065785059324)</f>
        <v>0.779065785059324</v>
      </c>
      <c r="N119" s="17">
        <f ca="1">IFERROR(__xludf.DUMMYFUNCTION("""COMPUTED_VALUE"""),0.766981767387262)</f>
        <v>0.76698176738726198</v>
      </c>
      <c r="O119" s="17">
        <f ca="1">IFERROR(__xludf.DUMMYFUNCTION("""COMPUTED_VALUE"""),0.757118377876551)</f>
        <v>0.75711837787655101</v>
      </c>
      <c r="P119" s="17">
        <f ca="1">IFERROR(__xludf.DUMMYFUNCTION("""COMPUTED_VALUE"""),0.871036903927513)</f>
        <v>0.87103690392751298</v>
      </c>
      <c r="Q119" s="17">
        <f ca="1">IFERROR(__xludf.DUMMYFUNCTION("""COMPUTED_VALUE"""),1.30945165400746)</f>
        <v>1.3094516540074601</v>
      </c>
      <c r="R119" s="17">
        <f ca="1">IFERROR(__xludf.DUMMYFUNCTION("""COMPUTED_VALUE"""),0.773978017991485)</f>
        <v>0.77397801799148502</v>
      </c>
      <c r="S119" s="17">
        <f ca="1">IFERROR(__xludf.DUMMYFUNCTION("""COMPUTED_VALUE"""),1.08991191688377)</f>
        <v>1.0899119168837701</v>
      </c>
      <c r="T119" s="17">
        <f ca="1">IFERROR(__xludf.DUMMYFUNCTION("""COMPUTED_VALUE"""),0.709194566242228)</f>
        <v>0.70919456624222799</v>
      </c>
      <c r="U119" s="17">
        <f ca="1">IFERROR(__xludf.DUMMYFUNCTION("""COMPUTED_VALUE"""),0.74431848245324)</f>
        <v>0.74431848245323995</v>
      </c>
      <c r="V119" s="17">
        <f ca="1">IFERROR(__xludf.DUMMYFUNCTION("""COMPUTED_VALUE"""),0.874588851012515)</f>
        <v>0.87458885101251505</v>
      </c>
      <c r="W119" s="17">
        <f ca="1">IFERROR(__xludf.DUMMYFUNCTION("""COMPUTED_VALUE"""),0.704284381861702)</f>
        <v>0.70428438186170195</v>
      </c>
      <c r="X119" s="17">
        <f ca="1">IFERROR(__xludf.DUMMYFUNCTION("""COMPUTED_VALUE"""),1.13453458939129)</f>
        <v>1.1345345893912899</v>
      </c>
      <c r="Y119" s="17">
        <f ca="1">IFERROR(__xludf.DUMMYFUNCTION("""COMPUTED_VALUE"""),0.741566926852661)</f>
        <v>0.74156692685266101</v>
      </c>
      <c r="Z119" s="17">
        <f ca="1">IFERROR(__xludf.DUMMYFUNCTION("""COMPUTED_VALUE"""),0.796914958233731)</f>
        <v>0.79691495823373104</v>
      </c>
      <c r="AA119" s="17">
        <f ca="1">IFERROR(__xludf.DUMMYFUNCTION("""COMPUTED_VALUE"""),0.733931585515331)</f>
        <v>0.733931585515331</v>
      </c>
      <c r="AB119" s="17">
        <f ca="1">IFERROR(__xludf.DUMMYFUNCTION("""COMPUTED_VALUE"""),0.950321497228191)</f>
        <v>0.95032149722819104</v>
      </c>
      <c r="AC119" s="17">
        <f ca="1">IFERROR(__xludf.DUMMYFUNCTION("""COMPUTED_VALUE"""),0.826959463550675)</f>
        <v>0.82695946355067496</v>
      </c>
      <c r="AD119" s="17">
        <f ca="1">IFERROR(__xludf.DUMMYFUNCTION("""COMPUTED_VALUE"""),0.794614780823578)</f>
        <v>0.79461478082357795</v>
      </c>
      <c r="AE119" s="17">
        <f ca="1">IFERROR(__xludf.DUMMYFUNCTION("""COMPUTED_VALUE"""),0.811248604834435)</f>
        <v>0.81124860483443495</v>
      </c>
      <c r="AF119" s="17">
        <f ca="1">IFERROR(__xludf.DUMMYFUNCTION("""COMPUTED_VALUE"""),0.894551687759275)</f>
        <v>0.89455168775927496</v>
      </c>
      <c r="AG119" s="17">
        <f ca="1">IFERROR(__xludf.DUMMYFUNCTION("""COMPUTED_VALUE"""),0.860377205884663)</f>
        <v>0.86037720588466304</v>
      </c>
      <c r="AH119" s="17">
        <f ca="1">IFERROR(__xludf.DUMMYFUNCTION("""COMPUTED_VALUE"""),0.735085055271288)</f>
        <v>0.73508505527128798</v>
      </c>
      <c r="AI119" s="17">
        <f ca="1">IFERROR(__xludf.DUMMYFUNCTION("""COMPUTED_VALUE"""),0.818046296298305)</f>
        <v>0.81804629629830505</v>
      </c>
      <c r="AJ119" s="17">
        <f ca="1">IFERROR(__xludf.DUMMYFUNCTION("""COMPUTED_VALUE"""),0.802369011101923)</f>
        <v>0.80236901110192305</v>
      </c>
    </row>
    <row r="120" spans="2:36" ht="15.75" customHeight="1" x14ac:dyDescent="0.45">
      <c r="B120" s="10" t="str">
        <f ca="1">IFERROR(__xludf.DUMMYFUNCTION("""COMPUTED_VALUE"""),"Colposcopy")</f>
        <v>Colposcopy</v>
      </c>
      <c r="C120" s="10" t="str">
        <f ca="1">IFERROR(__xludf.DUMMYFUNCTION("""COMPUTED_VALUE"""),"mcar")</f>
        <v>mcar</v>
      </c>
      <c r="D120" s="10">
        <f ca="1">IFERROR(__xludf.DUMMYFUNCTION("""COMPUTED_VALUE"""),0.6)</f>
        <v>0.6</v>
      </c>
      <c r="E120" s="17">
        <f ca="1">IFERROR(__xludf.DUMMYFUNCTION("""COMPUTED_VALUE"""),0.953010759577078)</f>
        <v>0.95301075957707804</v>
      </c>
      <c r="F120" s="17">
        <f ca="1">IFERROR(__xludf.DUMMYFUNCTION("""COMPUTED_VALUE"""),0.806643662502688)</f>
        <v>0.80664366250268804</v>
      </c>
      <c r="G120" s="17">
        <f ca="1">IFERROR(__xludf.DUMMYFUNCTION("""COMPUTED_VALUE"""),0.812482735954778)</f>
        <v>0.81248273595477805</v>
      </c>
      <c r="H120" s="17">
        <f ca="1">IFERROR(__xludf.DUMMYFUNCTION("""COMPUTED_VALUE"""),0.876600809770598)</f>
        <v>0.87660080977059796</v>
      </c>
      <c r="I120" s="17">
        <f ca="1">IFERROR(__xludf.DUMMYFUNCTION("""COMPUTED_VALUE"""),0.796792607745707)</f>
        <v>0.79679260774570704</v>
      </c>
      <c r="J120" s="17">
        <f ca="1">IFERROR(__xludf.DUMMYFUNCTION("""COMPUTED_VALUE"""),0.854235603855572)</f>
        <v>0.85423560385557196</v>
      </c>
      <c r="K120" s="17" t="str">
        <f ca="1">IFERROR(__xludf.DUMMYFUNCTION("""COMPUTED_VALUE"""),"nan")</f>
        <v>nan</v>
      </c>
      <c r="L120" s="17">
        <f ca="1">IFERROR(__xludf.DUMMYFUNCTION("""COMPUTED_VALUE"""),0.790733930193263)</f>
        <v>0.79073393019326299</v>
      </c>
      <c r="M120" s="17">
        <f ca="1">IFERROR(__xludf.DUMMYFUNCTION("""COMPUTED_VALUE"""),0.809448477931293)</f>
        <v>0.80944847793129304</v>
      </c>
      <c r="N120" s="17">
        <f ca="1">IFERROR(__xludf.DUMMYFUNCTION("""COMPUTED_VALUE"""),0.857697791660798)</f>
        <v>0.85769779166079796</v>
      </c>
      <c r="O120" s="17">
        <f ca="1">IFERROR(__xludf.DUMMYFUNCTION("""COMPUTED_VALUE"""),0.762418615193025)</f>
        <v>0.76241861519302501</v>
      </c>
      <c r="P120" s="17">
        <f ca="1">IFERROR(__xludf.DUMMYFUNCTION("""COMPUTED_VALUE"""),0.907803282629355)</f>
        <v>0.90780328262935495</v>
      </c>
      <c r="Q120" s="17">
        <f ca="1">IFERROR(__xludf.DUMMYFUNCTION("""COMPUTED_VALUE"""),1.28308947702918)</f>
        <v>1.2830894770291801</v>
      </c>
      <c r="R120" s="17">
        <f ca="1">IFERROR(__xludf.DUMMYFUNCTION("""COMPUTED_VALUE"""),0.842991176912017)</f>
        <v>0.84299117691201697</v>
      </c>
      <c r="S120" s="17">
        <f ca="1">IFERROR(__xludf.DUMMYFUNCTION("""COMPUTED_VALUE"""),1.20812987071886)</f>
        <v>1.2081298707188599</v>
      </c>
      <c r="T120" s="17">
        <f ca="1">IFERROR(__xludf.DUMMYFUNCTION("""COMPUTED_VALUE"""),0.797829959946816)</f>
        <v>0.79782995994681605</v>
      </c>
      <c r="U120" s="17">
        <f ca="1">IFERROR(__xludf.DUMMYFUNCTION("""COMPUTED_VALUE"""),0.905179963947724)</f>
        <v>0.90517996394772404</v>
      </c>
      <c r="V120" s="17">
        <f ca="1">IFERROR(__xludf.DUMMYFUNCTION("""COMPUTED_VALUE"""),0.90365032432935)</f>
        <v>0.90365032432935</v>
      </c>
      <c r="W120" s="17">
        <f ca="1">IFERROR(__xludf.DUMMYFUNCTION("""COMPUTED_VALUE"""),0.776229341255651)</f>
        <v>0.77622934125565102</v>
      </c>
      <c r="X120" s="17">
        <f ca="1">IFERROR(__xludf.DUMMYFUNCTION("""COMPUTED_VALUE"""),0.816341255269559)</f>
        <v>0.81634125526955903</v>
      </c>
      <c r="Y120" s="17">
        <f ca="1">IFERROR(__xludf.DUMMYFUNCTION("""COMPUTED_VALUE"""),0.806836747439582)</f>
        <v>0.806836747439582</v>
      </c>
      <c r="Z120" s="17">
        <f ca="1">IFERROR(__xludf.DUMMYFUNCTION("""COMPUTED_VALUE"""),0.809006208381006)</f>
        <v>0.80900620838100601</v>
      </c>
      <c r="AA120" s="17">
        <f ca="1">IFERROR(__xludf.DUMMYFUNCTION("""COMPUTED_VALUE"""),0.832339121444196)</f>
        <v>0.83233912144419597</v>
      </c>
      <c r="AB120" s="17">
        <f ca="1">IFERROR(__xludf.DUMMYFUNCTION("""COMPUTED_VALUE"""),1.13497612185874)</f>
        <v>1.13497612185874</v>
      </c>
      <c r="AC120" s="17">
        <f ca="1">IFERROR(__xludf.DUMMYFUNCTION("""COMPUTED_VALUE"""),0.88089001435001)</f>
        <v>0.88089001435001002</v>
      </c>
      <c r="AD120" s="17">
        <f ca="1">IFERROR(__xludf.DUMMYFUNCTION("""COMPUTED_VALUE"""),0.833247941644267)</f>
        <v>0.83324794164426697</v>
      </c>
      <c r="AE120" s="17">
        <f ca="1">IFERROR(__xludf.DUMMYFUNCTION("""COMPUTED_VALUE"""),1.17784286006765)</f>
        <v>1.17784286006765</v>
      </c>
      <c r="AF120" s="17">
        <f ca="1">IFERROR(__xludf.DUMMYFUNCTION("""COMPUTED_VALUE"""),0.941357708582866)</f>
        <v>0.94135770858286605</v>
      </c>
      <c r="AG120" s="17">
        <f ca="1">IFERROR(__xludf.DUMMYFUNCTION("""COMPUTED_VALUE"""),0.964416463065445)</f>
        <v>0.96441646306544504</v>
      </c>
      <c r="AH120" s="17">
        <f ca="1">IFERROR(__xludf.DUMMYFUNCTION("""COMPUTED_VALUE"""),0.836671574318412)</f>
        <v>0.83667157431841199</v>
      </c>
      <c r="AI120" s="17">
        <f ca="1">IFERROR(__xludf.DUMMYFUNCTION("""COMPUTED_VALUE"""),0.910655787006419)</f>
        <v>0.91065578700641903</v>
      </c>
      <c r="AJ120" s="17">
        <f ca="1">IFERROR(__xludf.DUMMYFUNCTION("""COMPUTED_VALUE"""),0.950544374468247)</f>
        <v>0.95054437446824702</v>
      </c>
    </row>
    <row r="121" spans="2:36" ht="15.75" customHeight="1" x14ac:dyDescent="0.45">
      <c r="B121" s="10" t="str">
        <f ca="1">IFERROR(__xludf.DUMMYFUNCTION("""COMPUTED_VALUE"""),"Colposcopy")</f>
        <v>Colposcopy</v>
      </c>
      <c r="C121" s="10" t="str">
        <f ca="1">IFERROR(__xludf.DUMMYFUNCTION("""COMPUTED_VALUE"""),"mcar")</f>
        <v>mcar</v>
      </c>
      <c r="D121" s="10">
        <f ca="1">IFERROR(__xludf.DUMMYFUNCTION("""COMPUTED_VALUE"""),0.8)</f>
        <v>0.8</v>
      </c>
      <c r="E121" s="17">
        <f ca="1">IFERROR(__xludf.DUMMYFUNCTION("""COMPUTED_VALUE"""),0.947365360784833)</f>
        <v>0.94736536078483302</v>
      </c>
      <c r="F121" s="17">
        <f ca="1">IFERROR(__xludf.DUMMYFUNCTION("""COMPUTED_VALUE"""),0.830916956776524)</f>
        <v>0.830916956776524</v>
      </c>
      <c r="G121" s="17">
        <f ca="1">IFERROR(__xludf.DUMMYFUNCTION("""COMPUTED_VALUE"""),0.869108047338557)</f>
        <v>0.86910804733855695</v>
      </c>
      <c r="H121" s="17">
        <f ca="1">IFERROR(__xludf.DUMMYFUNCTION("""COMPUTED_VALUE"""),0.88722966968095)</f>
        <v>0.88722966968094996</v>
      </c>
      <c r="I121" s="17">
        <f ca="1">IFERROR(__xludf.DUMMYFUNCTION("""COMPUTED_VALUE"""),0.836411282004887)</f>
        <v>0.83641128200488701</v>
      </c>
      <c r="J121" s="17">
        <f ca="1">IFERROR(__xludf.DUMMYFUNCTION("""COMPUTED_VALUE"""),1.0474175335648)</f>
        <v>1.0474175335647999</v>
      </c>
      <c r="K121" s="17" t="str">
        <f ca="1">IFERROR(__xludf.DUMMYFUNCTION("""COMPUTED_VALUE"""),"nan")</f>
        <v>nan</v>
      </c>
      <c r="L121" s="17">
        <f ca="1">IFERROR(__xludf.DUMMYFUNCTION("""COMPUTED_VALUE"""),0.835072870688838)</f>
        <v>0.83507287068883795</v>
      </c>
      <c r="M121" s="17">
        <f ca="1">IFERROR(__xludf.DUMMYFUNCTION("""COMPUTED_VALUE"""),0.874188082248828)</f>
        <v>0.87418808224882805</v>
      </c>
      <c r="N121" s="17">
        <f ca="1">IFERROR(__xludf.DUMMYFUNCTION("""COMPUTED_VALUE"""),0.931359969830247)</f>
        <v>0.93135996983024705</v>
      </c>
      <c r="O121" s="17">
        <f ca="1">IFERROR(__xludf.DUMMYFUNCTION("""COMPUTED_VALUE"""),0.794797579742068)</f>
        <v>0.79479757974206799</v>
      </c>
      <c r="P121" s="17">
        <f ca="1">IFERROR(__xludf.DUMMYFUNCTION("""COMPUTED_VALUE"""),1.07649403526647)</f>
        <v>1.07649403526647</v>
      </c>
      <c r="Q121" s="17">
        <f ca="1">IFERROR(__xludf.DUMMYFUNCTION("""COMPUTED_VALUE"""),1.26754713529257)</f>
        <v>1.26754713529257</v>
      </c>
      <c r="R121" s="17">
        <f ca="1">IFERROR(__xludf.DUMMYFUNCTION("""COMPUTED_VALUE"""),0.917650475247522)</f>
        <v>0.91765047524752197</v>
      </c>
      <c r="S121" s="17">
        <f ca="1">IFERROR(__xludf.DUMMYFUNCTION("""COMPUTED_VALUE"""),1.94598691604305)</f>
        <v>1.9459869160430501</v>
      </c>
      <c r="T121" s="17">
        <f ca="1">IFERROR(__xludf.DUMMYFUNCTION("""COMPUTED_VALUE"""),0.863959901941701)</f>
        <v>0.86395990194170103</v>
      </c>
      <c r="U121" s="17">
        <f ca="1">IFERROR(__xludf.DUMMYFUNCTION("""COMPUTED_VALUE"""),1.08633037424203)</f>
        <v>1.0863303742420301</v>
      </c>
      <c r="V121" s="17">
        <f ca="1">IFERROR(__xludf.DUMMYFUNCTION("""COMPUTED_VALUE"""),0.967450281798133)</f>
        <v>0.96745028179813297</v>
      </c>
      <c r="W121" s="17">
        <f ca="1">IFERROR(__xludf.DUMMYFUNCTION("""COMPUTED_VALUE"""),0.835786425681468)</f>
        <v>0.83578642568146799</v>
      </c>
      <c r="X121" s="17">
        <f ca="1">IFERROR(__xludf.DUMMYFUNCTION("""COMPUTED_VALUE"""),3.73767559000809)</f>
        <v>3.7376755900080898</v>
      </c>
      <c r="Y121" s="17">
        <f ca="1">IFERROR(__xludf.DUMMYFUNCTION("""COMPUTED_VALUE"""),0.887263622783802)</f>
        <v>0.887263622783802</v>
      </c>
      <c r="Z121" s="17">
        <f ca="1">IFERROR(__xludf.DUMMYFUNCTION("""COMPUTED_VALUE"""),0.852030747298624)</f>
        <v>0.85203074729862405</v>
      </c>
      <c r="AA121" s="17">
        <f ca="1">IFERROR(__xludf.DUMMYFUNCTION("""COMPUTED_VALUE"""),1.15427952558604)</f>
        <v>1.1542795255860401</v>
      </c>
      <c r="AB121" s="17">
        <f ca="1">IFERROR(__xludf.DUMMYFUNCTION("""COMPUTED_VALUE"""),1.66082740973909)</f>
        <v>1.66082740973909</v>
      </c>
      <c r="AC121" s="17">
        <f ca="1">IFERROR(__xludf.DUMMYFUNCTION("""COMPUTED_VALUE"""),0.94061266825873)</f>
        <v>0.94061266825873002</v>
      </c>
      <c r="AD121" s="17">
        <f ca="1">IFERROR(__xludf.DUMMYFUNCTION("""COMPUTED_VALUE"""),0.916317061434684)</f>
        <v>0.91631706143468405</v>
      </c>
      <c r="AE121" s="17">
        <f ca="1">IFERROR(__xludf.DUMMYFUNCTION("""COMPUTED_VALUE"""),1.41925233648797)</f>
        <v>1.4192523364879699</v>
      </c>
      <c r="AF121" s="17">
        <f ca="1">IFERROR(__xludf.DUMMYFUNCTION("""COMPUTED_VALUE"""),1.14258376449743)</f>
        <v>1.1425837644974299</v>
      </c>
      <c r="AG121" s="17">
        <f ca="1">IFERROR(__xludf.DUMMYFUNCTION("""COMPUTED_VALUE"""),1.04981432735048)</f>
        <v>1.0498143273504801</v>
      </c>
      <c r="AH121" s="17">
        <f ca="1">IFERROR(__xludf.DUMMYFUNCTION("""COMPUTED_VALUE"""),0.951405017015588)</f>
        <v>0.95140501701558799</v>
      </c>
      <c r="AI121" s="17">
        <f ca="1">IFERROR(__xludf.DUMMYFUNCTION("""COMPUTED_VALUE"""),0.965673907610345)</f>
        <v>0.96567390761034499</v>
      </c>
      <c r="AJ121" s="17">
        <f ca="1">IFERROR(__xludf.DUMMYFUNCTION("""COMPUTED_VALUE"""),1.00189073662618)</f>
        <v>1.00189073662618</v>
      </c>
    </row>
    <row r="122" spans="2:36" ht="15.75" customHeight="1" x14ac:dyDescent="0.45">
      <c r="B122" s="10" t="str">
        <f ca="1">IFERROR(__xludf.DUMMYFUNCTION("""COMPUTED_VALUE"""),"Computers")</f>
        <v>Computers</v>
      </c>
      <c r="C122" s="10" t="str">
        <f ca="1">IFERROR(__xludf.DUMMYFUNCTION("""COMPUTED_VALUE"""),"aligned_series")</f>
        <v>aligned_series</v>
      </c>
      <c r="D122" s="10">
        <f ca="1">IFERROR(__xludf.DUMMYFUNCTION("""COMPUTED_VALUE"""),0.1)</f>
        <v>0.1</v>
      </c>
      <c r="E122" s="17">
        <f ca="1">IFERROR(__xludf.DUMMYFUNCTION("""COMPUTED_VALUE"""),0.617767916803818)</f>
        <v>0.61776791680381804</v>
      </c>
      <c r="F122" s="17">
        <f ca="1">IFERROR(__xludf.DUMMYFUNCTION("""COMPUTED_VALUE"""),0.56849990077381)</f>
        <v>0.56849990077380996</v>
      </c>
      <c r="G122" s="17">
        <f ca="1">IFERROR(__xludf.DUMMYFUNCTION("""COMPUTED_VALUE"""),0.570894498761333)</f>
        <v>0.57089449876133302</v>
      </c>
      <c r="H122" s="17">
        <f ca="1">IFERROR(__xludf.DUMMYFUNCTION("""COMPUTED_VALUE"""),0.588161870959829)</f>
        <v>0.58816187095982897</v>
      </c>
      <c r="I122" s="17">
        <f ca="1">IFERROR(__xludf.DUMMYFUNCTION("""COMPUTED_VALUE"""),0.543310250630618)</f>
        <v>0.543310250630618</v>
      </c>
      <c r="J122" s="17">
        <f ca="1">IFERROR(__xludf.DUMMYFUNCTION("""COMPUTED_VALUE"""),0.586534875923698)</f>
        <v>0.58653487592369802</v>
      </c>
      <c r="K122" s="17" t="str">
        <f ca="1">IFERROR(__xludf.DUMMYFUNCTION("""COMPUTED_VALUE"""),"nan")</f>
        <v>nan</v>
      </c>
      <c r="L122" s="17">
        <f ca="1">IFERROR(__xludf.DUMMYFUNCTION("""COMPUTED_VALUE"""),0.560762349021775)</f>
        <v>0.56076234902177502</v>
      </c>
      <c r="M122" s="17">
        <f ca="1">IFERROR(__xludf.DUMMYFUNCTION("""COMPUTED_VALUE"""),0.574906214970532)</f>
        <v>0.57490621497053196</v>
      </c>
      <c r="N122" s="17">
        <f ca="1">IFERROR(__xludf.DUMMYFUNCTION("""COMPUTED_VALUE"""),0.594653643209585)</f>
        <v>0.59465364320958503</v>
      </c>
      <c r="O122" s="17">
        <f ca="1">IFERROR(__xludf.DUMMYFUNCTION("""COMPUTED_VALUE"""),0.558922821275793)</f>
        <v>0.55892282127579296</v>
      </c>
      <c r="P122" s="17">
        <f ca="1">IFERROR(__xludf.DUMMYFUNCTION("""COMPUTED_VALUE"""),0.749484706832148)</f>
        <v>0.74948470683214796</v>
      </c>
      <c r="Q122" s="17">
        <f ca="1">IFERROR(__xludf.DUMMYFUNCTION("""COMPUTED_VALUE"""),0.949379438458005)</f>
        <v>0.94937943845800499</v>
      </c>
      <c r="R122" s="17">
        <f ca="1">IFERROR(__xludf.DUMMYFUNCTION("""COMPUTED_VALUE"""),0.608789760932356)</f>
        <v>0.60878976093235604</v>
      </c>
      <c r="S122" s="17">
        <f ca="1">IFERROR(__xludf.DUMMYFUNCTION("""COMPUTED_VALUE"""),0.576585789039301)</f>
        <v>0.57658578903930102</v>
      </c>
      <c r="T122" s="17">
        <f ca="1">IFERROR(__xludf.DUMMYFUNCTION("""COMPUTED_VALUE"""),0.570970109861817)</f>
        <v>0.57097010986181695</v>
      </c>
      <c r="U122" s="17">
        <f ca="1">IFERROR(__xludf.DUMMYFUNCTION("""COMPUTED_VALUE"""),0.566683530808548)</f>
        <v>0.56668353080854805</v>
      </c>
      <c r="V122" s="17">
        <f ca="1">IFERROR(__xludf.DUMMYFUNCTION("""COMPUTED_VALUE"""),0.594836484174108)</f>
        <v>0.59483648417410795</v>
      </c>
      <c r="W122" s="17">
        <f ca="1">IFERROR(__xludf.DUMMYFUNCTION("""COMPUTED_VALUE"""),0.564011006028674)</f>
        <v>0.56401100602867404</v>
      </c>
      <c r="X122" s="17">
        <f ca="1">IFERROR(__xludf.DUMMYFUNCTION("""COMPUTED_VALUE"""),0.583391702622544)</f>
        <v>0.58339170262254403</v>
      </c>
      <c r="Y122" s="17">
        <f ca="1">IFERROR(__xludf.DUMMYFUNCTION("""COMPUTED_VALUE"""),0.574958390276276)</f>
        <v>0.57495839027627604</v>
      </c>
      <c r="Z122" s="17">
        <f ca="1">IFERROR(__xludf.DUMMYFUNCTION("""COMPUTED_VALUE"""),0.573533056977325)</f>
        <v>0.57353305697732504</v>
      </c>
      <c r="AA122" s="17">
        <f ca="1">IFERROR(__xludf.DUMMYFUNCTION("""COMPUTED_VALUE"""),0.604675618752137)</f>
        <v>0.60467561875213705</v>
      </c>
      <c r="AB122" s="17">
        <f ca="1">IFERROR(__xludf.DUMMYFUNCTION("""COMPUTED_VALUE"""),0.703797252757761)</f>
        <v>0.70379725275776095</v>
      </c>
      <c r="AC122" s="17">
        <f ca="1">IFERROR(__xludf.DUMMYFUNCTION("""COMPUTED_VALUE"""),1.10089016714929)</f>
        <v>1.1008901671492901</v>
      </c>
      <c r="AD122" s="17">
        <f ca="1">IFERROR(__xludf.DUMMYFUNCTION("""COMPUTED_VALUE"""),0.592133070001612)</f>
        <v>0.59213307000161197</v>
      </c>
      <c r="AE122" s="17">
        <f ca="1">IFERROR(__xludf.DUMMYFUNCTION("""COMPUTED_VALUE"""),1.10977920165708)</f>
        <v>1.10977920165708</v>
      </c>
      <c r="AF122" s="17">
        <f ca="1">IFERROR(__xludf.DUMMYFUNCTION("""COMPUTED_VALUE"""),0.57379570226622)</f>
        <v>0.57379570226622001</v>
      </c>
      <c r="AG122" s="17">
        <f ca="1">IFERROR(__xludf.DUMMYFUNCTION("""COMPUTED_VALUE"""),0.58651547779759)</f>
        <v>0.58651547779758995</v>
      </c>
      <c r="AH122" s="17">
        <f ca="1">IFERROR(__xludf.DUMMYFUNCTION("""COMPUTED_VALUE"""),0.562000094986013)</f>
        <v>0.562000094986013</v>
      </c>
      <c r="AI122" s="17">
        <f ca="1">IFERROR(__xludf.DUMMYFUNCTION("""COMPUTED_VALUE"""),0.564001942809645)</f>
        <v>0.564001942809645</v>
      </c>
      <c r="AJ122" s="17">
        <f ca="1">IFERROR(__xludf.DUMMYFUNCTION("""COMPUTED_VALUE"""),0.562213929743043)</f>
        <v>0.56221392974304296</v>
      </c>
    </row>
    <row r="123" spans="2:36" ht="15.75" customHeight="1" x14ac:dyDescent="0.45">
      <c r="B123" s="10" t="str">
        <f ca="1">IFERROR(__xludf.DUMMYFUNCTION("""COMPUTED_VALUE"""),"Computers")</f>
        <v>Computers</v>
      </c>
      <c r="C123" s="10" t="str">
        <f ca="1">IFERROR(__xludf.DUMMYFUNCTION("""COMPUTED_VALUE"""),"aligned_series")</f>
        <v>aligned_series</v>
      </c>
      <c r="D123" s="10">
        <f ca="1">IFERROR(__xludf.DUMMYFUNCTION("""COMPUTED_VALUE"""),0.2)</f>
        <v>0.2</v>
      </c>
      <c r="E123" s="17">
        <f ca="1">IFERROR(__xludf.DUMMYFUNCTION("""COMPUTED_VALUE"""),0.729686010822113)</f>
        <v>0.72968601082211304</v>
      </c>
      <c r="F123" s="17">
        <f ca="1">IFERROR(__xludf.DUMMYFUNCTION("""COMPUTED_VALUE"""),0.625485868892495)</f>
        <v>0.62548586889249502</v>
      </c>
      <c r="G123" s="17">
        <f ca="1">IFERROR(__xludf.DUMMYFUNCTION("""COMPUTED_VALUE"""),0.62742182843335)</f>
        <v>0.62742182843335004</v>
      </c>
      <c r="H123" s="17">
        <f ca="1">IFERROR(__xludf.DUMMYFUNCTION("""COMPUTED_VALUE"""),0.65999075354974)</f>
        <v>0.65999075354974002</v>
      </c>
      <c r="I123" s="17">
        <f ca="1">IFERROR(__xludf.DUMMYFUNCTION("""COMPUTED_VALUE"""),0.57394877067991)</f>
        <v>0.57394877067991001</v>
      </c>
      <c r="J123" s="17">
        <f ca="1">IFERROR(__xludf.DUMMYFUNCTION("""COMPUTED_VALUE"""),0.624941104267772)</f>
        <v>0.62494110426777205</v>
      </c>
      <c r="K123" s="17" t="str">
        <f ca="1">IFERROR(__xludf.DUMMYFUNCTION("""COMPUTED_VALUE"""),"nan")</f>
        <v>nan</v>
      </c>
      <c r="L123" s="17">
        <f ca="1">IFERROR(__xludf.DUMMYFUNCTION("""COMPUTED_VALUE"""),0.611162167689832)</f>
        <v>0.611162167689832</v>
      </c>
      <c r="M123" s="17">
        <f ca="1">IFERROR(__xludf.DUMMYFUNCTION("""COMPUTED_VALUE"""),0.634101970613024)</f>
        <v>0.63410197061302398</v>
      </c>
      <c r="N123" s="17">
        <f ca="1">IFERROR(__xludf.DUMMYFUNCTION("""COMPUTED_VALUE"""),0.698966841519321)</f>
        <v>0.69896684151932098</v>
      </c>
      <c r="O123" s="17">
        <f ca="1">IFERROR(__xludf.DUMMYFUNCTION("""COMPUTED_VALUE"""),0.611281868273573)</f>
        <v>0.611281868273573</v>
      </c>
      <c r="P123" s="17">
        <f ca="1">IFERROR(__xludf.DUMMYFUNCTION("""COMPUTED_VALUE"""),0.946701062600783)</f>
        <v>0.94670106260078302</v>
      </c>
      <c r="Q123" s="17">
        <f ca="1">IFERROR(__xludf.DUMMYFUNCTION("""COMPUTED_VALUE"""),0.859417576123576)</f>
        <v>0.85941757612357605</v>
      </c>
      <c r="R123" s="17">
        <f ca="1">IFERROR(__xludf.DUMMYFUNCTION("""COMPUTED_VALUE"""),0.622528039260435)</f>
        <v>0.62252803926043498</v>
      </c>
      <c r="S123" s="17">
        <f ca="1">IFERROR(__xludf.DUMMYFUNCTION("""COMPUTED_VALUE"""),0.607858928817926)</f>
        <v>0.60785892881792603</v>
      </c>
      <c r="T123" s="17">
        <f ca="1">IFERROR(__xludf.DUMMYFUNCTION("""COMPUTED_VALUE"""),0.632159637654933)</f>
        <v>0.63215963765493299</v>
      </c>
      <c r="U123" s="17">
        <f ca="1">IFERROR(__xludf.DUMMYFUNCTION("""COMPUTED_VALUE"""),0.640331419499057)</f>
        <v>0.64033141949905703</v>
      </c>
      <c r="V123" s="17">
        <f ca="1">IFERROR(__xludf.DUMMYFUNCTION("""COMPUTED_VALUE"""),0.646654060996079)</f>
        <v>0.64665406099607903</v>
      </c>
      <c r="W123" s="17">
        <f ca="1">IFERROR(__xludf.DUMMYFUNCTION("""COMPUTED_VALUE"""),0.640094984917267)</f>
        <v>0.64009498491726702</v>
      </c>
      <c r="X123" s="17">
        <f ca="1">IFERROR(__xludf.DUMMYFUNCTION("""COMPUTED_VALUE"""),0.647452954977891)</f>
        <v>0.64745295497789102</v>
      </c>
      <c r="Y123" s="17">
        <f ca="1">IFERROR(__xludf.DUMMYFUNCTION("""COMPUTED_VALUE"""),0.690128020621272)</f>
        <v>0.69012802062127199</v>
      </c>
      <c r="Z123" s="17">
        <f ca="1">IFERROR(__xludf.DUMMYFUNCTION("""COMPUTED_VALUE"""),0.62204461890378)</f>
        <v>0.62204461890378004</v>
      </c>
      <c r="AA123" s="17">
        <f ca="1">IFERROR(__xludf.DUMMYFUNCTION("""COMPUTED_VALUE"""),0.748215870171079)</f>
        <v>0.74821587017107904</v>
      </c>
      <c r="AB123" s="17">
        <f ca="1">IFERROR(__xludf.DUMMYFUNCTION("""COMPUTED_VALUE"""),0.693967640614773)</f>
        <v>0.69396764061477301</v>
      </c>
      <c r="AC123" s="17">
        <f ca="1">IFERROR(__xludf.DUMMYFUNCTION("""COMPUTED_VALUE"""),0.846789198764205)</f>
        <v>0.846789198764205</v>
      </c>
      <c r="AD123" s="17">
        <f ca="1">IFERROR(__xludf.DUMMYFUNCTION("""COMPUTED_VALUE"""),0.679878317142208)</f>
        <v>0.67987831714220803</v>
      </c>
      <c r="AE123" s="17">
        <f ca="1">IFERROR(__xludf.DUMMYFUNCTION("""COMPUTED_VALUE"""),1.1107199179155)</f>
        <v>1.1107199179155001</v>
      </c>
      <c r="AF123" s="17">
        <f ca="1">IFERROR(__xludf.DUMMYFUNCTION("""COMPUTED_VALUE"""),0.626084359616684)</f>
        <v>0.62608435961668396</v>
      </c>
      <c r="AG123" s="17">
        <f ca="1">IFERROR(__xludf.DUMMYFUNCTION("""COMPUTED_VALUE"""),0.619601160857208)</f>
        <v>0.61960116085720796</v>
      </c>
      <c r="AH123" s="17">
        <f ca="1">IFERROR(__xludf.DUMMYFUNCTION("""COMPUTED_VALUE"""),0.601671041305891)</f>
        <v>0.601671041305891</v>
      </c>
      <c r="AI123" s="17">
        <f ca="1">IFERROR(__xludf.DUMMYFUNCTION("""COMPUTED_VALUE"""),0.607126773876685)</f>
        <v>0.60712677387668501</v>
      </c>
      <c r="AJ123" s="17">
        <f ca="1">IFERROR(__xludf.DUMMYFUNCTION("""COMPUTED_VALUE"""),0.596549119854451)</f>
        <v>0.59654911985445103</v>
      </c>
    </row>
    <row r="124" spans="2:36" ht="15.75" customHeight="1" x14ac:dyDescent="0.45">
      <c r="B124" s="10" t="str">
        <f ca="1">IFERROR(__xludf.DUMMYFUNCTION("""COMPUTED_VALUE"""),"Computers")</f>
        <v>Computers</v>
      </c>
      <c r="C124" s="10" t="str">
        <f ca="1">IFERROR(__xludf.DUMMYFUNCTION("""COMPUTED_VALUE"""),"aligned_series")</f>
        <v>aligned_series</v>
      </c>
      <c r="D124" s="10">
        <f ca="1">IFERROR(__xludf.DUMMYFUNCTION("""COMPUTED_VALUE"""),0.4)</f>
        <v>0.4</v>
      </c>
      <c r="E124" s="17">
        <f ca="1">IFERROR(__xludf.DUMMYFUNCTION("""COMPUTED_VALUE"""),0.675525610916887)</f>
        <v>0.67552561091688701</v>
      </c>
      <c r="F124" s="17">
        <f ca="1">IFERROR(__xludf.DUMMYFUNCTION("""COMPUTED_VALUE"""),0.526415822551087)</f>
        <v>0.52641582255108699</v>
      </c>
      <c r="G124" s="17">
        <f ca="1">IFERROR(__xludf.DUMMYFUNCTION("""COMPUTED_VALUE"""),0.528638650542787)</f>
        <v>0.52863865054278703</v>
      </c>
      <c r="H124" s="17">
        <f ca="1">IFERROR(__xludf.DUMMYFUNCTION("""COMPUTED_VALUE"""),0.546633654854685)</f>
        <v>0.54663365485468496</v>
      </c>
      <c r="I124" s="17">
        <f ca="1">IFERROR(__xludf.DUMMYFUNCTION("""COMPUTED_VALUE"""),0.489219825727023)</f>
        <v>0.48921982572702299</v>
      </c>
      <c r="J124" s="17">
        <f ca="1">IFERROR(__xludf.DUMMYFUNCTION("""COMPUTED_VALUE"""),0.484528117920774)</f>
        <v>0.48452811792077399</v>
      </c>
      <c r="K124" s="17" t="str">
        <f ca="1">IFERROR(__xludf.DUMMYFUNCTION("""COMPUTED_VALUE"""),"nan")</f>
        <v>nan</v>
      </c>
      <c r="L124" s="17">
        <f ca="1">IFERROR(__xludf.DUMMYFUNCTION("""COMPUTED_VALUE"""),0.507063086570714)</f>
        <v>0.50706308657071397</v>
      </c>
      <c r="M124" s="17">
        <f ca="1">IFERROR(__xludf.DUMMYFUNCTION("""COMPUTED_VALUE"""),0.528074505730691)</f>
        <v>0.52807450573069104</v>
      </c>
      <c r="N124" s="17">
        <f ca="1">IFERROR(__xludf.DUMMYFUNCTION("""COMPUTED_VALUE"""),0.586369263946443)</f>
        <v>0.58636926394644295</v>
      </c>
      <c r="O124" s="17">
        <f ca="1">IFERROR(__xludf.DUMMYFUNCTION("""COMPUTED_VALUE"""),0.498451986026736)</f>
        <v>0.49845198602673602</v>
      </c>
      <c r="P124" s="17">
        <f ca="1">IFERROR(__xludf.DUMMYFUNCTION("""COMPUTED_VALUE"""),1.10255129616957)</f>
        <v>1.10255129616957</v>
      </c>
      <c r="Q124" s="17">
        <f ca="1">IFERROR(__xludf.DUMMYFUNCTION("""COMPUTED_VALUE"""),0.887014132767215)</f>
        <v>0.88701413276721497</v>
      </c>
      <c r="R124" s="17">
        <f ca="1">IFERROR(__xludf.DUMMYFUNCTION("""COMPUTED_VALUE"""),0.570936423825975)</f>
        <v>0.57093642382597498</v>
      </c>
      <c r="S124" s="17">
        <f ca="1">IFERROR(__xludf.DUMMYFUNCTION("""COMPUTED_VALUE"""),0.490761183194437)</f>
        <v>0.49076118319443701</v>
      </c>
      <c r="T124" s="17">
        <f ca="1">IFERROR(__xludf.DUMMYFUNCTION("""COMPUTED_VALUE"""),0.501013531876657)</f>
        <v>0.50101353187665698</v>
      </c>
      <c r="U124" s="17">
        <f ca="1">IFERROR(__xludf.DUMMYFUNCTION("""COMPUTED_VALUE"""),0.515251301161476)</f>
        <v>0.51525130116147599</v>
      </c>
      <c r="V124" s="17">
        <f ca="1">IFERROR(__xludf.DUMMYFUNCTION("""COMPUTED_VALUE"""),0.573563340583802)</f>
        <v>0.57356334058380198</v>
      </c>
      <c r="W124" s="17">
        <f ca="1">IFERROR(__xludf.DUMMYFUNCTION("""COMPUTED_VALUE"""),0.542589813651724)</f>
        <v>0.54258981365172398</v>
      </c>
      <c r="X124" s="17">
        <f ca="1">IFERROR(__xludf.DUMMYFUNCTION("""COMPUTED_VALUE"""),0.518046170150377)</f>
        <v>0.51804617015037702</v>
      </c>
      <c r="Y124" s="17">
        <f ca="1">IFERROR(__xludf.DUMMYFUNCTION("""COMPUTED_VALUE"""),0.607839112159888)</f>
        <v>0.60783911215988795</v>
      </c>
      <c r="Z124" s="17">
        <f ca="1">IFERROR(__xludf.DUMMYFUNCTION("""COMPUTED_VALUE"""),0.541636833122746)</f>
        <v>0.54163683312274602</v>
      </c>
      <c r="AA124" s="17">
        <f ca="1">IFERROR(__xludf.DUMMYFUNCTION("""COMPUTED_VALUE"""),0.858117973798948)</f>
        <v>0.85811797379894805</v>
      </c>
      <c r="AB124" s="17">
        <f ca="1">IFERROR(__xludf.DUMMYFUNCTION("""COMPUTED_VALUE"""),1.45619576632202)</f>
        <v>1.45619576632202</v>
      </c>
      <c r="AC124" s="17">
        <f ca="1">IFERROR(__xludf.DUMMYFUNCTION("""COMPUTED_VALUE"""),0.835568057254607)</f>
        <v>0.83556805725460703</v>
      </c>
      <c r="AD124" s="17">
        <f ca="1">IFERROR(__xludf.DUMMYFUNCTION("""COMPUTED_VALUE"""),0.600602538825545)</f>
        <v>0.60060253882554504</v>
      </c>
      <c r="AE124" s="17">
        <f ca="1">IFERROR(__xludf.DUMMYFUNCTION("""COMPUTED_VALUE"""),1.07109320533919)</f>
        <v>1.0710932053391899</v>
      </c>
      <c r="AF124" s="17">
        <f ca="1">IFERROR(__xludf.DUMMYFUNCTION("""COMPUTED_VALUE"""),0.544978303486755)</f>
        <v>0.54497830348675502</v>
      </c>
      <c r="AG124" s="17">
        <f ca="1">IFERROR(__xludf.DUMMYFUNCTION("""COMPUTED_VALUE"""),0.537421955564641)</f>
        <v>0.53742195556464101</v>
      </c>
      <c r="AH124" s="17">
        <f ca="1">IFERROR(__xludf.DUMMYFUNCTION("""COMPUTED_VALUE"""),0.476104169043178)</f>
        <v>0.47610416904317798</v>
      </c>
      <c r="AI124" s="17">
        <f ca="1">IFERROR(__xludf.DUMMYFUNCTION("""COMPUTED_VALUE"""),0.500203324728526)</f>
        <v>0.50020332472852602</v>
      </c>
      <c r="AJ124" s="17">
        <f ca="1">IFERROR(__xludf.DUMMYFUNCTION("""COMPUTED_VALUE"""),0.507438600526058)</f>
        <v>0.50743860052605805</v>
      </c>
    </row>
    <row r="125" spans="2:36" ht="15.75" customHeight="1" x14ac:dyDescent="0.45">
      <c r="B125" s="10" t="str">
        <f ca="1">IFERROR(__xludf.DUMMYFUNCTION("""COMPUTED_VALUE"""),"Computers")</f>
        <v>Computers</v>
      </c>
      <c r="C125" s="10" t="str">
        <f ca="1">IFERROR(__xludf.DUMMYFUNCTION("""COMPUTED_VALUE"""),"aligned_series")</f>
        <v>aligned_series</v>
      </c>
      <c r="D125" s="10">
        <f ca="1">IFERROR(__xludf.DUMMYFUNCTION("""COMPUTED_VALUE"""),0.6)</f>
        <v>0.6</v>
      </c>
      <c r="E125" s="17">
        <f ca="1">IFERROR(__xludf.DUMMYFUNCTION("""COMPUTED_VALUE"""),0.71153466148219)</f>
        <v>0.71153466148219002</v>
      </c>
      <c r="F125" s="17">
        <f ca="1">IFERROR(__xludf.DUMMYFUNCTION("""COMPUTED_VALUE"""),0.608516829573256)</f>
        <v>0.60851682957325604</v>
      </c>
      <c r="G125" s="17">
        <f ca="1">IFERROR(__xludf.DUMMYFUNCTION("""COMPUTED_VALUE"""),0.61488470485315)</f>
        <v>0.61488470485315005</v>
      </c>
      <c r="H125" s="17">
        <f ca="1">IFERROR(__xludf.DUMMYFUNCTION("""COMPUTED_VALUE"""),0.589462414747342)</f>
        <v>0.58946241474734196</v>
      </c>
      <c r="I125" s="17">
        <f ca="1">IFERROR(__xludf.DUMMYFUNCTION("""COMPUTED_VALUE"""),0.54771248062895)</f>
        <v>0.54771248062894995</v>
      </c>
      <c r="J125" s="17">
        <f ca="1">IFERROR(__xludf.DUMMYFUNCTION("""COMPUTED_VALUE"""),0.697762884932135)</f>
        <v>0.69776288493213501</v>
      </c>
      <c r="K125" s="17" t="str">
        <f ca="1">IFERROR(__xludf.DUMMYFUNCTION("""COMPUTED_VALUE"""),"nan")</f>
        <v>nan</v>
      </c>
      <c r="L125" s="17">
        <f ca="1">IFERROR(__xludf.DUMMYFUNCTION("""COMPUTED_VALUE"""),0.573121366202586)</f>
        <v>0.57312136620258602</v>
      </c>
      <c r="M125" s="17">
        <f ca="1">IFERROR(__xludf.DUMMYFUNCTION("""COMPUTED_VALUE"""),0.582665696195672)</f>
        <v>0.58266569619567199</v>
      </c>
      <c r="N125" s="17">
        <f ca="1">IFERROR(__xludf.DUMMYFUNCTION("""COMPUTED_VALUE"""),0.633280437603998)</f>
        <v>0.63328043760399799</v>
      </c>
      <c r="O125" s="17">
        <f ca="1">IFERROR(__xludf.DUMMYFUNCTION("""COMPUTED_VALUE"""),0.567045975711214)</f>
        <v>0.56704597571121396</v>
      </c>
      <c r="P125" s="17">
        <f ca="1">IFERROR(__xludf.DUMMYFUNCTION("""COMPUTED_VALUE"""),1.17534486316213)</f>
        <v>1.1753448631621299</v>
      </c>
      <c r="Q125" s="17">
        <f ca="1">IFERROR(__xludf.DUMMYFUNCTION("""COMPUTED_VALUE"""),0.797096373310937)</f>
        <v>0.79709637331093697</v>
      </c>
      <c r="R125" s="17">
        <f ca="1">IFERROR(__xludf.DUMMYFUNCTION("""COMPUTED_VALUE"""),0.675772915742156)</f>
        <v>0.67577291574215603</v>
      </c>
      <c r="S125" s="17">
        <f ca="1">IFERROR(__xludf.DUMMYFUNCTION("""COMPUTED_VALUE"""),0.532031338764118)</f>
        <v>0.53203133876411801</v>
      </c>
      <c r="T125" s="17">
        <f ca="1">IFERROR(__xludf.DUMMYFUNCTION("""COMPUTED_VALUE"""),0.560381066381557)</f>
        <v>0.56038106638155705</v>
      </c>
      <c r="U125" s="17">
        <f ca="1">IFERROR(__xludf.DUMMYFUNCTION("""COMPUTED_VALUE"""),0.543713621249019)</f>
        <v>0.54371362124901901</v>
      </c>
      <c r="V125" s="17">
        <f ca="1">IFERROR(__xludf.DUMMYFUNCTION("""COMPUTED_VALUE"""),0.640503480302128)</f>
        <v>0.640503480302128</v>
      </c>
      <c r="W125" s="17">
        <f ca="1">IFERROR(__xludf.DUMMYFUNCTION("""COMPUTED_VALUE"""),0.595005889203739)</f>
        <v>0.59500588920373898</v>
      </c>
      <c r="X125" s="17">
        <f ca="1">IFERROR(__xludf.DUMMYFUNCTION("""COMPUTED_VALUE"""),0.546491500752402)</f>
        <v>0.54649150075240205</v>
      </c>
      <c r="Y125" s="17">
        <f ca="1">IFERROR(__xludf.DUMMYFUNCTION("""COMPUTED_VALUE"""),0.686399552559989)</f>
        <v>0.68639955255998897</v>
      </c>
      <c r="Z125" s="17">
        <f ca="1">IFERROR(__xludf.DUMMYFUNCTION("""COMPUTED_VALUE"""),0.570884274585952)</f>
        <v>0.57088427458595203</v>
      </c>
      <c r="AA125" s="17">
        <f ca="1">IFERROR(__xludf.DUMMYFUNCTION("""COMPUTED_VALUE"""),0.835062165270186)</f>
        <v>0.83506216527018595</v>
      </c>
      <c r="AB125" s="17">
        <f ca="1">IFERROR(__xludf.DUMMYFUNCTION("""COMPUTED_VALUE"""),1.56290297927981)</f>
        <v>1.5629029792798099</v>
      </c>
      <c r="AC125" s="17">
        <f ca="1">IFERROR(__xludf.DUMMYFUNCTION("""COMPUTED_VALUE"""),0.803226911748053)</f>
        <v>0.80322691174805305</v>
      </c>
      <c r="AD125" s="17">
        <f ca="1">IFERROR(__xludf.DUMMYFUNCTION("""COMPUTED_VALUE"""),0.641506201039288)</f>
        <v>0.64150620103928802</v>
      </c>
      <c r="AE125" s="17">
        <f ca="1">IFERROR(__xludf.DUMMYFUNCTION("""COMPUTED_VALUE"""),1.10187559900541)</f>
        <v>1.1018755990054101</v>
      </c>
      <c r="AF125" s="17">
        <f ca="1">IFERROR(__xludf.DUMMYFUNCTION("""COMPUTED_VALUE"""),0.559048456997999)</f>
        <v>0.55904845699799899</v>
      </c>
      <c r="AG125" s="17">
        <f ca="1">IFERROR(__xludf.DUMMYFUNCTION("""COMPUTED_VALUE"""),0.579969959718249)</f>
        <v>0.57996995971824905</v>
      </c>
      <c r="AH125" s="17">
        <f ca="1">IFERROR(__xludf.DUMMYFUNCTION("""COMPUTED_VALUE"""),0.527351259472314)</f>
        <v>0.52735125947231398</v>
      </c>
      <c r="AI125" s="17">
        <f ca="1">IFERROR(__xludf.DUMMYFUNCTION("""COMPUTED_VALUE"""),0.542968616420803)</f>
        <v>0.54296861642080296</v>
      </c>
      <c r="AJ125" s="17">
        <f ca="1">IFERROR(__xludf.DUMMYFUNCTION("""COMPUTED_VALUE"""),0.563218971535468)</f>
        <v>0.56321897153546796</v>
      </c>
    </row>
    <row r="126" spans="2:36" ht="15.75" customHeight="1" x14ac:dyDescent="0.45">
      <c r="B126" s="10" t="str">
        <f ca="1">IFERROR(__xludf.DUMMYFUNCTION("""COMPUTED_VALUE"""),"Computers")</f>
        <v>Computers</v>
      </c>
      <c r="C126" s="10" t="str">
        <f ca="1">IFERROR(__xludf.DUMMYFUNCTION("""COMPUTED_VALUE"""),"aligned_series")</f>
        <v>aligned_series</v>
      </c>
      <c r="D126" s="10">
        <f ca="1">IFERROR(__xludf.DUMMYFUNCTION("""COMPUTED_VALUE"""),0.8)</f>
        <v>0.8</v>
      </c>
      <c r="E126" s="17">
        <f ca="1">IFERROR(__xludf.DUMMYFUNCTION("""COMPUTED_VALUE"""),0.705085836293673)</f>
        <v>0.70508583629367305</v>
      </c>
      <c r="F126" s="17">
        <f ca="1">IFERROR(__xludf.DUMMYFUNCTION("""COMPUTED_VALUE"""),0.654935174066424)</f>
        <v>0.65493517406642399</v>
      </c>
      <c r="G126" s="17">
        <f ca="1">IFERROR(__xludf.DUMMYFUNCTION("""COMPUTED_VALUE"""),0.6913530414871)</f>
        <v>0.69135304148709997</v>
      </c>
      <c r="H126" s="17">
        <f ca="1">IFERROR(__xludf.DUMMYFUNCTION("""COMPUTED_VALUE"""),0.609836196378457)</f>
        <v>0.60983619637845699</v>
      </c>
      <c r="I126" s="17">
        <f ca="1">IFERROR(__xludf.DUMMYFUNCTION("""COMPUTED_VALUE"""),0.581313141487864)</f>
        <v>0.58131314148786395</v>
      </c>
      <c r="J126" s="17">
        <f ca="1">IFERROR(__xludf.DUMMYFUNCTION("""COMPUTED_VALUE"""),0.67806575827607)</f>
        <v>0.67806575827606996</v>
      </c>
      <c r="K126" s="17" t="str">
        <f ca="1">IFERROR(__xludf.DUMMYFUNCTION("""COMPUTED_VALUE"""),"nan")</f>
        <v>nan</v>
      </c>
      <c r="L126" s="17">
        <f ca="1">IFERROR(__xludf.DUMMYFUNCTION("""COMPUTED_VALUE"""),0.617953755017001)</f>
        <v>0.61795375501700101</v>
      </c>
      <c r="M126" s="17">
        <f ca="1">IFERROR(__xludf.DUMMYFUNCTION("""COMPUTED_VALUE"""),0.608463874596776)</f>
        <v>0.60846387459677598</v>
      </c>
      <c r="N126" s="17">
        <f ca="1">IFERROR(__xludf.DUMMYFUNCTION("""COMPUTED_VALUE"""),0.669901718560049)</f>
        <v>0.66990171856004899</v>
      </c>
      <c r="O126" s="17">
        <f ca="1">IFERROR(__xludf.DUMMYFUNCTION("""COMPUTED_VALUE"""),0.574916132917801)</f>
        <v>0.57491613291780097</v>
      </c>
      <c r="P126" s="17">
        <f ca="1">IFERROR(__xludf.DUMMYFUNCTION("""COMPUTED_VALUE"""),1.22117391545053)</f>
        <v>1.2211739154505299</v>
      </c>
      <c r="Q126" s="17">
        <f ca="1">IFERROR(__xludf.DUMMYFUNCTION("""COMPUTED_VALUE"""),0.777665238296782)</f>
        <v>0.77766523829678202</v>
      </c>
      <c r="R126" s="17">
        <f ca="1">IFERROR(__xludf.DUMMYFUNCTION("""COMPUTED_VALUE"""),0.716775100790647)</f>
        <v>0.71677510079064699</v>
      </c>
      <c r="S126" s="17">
        <f ca="1">IFERROR(__xludf.DUMMYFUNCTION("""COMPUTED_VALUE"""),0.530950859446501)</f>
        <v>0.530950859446501</v>
      </c>
      <c r="T126" s="17">
        <f ca="1">IFERROR(__xludf.DUMMYFUNCTION("""COMPUTED_VALUE"""),0.546298970947973)</f>
        <v>0.54629897094797297</v>
      </c>
      <c r="U126" s="17">
        <f ca="1">IFERROR(__xludf.DUMMYFUNCTION("""COMPUTED_VALUE"""),0.551984803471424)</f>
        <v>0.55198480347142398</v>
      </c>
      <c r="V126" s="17">
        <f ca="1">IFERROR(__xludf.DUMMYFUNCTION("""COMPUTED_VALUE"""),0.631324628355312)</f>
        <v>0.631324628355312</v>
      </c>
      <c r="W126" s="17">
        <f ca="1">IFERROR(__xludf.DUMMYFUNCTION("""COMPUTED_VALUE"""),0.568741378316233)</f>
        <v>0.56874137831623295</v>
      </c>
      <c r="X126" s="17">
        <f ca="1">IFERROR(__xludf.DUMMYFUNCTION("""COMPUTED_VALUE"""),35.0499072215992)</f>
        <v>35.049907221599199</v>
      </c>
      <c r="Y126" s="17">
        <f ca="1">IFERROR(__xludf.DUMMYFUNCTION("""COMPUTED_VALUE"""),0.691245844761966)</f>
        <v>0.69124584476196604</v>
      </c>
      <c r="Z126" s="17">
        <f ca="1">IFERROR(__xludf.DUMMYFUNCTION("""COMPUTED_VALUE"""),0.569855517716352)</f>
        <v>0.56985551771635201</v>
      </c>
      <c r="AA126" s="17">
        <f ca="1">IFERROR(__xludf.DUMMYFUNCTION("""COMPUTED_VALUE"""),0.540510440383344)</f>
        <v>0.54051044038334395</v>
      </c>
      <c r="AB126" s="17">
        <f ca="1">IFERROR(__xludf.DUMMYFUNCTION("""COMPUTED_VALUE"""),0.836762116367866)</f>
        <v>0.83676211636786602</v>
      </c>
      <c r="AC126" s="17">
        <f ca="1">IFERROR(__xludf.DUMMYFUNCTION("""COMPUTED_VALUE"""),0.700435622303211)</f>
        <v>0.70043562230321099</v>
      </c>
      <c r="AD126" s="17">
        <f ca="1">IFERROR(__xludf.DUMMYFUNCTION("""COMPUTED_VALUE"""),0.65403668649344)</f>
        <v>0.65403668649344004</v>
      </c>
      <c r="AE126" s="17">
        <f ca="1">IFERROR(__xludf.DUMMYFUNCTION("""COMPUTED_VALUE"""),1.08454422787166)</f>
        <v>1.0845442278716599</v>
      </c>
      <c r="AF126" s="17">
        <f ca="1">IFERROR(__xludf.DUMMYFUNCTION("""COMPUTED_VALUE"""),0.580291019218514)</f>
        <v>0.580291019218514</v>
      </c>
      <c r="AG126" s="17">
        <f ca="1">IFERROR(__xludf.DUMMYFUNCTION("""COMPUTED_VALUE"""),0.574351079418069)</f>
        <v>0.57435107941806895</v>
      </c>
      <c r="AH126" s="17">
        <f ca="1">IFERROR(__xludf.DUMMYFUNCTION("""COMPUTED_VALUE"""),0.520978165112671)</f>
        <v>0.52097816511267103</v>
      </c>
      <c r="AI126" s="17">
        <f ca="1">IFERROR(__xludf.DUMMYFUNCTION("""COMPUTED_VALUE"""),0.536443832187041)</f>
        <v>0.53644383218704095</v>
      </c>
      <c r="AJ126" s="17">
        <f ca="1">IFERROR(__xludf.DUMMYFUNCTION("""COMPUTED_VALUE"""),0.54297184430954)</f>
        <v>0.54297184430954004</v>
      </c>
    </row>
    <row r="127" spans="2:36" ht="15.75" customHeight="1" x14ac:dyDescent="0.45">
      <c r="B127" s="10" t="str">
        <f ca="1">IFERROR(__xludf.DUMMYFUNCTION("""COMPUTED_VALUE"""),"Computers")</f>
        <v>Computers</v>
      </c>
      <c r="C127" s="10" t="str">
        <f ca="1">IFERROR(__xludf.DUMMYFUNCTION("""COMPUTED_VALUE"""),"aligned_timestamps")</f>
        <v>aligned_timestamps</v>
      </c>
      <c r="D127" s="10">
        <f ca="1">IFERROR(__xludf.DUMMYFUNCTION("""COMPUTED_VALUE"""),0.1)</f>
        <v>0.1</v>
      </c>
      <c r="E127" s="17">
        <f ca="1">IFERROR(__xludf.DUMMYFUNCTION("""COMPUTED_VALUE"""),0.813097384932222)</f>
        <v>0.81309738493222194</v>
      </c>
      <c r="F127" s="17">
        <f ca="1">IFERROR(__xludf.DUMMYFUNCTION("""COMPUTED_VALUE"""),0.708192212995604)</f>
        <v>0.70819221299560398</v>
      </c>
      <c r="G127" s="17">
        <f ca="1">IFERROR(__xludf.DUMMYFUNCTION("""COMPUTED_VALUE"""),0.708607767054262)</f>
        <v>0.70860776705426198</v>
      </c>
      <c r="H127" s="17">
        <f ca="1">IFERROR(__xludf.DUMMYFUNCTION("""COMPUTED_VALUE"""),0.729907612342919)</f>
        <v>0.72990761234291901</v>
      </c>
      <c r="I127" s="17">
        <f ca="1">IFERROR(__xludf.DUMMYFUNCTION("""COMPUTED_VALUE"""),0.651038273436016)</f>
        <v>0.65103827343601595</v>
      </c>
      <c r="J127" s="17">
        <f ca="1">IFERROR(__xludf.DUMMYFUNCTION("""COMPUTED_VALUE"""),0.732096986029723)</f>
        <v>0.73209698602972295</v>
      </c>
      <c r="K127" s="17" t="str">
        <f ca="1">IFERROR(__xludf.DUMMYFUNCTION("""COMPUTED_VALUE"""),"nan")</f>
        <v>nan</v>
      </c>
      <c r="L127" s="17">
        <f ca="1">IFERROR(__xludf.DUMMYFUNCTION("""COMPUTED_VALUE"""),0.704422911256589)</f>
        <v>0.70442291125658896</v>
      </c>
      <c r="M127" s="17">
        <f ca="1">IFERROR(__xludf.DUMMYFUNCTION("""COMPUTED_VALUE"""),0.715688758065974)</f>
        <v>0.71568875806597398</v>
      </c>
      <c r="N127" s="17">
        <f ca="1">IFERROR(__xludf.DUMMYFUNCTION("""COMPUTED_VALUE"""),0.758723252161375)</f>
        <v>0.75872325216137504</v>
      </c>
      <c r="O127" s="17">
        <f ca="1">IFERROR(__xludf.DUMMYFUNCTION("""COMPUTED_VALUE"""),0.700518518127679)</f>
        <v>0.70051851812767896</v>
      </c>
      <c r="P127" s="17">
        <f ca="1">IFERROR(__xludf.DUMMYFUNCTION("""COMPUTED_VALUE"""),0.985085166292789)</f>
        <v>0.98508516629278897</v>
      </c>
      <c r="Q127" s="17">
        <f ca="1">IFERROR(__xludf.DUMMYFUNCTION("""COMPUTED_VALUE"""),0.96018827352612)</f>
        <v>0.96018827352612002</v>
      </c>
      <c r="R127" s="17">
        <f ca="1">IFERROR(__xludf.DUMMYFUNCTION("""COMPUTED_VALUE"""),0.679491030576502)</f>
        <v>0.67949103057650195</v>
      </c>
      <c r="S127" s="17">
        <f ca="1">IFERROR(__xludf.DUMMYFUNCTION("""COMPUTED_VALUE"""),0.699505906385578)</f>
        <v>0.69950590638557797</v>
      </c>
      <c r="T127" s="17">
        <f ca="1">IFERROR(__xludf.DUMMYFUNCTION("""COMPUTED_VALUE"""),0.730021142972891)</f>
        <v>0.730021142972891</v>
      </c>
      <c r="U127" s="17">
        <f ca="1">IFERROR(__xludf.DUMMYFUNCTION("""COMPUTED_VALUE"""),0.72532362734612)</f>
        <v>0.72532362734611999</v>
      </c>
      <c r="V127" s="17">
        <f ca="1">IFERROR(__xludf.DUMMYFUNCTION("""COMPUTED_VALUE"""),0.732808627613856)</f>
        <v>0.73280862761385601</v>
      </c>
      <c r="W127" s="17">
        <f ca="1">IFERROR(__xludf.DUMMYFUNCTION("""COMPUTED_VALUE"""),0.712335870547712)</f>
        <v>0.71233587054771197</v>
      </c>
      <c r="X127" s="17">
        <f ca="1">IFERROR(__xludf.DUMMYFUNCTION("""COMPUTED_VALUE"""),0.684208418152273)</f>
        <v>0.68420841815227296</v>
      </c>
      <c r="Y127" s="17">
        <f ca="1">IFERROR(__xludf.DUMMYFUNCTION("""COMPUTED_VALUE"""),0.746450085757335)</f>
        <v>0.74645008575733496</v>
      </c>
      <c r="Z127" s="17">
        <f ca="1">IFERROR(__xludf.DUMMYFUNCTION("""COMPUTED_VALUE"""),0.726936845048686)</f>
        <v>0.72693684504868605</v>
      </c>
      <c r="AA127" s="17">
        <f ca="1">IFERROR(__xludf.DUMMYFUNCTION("""COMPUTED_VALUE"""),0.66664997492824)</f>
        <v>0.66664997492823996</v>
      </c>
      <c r="AB127" s="17">
        <f ca="1">IFERROR(__xludf.DUMMYFUNCTION("""COMPUTED_VALUE"""),0.944853723042831)</f>
        <v>0.944853723042831</v>
      </c>
      <c r="AC127" s="17">
        <f ca="1">IFERROR(__xludf.DUMMYFUNCTION("""COMPUTED_VALUE"""),1.04131310109959)</f>
        <v>1.04131310109959</v>
      </c>
      <c r="AD127" s="17">
        <f ca="1">IFERROR(__xludf.DUMMYFUNCTION("""COMPUTED_VALUE"""),0.740583371601078)</f>
        <v>0.74058337160107801</v>
      </c>
      <c r="AE127" s="17">
        <f ca="1">IFERROR(__xludf.DUMMYFUNCTION("""COMPUTED_VALUE"""),1.01567010509263)</f>
        <v>1.01567010509263</v>
      </c>
      <c r="AF127" s="17">
        <f ca="1">IFERROR(__xludf.DUMMYFUNCTION("""COMPUTED_VALUE"""),0.745368940929882)</f>
        <v>0.74536894092988204</v>
      </c>
      <c r="AG127" s="17">
        <f ca="1">IFERROR(__xludf.DUMMYFUNCTION("""COMPUTED_VALUE"""),0.705830621789306)</f>
        <v>0.705830621789306</v>
      </c>
      <c r="AH127" s="17">
        <f ca="1">IFERROR(__xludf.DUMMYFUNCTION("""COMPUTED_VALUE"""),0.666661867796217)</f>
        <v>0.66666186779621694</v>
      </c>
      <c r="AI127" s="17">
        <f ca="1">IFERROR(__xludf.DUMMYFUNCTION("""COMPUTED_VALUE"""),0.699202957866844)</f>
        <v>0.69920295786684405</v>
      </c>
      <c r="AJ127" s="17">
        <f ca="1">IFERROR(__xludf.DUMMYFUNCTION("""COMPUTED_VALUE"""),0.664181651435721)</f>
        <v>0.66418165143572105</v>
      </c>
    </row>
    <row r="128" spans="2:36" ht="15.75" customHeight="1" x14ac:dyDescent="0.45">
      <c r="B128" s="10" t="str">
        <f ca="1">IFERROR(__xludf.DUMMYFUNCTION("""COMPUTED_VALUE"""),"Computers")</f>
        <v>Computers</v>
      </c>
      <c r="C128" s="10" t="str">
        <f ca="1">IFERROR(__xludf.DUMMYFUNCTION("""COMPUTED_VALUE"""),"aligned_timestamps")</f>
        <v>aligned_timestamps</v>
      </c>
      <c r="D128" s="10">
        <f ca="1">IFERROR(__xludf.DUMMYFUNCTION("""COMPUTED_VALUE"""),0.2)</f>
        <v>0.2</v>
      </c>
      <c r="E128" s="17">
        <f ca="1">IFERROR(__xludf.DUMMYFUNCTION("""COMPUTED_VALUE"""),0.729686010822113)</f>
        <v>0.72968601082211304</v>
      </c>
      <c r="F128" s="17">
        <f ca="1">IFERROR(__xludf.DUMMYFUNCTION("""COMPUTED_VALUE"""),0.625485868892495)</f>
        <v>0.62548586889249502</v>
      </c>
      <c r="G128" s="17">
        <f ca="1">IFERROR(__xludf.DUMMYFUNCTION("""COMPUTED_VALUE"""),0.62742182843335)</f>
        <v>0.62742182843335004</v>
      </c>
      <c r="H128" s="17">
        <f ca="1">IFERROR(__xludf.DUMMYFUNCTION("""COMPUTED_VALUE"""),0.65999075354974)</f>
        <v>0.65999075354974002</v>
      </c>
      <c r="I128" s="17">
        <f ca="1">IFERROR(__xludf.DUMMYFUNCTION("""COMPUTED_VALUE"""),0.57394877067991)</f>
        <v>0.57394877067991001</v>
      </c>
      <c r="J128" s="17">
        <f ca="1">IFERROR(__xludf.DUMMYFUNCTION("""COMPUTED_VALUE"""),0.624941104267772)</f>
        <v>0.62494110426777205</v>
      </c>
      <c r="K128" s="17" t="str">
        <f ca="1">IFERROR(__xludf.DUMMYFUNCTION("""COMPUTED_VALUE"""),"nan")</f>
        <v>nan</v>
      </c>
      <c r="L128" s="17">
        <f ca="1">IFERROR(__xludf.DUMMYFUNCTION("""COMPUTED_VALUE"""),0.611162167689832)</f>
        <v>0.611162167689832</v>
      </c>
      <c r="M128" s="17">
        <f ca="1">IFERROR(__xludf.DUMMYFUNCTION("""COMPUTED_VALUE"""),0.634101970613024)</f>
        <v>0.63410197061302398</v>
      </c>
      <c r="N128" s="17">
        <f ca="1">IFERROR(__xludf.DUMMYFUNCTION("""COMPUTED_VALUE"""),0.698966841519321)</f>
        <v>0.69896684151932098</v>
      </c>
      <c r="O128" s="17">
        <f ca="1">IFERROR(__xludf.DUMMYFUNCTION("""COMPUTED_VALUE"""),0.611281868273573)</f>
        <v>0.611281868273573</v>
      </c>
      <c r="P128" s="17">
        <f ca="1">IFERROR(__xludf.DUMMYFUNCTION("""COMPUTED_VALUE"""),0.946701062600783)</f>
        <v>0.94670106260078302</v>
      </c>
      <c r="Q128" s="17">
        <f ca="1">IFERROR(__xludf.DUMMYFUNCTION("""COMPUTED_VALUE"""),0.859417576123576)</f>
        <v>0.85941757612357605</v>
      </c>
      <c r="R128" s="17">
        <f ca="1">IFERROR(__xludf.DUMMYFUNCTION("""COMPUTED_VALUE"""),0.622528039260435)</f>
        <v>0.62252803926043498</v>
      </c>
      <c r="S128" s="17">
        <f ca="1">IFERROR(__xludf.DUMMYFUNCTION("""COMPUTED_VALUE"""),0.607858928817926)</f>
        <v>0.60785892881792603</v>
      </c>
      <c r="T128" s="17">
        <f ca="1">IFERROR(__xludf.DUMMYFUNCTION("""COMPUTED_VALUE"""),0.632159637654933)</f>
        <v>0.63215963765493299</v>
      </c>
      <c r="U128" s="17">
        <f ca="1">IFERROR(__xludf.DUMMYFUNCTION("""COMPUTED_VALUE"""),0.640331419499057)</f>
        <v>0.64033141949905703</v>
      </c>
      <c r="V128" s="17">
        <f ca="1">IFERROR(__xludf.DUMMYFUNCTION("""COMPUTED_VALUE"""),0.646654060996079)</f>
        <v>0.64665406099607903</v>
      </c>
      <c r="W128" s="17">
        <f ca="1">IFERROR(__xludf.DUMMYFUNCTION("""COMPUTED_VALUE"""),0.631629256538447)</f>
        <v>0.63162925653844704</v>
      </c>
      <c r="X128" s="17">
        <f ca="1">IFERROR(__xludf.DUMMYFUNCTION("""COMPUTED_VALUE"""),0.610517524634449)</f>
        <v>0.61051752463444897</v>
      </c>
      <c r="Y128" s="17">
        <f ca="1">IFERROR(__xludf.DUMMYFUNCTION("""COMPUTED_VALUE"""),0.690128020621272)</f>
        <v>0.69012802062127199</v>
      </c>
      <c r="Z128" s="17">
        <f ca="1">IFERROR(__xludf.DUMMYFUNCTION("""COMPUTED_VALUE"""),0.62204461890378)</f>
        <v>0.62204461890378004</v>
      </c>
      <c r="AA128" s="17">
        <f ca="1">IFERROR(__xludf.DUMMYFUNCTION("""COMPUTED_VALUE"""),0.628042289613324)</f>
        <v>0.62804228961332398</v>
      </c>
      <c r="AB128" s="17">
        <f ca="1">IFERROR(__xludf.DUMMYFUNCTION("""COMPUTED_VALUE"""),0.745607221419696)</f>
        <v>0.74560722141969604</v>
      </c>
      <c r="AC128" s="17">
        <f ca="1">IFERROR(__xludf.DUMMYFUNCTION("""COMPUTED_VALUE"""),1.03339197392964)</f>
        <v>1.03339197392964</v>
      </c>
      <c r="AD128" s="17">
        <f ca="1">IFERROR(__xludf.DUMMYFUNCTION("""COMPUTED_VALUE"""),0.683095710341955)</f>
        <v>0.68309571034195504</v>
      </c>
      <c r="AE128" s="17">
        <f ca="1">IFERROR(__xludf.DUMMYFUNCTION("""COMPUTED_VALUE"""),1.11936061640347)</f>
        <v>1.11936061640347</v>
      </c>
      <c r="AF128" s="17">
        <f ca="1">IFERROR(__xludf.DUMMYFUNCTION("""COMPUTED_VALUE"""),0.626084359616684)</f>
        <v>0.62608435961668396</v>
      </c>
      <c r="AG128" s="17">
        <f ca="1">IFERROR(__xludf.DUMMYFUNCTION("""COMPUTED_VALUE"""),0.628921294038026)</f>
        <v>0.62892129403802599</v>
      </c>
      <c r="AH128" s="17">
        <f ca="1">IFERROR(__xludf.DUMMYFUNCTION("""COMPUTED_VALUE"""),0.601671041305891)</f>
        <v>0.601671041305891</v>
      </c>
      <c r="AI128" s="17">
        <f ca="1">IFERROR(__xludf.DUMMYFUNCTION("""COMPUTED_VALUE"""),0.607126773876685)</f>
        <v>0.60712677387668501</v>
      </c>
      <c r="AJ128" s="17">
        <f ca="1">IFERROR(__xludf.DUMMYFUNCTION("""COMPUTED_VALUE"""),0.599378532682018)</f>
        <v>0.59937853268201802</v>
      </c>
    </row>
    <row r="129" spans="2:36" ht="15.75" customHeight="1" x14ac:dyDescent="0.45">
      <c r="B129" s="10" t="str">
        <f ca="1">IFERROR(__xludf.DUMMYFUNCTION("""COMPUTED_VALUE"""),"Computers")</f>
        <v>Computers</v>
      </c>
      <c r="C129" s="10" t="str">
        <f ca="1">IFERROR(__xludf.DUMMYFUNCTION("""COMPUTED_VALUE"""),"aligned_timestamps")</f>
        <v>aligned_timestamps</v>
      </c>
      <c r="D129" s="10">
        <f ca="1">IFERROR(__xludf.DUMMYFUNCTION("""COMPUTED_VALUE"""),0.4)</f>
        <v>0.4</v>
      </c>
      <c r="E129" s="17">
        <f ca="1">IFERROR(__xludf.DUMMYFUNCTION("""COMPUTED_VALUE"""),0.939483934649403)</f>
        <v>0.93948393464940305</v>
      </c>
      <c r="F129" s="17">
        <f ca="1">IFERROR(__xludf.DUMMYFUNCTION("""COMPUTED_VALUE"""),0.898080708986356)</f>
        <v>0.89808070898635595</v>
      </c>
      <c r="G129" s="17">
        <f ca="1">IFERROR(__xludf.DUMMYFUNCTION("""COMPUTED_VALUE"""),0.901823889395151)</f>
        <v>0.90182388939515101</v>
      </c>
      <c r="H129" s="17">
        <f ca="1">IFERROR(__xludf.DUMMYFUNCTION("""COMPUTED_VALUE"""),0.909390397972175)</f>
        <v>0.90939039797217502</v>
      </c>
      <c r="I129" s="17">
        <f ca="1">IFERROR(__xludf.DUMMYFUNCTION("""COMPUTED_VALUE"""),0.838934234055585)</f>
        <v>0.83893423405558498</v>
      </c>
      <c r="J129" s="17">
        <f ca="1">IFERROR(__xludf.DUMMYFUNCTION("""COMPUTED_VALUE"""),1.03782997965291)</f>
        <v>1.03782997965291</v>
      </c>
      <c r="K129" s="17" t="str">
        <f ca="1">IFERROR(__xludf.DUMMYFUNCTION("""COMPUTED_VALUE"""),"nan")</f>
        <v>nan</v>
      </c>
      <c r="L129" s="17">
        <f ca="1">IFERROR(__xludf.DUMMYFUNCTION("""COMPUTED_VALUE"""),1.20062285311188)</f>
        <v>1.2006228531118801</v>
      </c>
      <c r="M129" s="17">
        <f ca="1">IFERROR(__xludf.DUMMYFUNCTION("""COMPUTED_VALUE"""),0.932828960311446)</f>
        <v>0.93282896031144602</v>
      </c>
      <c r="N129" s="17">
        <f ca="1">IFERROR(__xludf.DUMMYFUNCTION("""COMPUTED_VALUE"""),0.93619454974689)</f>
        <v>0.93619454974688998</v>
      </c>
      <c r="O129" s="17">
        <f ca="1">IFERROR(__xludf.DUMMYFUNCTION("""COMPUTED_VALUE"""),0.894306834307058)</f>
        <v>0.89430683430705804</v>
      </c>
      <c r="P129" s="17">
        <f ca="1">IFERROR(__xludf.DUMMYFUNCTION("""COMPUTED_VALUE"""),1.04224305663927)</f>
        <v>1.04224305663927</v>
      </c>
      <c r="Q129" s="17">
        <f ca="1">IFERROR(__xludf.DUMMYFUNCTION("""COMPUTED_VALUE"""),1.24033197395502)</f>
        <v>1.24033197395502</v>
      </c>
      <c r="R129" s="17">
        <f ca="1">IFERROR(__xludf.DUMMYFUNCTION("""COMPUTED_VALUE"""),0.956203406416892)</f>
        <v>0.95620340641689205</v>
      </c>
      <c r="S129" s="17">
        <f ca="1">IFERROR(__xludf.DUMMYFUNCTION("""COMPUTED_VALUE"""),0.865777928928357)</f>
        <v>0.86577792892835703</v>
      </c>
      <c r="T129" s="17">
        <f ca="1">IFERROR(__xludf.DUMMYFUNCTION("""COMPUTED_VALUE"""),0.905083208753379)</f>
        <v>0.905083208753379</v>
      </c>
      <c r="U129" s="17">
        <f ca="1">IFERROR(__xludf.DUMMYFUNCTION("""COMPUTED_VALUE"""),0.894559643894368)</f>
        <v>0.89455964389436804</v>
      </c>
      <c r="V129" s="17">
        <f ca="1">IFERROR(__xludf.DUMMYFUNCTION("""COMPUTED_VALUE"""),0.91050430466696)</f>
        <v>0.91050430466695997</v>
      </c>
      <c r="W129" s="17">
        <f ca="1">IFERROR(__xludf.DUMMYFUNCTION("""COMPUTED_VALUE"""),0.888332002215671)</f>
        <v>0.88833200221567099</v>
      </c>
      <c r="X129" s="17">
        <f ca="1">IFERROR(__xludf.DUMMYFUNCTION("""COMPUTED_VALUE"""),0.897386816195959)</f>
        <v>0.89738681619595895</v>
      </c>
      <c r="Y129" s="17">
        <f ca="1">IFERROR(__xludf.DUMMYFUNCTION("""COMPUTED_VALUE"""),0.951223339114827)</f>
        <v>0.95122333911482704</v>
      </c>
      <c r="Z129" s="17">
        <f ca="1">IFERROR(__xludf.DUMMYFUNCTION("""COMPUTED_VALUE"""),0.916505000797081)</f>
        <v>0.91650500079708097</v>
      </c>
      <c r="AA129" s="17">
        <f ca="1">IFERROR(__xludf.DUMMYFUNCTION("""COMPUTED_VALUE"""),2.47202883011113)</f>
        <v>2.4720288301111299</v>
      </c>
      <c r="AB129" s="17">
        <f ca="1">IFERROR(__xludf.DUMMYFUNCTION("""COMPUTED_VALUE"""),1.34654550143958)</f>
        <v>1.34654550143958</v>
      </c>
      <c r="AC129" s="17">
        <f ca="1">IFERROR(__xludf.DUMMYFUNCTION("""COMPUTED_VALUE"""),1.12178048413124)</f>
        <v>1.12178048413124</v>
      </c>
      <c r="AD129" s="17">
        <f ca="1">IFERROR(__xludf.DUMMYFUNCTION("""COMPUTED_VALUE"""),0.929699810055121)</f>
        <v>0.92969981005512103</v>
      </c>
      <c r="AE129" s="17" t="str">
        <f ca="1">IFERROR(__xludf.DUMMYFUNCTION("""COMPUTED_VALUE"""),"nan")</f>
        <v>nan</v>
      </c>
      <c r="AF129" s="17">
        <f ca="1">IFERROR(__xludf.DUMMYFUNCTION("""COMPUTED_VALUE"""),1.01298837568266)</f>
        <v>1.0129883756826601</v>
      </c>
      <c r="AG129" s="17">
        <f ca="1">IFERROR(__xludf.DUMMYFUNCTION("""COMPUTED_VALUE"""),1.01297746913952)</f>
        <v>1.0129774691395199</v>
      </c>
      <c r="AH129" s="17">
        <f ca="1">IFERROR(__xludf.DUMMYFUNCTION("""COMPUTED_VALUE"""),0.977646076715707)</f>
        <v>0.97764607671570702</v>
      </c>
      <c r="AI129" s="17">
        <f ca="1">IFERROR(__xludf.DUMMYFUNCTION("""COMPUTED_VALUE"""),0.991706517139781)</f>
        <v>0.99170651713978097</v>
      </c>
      <c r="AJ129" s="17">
        <f ca="1">IFERROR(__xludf.DUMMYFUNCTION("""COMPUTED_VALUE"""),1.1008545830729)</f>
        <v>1.1008545830729</v>
      </c>
    </row>
    <row r="130" spans="2:36" ht="15.75" customHeight="1" x14ac:dyDescent="0.45">
      <c r="B130" s="10" t="str">
        <f ca="1">IFERROR(__xludf.DUMMYFUNCTION("""COMPUTED_VALUE"""),"Computers")</f>
        <v>Computers</v>
      </c>
      <c r="C130" s="10" t="str">
        <f ca="1">IFERROR(__xludf.DUMMYFUNCTION("""COMPUTED_VALUE"""),"aligned_timestamps")</f>
        <v>aligned_timestamps</v>
      </c>
      <c r="D130" s="10">
        <f ca="1">IFERROR(__xludf.DUMMYFUNCTION("""COMPUTED_VALUE"""),0.6)</f>
        <v>0.6</v>
      </c>
      <c r="E130" s="17">
        <f ca="1">IFERROR(__xludf.DUMMYFUNCTION("""COMPUTED_VALUE"""),0.915730945109981)</f>
        <v>0.91573094510998099</v>
      </c>
      <c r="F130" s="17">
        <f ca="1">IFERROR(__xludf.DUMMYFUNCTION("""COMPUTED_VALUE"""),0.969635025735441)</f>
        <v>0.96963502573544103</v>
      </c>
      <c r="G130" s="17">
        <f ca="1">IFERROR(__xludf.DUMMYFUNCTION("""COMPUTED_VALUE"""),1.00813683971206)</f>
        <v>1.00813683971206</v>
      </c>
      <c r="H130" s="17">
        <f ca="1">IFERROR(__xludf.DUMMYFUNCTION("""COMPUTED_VALUE"""),0.913760340109403)</f>
        <v>0.91376034010940299</v>
      </c>
      <c r="I130" s="17">
        <f ca="1">IFERROR(__xludf.DUMMYFUNCTION("""COMPUTED_VALUE"""),0.856201051375143)</f>
        <v>0.85620105137514302</v>
      </c>
      <c r="J130" s="17">
        <f ca="1">IFERROR(__xludf.DUMMYFUNCTION("""COMPUTED_VALUE"""),1.27999848791531)</f>
        <v>1.2799984879153099</v>
      </c>
      <c r="K130" s="17" t="str">
        <f ca="1">IFERROR(__xludf.DUMMYFUNCTION("""COMPUTED_VALUE"""),"nan")</f>
        <v>nan</v>
      </c>
      <c r="L130" s="17">
        <f ca="1">IFERROR(__xludf.DUMMYFUNCTION("""COMPUTED_VALUE"""),1.4132870467637)</f>
        <v>1.4132870467637</v>
      </c>
      <c r="M130" s="17">
        <f ca="1">IFERROR(__xludf.DUMMYFUNCTION("""COMPUTED_VALUE"""),1.01630559315876)</f>
        <v>1.0163055931587599</v>
      </c>
      <c r="N130" s="17">
        <f ca="1">IFERROR(__xludf.DUMMYFUNCTION("""COMPUTED_VALUE"""),1.02537306810117)</f>
        <v>1.0253730681011699</v>
      </c>
      <c r="O130" s="17">
        <f ca="1">IFERROR(__xludf.DUMMYFUNCTION("""COMPUTED_VALUE"""),1.23179532704456)</f>
        <v>1.2317953270445601</v>
      </c>
      <c r="P130" s="17">
        <f ca="1">IFERROR(__xludf.DUMMYFUNCTION("""COMPUTED_VALUE"""),1.08910898651024)</f>
        <v>1.0891089865102399</v>
      </c>
      <c r="Q130" s="17">
        <f ca="1">IFERROR(__xludf.DUMMYFUNCTION("""COMPUTED_VALUE"""),1.31586699723237)</f>
        <v>1.31586699723237</v>
      </c>
      <c r="R130" s="17">
        <f ca="1">IFERROR(__xludf.DUMMYFUNCTION("""COMPUTED_VALUE"""),1.04786690231063)</f>
        <v>1.04786690231063</v>
      </c>
      <c r="S130" s="17">
        <f ca="1">IFERROR(__xludf.DUMMYFUNCTION("""COMPUTED_VALUE"""),0.934224273873161)</f>
        <v>0.93422427387316098</v>
      </c>
      <c r="T130" s="17">
        <f ca="1">IFERROR(__xludf.DUMMYFUNCTION("""COMPUTED_VALUE"""),0.932446774178709)</f>
        <v>0.93244677417870903</v>
      </c>
      <c r="U130" s="17">
        <f ca="1">IFERROR(__xludf.DUMMYFUNCTION("""COMPUTED_VALUE"""),0.890927573152009)</f>
        <v>0.89092757315200899</v>
      </c>
      <c r="V130" s="17">
        <f ca="1">IFERROR(__xludf.DUMMYFUNCTION("""COMPUTED_VALUE"""),0.912496805656623)</f>
        <v>0.91249680565662294</v>
      </c>
      <c r="W130" s="17">
        <f ca="1">IFERROR(__xludf.DUMMYFUNCTION("""COMPUTED_VALUE"""),0.906986834445808)</f>
        <v>0.90698683444580797</v>
      </c>
      <c r="X130" s="17">
        <f ca="1">IFERROR(__xludf.DUMMYFUNCTION("""COMPUTED_VALUE"""),0.91091823462509)</f>
        <v>0.91091823462509003</v>
      </c>
      <c r="Y130" s="17">
        <f ca="1">IFERROR(__xludf.DUMMYFUNCTION("""COMPUTED_VALUE"""),0.92518430295579)</f>
        <v>0.92518430295579002</v>
      </c>
      <c r="Z130" s="17">
        <f ca="1">IFERROR(__xludf.DUMMYFUNCTION("""COMPUTED_VALUE"""),0.89458420111462)</f>
        <v>0.89458420111462</v>
      </c>
      <c r="AA130" s="17">
        <f ca="1">IFERROR(__xludf.DUMMYFUNCTION("""COMPUTED_VALUE"""),3.26740286054224)</f>
        <v>3.2674028605422398</v>
      </c>
      <c r="AB130" s="17">
        <f ca="1">IFERROR(__xludf.DUMMYFUNCTION("""COMPUTED_VALUE"""),1.19987754325804)</f>
        <v>1.19987754325804</v>
      </c>
      <c r="AC130" s="17">
        <f ca="1">IFERROR(__xludf.DUMMYFUNCTION("""COMPUTED_VALUE"""),1.16861698947348)</f>
        <v>1.1686169894734799</v>
      </c>
      <c r="AD130" s="17">
        <f ca="1">IFERROR(__xludf.DUMMYFUNCTION("""COMPUTED_VALUE"""),0.92380644005696)</f>
        <v>0.92380644005696</v>
      </c>
      <c r="AE130" s="17" t="str">
        <f ca="1">IFERROR(__xludf.DUMMYFUNCTION("""COMPUTED_VALUE"""),"nan")</f>
        <v>nan</v>
      </c>
      <c r="AF130" s="17">
        <f ca="1">IFERROR(__xludf.DUMMYFUNCTION("""COMPUTED_VALUE"""),1.0842268754909)</f>
        <v>1.0842268754908999</v>
      </c>
      <c r="AG130" s="17">
        <f ca="1">IFERROR(__xludf.DUMMYFUNCTION("""COMPUTED_VALUE"""),1.01894117015169)</f>
        <v>1.0189411701516899</v>
      </c>
      <c r="AH130" s="17">
        <f ca="1">IFERROR(__xludf.DUMMYFUNCTION("""COMPUTED_VALUE"""),0.933700196492213)</f>
        <v>0.93370019649221303</v>
      </c>
      <c r="AI130" s="17">
        <f ca="1">IFERROR(__xludf.DUMMYFUNCTION("""COMPUTED_VALUE"""),0.935811204002323)</f>
        <v>0.93581120400232298</v>
      </c>
      <c r="AJ130" s="17">
        <f ca="1">IFERROR(__xludf.DUMMYFUNCTION("""COMPUTED_VALUE"""),1.04808763312728)</f>
        <v>1.0480876331272799</v>
      </c>
    </row>
    <row r="131" spans="2:36" ht="15.75" customHeight="1" x14ac:dyDescent="0.45">
      <c r="B131" s="10" t="str">
        <f ca="1">IFERROR(__xludf.DUMMYFUNCTION("""COMPUTED_VALUE"""),"Computers")</f>
        <v>Computers</v>
      </c>
      <c r="C131" s="10" t="str">
        <f ca="1">IFERROR(__xludf.DUMMYFUNCTION("""COMPUTED_VALUE"""),"aligned_timestamps")</f>
        <v>aligned_timestamps</v>
      </c>
      <c r="D131" s="10">
        <f ca="1">IFERROR(__xludf.DUMMYFUNCTION("""COMPUTED_VALUE"""),0.8)</f>
        <v>0.8</v>
      </c>
      <c r="E131" s="17">
        <f ca="1">IFERROR(__xludf.DUMMYFUNCTION("""COMPUTED_VALUE"""),0.968862080415367)</f>
        <v>0.96886208041536703</v>
      </c>
      <c r="F131" s="17">
        <f ca="1">IFERROR(__xludf.DUMMYFUNCTION("""COMPUTED_VALUE"""),1.01575707363394)</f>
        <v>1.0157570736339401</v>
      </c>
      <c r="G131" s="17">
        <f ca="1">IFERROR(__xludf.DUMMYFUNCTION("""COMPUTED_VALUE"""),1.11252255299976)</f>
        <v>1.11252255299976</v>
      </c>
      <c r="H131" s="17">
        <f ca="1">IFERROR(__xludf.DUMMYFUNCTION("""COMPUTED_VALUE"""),0.979068486404208)</f>
        <v>0.97906848640420796</v>
      </c>
      <c r="I131" s="17">
        <f ca="1">IFERROR(__xludf.DUMMYFUNCTION("""COMPUTED_VALUE"""),0.92563851008802)</f>
        <v>0.92563851008802001</v>
      </c>
      <c r="J131" s="17">
        <f ca="1">IFERROR(__xludf.DUMMYFUNCTION("""COMPUTED_VALUE"""),1.38453777257161)</f>
        <v>1.3845377725716099</v>
      </c>
      <c r="K131" s="17" t="str">
        <f ca="1">IFERROR(__xludf.DUMMYFUNCTION("""COMPUTED_VALUE"""),"nan")</f>
        <v>nan</v>
      </c>
      <c r="L131" s="17">
        <f ca="1">IFERROR(__xludf.DUMMYFUNCTION("""COMPUTED_VALUE"""),1.43227704895886)</f>
        <v>1.4322770489588601</v>
      </c>
      <c r="M131" s="17">
        <f ca="1">IFERROR(__xludf.DUMMYFUNCTION("""COMPUTED_VALUE"""),1.09249481869408)</f>
        <v>1.0924948186940799</v>
      </c>
      <c r="N131" s="17">
        <f ca="1">IFERROR(__xludf.DUMMYFUNCTION("""COMPUTED_VALUE"""),1.11180904183047)</f>
        <v>1.11180904183047</v>
      </c>
      <c r="O131" s="17">
        <f ca="1">IFERROR(__xludf.DUMMYFUNCTION("""COMPUTED_VALUE"""),1.31130433416521)</f>
        <v>1.31130433416521</v>
      </c>
      <c r="P131" s="17">
        <f ca="1">IFERROR(__xludf.DUMMYFUNCTION("""COMPUTED_VALUE"""),1.18217703216974)</f>
        <v>1.18217703216974</v>
      </c>
      <c r="Q131" s="17">
        <f ca="1">IFERROR(__xludf.DUMMYFUNCTION("""COMPUTED_VALUE"""),1.383229275145)</f>
        <v>1.3832292751449999</v>
      </c>
      <c r="R131" s="17">
        <f ca="1">IFERROR(__xludf.DUMMYFUNCTION("""COMPUTED_VALUE"""),1.12719498574651)</f>
        <v>1.12719498574651</v>
      </c>
      <c r="S131" s="17">
        <f ca="1">IFERROR(__xludf.DUMMYFUNCTION("""COMPUTED_VALUE"""),1.02037847812612)</f>
        <v>1.02037847812612</v>
      </c>
      <c r="T131" s="17">
        <f ca="1">IFERROR(__xludf.DUMMYFUNCTION("""COMPUTED_VALUE"""),1.00291272295572)</f>
        <v>1.00291272295572</v>
      </c>
      <c r="U131" s="17">
        <f ca="1">IFERROR(__xludf.DUMMYFUNCTION("""COMPUTED_VALUE"""),0.992789105130634)</f>
        <v>0.99278910513063401</v>
      </c>
      <c r="V131" s="17">
        <f ca="1">IFERROR(__xludf.DUMMYFUNCTION("""COMPUTED_VALUE"""),1.05867285834783)</f>
        <v>1.05867285834783</v>
      </c>
      <c r="W131" s="17">
        <f ca="1">IFERROR(__xludf.DUMMYFUNCTION("""COMPUTED_VALUE"""),1.01502164467713)</f>
        <v>1.0150216446771301</v>
      </c>
      <c r="X131" s="17">
        <f ca="1">IFERROR(__xludf.DUMMYFUNCTION("""COMPUTED_VALUE"""),1.00201346620652)</f>
        <v>1.0020134662065201</v>
      </c>
      <c r="Y131" s="17">
        <f ca="1">IFERROR(__xludf.DUMMYFUNCTION("""COMPUTED_VALUE"""),1.04896547834824)</f>
        <v>1.0489654783482401</v>
      </c>
      <c r="Z131" s="17">
        <f ca="1">IFERROR(__xludf.DUMMYFUNCTION("""COMPUTED_VALUE"""),0.952449116276065)</f>
        <v>0.95244911627606499</v>
      </c>
      <c r="AA131" s="17">
        <f ca="1">IFERROR(__xludf.DUMMYFUNCTION("""COMPUTED_VALUE"""),4.46547530592343)</f>
        <v>4.4654753059234302</v>
      </c>
      <c r="AB131" s="17">
        <f ca="1">IFERROR(__xludf.DUMMYFUNCTION("""COMPUTED_VALUE"""),1.16148677644056)</f>
        <v>1.1614867764405601</v>
      </c>
      <c r="AC131" s="17">
        <f ca="1">IFERROR(__xludf.DUMMYFUNCTION("""COMPUTED_VALUE"""),1.19688206859221)</f>
        <v>1.1968820685922099</v>
      </c>
      <c r="AD131" s="17">
        <f ca="1">IFERROR(__xludf.DUMMYFUNCTION("""COMPUTED_VALUE"""),0.993775582658921)</f>
        <v>0.99377558265892096</v>
      </c>
      <c r="AE131" s="17" t="str">
        <f ca="1">IFERROR(__xludf.DUMMYFUNCTION("""COMPUTED_VALUE"""),"nan")</f>
        <v>nan</v>
      </c>
      <c r="AF131" s="17">
        <f ca="1">IFERROR(__xludf.DUMMYFUNCTION("""COMPUTED_VALUE"""),1.16109208475945)</f>
        <v>1.1610920847594499</v>
      </c>
      <c r="AG131" s="17">
        <f ca="1">IFERROR(__xludf.DUMMYFUNCTION("""COMPUTED_VALUE"""),1.07950775092421)</f>
        <v>1.0795077509242099</v>
      </c>
      <c r="AH131" s="17">
        <f ca="1">IFERROR(__xludf.DUMMYFUNCTION("""COMPUTED_VALUE"""),1.00419561642339)</f>
        <v>1.0041956164233901</v>
      </c>
      <c r="AI131" s="17">
        <f ca="1">IFERROR(__xludf.DUMMYFUNCTION("""COMPUTED_VALUE"""),1.02476117164456)</f>
        <v>1.0247611716445599</v>
      </c>
      <c r="AJ131" s="17">
        <f ca="1">IFERROR(__xludf.DUMMYFUNCTION("""COMPUTED_VALUE"""),1.21860787027352)</f>
        <v>1.2186078702735199</v>
      </c>
    </row>
    <row r="132" spans="2:36" ht="15.75" customHeight="1" x14ac:dyDescent="0.45">
      <c r="B132" s="10" t="str">
        <f ca="1">IFERROR(__xludf.DUMMYFUNCTION("""COMPUTED_VALUE"""),"Computers")</f>
        <v>Computers</v>
      </c>
      <c r="C132" s="10" t="str">
        <f ca="1">IFERROR(__xludf.DUMMYFUNCTION("""COMPUTED_VALUE"""),"mcar")</f>
        <v>mcar</v>
      </c>
      <c r="D132" s="10">
        <f ca="1">IFERROR(__xludf.DUMMYFUNCTION("""COMPUTED_VALUE"""),0.1)</f>
        <v>0.1</v>
      </c>
      <c r="E132" s="17">
        <f ca="1">IFERROR(__xludf.DUMMYFUNCTION("""COMPUTED_VALUE"""),0.975791982565803)</f>
        <v>0.97579198256580302</v>
      </c>
      <c r="F132" s="17">
        <f ca="1">IFERROR(__xludf.DUMMYFUNCTION("""COMPUTED_VALUE"""),0.889290252638682)</f>
        <v>0.889290252638682</v>
      </c>
      <c r="G132" s="17">
        <f ca="1">IFERROR(__xludf.DUMMYFUNCTION("""COMPUTED_VALUE"""),0.891228070457662)</f>
        <v>0.89122807045766195</v>
      </c>
      <c r="H132" s="17">
        <f ca="1">IFERROR(__xludf.DUMMYFUNCTION("""COMPUTED_VALUE"""),0.899641022440016)</f>
        <v>0.89964102244001598</v>
      </c>
      <c r="I132" s="17">
        <f ca="1">IFERROR(__xludf.DUMMYFUNCTION("""COMPUTED_VALUE"""),0.58080469180863)</f>
        <v>0.58080469180863004</v>
      </c>
      <c r="J132" s="17">
        <f ca="1">IFERROR(__xludf.DUMMYFUNCTION("""COMPUTED_VALUE"""),0.952909875958855)</f>
        <v>0.95290987595885501</v>
      </c>
      <c r="K132" s="17" t="str">
        <f ca="1">IFERROR(__xludf.DUMMYFUNCTION("""COMPUTED_VALUE"""),"nan")</f>
        <v>nan</v>
      </c>
      <c r="L132" s="17">
        <f ca="1">IFERROR(__xludf.DUMMYFUNCTION("""COMPUTED_VALUE"""),0.82408587037061)</f>
        <v>0.82408587037060999</v>
      </c>
      <c r="M132" s="17">
        <f ca="1">IFERROR(__xludf.DUMMYFUNCTION("""COMPUTED_VALUE"""),0.922583961416686)</f>
        <v>0.92258396141668597</v>
      </c>
      <c r="N132" s="17">
        <f ca="1">IFERROR(__xludf.DUMMYFUNCTION("""COMPUTED_VALUE"""),0.580179671293632)</f>
        <v>0.58017967129363202</v>
      </c>
      <c r="O132" s="17">
        <f ca="1">IFERROR(__xludf.DUMMYFUNCTION("""COMPUTED_VALUE"""),0.836501417245073)</f>
        <v>0.83650141724507299</v>
      </c>
      <c r="P132" s="17">
        <f ca="1">IFERROR(__xludf.DUMMYFUNCTION("""COMPUTED_VALUE"""),0.687916978577815)</f>
        <v>0.68791697857781497</v>
      </c>
      <c r="Q132" s="17">
        <f ca="1">IFERROR(__xludf.DUMMYFUNCTION("""COMPUTED_VALUE"""),1.33658296264156)</f>
        <v>1.33658296264156</v>
      </c>
      <c r="R132" s="17">
        <f ca="1">IFERROR(__xludf.DUMMYFUNCTION("""COMPUTED_VALUE"""),0.571059447559952)</f>
        <v>0.57105944755995197</v>
      </c>
      <c r="S132" s="17">
        <f ca="1">IFERROR(__xludf.DUMMYFUNCTION("""COMPUTED_VALUE"""),0.845102099152819)</f>
        <v>0.84510209915281898</v>
      </c>
      <c r="T132" s="17">
        <f ca="1">IFERROR(__xludf.DUMMYFUNCTION("""COMPUTED_VALUE"""),0.816734959727759)</f>
        <v>0.816734959727759</v>
      </c>
      <c r="U132" s="17">
        <f ca="1">IFERROR(__xludf.DUMMYFUNCTION("""COMPUTED_VALUE"""),0.726993465012)</f>
        <v>0.72699346501200002</v>
      </c>
      <c r="V132" s="17">
        <f ca="1">IFERROR(__xludf.DUMMYFUNCTION("""COMPUTED_VALUE"""),0.929810750631956)</f>
        <v>0.92981075063195595</v>
      </c>
      <c r="W132" s="17">
        <f ca="1">IFERROR(__xludf.DUMMYFUNCTION("""COMPUTED_VALUE"""),0.58713285163634)</f>
        <v>0.58713285163633999</v>
      </c>
      <c r="X132" s="17">
        <f ca="1">IFERROR(__xludf.DUMMYFUNCTION("""COMPUTED_VALUE"""),0.624257500554854)</f>
        <v>0.62425750055485396</v>
      </c>
      <c r="Y132" s="17">
        <f ca="1">IFERROR(__xludf.DUMMYFUNCTION("""COMPUTED_VALUE"""),0.570878371337677)</f>
        <v>0.57087837133767705</v>
      </c>
      <c r="Z132" s="17">
        <f ca="1">IFERROR(__xludf.DUMMYFUNCTION("""COMPUTED_VALUE"""),0.865105776696225)</f>
        <v>0.86510577669622502</v>
      </c>
      <c r="AA132" s="17">
        <f ca="1">IFERROR(__xludf.DUMMYFUNCTION("""COMPUTED_VALUE"""),0.590857485601778)</f>
        <v>0.59085748560177798</v>
      </c>
      <c r="AB132" s="17">
        <f ca="1">IFERROR(__xludf.DUMMYFUNCTION("""COMPUTED_VALUE"""),0.763606193097606)</f>
        <v>0.76360619309760602</v>
      </c>
      <c r="AC132" s="17">
        <f ca="1">IFERROR(__xludf.DUMMYFUNCTION("""COMPUTED_VALUE"""),0.687480279969403)</f>
        <v>0.68748027996940297</v>
      </c>
      <c r="AD132" s="17">
        <f ca="1">IFERROR(__xludf.DUMMYFUNCTION("""COMPUTED_VALUE"""),0.707560355734579)</f>
        <v>0.70756035573457898</v>
      </c>
      <c r="AE132" s="17">
        <f ca="1">IFERROR(__xludf.DUMMYFUNCTION("""COMPUTED_VALUE"""),0.977724737309778)</f>
        <v>0.97772473730977805</v>
      </c>
      <c r="AF132" s="17">
        <f ca="1">IFERROR(__xludf.DUMMYFUNCTION("""COMPUTED_VALUE"""),0.562523915108229)</f>
        <v>0.56252391510822897</v>
      </c>
      <c r="AG132" s="17">
        <f ca="1">IFERROR(__xludf.DUMMYFUNCTION("""COMPUTED_VALUE"""),0.730727576245084)</f>
        <v>0.730727576245084</v>
      </c>
      <c r="AH132" s="17">
        <f ca="1">IFERROR(__xludf.DUMMYFUNCTION("""COMPUTED_VALUE"""),0.599804040965231)</f>
        <v>0.59980404096523099</v>
      </c>
      <c r="AI132" s="17">
        <f ca="1">IFERROR(__xludf.DUMMYFUNCTION("""COMPUTED_VALUE"""),0.829708873527875)</f>
        <v>0.82970887352787503</v>
      </c>
      <c r="AJ132" s="17">
        <f ca="1">IFERROR(__xludf.DUMMYFUNCTION("""COMPUTED_VALUE"""),0.681429997609832)</f>
        <v>0.68142999760983203</v>
      </c>
    </row>
    <row r="133" spans="2:36" ht="15.75" customHeight="1" x14ac:dyDescent="0.45">
      <c r="B133" s="10" t="str">
        <f ca="1">IFERROR(__xludf.DUMMYFUNCTION("""COMPUTED_VALUE"""),"Computers")</f>
        <v>Computers</v>
      </c>
      <c r="C133" s="10" t="str">
        <f ca="1">IFERROR(__xludf.DUMMYFUNCTION("""COMPUTED_VALUE"""),"mcar")</f>
        <v>mcar</v>
      </c>
      <c r="D133" s="10">
        <f ca="1">IFERROR(__xludf.DUMMYFUNCTION("""COMPUTED_VALUE"""),0.2)</f>
        <v>0.2</v>
      </c>
      <c r="E133" s="17">
        <f ca="1">IFERROR(__xludf.DUMMYFUNCTION("""COMPUTED_VALUE"""),1.00156461437786)</f>
        <v>1.00156461437786</v>
      </c>
      <c r="F133" s="17">
        <f ca="1">IFERROR(__xludf.DUMMYFUNCTION("""COMPUTED_VALUE"""),0.875131530837787)</f>
        <v>0.87513153083778705</v>
      </c>
      <c r="G133" s="17">
        <f ca="1">IFERROR(__xludf.DUMMYFUNCTION("""COMPUTED_VALUE"""),0.875807616898787)</f>
        <v>0.87580761689878694</v>
      </c>
      <c r="H133" s="17">
        <f ca="1">IFERROR(__xludf.DUMMYFUNCTION("""COMPUTED_VALUE"""),0.892540971030592)</f>
        <v>0.89254097103059205</v>
      </c>
      <c r="I133" s="17">
        <f ca="1">IFERROR(__xludf.DUMMYFUNCTION("""COMPUTED_VALUE"""),0.599042527611882)</f>
        <v>0.59904252761188204</v>
      </c>
      <c r="J133" s="17">
        <f ca="1">IFERROR(__xludf.DUMMYFUNCTION("""COMPUTED_VALUE"""),0.959218038809146)</f>
        <v>0.95921803880914602</v>
      </c>
      <c r="K133" s="17" t="str">
        <f ca="1">IFERROR(__xludf.DUMMYFUNCTION("""COMPUTED_VALUE"""),"nan")</f>
        <v>nan</v>
      </c>
      <c r="L133" s="17">
        <f ca="1">IFERROR(__xludf.DUMMYFUNCTION("""COMPUTED_VALUE"""),0.828211449966551)</f>
        <v>0.82821144996655105</v>
      </c>
      <c r="M133" s="17">
        <f ca="1">IFERROR(__xludf.DUMMYFUNCTION("""COMPUTED_VALUE"""),0.905811234455957)</f>
        <v>0.90581123445595702</v>
      </c>
      <c r="N133" s="17">
        <f ca="1">IFERROR(__xludf.DUMMYFUNCTION("""COMPUTED_VALUE"""),0.603339403034706)</f>
        <v>0.60333940303470601</v>
      </c>
      <c r="O133" s="17">
        <f ca="1">IFERROR(__xludf.DUMMYFUNCTION("""COMPUTED_VALUE"""),0.835254133766571)</f>
        <v>0.83525413376657098</v>
      </c>
      <c r="P133" s="17">
        <f ca="1">IFERROR(__xludf.DUMMYFUNCTION("""COMPUTED_VALUE"""),0.68543101066996)</f>
        <v>0.68543101066996004</v>
      </c>
      <c r="Q133" s="17">
        <f ca="1">IFERROR(__xludf.DUMMYFUNCTION("""COMPUTED_VALUE"""),1.33253485424619)</f>
        <v>1.3325348542461899</v>
      </c>
      <c r="R133" s="17">
        <f ca="1">IFERROR(__xludf.DUMMYFUNCTION("""COMPUTED_VALUE"""),0.579896640086992)</f>
        <v>0.57989664008699204</v>
      </c>
      <c r="S133" s="17">
        <f ca="1">IFERROR(__xludf.DUMMYFUNCTION("""COMPUTED_VALUE"""),1.12837956492376)</f>
        <v>1.12837956492376</v>
      </c>
      <c r="T133" s="17">
        <f ca="1">IFERROR(__xludf.DUMMYFUNCTION("""COMPUTED_VALUE"""),0.790782115982131)</f>
        <v>0.790782115982131</v>
      </c>
      <c r="U133" s="17">
        <f ca="1">IFERROR(__xludf.DUMMYFUNCTION("""COMPUTED_VALUE"""),0.697933144675246)</f>
        <v>0.69793314467524603</v>
      </c>
      <c r="V133" s="17">
        <f ca="1">IFERROR(__xludf.DUMMYFUNCTION("""COMPUTED_VALUE"""),0.9461923570503)</f>
        <v>0.94619235705030003</v>
      </c>
      <c r="W133" s="17">
        <f ca="1">IFERROR(__xludf.DUMMYFUNCTION("""COMPUTED_VALUE"""),0.636530280720901)</f>
        <v>0.63653028072090101</v>
      </c>
      <c r="X133" s="17">
        <f ca="1">IFERROR(__xludf.DUMMYFUNCTION("""COMPUTED_VALUE"""),0.618469875550511)</f>
        <v>0.61846987555051103</v>
      </c>
      <c r="Y133" s="17">
        <f ca="1">IFERROR(__xludf.DUMMYFUNCTION("""COMPUTED_VALUE"""),0.599479524258218)</f>
        <v>0.59947952425821804</v>
      </c>
      <c r="Z133" s="17">
        <f ca="1">IFERROR(__xludf.DUMMYFUNCTION("""COMPUTED_VALUE"""),0.852433464521241)</f>
        <v>0.85243346452124102</v>
      </c>
      <c r="AA133" s="17">
        <f ca="1">IFERROR(__xludf.DUMMYFUNCTION("""COMPUTED_VALUE"""),0.613511206758812)</f>
        <v>0.61351120675881199</v>
      </c>
      <c r="AB133" s="17">
        <f ca="1">IFERROR(__xludf.DUMMYFUNCTION("""COMPUTED_VALUE"""),0.744614680361518)</f>
        <v>0.74461468036151801</v>
      </c>
      <c r="AC133" s="17">
        <f ca="1">IFERROR(__xludf.DUMMYFUNCTION("""COMPUTED_VALUE"""),0.859679457147865)</f>
        <v>0.85967945714786498</v>
      </c>
      <c r="AD133" s="17">
        <f ca="1">IFERROR(__xludf.DUMMYFUNCTION("""COMPUTED_VALUE"""),0.756957557965072)</f>
        <v>0.75695755796507203</v>
      </c>
      <c r="AE133" s="17">
        <f ca="1">IFERROR(__xludf.DUMMYFUNCTION("""COMPUTED_VALUE"""),0.97090410051497)</f>
        <v>0.97090410051497</v>
      </c>
      <c r="AF133" s="17">
        <f ca="1">IFERROR(__xludf.DUMMYFUNCTION("""COMPUTED_VALUE"""),0.562187619640057)</f>
        <v>0.56218761964005703</v>
      </c>
      <c r="AG133" s="17">
        <f ca="1">IFERROR(__xludf.DUMMYFUNCTION("""COMPUTED_VALUE"""),0.941506960642645)</f>
        <v>0.94150696064264505</v>
      </c>
      <c r="AH133" s="17">
        <f ca="1">IFERROR(__xludf.DUMMYFUNCTION("""COMPUTED_VALUE"""),0.627163182861191)</f>
        <v>0.62716318286119099</v>
      </c>
      <c r="AI133" s="17">
        <f ca="1">IFERROR(__xludf.DUMMYFUNCTION("""COMPUTED_VALUE"""),0.866203660975301)</f>
        <v>0.86620366097530099</v>
      </c>
      <c r="AJ133" s="17">
        <f ca="1">IFERROR(__xludf.DUMMYFUNCTION("""COMPUTED_VALUE"""),0.851593169282761)</f>
        <v>0.85159316928276096</v>
      </c>
    </row>
    <row r="134" spans="2:36" ht="15.75" customHeight="1" x14ac:dyDescent="0.45">
      <c r="B134" s="10" t="str">
        <f ca="1">IFERROR(__xludf.DUMMYFUNCTION("""COMPUTED_VALUE"""),"Computers")</f>
        <v>Computers</v>
      </c>
      <c r="C134" s="10" t="str">
        <f ca="1">IFERROR(__xludf.DUMMYFUNCTION("""COMPUTED_VALUE"""),"mcar")</f>
        <v>mcar</v>
      </c>
      <c r="D134" s="10">
        <f ca="1">IFERROR(__xludf.DUMMYFUNCTION("""COMPUTED_VALUE"""),0.4)</f>
        <v>0.4</v>
      </c>
      <c r="E134" s="17">
        <f ca="1">IFERROR(__xludf.DUMMYFUNCTION("""COMPUTED_VALUE"""),0.99947885868327)</f>
        <v>0.99947885868327002</v>
      </c>
      <c r="F134" s="17">
        <f ca="1">IFERROR(__xludf.DUMMYFUNCTION("""COMPUTED_VALUE"""),0.910489771421786)</f>
        <v>0.910489771421786</v>
      </c>
      <c r="G134" s="17">
        <f ca="1">IFERROR(__xludf.DUMMYFUNCTION("""COMPUTED_VALUE"""),0.913181655750888)</f>
        <v>0.91318165575088805</v>
      </c>
      <c r="H134" s="17">
        <f ca="1">IFERROR(__xludf.DUMMYFUNCTION("""COMPUTED_VALUE"""),0.924803712392162)</f>
        <v>0.92480371239216197</v>
      </c>
      <c r="I134" s="17">
        <f ca="1">IFERROR(__xludf.DUMMYFUNCTION("""COMPUTED_VALUE"""),0.688721782400706)</f>
        <v>0.68872178240070603</v>
      </c>
      <c r="J134" s="17">
        <f ca="1">IFERROR(__xludf.DUMMYFUNCTION("""COMPUTED_VALUE"""),0.981222131221456)</f>
        <v>0.98122213122145596</v>
      </c>
      <c r="K134" s="17" t="str">
        <f ca="1">IFERROR(__xludf.DUMMYFUNCTION("""COMPUTED_VALUE"""),"nan")</f>
        <v>nan</v>
      </c>
      <c r="L134" s="17">
        <f ca="1">IFERROR(__xludf.DUMMYFUNCTION("""COMPUTED_VALUE"""),0.889559892892741)</f>
        <v>0.88955989289274096</v>
      </c>
      <c r="M134" s="17">
        <f ca="1">IFERROR(__xludf.DUMMYFUNCTION("""COMPUTED_VALUE"""),0.935069847400987)</f>
        <v>0.93506984740098698</v>
      </c>
      <c r="N134" s="17">
        <f ca="1">IFERROR(__xludf.DUMMYFUNCTION("""COMPUTED_VALUE"""),0.799805652520982)</f>
        <v>0.79980565252098201</v>
      </c>
      <c r="O134" s="17">
        <f ca="1">IFERROR(__xludf.DUMMYFUNCTION("""COMPUTED_VALUE"""),0.890386021336985)</f>
        <v>0.89038602133698497</v>
      </c>
      <c r="P134" s="17">
        <f ca="1">IFERROR(__xludf.DUMMYFUNCTION("""COMPUTED_VALUE"""),0.781474611708818)</f>
        <v>0.78147461170881805</v>
      </c>
      <c r="Q134" s="17">
        <f ca="1">IFERROR(__xludf.DUMMYFUNCTION("""COMPUTED_VALUE"""),1.36024157255097)</f>
        <v>1.36024157255097</v>
      </c>
      <c r="R134" s="17">
        <f ca="1">IFERROR(__xludf.DUMMYFUNCTION("""COMPUTED_VALUE"""),0.733301923403115)</f>
        <v>0.73330192340311495</v>
      </c>
      <c r="S134" s="17">
        <f ca="1">IFERROR(__xludf.DUMMYFUNCTION("""COMPUTED_VALUE"""),1.18026971994205)</f>
        <v>1.18026971994205</v>
      </c>
      <c r="T134" s="17">
        <f ca="1">IFERROR(__xludf.DUMMYFUNCTION("""COMPUTED_VALUE"""),0.860018744021908)</f>
        <v>0.86001874402190803</v>
      </c>
      <c r="U134" s="17">
        <f ca="1">IFERROR(__xludf.DUMMYFUNCTION("""COMPUTED_VALUE"""),0.771349198815325)</f>
        <v>0.77134919881532504</v>
      </c>
      <c r="V134" s="17">
        <f ca="1">IFERROR(__xludf.DUMMYFUNCTION("""COMPUTED_VALUE"""),0.971149898870966)</f>
        <v>0.97114989887096603</v>
      </c>
      <c r="W134" s="17">
        <f ca="1">IFERROR(__xludf.DUMMYFUNCTION("""COMPUTED_VALUE"""),0.738422365826957)</f>
        <v>0.73842236582695697</v>
      </c>
      <c r="X134" s="17">
        <f ca="1">IFERROR(__xludf.DUMMYFUNCTION("""COMPUTED_VALUE"""),0.686053443277599)</f>
        <v>0.68605344327759898</v>
      </c>
      <c r="Y134" s="17">
        <f ca="1">IFERROR(__xludf.DUMMYFUNCTION("""COMPUTED_VALUE"""),0.733800170046101)</f>
        <v>0.73380017004610099</v>
      </c>
      <c r="Z134" s="17">
        <f ca="1">IFERROR(__xludf.DUMMYFUNCTION("""COMPUTED_VALUE"""),0.866854292993514)</f>
        <v>0.86685429299351402</v>
      </c>
      <c r="AA134" s="17">
        <f ca="1">IFERROR(__xludf.DUMMYFUNCTION("""COMPUTED_VALUE"""),1.3805410964863)</f>
        <v>1.3805410964863001</v>
      </c>
      <c r="AB134" s="17">
        <f ca="1">IFERROR(__xludf.DUMMYFUNCTION("""COMPUTED_VALUE"""),0.932610790959972)</f>
        <v>0.93261079095997201</v>
      </c>
      <c r="AC134" s="17">
        <f ca="1">IFERROR(__xludf.DUMMYFUNCTION("""COMPUTED_VALUE"""),1.01347962813256)</f>
        <v>1.01347962813256</v>
      </c>
      <c r="AD134" s="17">
        <f ca="1">IFERROR(__xludf.DUMMYFUNCTION("""COMPUTED_VALUE"""),0.871580125901884)</f>
        <v>0.87158012590188405</v>
      </c>
      <c r="AE134" s="17">
        <f ca="1">IFERROR(__xludf.DUMMYFUNCTION("""COMPUTED_VALUE"""),1.04036567824707)</f>
        <v>1.04036567824707</v>
      </c>
      <c r="AF134" s="17">
        <f ca="1">IFERROR(__xludf.DUMMYFUNCTION("""COMPUTED_VALUE"""),0.735675100937639)</f>
        <v>0.73567510093763899</v>
      </c>
      <c r="AG134" s="17">
        <f ca="1">IFERROR(__xludf.DUMMYFUNCTION("""COMPUTED_VALUE"""),1.02559792801787)</f>
        <v>1.02559792801787</v>
      </c>
      <c r="AH134" s="17">
        <f ca="1">IFERROR(__xludf.DUMMYFUNCTION("""COMPUTED_VALUE"""),0.760722359738156)</f>
        <v>0.76072235973815605</v>
      </c>
      <c r="AI134" s="17">
        <f ca="1">IFERROR(__xludf.DUMMYFUNCTION("""COMPUTED_VALUE"""),0.940971322326807)</f>
        <v>0.94097132232680702</v>
      </c>
      <c r="AJ134" s="17">
        <f ca="1">IFERROR(__xludf.DUMMYFUNCTION("""COMPUTED_VALUE"""),0.967984660532979)</f>
        <v>0.96798466053297905</v>
      </c>
    </row>
    <row r="135" spans="2:36" ht="15.75" customHeight="1" x14ac:dyDescent="0.45">
      <c r="B135" s="10" t="str">
        <f ca="1">IFERROR(__xludf.DUMMYFUNCTION("""COMPUTED_VALUE"""),"Computers")</f>
        <v>Computers</v>
      </c>
      <c r="C135" s="10" t="str">
        <f ca="1">IFERROR(__xludf.DUMMYFUNCTION("""COMPUTED_VALUE"""),"mcar")</f>
        <v>mcar</v>
      </c>
      <c r="D135" s="10">
        <f ca="1">IFERROR(__xludf.DUMMYFUNCTION("""COMPUTED_VALUE"""),0.6)</f>
        <v>0.6</v>
      </c>
      <c r="E135" s="17">
        <f ca="1">IFERROR(__xludf.DUMMYFUNCTION("""COMPUTED_VALUE"""),0.990049470437121)</f>
        <v>0.99004947043712099</v>
      </c>
      <c r="F135" s="17">
        <f ca="1">IFERROR(__xludf.DUMMYFUNCTION("""COMPUTED_VALUE"""),0.918184334352748)</f>
        <v>0.91818433435274804</v>
      </c>
      <c r="G135" s="17">
        <f ca="1">IFERROR(__xludf.DUMMYFUNCTION("""COMPUTED_VALUE"""),0.924905859815149)</f>
        <v>0.92490585981514895</v>
      </c>
      <c r="H135" s="17">
        <f ca="1">IFERROR(__xludf.DUMMYFUNCTION("""COMPUTED_VALUE"""),0.937008980150729)</f>
        <v>0.93700898015072898</v>
      </c>
      <c r="I135" s="17">
        <f ca="1">IFERROR(__xludf.DUMMYFUNCTION("""COMPUTED_VALUE"""),0.7596138528153)</f>
        <v>0.75961385281530003</v>
      </c>
      <c r="J135" s="17">
        <f ca="1">IFERROR(__xludf.DUMMYFUNCTION("""COMPUTED_VALUE"""),0.968582614627163)</f>
        <v>0.968582614627163</v>
      </c>
      <c r="K135" s="17" t="str">
        <f ca="1">IFERROR(__xludf.DUMMYFUNCTION("""COMPUTED_VALUE"""),"nan")</f>
        <v>nan</v>
      </c>
      <c r="L135" s="17">
        <f ca="1">IFERROR(__xludf.DUMMYFUNCTION("""COMPUTED_VALUE"""),0.936148408849251)</f>
        <v>0.93614840884925099</v>
      </c>
      <c r="M135" s="17">
        <f ca="1">IFERROR(__xludf.DUMMYFUNCTION("""COMPUTED_VALUE"""),0.937748013677436)</f>
        <v>0.93774801367743599</v>
      </c>
      <c r="N135" s="17">
        <f ca="1">IFERROR(__xludf.DUMMYFUNCTION("""COMPUTED_VALUE"""),0.926254932304164)</f>
        <v>0.926254932304164</v>
      </c>
      <c r="O135" s="17">
        <f ca="1">IFERROR(__xludf.DUMMYFUNCTION("""COMPUTED_VALUE"""),0.903849806574745)</f>
        <v>0.90384980657474501</v>
      </c>
      <c r="P135" s="17">
        <f ca="1">IFERROR(__xludf.DUMMYFUNCTION("""COMPUTED_VALUE"""),0.854192880457226)</f>
        <v>0.85419288045722597</v>
      </c>
      <c r="Q135" s="17">
        <f ca="1">IFERROR(__xludf.DUMMYFUNCTION("""COMPUTED_VALUE"""),1.33664940615243)</f>
        <v>1.3366494061524301</v>
      </c>
      <c r="R135" s="17">
        <f ca="1">IFERROR(__xludf.DUMMYFUNCTION("""COMPUTED_VALUE"""),0.875318330887446)</f>
        <v>0.87531833088744604</v>
      </c>
      <c r="S135" s="17">
        <f ca="1">IFERROR(__xludf.DUMMYFUNCTION("""COMPUTED_VALUE"""),1.17650693898481)</f>
        <v>1.17650693898481</v>
      </c>
      <c r="T135" s="17">
        <f ca="1">IFERROR(__xludf.DUMMYFUNCTION("""COMPUTED_VALUE"""),0.891972660807522)</f>
        <v>0.89197266080752202</v>
      </c>
      <c r="U135" s="17">
        <f ca="1">IFERROR(__xludf.DUMMYFUNCTION("""COMPUTED_VALUE"""),0.822772179281577)</f>
        <v>0.82277217928157698</v>
      </c>
      <c r="V135" s="17">
        <f ca="1">IFERROR(__xludf.DUMMYFUNCTION("""COMPUTED_VALUE"""),0.973302497901175)</f>
        <v>0.97330249790117496</v>
      </c>
      <c r="W135" s="17">
        <f ca="1">IFERROR(__xludf.DUMMYFUNCTION("""COMPUTED_VALUE"""),0.843856578852527)</f>
        <v>0.84385657885252696</v>
      </c>
      <c r="X135" s="17">
        <f ca="1">IFERROR(__xludf.DUMMYFUNCTION("""COMPUTED_VALUE"""),1.2661265355957)</f>
        <v>1.2661265355957001</v>
      </c>
      <c r="Y135" s="17">
        <f ca="1">IFERROR(__xludf.DUMMYFUNCTION("""COMPUTED_VALUE"""),0.856120182004955)</f>
        <v>0.85612018200495499</v>
      </c>
      <c r="Z135" s="17">
        <f ca="1">IFERROR(__xludf.DUMMYFUNCTION("""COMPUTED_VALUE"""),0.888550915845001)</f>
        <v>0.88855091584500101</v>
      </c>
      <c r="AA135" s="17">
        <f ca="1">IFERROR(__xludf.DUMMYFUNCTION("""COMPUTED_VALUE"""),1.39171451095037)</f>
        <v>1.3917145109503699</v>
      </c>
      <c r="AB135" s="17">
        <f ca="1">IFERROR(__xludf.DUMMYFUNCTION("""COMPUTED_VALUE"""),0.982331962718823)</f>
        <v>0.98233196271882295</v>
      </c>
      <c r="AC135" s="17">
        <f ca="1">IFERROR(__xludf.DUMMYFUNCTION("""COMPUTED_VALUE"""),1.09276796208686)</f>
        <v>1.09276796208686</v>
      </c>
      <c r="AD135" s="17">
        <f ca="1">IFERROR(__xludf.DUMMYFUNCTION("""COMPUTED_VALUE"""),0.933474783897617)</f>
        <v>0.93347478389761696</v>
      </c>
      <c r="AE135" s="17" t="str">
        <f ca="1">IFERROR(__xludf.DUMMYFUNCTION("""COMPUTED_VALUE"""),"nan")</f>
        <v>nan</v>
      </c>
      <c r="AF135" s="17">
        <f ca="1">IFERROR(__xludf.DUMMYFUNCTION("""COMPUTED_VALUE"""),1.00113805438122)</f>
        <v>1.0011380543812201</v>
      </c>
      <c r="AG135" s="17">
        <f ca="1">IFERROR(__xludf.DUMMYFUNCTION("""COMPUTED_VALUE"""),1.04956562258147)</f>
        <v>1.04956562258147</v>
      </c>
      <c r="AH135" s="17">
        <f ca="1">IFERROR(__xludf.DUMMYFUNCTION("""COMPUTED_VALUE"""),0.872655564645324)</f>
        <v>0.87265556464532401</v>
      </c>
      <c r="AI135" s="17">
        <f ca="1">IFERROR(__xludf.DUMMYFUNCTION("""COMPUTED_VALUE"""),0.967735061720974)</f>
        <v>0.96773506172097401</v>
      </c>
      <c r="AJ135" s="17">
        <f ca="1">IFERROR(__xludf.DUMMYFUNCTION("""COMPUTED_VALUE"""),1.09016824480354)</f>
        <v>1.0901682448035399</v>
      </c>
    </row>
    <row r="136" spans="2:36" ht="15.75" customHeight="1" x14ac:dyDescent="0.45">
      <c r="B136" s="10" t="str">
        <f ca="1">IFERROR(__xludf.DUMMYFUNCTION("""COMPUTED_VALUE"""),"Computers")</f>
        <v>Computers</v>
      </c>
      <c r="C136" s="10" t="str">
        <f ca="1">IFERROR(__xludf.DUMMYFUNCTION("""COMPUTED_VALUE"""),"mcar")</f>
        <v>mcar</v>
      </c>
      <c r="D136" s="10">
        <f ca="1">IFERROR(__xludf.DUMMYFUNCTION("""COMPUTED_VALUE"""),0.8)</f>
        <v>0.8</v>
      </c>
      <c r="E136" s="17">
        <f ca="1">IFERROR(__xludf.DUMMYFUNCTION("""COMPUTED_VALUE"""),1.00325958498456)</f>
        <v>1.00325958498456</v>
      </c>
      <c r="F136" s="17">
        <f ca="1">IFERROR(__xludf.DUMMYFUNCTION("""COMPUTED_VALUE"""),0.987290081441277)</f>
        <v>0.98729008144127695</v>
      </c>
      <c r="G136" s="17">
        <f ca="1">IFERROR(__xludf.DUMMYFUNCTION("""COMPUTED_VALUE"""),1.03646834532572)</f>
        <v>1.03646834532572</v>
      </c>
      <c r="H136" s="17">
        <f ca="1">IFERROR(__xludf.DUMMYFUNCTION("""COMPUTED_VALUE"""),0.996168065402014)</f>
        <v>0.99616806540201397</v>
      </c>
      <c r="I136" s="17">
        <f ca="1">IFERROR(__xludf.DUMMYFUNCTION("""COMPUTED_VALUE"""),0.859584614734859)</f>
        <v>0.85958461473485903</v>
      </c>
      <c r="J136" s="17">
        <f ca="1">IFERROR(__xludf.DUMMYFUNCTION("""COMPUTED_VALUE"""),1.07178548664937)</f>
        <v>1.0717854866493699</v>
      </c>
      <c r="K136" s="17" t="str">
        <f ca="1">IFERROR(__xludf.DUMMYFUNCTION("""COMPUTED_VALUE"""),"nan")</f>
        <v>nan</v>
      </c>
      <c r="L136" s="17">
        <f ca="1">IFERROR(__xludf.DUMMYFUNCTION("""COMPUTED_VALUE"""),1.36530299480381)</f>
        <v>1.36530299480381</v>
      </c>
      <c r="M136" s="17">
        <f ca="1">IFERROR(__xludf.DUMMYFUNCTION("""COMPUTED_VALUE"""),1.03551199302761)</f>
        <v>1.03551199302761</v>
      </c>
      <c r="N136" s="17">
        <f ca="1">IFERROR(__xludf.DUMMYFUNCTION("""COMPUTED_VALUE"""),1.02592597865034)</f>
        <v>1.0259259786503401</v>
      </c>
      <c r="O136" s="17">
        <f ca="1">IFERROR(__xludf.DUMMYFUNCTION("""COMPUTED_VALUE"""),1.15784412332044)</f>
        <v>1.15784412332044</v>
      </c>
      <c r="P136" s="17">
        <f ca="1">IFERROR(__xludf.DUMMYFUNCTION("""COMPUTED_VALUE"""),0.983976347733646)</f>
        <v>0.98397634773364595</v>
      </c>
      <c r="Q136" s="17">
        <f ca="1">IFERROR(__xludf.DUMMYFUNCTION("""COMPUTED_VALUE"""),1.33923003575061)</f>
        <v>1.3392300357506099</v>
      </c>
      <c r="R136" s="17">
        <f ca="1">IFERROR(__xludf.DUMMYFUNCTION("""COMPUTED_VALUE"""),0.967232483463661)</f>
        <v>0.96723248346366097</v>
      </c>
      <c r="S136" s="17">
        <f ca="1">IFERROR(__xludf.DUMMYFUNCTION("""COMPUTED_VALUE"""),1.19743057945261)</f>
        <v>1.1974305794526101</v>
      </c>
      <c r="T136" s="17">
        <f ca="1">IFERROR(__xludf.DUMMYFUNCTION("""COMPUTED_VALUE"""),0.984141873213238)</f>
        <v>0.98414187321323798</v>
      </c>
      <c r="U136" s="17">
        <f ca="1">IFERROR(__xludf.DUMMYFUNCTION("""COMPUTED_VALUE"""),0.929367669262941)</f>
        <v>0.92936766926294101</v>
      </c>
      <c r="V136" s="17">
        <f ca="1">IFERROR(__xludf.DUMMYFUNCTION("""COMPUTED_VALUE"""),1.0574414414745)</f>
        <v>1.0574414414744999</v>
      </c>
      <c r="W136" s="17">
        <f ca="1">IFERROR(__xludf.DUMMYFUNCTION("""COMPUTED_VALUE"""),0.984718598316578)</f>
        <v>0.98471859831657804</v>
      </c>
      <c r="X136" s="17">
        <f ca="1">IFERROR(__xludf.DUMMYFUNCTION("""COMPUTED_VALUE"""),0.89143901556077)</f>
        <v>0.89143901556076999</v>
      </c>
      <c r="Y136" s="17">
        <f ca="1">IFERROR(__xludf.DUMMYFUNCTION("""COMPUTED_VALUE"""),1.00415659235984)</f>
        <v>1.0041565923598399</v>
      </c>
      <c r="Z136" s="17">
        <f ca="1">IFERROR(__xludf.DUMMYFUNCTION("""COMPUTED_VALUE"""),0.931107088971069)</f>
        <v>0.93110708897106897</v>
      </c>
      <c r="AA136" s="17">
        <f ca="1">IFERROR(__xludf.DUMMYFUNCTION("""COMPUTED_VALUE"""),1.68542880620675)</f>
        <v>1.68542880620675</v>
      </c>
      <c r="AB136" s="17">
        <f ca="1">IFERROR(__xludf.DUMMYFUNCTION("""COMPUTED_VALUE"""),1.12235362818272)</f>
        <v>1.12235362818272</v>
      </c>
      <c r="AC136" s="17">
        <f ca="1">IFERROR(__xludf.DUMMYFUNCTION("""COMPUTED_VALUE"""),1.14706928859059)</f>
        <v>1.14706928859059</v>
      </c>
      <c r="AD136" s="17">
        <f ca="1">IFERROR(__xludf.DUMMYFUNCTION("""COMPUTED_VALUE"""),0.997416665261519)</f>
        <v>0.99741666526151895</v>
      </c>
      <c r="AE136" s="17" t="str">
        <f ca="1">IFERROR(__xludf.DUMMYFUNCTION("""COMPUTED_VALUE"""),"nan")</f>
        <v>nan</v>
      </c>
      <c r="AF136" s="17">
        <f ca="1">IFERROR(__xludf.DUMMYFUNCTION("""COMPUTED_VALUE"""),1.08124697842996)</f>
        <v>1.0812469784299601</v>
      </c>
      <c r="AG136" s="17">
        <f ca="1">IFERROR(__xludf.DUMMYFUNCTION("""COMPUTED_VALUE"""),1.10810050528095)</f>
        <v>1.1081005052809501</v>
      </c>
      <c r="AH136" s="17">
        <f ca="1">IFERROR(__xludf.DUMMYFUNCTION("""COMPUTED_VALUE"""),0.97458215837475)</f>
        <v>0.97458215837475004</v>
      </c>
      <c r="AI136" s="17">
        <f ca="1">IFERROR(__xludf.DUMMYFUNCTION("""COMPUTED_VALUE"""),1.00658203524088)</f>
        <v>1.0065820352408801</v>
      </c>
      <c r="AJ136" s="17">
        <f ca="1">IFERROR(__xludf.DUMMYFUNCTION("""COMPUTED_VALUE"""),1.14893774280007)</f>
        <v>1.14893774280007</v>
      </c>
    </row>
    <row r="137" spans="2:36" ht="15.75" customHeight="1" x14ac:dyDescent="0.45">
      <c r="B137" s="10" t="str">
        <f ca="1">IFERROR(__xludf.DUMMYFUNCTION("""COMPUTED_VALUE"""),"CricketX")</f>
        <v>CricketX</v>
      </c>
      <c r="C137" s="10" t="str">
        <f ca="1">IFERROR(__xludf.DUMMYFUNCTION("""COMPUTED_VALUE"""),"aligned_series")</f>
        <v>aligned_series</v>
      </c>
      <c r="D137" s="10">
        <f ca="1">IFERROR(__xludf.DUMMYFUNCTION("""COMPUTED_VALUE"""),0.1)</f>
        <v>0.1</v>
      </c>
      <c r="E137" s="17">
        <f ca="1">IFERROR(__xludf.DUMMYFUNCTION("""COMPUTED_VALUE"""),1.16784237381745)</f>
        <v>1.1678423738174499</v>
      </c>
      <c r="F137" s="17">
        <f ca="1">IFERROR(__xludf.DUMMYFUNCTION("""COMPUTED_VALUE"""),1.06646963501539)</f>
        <v>1.0664696350153899</v>
      </c>
      <c r="G137" s="17">
        <f ca="1">IFERROR(__xludf.DUMMYFUNCTION("""COMPUTED_VALUE"""),1.0838931510208)</f>
        <v>1.0838931510208001</v>
      </c>
      <c r="H137" s="17">
        <f ca="1">IFERROR(__xludf.DUMMYFUNCTION("""COMPUTED_VALUE"""),1.07875557524701)</f>
        <v>1.0787555752470099</v>
      </c>
      <c r="I137" s="17">
        <f ca="1">IFERROR(__xludf.DUMMYFUNCTION("""COMPUTED_VALUE"""),0.951659742930641)</f>
        <v>0.95165974293064104</v>
      </c>
      <c r="J137" s="17">
        <f ca="1">IFERROR(__xludf.DUMMYFUNCTION("""COMPUTED_VALUE"""),1.06633825783516)</f>
        <v>1.0663382578351599</v>
      </c>
      <c r="K137" s="17" t="str">
        <f ca="1">IFERROR(__xludf.DUMMYFUNCTION("""COMPUTED_VALUE"""),"nan")</f>
        <v>nan</v>
      </c>
      <c r="L137" s="17">
        <f ca="1">IFERROR(__xludf.DUMMYFUNCTION("""COMPUTED_VALUE"""),1.1117322598674)</f>
        <v>1.1117322598674</v>
      </c>
      <c r="M137" s="17">
        <f ca="1">IFERROR(__xludf.DUMMYFUNCTION("""COMPUTED_VALUE"""),1.0444781532809)</f>
        <v>1.0444781532809</v>
      </c>
      <c r="N137" s="17">
        <f ca="1">IFERROR(__xludf.DUMMYFUNCTION("""COMPUTED_VALUE"""),1.1010711565162)</f>
        <v>1.1010711565161999</v>
      </c>
      <c r="O137" s="17">
        <f ca="1">IFERROR(__xludf.DUMMYFUNCTION("""COMPUTED_VALUE"""),1.06541956093063)</f>
        <v>1.0654195609306301</v>
      </c>
      <c r="P137" s="17">
        <f ca="1">IFERROR(__xludf.DUMMYFUNCTION("""COMPUTED_VALUE"""),1.1530441093732)</f>
        <v>1.1530441093732</v>
      </c>
      <c r="Q137" s="17">
        <f ca="1">IFERROR(__xludf.DUMMYFUNCTION("""COMPUTED_VALUE"""),1.55875885477059)</f>
        <v>1.55875885477059</v>
      </c>
      <c r="R137" s="17">
        <f ca="1">IFERROR(__xludf.DUMMYFUNCTION("""COMPUTED_VALUE"""),1.25860650540171)</f>
        <v>1.2586065054017099</v>
      </c>
      <c r="S137" s="17">
        <f ca="1">IFERROR(__xludf.DUMMYFUNCTION("""COMPUTED_VALUE"""),1.10463862667008)</f>
        <v>1.1046386266700801</v>
      </c>
      <c r="T137" s="17">
        <f ca="1">IFERROR(__xludf.DUMMYFUNCTION("""COMPUTED_VALUE"""),1.05533305201849)</f>
        <v>1.05533305201849</v>
      </c>
      <c r="U137" s="17">
        <f ca="1">IFERROR(__xludf.DUMMYFUNCTION("""COMPUTED_VALUE"""),1.0323372573354)</f>
        <v>1.0323372573353999</v>
      </c>
      <c r="V137" s="17">
        <f ca="1">IFERROR(__xludf.DUMMYFUNCTION("""COMPUTED_VALUE"""),1.02913196938893)</f>
        <v>1.02913196938893</v>
      </c>
      <c r="W137" s="17">
        <f ca="1">IFERROR(__xludf.DUMMYFUNCTION("""COMPUTED_VALUE"""),1.13623798718897)</f>
        <v>1.1362379871889701</v>
      </c>
      <c r="X137" s="17">
        <f ca="1">IFERROR(__xludf.DUMMYFUNCTION("""COMPUTED_VALUE"""),0.993338456502067)</f>
        <v>0.99333845650206698</v>
      </c>
      <c r="Y137" s="17">
        <f ca="1">IFERROR(__xludf.DUMMYFUNCTION("""COMPUTED_VALUE"""),1.04666722732556)</f>
        <v>1.0466672273255599</v>
      </c>
      <c r="Z137" s="17">
        <f ca="1">IFERROR(__xludf.DUMMYFUNCTION("""COMPUTED_VALUE"""),1.09436717193939)</f>
        <v>1.0943671719393899</v>
      </c>
      <c r="AA137" s="17">
        <f ca="1">IFERROR(__xludf.DUMMYFUNCTION("""COMPUTED_VALUE"""),1.2664611989266)</f>
        <v>1.2664611989265999</v>
      </c>
      <c r="AB137" s="17">
        <f ca="1">IFERROR(__xludf.DUMMYFUNCTION("""COMPUTED_VALUE"""),1.42767014412972)</f>
        <v>1.4276701441297199</v>
      </c>
      <c r="AC137" s="17">
        <f ca="1">IFERROR(__xludf.DUMMYFUNCTION("""COMPUTED_VALUE"""),1.15981211274589)</f>
        <v>1.15981211274589</v>
      </c>
      <c r="AD137" s="17">
        <f ca="1">IFERROR(__xludf.DUMMYFUNCTION("""COMPUTED_VALUE"""),1.12995109036225)</f>
        <v>1.1299510903622501</v>
      </c>
      <c r="AE137" s="17">
        <f ca="1">IFERROR(__xludf.DUMMYFUNCTION("""COMPUTED_VALUE"""),1.25053491719882)</f>
        <v>1.25053491719882</v>
      </c>
      <c r="AF137" s="17">
        <f ca="1">IFERROR(__xludf.DUMMYFUNCTION("""COMPUTED_VALUE"""),1.20358347200845)</f>
        <v>1.20358347200845</v>
      </c>
      <c r="AG137" s="17">
        <f ca="1">IFERROR(__xludf.DUMMYFUNCTION("""COMPUTED_VALUE"""),1.23576557778997)</f>
        <v>1.2357655777899701</v>
      </c>
      <c r="AH137" s="17">
        <f ca="1">IFERROR(__xludf.DUMMYFUNCTION("""COMPUTED_VALUE"""),1.14641063549897)</f>
        <v>1.14641063549897</v>
      </c>
      <c r="AI137" s="17">
        <f ca="1">IFERROR(__xludf.DUMMYFUNCTION("""COMPUTED_VALUE"""),1.17767495585437)</f>
        <v>1.17767495585437</v>
      </c>
      <c r="AJ137" s="17">
        <f ca="1">IFERROR(__xludf.DUMMYFUNCTION("""COMPUTED_VALUE"""),1.09866465189034)</f>
        <v>1.09866465189034</v>
      </c>
    </row>
    <row r="138" spans="2:36" ht="15.75" customHeight="1" x14ac:dyDescent="0.45">
      <c r="B138" s="10" t="str">
        <f ca="1">IFERROR(__xludf.DUMMYFUNCTION("""COMPUTED_VALUE"""),"CricketX")</f>
        <v>CricketX</v>
      </c>
      <c r="C138" s="10" t="str">
        <f ca="1">IFERROR(__xludf.DUMMYFUNCTION("""COMPUTED_VALUE"""),"aligned_series")</f>
        <v>aligned_series</v>
      </c>
      <c r="D138" s="10">
        <f ca="1">IFERROR(__xludf.DUMMYFUNCTION("""COMPUTED_VALUE"""),0.2)</f>
        <v>0.2</v>
      </c>
      <c r="E138" s="17">
        <f ca="1">IFERROR(__xludf.DUMMYFUNCTION("""COMPUTED_VALUE"""),1.14509470664473)</f>
        <v>1.1450947066447299</v>
      </c>
      <c r="F138" s="17">
        <f ca="1">IFERROR(__xludf.DUMMYFUNCTION("""COMPUTED_VALUE"""),1.00445826203898)</f>
        <v>1.0044582620389799</v>
      </c>
      <c r="G138" s="17">
        <f ca="1">IFERROR(__xludf.DUMMYFUNCTION("""COMPUTED_VALUE"""),1.01825873325086)</f>
        <v>1.0182587332508599</v>
      </c>
      <c r="H138" s="17">
        <f ca="1">IFERROR(__xludf.DUMMYFUNCTION("""COMPUTED_VALUE"""),1.15500704815583)</f>
        <v>1.1550070481558301</v>
      </c>
      <c r="I138" s="17">
        <f ca="1">IFERROR(__xludf.DUMMYFUNCTION("""COMPUTED_VALUE"""),0.937392865701511)</f>
        <v>0.93739286570151104</v>
      </c>
      <c r="J138" s="17">
        <f ca="1">IFERROR(__xludf.DUMMYFUNCTION("""COMPUTED_VALUE"""),1.00666285436927)</f>
        <v>1.0066628543692699</v>
      </c>
      <c r="K138" s="17" t="str">
        <f ca="1">IFERROR(__xludf.DUMMYFUNCTION("""COMPUTED_VALUE"""),"nan")</f>
        <v>nan</v>
      </c>
      <c r="L138" s="17">
        <f ca="1">IFERROR(__xludf.DUMMYFUNCTION("""COMPUTED_VALUE"""),1.06962034944022)</f>
        <v>1.0696203494402201</v>
      </c>
      <c r="M138" s="17">
        <f ca="1">IFERROR(__xludf.DUMMYFUNCTION("""COMPUTED_VALUE"""),1.00389572174445)</f>
        <v>1.00389572174445</v>
      </c>
      <c r="N138" s="17">
        <f ca="1">IFERROR(__xludf.DUMMYFUNCTION("""COMPUTED_VALUE"""),1.09255613989731)</f>
        <v>1.09255613989731</v>
      </c>
      <c r="O138" s="17">
        <f ca="1">IFERROR(__xludf.DUMMYFUNCTION("""COMPUTED_VALUE"""),1.020266364493)</f>
        <v>1.0202663644929999</v>
      </c>
      <c r="P138" s="17">
        <f ca="1">IFERROR(__xludf.DUMMYFUNCTION("""COMPUTED_VALUE"""),1.12557897486826)</f>
        <v>1.1255789748682601</v>
      </c>
      <c r="Q138" s="17">
        <f ca="1">IFERROR(__xludf.DUMMYFUNCTION("""COMPUTED_VALUE"""),1.58498495209482)</f>
        <v>1.58498495209482</v>
      </c>
      <c r="R138" s="17">
        <f ca="1">IFERROR(__xludf.DUMMYFUNCTION("""COMPUTED_VALUE"""),1.19567874317594)</f>
        <v>1.1956787431759399</v>
      </c>
      <c r="S138" s="17">
        <f ca="1">IFERROR(__xludf.DUMMYFUNCTION("""COMPUTED_VALUE"""),1.07402694450146)</f>
        <v>1.0740269445014601</v>
      </c>
      <c r="T138" s="17">
        <f ca="1">IFERROR(__xludf.DUMMYFUNCTION("""COMPUTED_VALUE"""),0.975057115081436)</f>
        <v>0.975057115081436</v>
      </c>
      <c r="U138" s="17">
        <f ca="1">IFERROR(__xludf.DUMMYFUNCTION("""COMPUTED_VALUE"""),0.993224476672166)</f>
        <v>0.99322447667216596</v>
      </c>
      <c r="V138" s="17">
        <f ca="1">IFERROR(__xludf.DUMMYFUNCTION("""COMPUTED_VALUE"""),0.986922345573511)</f>
        <v>0.986922345573511</v>
      </c>
      <c r="W138" s="17">
        <f ca="1">IFERROR(__xludf.DUMMYFUNCTION("""COMPUTED_VALUE"""),1.09186383358366)</f>
        <v>1.0918638335836599</v>
      </c>
      <c r="X138" s="17">
        <f ca="1">IFERROR(__xludf.DUMMYFUNCTION("""COMPUTED_VALUE"""),0.972725580352232)</f>
        <v>0.972725580352232</v>
      </c>
      <c r="Y138" s="17">
        <f ca="1">IFERROR(__xludf.DUMMYFUNCTION("""COMPUTED_VALUE"""),0.977837043269666)</f>
        <v>0.97783704326966603</v>
      </c>
      <c r="Z138" s="17">
        <f ca="1">IFERROR(__xludf.DUMMYFUNCTION("""COMPUTED_VALUE"""),1.06036884400812)</f>
        <v>1.06036884400812</v>
      </c>
      <c r="AA138" s="17">
        <f ca="1">IFERROR(__xludf.DUMMYFUNCTION("""COMPUTED_VALUE"""),1.24616510214678)</f>
        <v>1.2461651021467799</v>
      </c>
      <c r="AB138" s="17">
        <f ca="1">IFERROR(__xludf.DUMMYFUNCTION("""COMPUTED_VALUE"""),1.4003213077894)</f>
        <v>1.4003213077893999</v>
      </c>
      <c r="AC138" s="17">
        <f ca="1">IFERROR(__xludf.DUMMYFUNCTION("""COMPUTED_VALUE"""),1.15057594394639)</f>
        <v>1.1505759439463901</v>
      </c>
      <c r="AD138" s="17">
        <f ca="1">IFERROR(__xludf.DUMMYFUNCTION("""COMPUTED_VALUE"""),1.09102714591634)</f>
        <v>1.0910271459163401</v>
      </c>
      <c r="AE138" s="17">
        <f ca="1">IFERROR(__xludf.DUMMYFUNCTION("""COMPUTED_VALUE"""),1.24848011784524)</f>
        <v>1.24848011784524</v>
      </c>
      <c r="AF138" s="17">
        <f ca="1">IFERROR(__xludf.DUMMYFUNCTION("""COMPUTED_VALUE"""),1.18115287350329)</f>
        <v>1.1811528735032899</v>
      </c>
      <c r="AG138" s="17">
        <f ca="1">IFERROR(__xludf.DUMMYFUNCTION("""COMPUTED_VALUE"""),1.19114857890795)</f>
        <v>1.1911485789079499</v>
      </c>
      <c r="AH138" s="17">
        <f ca="1">IFERROR(__xludf.DUMMYFUNCTION("""COMPUTED_VALUE"""),1.13522677643154)</f>
        <v>1.13522677643154</v>
      </c>
      <c r="AI138" s="17">
        <f ca="1">IFERROR(__xludf.DUMMYFUNCTION("""COMPUTED_VALUE"""),1.16821745521119)</f>
        <v>1.1682174552111899</v>
      </c>
      <c r="AJ138" s="17">
        <f ca="1">IFERROR(__xludf.DUMMYFUNCTION("""COMPUTED_VALUE"""),1.08645204076271)</f>
        <v>1.0864520407627101</v>
      </c>
    </row>
    <row r="139" spans="2:36" ht="15.75" customHeight="1" x14ac:dyDescent="0.45">
      <c r="B139" s="10" t="str">
        <f ca="1">IFERROR(__xludf.DUMMYFUNCTION("""COMPUTED_VALUE"""),"CricketX")</f>
        <v>CricketX</v>
      </c>
      <c r="C139" s="10" t="str">
        <f ca="1">IFERROR(__xludf.DUMMYFUNCTION("""COMPUTED_VALUE"""),"aligned_series")</f>
        <v>aligned_series</v>
      </c>
      <c r="D139" s="10">
        <f ca="1">IFERROR(__xludf.DUMMYFUNCTION("""COMPUTED_VALUE"""),0.4)</f>
        <v>0.4</v>
      </c>
      <c r="E139" s="17">
        <f ca="1">IFERROR(__xludf.DUMMYFUNCTION("""COMPUTED_VALUE"""),1.15974318027213)</f>
        <v>1.1597431802721301</v>
      </c>
      <c r="F139" s="17">
        <f ca="1">IFERROR(__xludf.DUMMYFUNCTION("""COMPUTED_VALUE"""),1.03839428404588)</f>
        <v>1.03839428404588</v>
      </c>
      <c r="G139" s="17">
        <f ca="1">IFERROR(__xludf.DUMMYFUNCTION("""COMPUTED_VALUE"""),1.05786712153961)</f>
        <v>1.05786712153961</v>
      </c>
      <c r="H139" s="17">
        <f ca="1">IFERROR(__xludf.DUMMYFUNCTION("""COMPUTED_VALUE"""),1.21693743428049)</f>
        <v>1.2169374342804899</v>
      </c>
      <c r="I139" s="17">
        <f ca="1">IFERROR(__xludf.DUMMYFUNCTION("""COMPUTED_VALUE"""),0.975400802800071)</f>
        <v>0.97540080280007102</v>
      </c>
      <c r="J139" s="17">
        <f ca="1">IFERROR(__xludf.DUMMYFUNCTION("""COMPUTED_VALUE"""),1.11558237597304)</f>
        <v>1.1155823759730401</v>
      </c>
      <c r="K139" s="17" t="str">
        <f ca="1">IFERROR(__xludf.DUMMYFUNCTION("""COMPUTED_VALUE"""),"nan")</f>
        <v>nan</v>
      </c>
      <c r="L139" s="17">
        <f ca="1">IFERROR(__xludf.DUMMYFUNCTION("""COMPUTED_VALUE"""),1.08328559861724)</f>
        <v>1.0832855986172401</v>
      </c>
      <c r="M139" s="17">
        <f ca="1">IFERROR(__xludf.DUMMYFUNCTION("""COMPUTED_VALUE"""),1.04300895311694)</f>
        <v>1.04300895311694</v>
      </c>
      <c r="N139" s="17">
        <f ca="1">IFERROR(__xludf.DUMMYFUNCTION("""COMPUTED_VALUE"""),1.10092186784221)</f>
        <v>1.1009218678422099</v>
      </c>
      <c r="O139" s="17">
        <f ca="1">IFERROR(__xludf.DUMMYFUNCTION("""COMPUTED_VALUE"""),1.08661951882094)</f>
        <v>1.08661951882094</v>
      </c>
      <c r="P139" s="17">
        <f ca="1">IFERROR(__xludf.DUMMYFUNCTION("""COMPUTED_VALUE"""),1.15332935585403)</f>
        <v>1.1533293558540301</v>
      </c>
      <c r="Q139" s="17">
        <f ca="1">IFERROR(__xludf.DUMMYFUNCTION("""COMPUTED_VALUE"""),1.55660453712694)</f>
        <v>1.5566045371269399</v>
      </c>
      <c r="R139" s="17">
        <f ca="1">IFERROR(__xludf.DUMMYFUNCTION("""COMPUTED_VALUE"""),1.14321398748184)</f>
        <v>1.1432139874818401</v>
      </c>
      <c r="S139" s="17">
        <f ca="1">IFERROR(__xludf.DUMMYFUNCTION("""COMPUTED_VALUE"""),1.10772157800955)</f>
        <v>1.10772157800955</v>
      </c>
      <c r="T139" s="17">
        <f ca="1">IFERROR(__xludf.DUMMYFUNCTION("""COMPUTED_VALUE"""),1.04561443163634)</f>
        <v>1.04561443163634</v>
      </c>
      <c r="U139" s="17">
        <f ca="1">IFERROR(__xludf.DUMMYFUNCTION("""COMPUTED_VALUE"""),1.01665810441013)</f>
        <v>1.0166581044101299</v>
      </c>
      <c r="V139" s="17">
        <f ca="1">IFERROR(__xludf.DUMMYFUNCTION("""COMPUTED_VALUE"""),1.04217241428215)</f>
        <v>1.04217241428215</v>
      </c>
      <c r="W139" s="17">
        <f ca="1">IFERROR(__xludf.DUMMYFUNCTION("""COMPUTED_VALUE"""),1.10197684784445)</f>
        <v>1.10197684784445</v>
      </c>
      <c r="X139" s="17">
        <f ca="1">IFERROR(__xludf.DUMMYFUNCTION("""COMPUTED_VALUE"""),0.987101479597597)</f>
        <v>0.98710147959759698</v>
      </c>
      <c r="Y139" s="17">
        <f ca="1">IFERROR(__xludf.DUMMYFUNCTION("""COMPUTED_VALUE"""),0.996333103222514)</f>
        <v>0.996333103222514</v>
      </c>
      <c r="Z139" s="17">
        <f ca="1">IFERROR(__xludf.DUMMYFUNCTION("""COMPUTED_VALUE"""),1.08504502670799)</f>
        <v>1.0850450267079901</v>
      </c>
      <c r="AA139" s="17">
        <f ca="1">IFERROR(__xludf.DUMMYFUNCTION("""COMPUTED_VALUE"""),1.21527164255912)</f>
        <v>1.2152716425591199</v>
      </c>
      <c r="AB139" s="17">
        <f ca="1">IFERROR(__xludf.DUMMYFUNCTION("""COMPUTED_VALUE"""),1.91223460237989)</f>
        <v>1.91223460237989</v>
      </c>
      <c r="AC139" s="17">
        <f ca="1">IFERROR(__xludf.DUMMYFUNCTION("""COMPUTED_VALUE"""),1.14759736759741)</f>
        <v>1.14759736759741</v>
      </c>
      <c r="AD139" s="17">
        <f ca="1">IFERROR(__xludf.DUMMYFUNCTION("""COMPUTED_VALUE"""),1.10322425798874)</f>
        <v>1.1032242579887399</v>
      </c>
      <c r="AE139" s="17">
        <f ca="1">IFERROR(__xludf.DUMMYFUNCTION("""COMPUTED_VALUE"""),1.25175906731991)</f>
        <v>1.2517590673199099</v>
      </c>
      <c r="AF139" s="17">
        <f ca="1">IFERROR(__xludf.DUMMYFUNCTION("""COMPUTED_VALUE"""),1.21710676442571)</f>
        <v>1.2171067644257101</v>
      </c>
      <c r="AG139" s="17">
        <f ca="1">IFERROR(__xludf.DUMMYFUNCTION("""COMPUTED_VALUE"""),1.21498103755944)</f>
        <v>1.2149810375594401</v>
      </c>
      <c r="AH139" s="17">
        <f ca="1">IFERROR(__xludf.DUMMYFUNCTION("""COMPUTED_VALUE"""),1.15109484646754)</f>
        <v>1.1510948464675399</v>
      </c>
      <c r="AI139" s="17">
        <f ca="1">IFERROR(__xludf.DUMMYFUNCTION("""COMPUTED_VALUE"""),1.18339188881135)</f>
        <v>1.1833918888113499</v>
      </c>
      <c r="AJ139" s="17">
        <f ca="1">IFERROR(__xludf.DUMMYFUNCTION("""COMPUTED_VALUE"""),1.11847274989586)</f>
        <v>1.11847274989586</v>
      </c>
    </row>
    <row r="140" spans="2:36" ht="15.75" customHeight="1" x14ac:dyDescent="0.45">
      <c r="B140" s="10" t="str">
        <f ca="1">IFERROR(__xludf.DUMMYFUNCTION("""COMPUTED_VALUE"""),"CricketX")</f>
        <v>CricketX</v>
      </c>
      <c r="C140" s="10" t="str">
        <f ca="1">IFERROR(__xludf.DUMMYFUNCTION("""COMPUTED_VALUE"""),"aligned_series")</f>
        <v>aligned_series</v>
      </c>
      <c r="D140" s="10">
        <f ca="1">IFERROR(__xludf.DUMMYFUNCTION("""COMPUTED_VALUE"""),0.6)</f>
        <v>0.6</v>
      </c>
      <c r="E140" s="17">
        <f ca="1">IFERROR(__xludf.DUMMYFUNCTION("""COMPUTED_VALUE"""),1.16812011015219)</f>
        <v>1.1681201101521901</v>
      </c>
      <c r="F140" s="17">
        <f ca="1">IFERROR(__xludf.DUMMYFUNCTION("""COMPUTED_VALUE"""),1.09424790920065)</f>
        <v>1.0942479092006501</v>
      </c>
      <c r="G140" s="17">
        <f ca="1">IFERROR(__xludf.DUMMYFUNCTION("""COMPUTED_VALUE"""),1.20216259620665)</f>
        <v>1.20216259620665</v>
      </c>
      <c r="H140" s="17">
        <f ca="1">IFERROR(__xludf.DUMMYFUNCTION("""COMPUTED_VALUE"""),1.37861968600567)</f>
        <v>1.3786196860056701</v>
      </c>
      <c r="I140" s="17">
        <f ca="1">IFERROR(__xludf.DUMMYFUNCTION("""COMPUTED_VALUE"""),1.01219070625739)</f>
        <v>1.01219070625739</v>
      </c>
      <c r="J140" s="17">
        <f ca="1">IFERROR(__xludf.DUMMYFUNCTION("""COMPUTED_VALUE"""),1.22384335772844)</f>
        <v>1.22384335772844</v>
      </c>
      <c r="K140" s="17" t="str">
        <f ca="1">IFERROR(__xludf.DUMMYFUNCTION("""COMPUTED_VALUE"""),"nan")</f>
        <v>nan</v>
      </c>
      <c r="L140" s="17">
        <f ca="1">IFERROR(__xludf.DUMMYFUNCTION("""COMPUTED_VALUE"""),1.12460204689637)</f>
        <v>1.12460204689637</v>
      </c>
      <c r="M140" s="17">
        <f ca="1">IFERROR(__xludf.DUMMYFUNCTION("""COMPUTED_VALUE"""),1.13112102362682)</f>
        <v>1.1311210236268201</v>
      </c>
      <c r="N140" s="17">
        <f ca="1">IFERROR(__xludf.DUMMYFUNCTION("""COMPUTED_VALUE"""),1.12270055933974)</f>
        <v>1.1227005593397399</v>
      </c>
      <c r="O140" s="17">
        <f ca="1">IFERROR(__xludf.DUMMYFUNCTION("""COMPUTED_VALUE"""),1.13909828432944)</f>
        <v>1.1390982843294399</v>
      </c>
      <c r="P140" s="17">
        <f ca="1">IFERROR(__xludf.DUMMYFUNCTION("""COMPUTED_VALUE"""),1.23065433675132)</f>
        <v>1.2306543367513201</v>
      </c>
      <c r="Q140" s="17">
        <f ca="1">IFERROR(__xludf.DUMMYFUNCTION("""COMPUTED_VALUE"""),1.44266494049909)</f>
        <v>1.4426649404990901</v>
      </c>
      <c r="R140" s="17">
        <f ca="1">IFERROR(__xludf.DUMMYFUNCTION("""COMPUTED_VALUE"""),1.15711854098162)</f>
        <v>1.15711854098162</v>
      </c>
      <c r="S140" s="17">
        <f ca="1">IFERROR(__xludf.DUMMYFUNCTION("""COMPUTED_VALUE"""),1.15364558123823)</f>
        <v>1.15364558123823</v>
      </c>
      <c r="T140" s="17">
        <f ca="1">IFERROR(__xludf.DUMMYFUNCTION("""COMPUTED_VALUE"""),1.07830807692275)</f>
        <v>1.07830807692275</v>
      </c>
      <c r="U140" s="17">
        <f ca="1">IFERROR(__xludf.DUMMYFUNCTION("""COMPUTED_VALUE"""),1.04187847375037)</f>
        <v>1.0418784737503699</v>
      </c>
      <c r="V140" s="17">
        <f ca="1">IFERROR(__xludf.DUMMYFUNCTION("""COMPUTED_VALUE"""),1.07266688532261)</f>
        <v>1.07266688532261</v>
      </c>
      <c r="W140" s="17">
        <f ca="1">IFERROR(__xludf.DUMMYFUNCTION("""COMPUTED_VALUE"""),1.10903754251308)</f>
        <v>1.1090375425130801</v>
      </c>
      <c r="X140" s="17">
        <f ca="1">IFERROR(__xludf.DUMMYFUNCTION("""COMPUTED_VALUE"""),60.5671214404862)</f>
        <v>60.567121440486197</v>
      </c>
      <c r="Y140" s="17">
        <f ca="1">IFERROR(__xludf.DUMMYFUNCTION("""COMPUTED_VALUE"""),1.03853464409488)</f>
        <v>1.0385346440948799</v>
      </c>
      <c r="Z140" s="17">
        <f ca="1">IFERROR(__xludf.DUMMYFUNCTION("""COMPUTED_VALUE"""),1.10649883312497)</f>
        <v>1.1064988331249701</v>
      </c>
      <c r="AA140" s="17">
        <f ca="1">IFERROR(__xludf.DUMMYFUNCTION("""COMPUTED_VALUE"""),1.37313369951171)</f>
        <v>1.37313369951171</v>
      </c>
      <c r="AB140" s="17">
        <f ca="1">IFERROR(__xludf.DUMMYFUNCTION("""COMPUTED_VALUE"""),2.67098116016158)</f>
        <v>2.6709811601615798</v>
      </c>
      <c r="AC140" s="17">
        <f ca="1">IFERROR(__xludf.DUMMYFUNCTION("""COMPUTED_VALUE"""),1.17173555468095)</f>
        <v>1.17173555468095</v>
      </c>
      <c r="AD140" s="17">
        <f ca="1">IFERROR(__xludf.DUMMYFUNCTION("""COMPUTED_VALUE"""),1.11193072811365)</f>
        <v>1.1119307281136499</v>
      </c>
      <c r="AE140" s="17">
        <f ca="1">IFERROR(__xludf.DUMMYFUNCTION("""COMPUTED_VALUE"""),1.25465029910175)</f>
        <v>1.2546502991017501</v>
      </c>
      <c r="AF140" s="17">
        <f ca="1">IFERROR(__xludf.DUMMYFUNCTION("""COMPUTED_VALUE"""),1.29632800306848)</f>
        <v>1.2963280030684801</v>
      </c>
      <c r="AG140" s="17">
        <f ca="1">IFERROR(__xludf.DUMMYFUNCTION("""COMPUTED_VALUE"""),1.2599964913914)</f>
        <v>1.2599964913913999</v>
      </c>
      <c r="AH140" s="17">
        <f ca="1">IFERROR(__xludf.DUMMYFUNCTION("""COMPUTED_VALUE"""),1.16025985578487)</f>
        <v>1.16025985578487</v>
      </c>
      <c r="AI140" s="17">
        <f ca="1">IFERROR(__xludf.DUMMYFUNCTION("""COMPUTED_VALUE"""),1.19380689660605)</f>
        <v>1.19380689660605</v>
      </c>
      <c r="AJ140" s="17">
        <f ca="1">IFERROR(__xludf.DUMMYFUNCTION("""COMPUTED_VALUE"""),1.13788951271521)</f>
        <v>1.13788951271521</v>
      </c>
    </row>
    <row r="141" spans="2:36" ht="15.75" customHeight="1" x14ac:dyDescent="0.45">
      <c r="B141" s="10" t="str">
        <f ca="1">IFERROR(__xludf.DUMMYFUNCTION("""COMPUTED_VALUE"""),"CricketX")</f>
        <v>CricketX</v>
      </c>
      <c r="C141" s="10" t="str">
        <f ca="1">IFERROR(__xludf.DUMMYFUNCTION("""COMPUTED_VALUE"""),"aligned_series")</f>
        <v>aligned_series</v>
      </c>
      <c r="D141" s="10">
        <f ca="1">IFERROR(__xludf.DUMMYFUNCTION("""COMPUTED_VALUE"""),0.8)</f>
        <v>0.8</v>
      </c>
      <c r="E141" s="17">
        <f ca="1">IFERROR(__xludf.DUMMYFUNCTION("""COMPUTED_VALUE"""),1.1769923208692)</f>
        <v>1.1769923208691999</v>
      </c>
      <c r="F141" s="17">
        <f ca="1">IFERROR(__xludf.DUMMYFUNCTION("""COMPUTED_VALUE"""),1.26019512759053)</f>
        <v>1.2601951275905301</v>
      </c>
      <c r="G141" s="17">
        <f ca="1">IFERROR(__xludf.DUMMYFUNCTION("""COMPUTED_VALUE"""),1.49684322086271)</f>
        <v>1.49684322086271</v>
      </c>
      <c r="H141" s="17">
        <f ca="1">IFERROR(__xludf.DUMMYFUNCTION("""COMPUTED_VALUE"""),1.72083779083927)</f>
        <v>1.72083779083927</v>
      </c>
      <c r="I141" s="17">
        <f ca="1">IFERROR(__xludf.DUMMYFUNCTION("""COMPUTED_VALUE"""),1.07438907243961)</f>
        <v>1.0743890724396099</v>
      </c>
      <c r="J141" s="17">
        <f ca="1">IFERROR(__xludf.DUMMYFUNCTION("""COMPUTED_VALUE"""),1.28973696945734)</f>
        <v>1.28973696945734</v>
      </c>
      <c r="K141" s="17" t="str">
        <f ca="1">IFERROR(__xludf.DUMMYFUNCTION("""COMPUTED_VALUE"""),"nan")</f>
        <v>nan</v>
      </c>
      <c r="L141" s="17">
        <f ca="1">IFERROR(__xludf.DUMMYFUNCTION("""COMPUTED_VALUE"""),1.1797419920878)</f>
        <v>1.1797419920878001</v>
      </c>
      <c r="M141" s="17">
        <f ca="1">IFERROR(__xludf.DUMMYFUNCTION("""COMPUTED_VALUE"""),1.38039287080501)</f>
        <v>1.3803928708050099</v>
      </c>
      <c r="N141" s="17">
        <f ca="1">IFERROR(__xludf.DUMMYFUNCTION("""COMPUTED_VALUE"""),1.20310538343708)</f>
        <v>1.20310538343708</v>
      </c>
      <c r="O141" s="17">
        <f ca="1">IFERROR(__xludf.DUMMYFUNCTION("""COMPUTED_VALUE"""),1.17316669726747)</f>
        <v>1.1731666972674699</v>
      </c>
      <c r="P141" s="17">
        <f ca="1">IFERROR(__xludf.DUMMYFUNCTION("""COMPUTED_VALUE"""),1.29959597120513)</f>
        <v>1.2995959712051299</v>
      </c>
      <c r="Q141" s="17">
        <f ca="1">IFERROR(__xludf.DUMMYFUNCTION("""COMPUTED_VALUE"""),1.31894707434416)</f>
        <v>1.31894707434416</v>
      </c>
      <c r="R141" s="17">
        <f ca="1">IFERROR(__xludf.DUMMYFUNCTION("""COMPUTED_VALUE"""),1.19704093728192)</f>
        <v>1.19704093728192</v>
      </c>
      <c r="S141" s="17">
        <f ca="1">IFERROR(__xludf.DUMMYFUNCTION("""COMPUTED_VALUE"""),1.20907323717877)</f>
        <v>1.20907323717877</v>
      </c>
      <c r="T141" s="17">
        <f ca="1">IFERROR(__xludf.DUMMYFUNCTION("""COMPUTED_VALUE"""),1.13599130195375)</f>
        <v>1.13599130195375</v>
      </c>
      <c r="U141" s="17">
        <f ca="1">IFERROR(__xludf.DUMMYFUNCTION("""COMPUTED_VALUE"""),1.05898933140352)</f>
        <v>1.0589893314035199</v>
      </c>
      <c r="V141" s="17">
        <f ca="1">IFERROR(__xludf.DUMMYFUNCTION("""COMPUTED_VALUE"""),1.12635004407285)</f>
        <v>1.12635004407285</v>
      </c>
      <c r="W141" s="17">
        <f ca="1">IFERROR(__xludf.DUMMYFUNCTION("""COMPUTED_VALUE"""),1.1209670802132)</f>
        <v>1.1209670802131999</v>
      </c>
      <c r="X141" s="17">
        <f ca="1">IFERROR(__xludf.DUMMYFUNCTION("""COMPUTED_VALUE"""),1.07264304130487)</f>
        <v>1.07264304130487</v>
      </c>
      <c r="Y141" s="17">
        <f ca="1">IFERROR(__xludf.DUMMYFUNCTION("""COMPUTED_VALUE"""),1.07704331850595)</f>
        <v>1.07704331850595</v>
      </c>
      <c r="Z141" s="17">
        <f ca="1">IFERROR(__xludf.DUMMYFUNCTION("""COMPUTED_VALUE"""),1.12432542366561)</f>
        <v>1.1243254236656099</v>
      </c>
      <c r="AA141" s="17">
        <f ca="1">IFERROR(__xludf.DUMMYFUNCTION("""COMPUTED_VALUE"""),1.4061151232572)</f>
        <v>1.4061151232572</v>
      </c>
      <c r="AB141" s="17">
        <f ca="1">IFERROR(__xludf.DUMMYFUNCTION("""COMPUTED_VALUE"""),2.54554357368572)</f>
        <v>2.5455435736857202</v>
      </c>
      <c r="AC141" s="17">
        <f ca="1">IFERROR(__xludf.DUMMYFUNCTION("""COMPUTED_VALUE"""),1.19592963699421)</f>
        <v>1.1959296369942101</v>
      </c>
      <c r="AD141" s="17">
        <f ca="1">IFERROR(__xludf.DUMMYFUNCTION("""COMPUTED_VALUE"""),1.12256591347624)</f>
        <v>1.12256591347624</v>
      </c>
      <c r="AE141" s="17">
        <f ca="1">IFERROR(__xludf.DUMMYFUNCTION("""COMPUTED_VALUE"""),1.25940866001255)</f>
        <v>1.25940866001255</v>
      </c>
      <c r="AF141" s="17">
        <f ca="1">IFERROR(__xludf.DUMMYFUNCTION("""COMPUTED_VALUE"""),1.54358811869981)</f>
        <v>1.5435881186998099</v>
      </c>
      <c r="AG141" s="17">
        <f ca="1">IFERROR(__xludf.DUMMYFUNCTION("""COMPUTED_VALUE"""),1.24566920071289)</f>
        <v>1.24566920071289</v>
      </c>
      <c r="AH141" s="17">
        <f ca="1">IFERROR(__xludf.DUMMYFUNCTION("""COMPUTED_VALUE"""),1.16332878731691)</f>
        <v>1.16332878731691</v>
      </c>
      <c r="AI141" s="17">
        <f ca="1">IFERROR(__xludf.DUMMYFUNCTION("""COMPUTED_VALUE"""),1.19654628107981)</f>
        <v>1.19654628107981</v>
      </c>
      <c r="AJ141" s="17">
        <f ca="1">IFERROR(__xludf.DUMMYFUNCTION("""COMPUTED_VALUE"""),1.15253678205115)</f>
        <v>1.1525367820511501</v>
      </c>
    </row>
    <row r="142" spans="2:36" ht="15.75" customHeight="1" x14ac:dyDescent="0.45">
      <c r="B142" s="10" t="str">
        <f ca="1">IFERROR(__xludf.DUMMYFUNCTION("""COMPUTED_VALUE"""),"CricketX")</f>
        <v>CricketX</v>
      </c>
      <c r="C142" s="10" t="str">
        <f ca="1">IFERROR(__xludf.DUMMYFUNCTION("""COMPUTED_VALUE"""),"aligned_timestamps")</f>
        <v>aligned_timestamps</v>
      </c>
      <c r="D142" s="10">
        <f ca="1">IFERROR(__xludf.DUMMYFUNCTION("""COMPUTED_VALUE"""),0.1)</f>
        <v>0.1</v>
      </c>
      <c r="E142" s="17">
        <f ca="1">IFERROR(__xludf.DUMMYFUNCTION("""COMPUTED_VALUE"""),1.17189984316869)</f>
        <v>1.17189984316869</v>
      </c>
      <c r="F142" s="17">
        <f ca="1">IFERROR(__xludf.DUMMYFUNCTION("""COMPUTED_VALUE"""),0.986676663073105)</f>
        <v>0.98667666307310498</v>
      </c>
      <c r="G142" s="17">
        <f ca="1">IFERROR(__xludf.DUMMYFUNCTION("""COMPUTED_VALUE"""),0.997199782766728)</f>
        <v>0.99719978276672805</v>
      </c>
      <c r="H142" s="17">
        <f ca="1">IFERROR(__xludf.DUMMYFUNCTION("""COMPUTED_VALUE"""),1.16275589850785)</f>
        <v>1.1627558985078501</v>
      </c>
      <c r="I142" s="17">
        <f ca="1">IFERROR(__xludf.DUMMYFUNCTION("""COMPUTED_VALUE"""),0.908347916317901)</f>
        <v>0.90834791631790102</v>
      </c>
      <c r="J142" s="17">
        <f ca="1">IFERROR(__xludf.DUMMYFUNCTION("""COMPUTED_VALUE"""),1.03471145878421)</f>
        <v>1.0347114587842099</v>
      </c>
      <c r="K142" s="17" t="str">
        <f ca="1">IFERROR(__xludf.DUMMYFUNCTION("""COMPUTED_VALUE"""),"nan")</f>
        <v>nan</v>
      </c>
      <c r="L142" s="17">
        <f ca="1">IFERROR(__xludf.DUMMYFUNCTION("""COMPUTED_VALUE"""),1.0131510568029)</f>
        <v>1.0131510568029001</v>
      </c>
      <c r="M142" s="17">
        <f ca="1">IFERROR(__xludf.DUMMYFUNCTION("""COMPUTED_VALUE"""),1.00134717520819)</f>
        <v>1.0013471752081899</v>
      </c>
      <c r="N142" s="17">
        <f ca="1">IFERROR(__xludf.DUMMYFUNCTION("""COMPUTED_VALUE"""),1.02992466220718)</f>
        <v>1.02992466220718</v>
      </c>
      <c r="O142" s="17">
        <f ca="1">IFERROR(__xludf.DUMMYFUNCTION("""COMPUTED_VALUE"""),0.981983374831264)</f>
        <v>0.98198337483126397</v>
      </c>
      <c r="P142" s="17">
        <f ca="1">IFERROR(__xludf.DUMMYFUNCTION("""COMPUTED_VALUE"""),1.14290740833537)</f>
        <v>1.1429074083353701</v>
      </c>
      <c r="Q142" s="17">
        <f ca="1">IFERROR(__xludf.DUMMYFUNCTION("""COMPUTED_VALUE"""),1.56596377789259)</f>
        <v>1.5659637778925899</v>
      </c>
      <c r="R142" s="17">
        <f ca="1">IFERROR(__xludf.DUMMYFUNCTION("""COMPUTED_VALUE"""),1.08790078124438)</f>
        <v>1.0879007812443799</v>
      </c>
      <c r="S142" s="17">
        <f ca="1">IFERROR(__xludf.DUMMYFUNCTION("""COMPUTED_VALUE"""),1.05284647597007)</f>
        <v>1.05284647597007</v>
      </c>
      <c r="T142" s="17">
        <f ca="1">IFERROR(__xludf.DUMMYFUNCTION("""COMPUTED_VALUE"""),0.966025905959076)</f>
        <v>0.966025905959076</v>
      </c>
      <c r="U142" s="17">
        <f ca="1">IFERROR(__xludf.DUMMYFUNCTION("""COMPUTED_VALUE"""),0.917459807946365)</f>
        <v>0.91745980794636495</v>
      </c>
      <c r="V142" s="17">
        <f ca="1">IFERROR(__xludf.DUMMYFUNCTION("""COMPUTED_VALUE"""),0.922039248060235)</f>
        <v>0.92203924806023496</v>
      </c>
      <c r="W142" s="17">
        <f ca="1">IFERROR(__xludf.DUMMYFUNCTION("""COMPUTED_VALUE"""),1.05883169627632)</f>
        <v>1.05883169627632</v>
      </c>
      <c r="X142" s="17">
        <f ca="1">IFERROR(__xludf.DUMMYFUNCTION("""COMPUTED_VALUE"""),1.03509940982201)</f>
        <v>1.0350994098220101</v>
      </c>
      <c r="Y142" s="17">
        <f ca="1">IFERROR(__xludf.DUMMYFUNCTION("""COMPUTED_VALUE"""),0.935193305341634)</f>
        <v>0.93519330534163403</v>
      </c>
      <c r="Z142" s="17">
        <f ca="1">IFERROR(__xludf.DUMMYFUNCTION("""COMPUTED_VALUE"""),1.01735134407631)</f>
        <v>1.01735134407631</v>
      </c>
      <c r="AA142" s="17">
        <f ca="1">IFERROR(__xludf.DUMMYFUNCTION("""COMPUTED_VALUE"""),0.970488039609194)</f>
        <v>0.97048803960919405</v>
      </c>
      <c r="AB142" s="17">
        <f ca="1">IFERROR(__xludf.DUMMYFUNCTION("""COMPUTED_VALUE"""),1.38540776938681)</f>
        <v>1.3854077693868101</v>
      </c>
      <c r="AC142" s="17">
        <f ca="1">IFERROR(__xludf.DUMMYFUNCTION("""COMPUTED_VALUE"""),1.19808496704272)</f>
        <v>1.1980849670427201</v>
      </c>
      <c r="AD142" s="17">
        <f ca="1">IFERROR(__xludf.DUMMYFUNCTION("""COMPUTED_VALUE"""),1.05827039563722)</f>
        <v>1.0582703956372199</v>
      </c>
      <c r="AE142" s="17">
        <f ca="1">IFERROR(__xludf.DUMMYFUNCTION("""COMPUTED_VALUE"""),1.18799313906961)</f>
        <v>1.1879931390696099</v>
      </c>
      <c r="AF142" s="17">
        <f ca="1">IFERROR(__xludf.DUMMYFUNCTION("""COMPUTED_VALUE"""),1.1642577885143)</f>
        <v>1.1642577885143</v>
      </c>
      <c r="AG142" s="17">
        <f ca="1">IFERROR(__xludf.DUMMYFUNCTION("""COMPUTED_VALUE"""),1.25708295751164)</f>
        <v>1.25708295751164</v>
      </c>
      <c r="AH142" s="17">
        <f ca="1">IFERROR(__xludf.DUMMYFUNCTION("""COMPUTED_VALUE"""),1.20866539174505)</f>
        <v>1.2086653917450501</v>
      </c>
      <c r="AI142" s="17">
        <f ca="1">IFERROR(__xludf.DUMMYFUNCTION("""COMPUTED_VALUE"""),1.21522451901078)</f>
        <v>1.21522451901078</v>
      </c>
      <c r="AJ142" s="17">
        <f ca="1">IFERROR(__xludf.DUMMYFUNCTION("""COMPUTED_VALUE"""),1.04352286342285)</f>
        <v>1.0435228634228499</v>
      </c>
    </row>
    <row r="143" spans="2:36" ht="15.75" customHeight="1" x14ac:dyDescent="0.45">
      <c r="B143" s="10" t="str">
        <f ca="1">IFERROR(__xludf.DUMMYFUNCTION("""COMPUTED_VALUE"""),"CricketX")</f>
        <v>CricketX</v>
      </c>
      <c r="C143" s="10" t="str">
        <f ca="1">IFERROR(__xludf.DUMMYFUNCTION("""COMPUTED_VALUE"""),"aligned_timestamps")</f>
        <v>aligned_timestamps</v>
      </c>
      <c r="D143" s="10">
        <f ca="1">IFERROR(__xludf.DUMMYFUNCTION("""COMPUTED_VALUE"""),0.2)</f>
        <v>0.2</v>
      </c>
      <c r="E143" s="17">
        <f ca="1">IFERROR(__xludf.DUMMYFUNCTION("""COMPUTED_VALUE"""),1.14509470664473)</f>
        <v>1.1450947066447299</v>
      </c>
      <c r="F143" s="17">
        <f ca="1">IFERROR(__xludf.DUMMYFUNCTION("""COMPUTED_VALUE"""),1.00445826203898)</f>
        <v>1.0044582620389799</v>
      </c>
      <c r="G143" s="17">
        <f ca="1">IFERROR(__xludf.DUMMYFUNCTION("""COMPUTED_VALUE"""),1.01825873325086)</f>
        <v>1.0182587332508599</v>
      </c>
      <c r="H143" s="17">
        <f ca="1">IFERROR(__xludf.DUMMYFUNCTION("""COMPUTED_VALUE"""),1.15500704815583)</f>
        <v>1.1550070481558301</v>
      </c>
      <c r="I143" s="17">
        <f ca="1">IFERROR(__xludf.DUMMYFUNCTION("""COMPUTED_VALUE"""),0.937392865701511)</f>
        <v>0.93739286570151104</v>
      </c>
      <c r="J143" s="17">
        <f ca="1">IFERROR(__xludf.DUMMYFUNCTION("""COMPUTED_VALUE"""),1.00666285436927)</f>
        <v>1.0066628543692699</v>
      </c>
      <c r="K143" s="17" t="str">
        <f ca="1">IFERROR(__xludf.DUMMYFUNCTION("""COMPUTED_VALUE"""),"nan")</f>
        <v>nan</v>
      </c>
      <c r="L143" s="17">
        <f ca="1">IFERROR(__xludf.DUMMYFUNCTION("""COMPUTED_VALUE"""),1.06962034944022)</f>
        <v>1.0696203494402201</v>
      </c>
      <c r="M143" s="17">
        <f ca="1">IFERROR(__xludf.DUMMYFUNCTION("""COMPUTED_VALUE"""),1.00389572174445)</f>
        <v>1.00389572174445</v>
      </c>
      <c r="N143" s="17">
        <f ca="1">IFERROR(__xludf.DUMMYFUNCTION("""COMPUTED_VALUE"""),1.09255613989731)</f>
        <v>1.09255613989731</v>
      </c>
      <c r="O143" s="17">
        <f ca="1">IFERROR(__xludf.DUMMYFUNCTION("""COMPUTED_VALUE"""),1.020266364493)</f>
        <v>1.0202663644929999</v>
      </c>
      <c r="P143" s="17">
        <f ca="1">IFERROR(__xludf.DUMMYFUNCTION("""COMPUTED_VALUE"""),1.12557897486826)</f>
        <v>1.1255789748682601</v>
      </c>
      <c r="Q143" s="17">
        <f ca="1">IFERROR(__xludf.DUMMYFUNCTION("""COMPUTED_VALUE"""),1.58498495209482)</f>
        <v>1.58498495209482</v>
      </c>
      <c r="R143" s="17">
        <f ca="1">IFERROR(__xludf.DUMMYFUNCTION("""COMPUTED_VALUE"""),1.19567874317594)</f>
        <v>1.1956787431759399</v>
      </c>
      <c r="S143" s="17">
        <f ca="1">IFERROR(__xludf.DUMMYFUNCTION("""COMPUTED_VALUE"""),1.07402694450146)</f>
        <v>1.0740269445014601</v>
      </c>
      <c r="T143" s="17">
        <f ca="1">IFERROR(__xludf.DUMMYFUNCTION("""COMPUTED_VALUE"""),0.975057115081436)</f>
        <v>0.975057115081436</v>
      </c>
      <c r="U143" s="17">
        <f ca="1">IFERROR(__xludf.DUMMYFUNCTION("""COMPUTED_VALUE"""),0.993224476672166)</f>
        <v>0.99322447667216596</v>
      </c>
      <c r="V143" s="17">
        <f ca="1">IFERROR(__xludf.DUMMYFUNCTION("""COMPUTED_VALUE"""),0.986922345573511)</f>
        <v>0.986922345573511</v>
      </c>
      <c r="W143" s="17">
        <f ca="1">IFERROR(__xludf.DUMMYFUNCTION("""COMPUTED_VALUE"""),1.09814414870151)</f>
        <v>1.09814414870151</v>
      </c>
      <c r="X143" s="17">
        <f ca="1">IFERROR(__xludf.DUMMYFUNCTION("""COMPUTED_VALUE"""),0.952859321686633)</f>
        <v>0.95285932168663301</v>
      </c>
      <c r="Y143" s="17">
        <f ca="1">IFERROR(__xludf.DUMMYFUNCTION("""COMPUTED_VALUE"""),0.977837043269666)</f>
        <v>0.97783704326966603</v>
      </c>
      <c r="Z143" s="17">
        <f ca="1">IFERROR(__xludf.DUMMYFUNCTION("""COMPUTED_VALUE"""),1.06036884400812)</f>
        <v>1.06036884400812</v>
      </c>
      <c r="AA143" s="17">
        <f ca="1">IFERROR(__xludf.DUMMYFUNCTION("""COMPUTED_VALUE"""),1.24616510214678)</f>
        <v>1.2461651021467799</v>
      </c>
      <c r="AB143" s="17">
        <f ca="1">IFERROR(__xludf.DUMMYFUNCTION("""COMPUTED_VALUE"""),1.38587324032392)</f>
        <v>1.38587324032392</v>
      </c>
      <c r="AC143" s="17">
        <f ca="1">IFERROR(__xludf.DUMMYFUNCTION("""COMPUTED_VALUE"""),1.15057594394639)</f>
        <v>1.1505759439463901</v>
      </c>
      <c r="AD143" s="17">
        <f ca="1">IFERROR(__xludf.DUMMYFUNCTION("""COMPUTED_VALUE"""),1.08965649742914)</f>
        <v>1.0896564974291401</v>
      </c>
      <c r="AE143" s="17">
        <f ca="1">IFERROR(__xludf.DUMMYFUNCTION("""COMPUTED_VALUE"""),1.24133220897986)</f>
        <v>1.24133220897986</v>
      </c>
      <c r="AF143" s="17">
        <f ca="1">IFERROR(__xludf.DUMMYFUNCTION("""COMPUTED_VALUE"""),1.18115287350329)</f>
        <v>1.1811528735032899</v>
      </c>
      <c r="AG143" s="17">
        <f ca="1">IFERROR(__xludf.DUMMYFUNCTION("""COMPUTED_VALUE"""),1.24580624654664)</f>
        <v>1.24580624654664</v>
      </c>
      <c r="AH143" s="17">
        <f ca="1">IFERROR(__xludf.DUMMYFUNCTION("""COMPUTED_VALUE"""),1.13522677643154)</f>
        <v>1.13522677643154</v>
      </c>
      <c r="AI143" s="17">
        <f ca="1">IFERROR(__xludf.DUMMYFUNCTION("""COMPUTED_VALUE"""),1.16821745521119)</f>
        <v>1.1682174552111899</v>
      </c>
      <c r="AJ143" s="17">
        <f ca="1">IFERROR(__xludf.DUMMYFUNCTION("""COMPUTED_VALUE"""),1.09522990647606)</f>
        <v>1.09522990647606</v>
      </c>
    </row>
    <row r="144" spans="2:36" ht="15.75" customHeight="1" x14ac:dyDescent="0.45">
      <c r="B144" s="10" t="str">
        <f ca="1">IFERROR(__xludf.DUMMYFUNCTION("""COMPUTED_VALUE"""),"CricketX")</f>
        <v>CricketX</v>
      </c>
      <c r="C144" s="10" t="str">
        <f ca="1">IFERROR(__xludf.DUMMYFUNCTION("""COMPUTED_VALUE"""),"aligned_timestamps")</f>
        <v>aligned_timestamps</v>
      </c>
      <c r="D144" s="10">
        <f ca="1">IFERROR(__xludf.DUMMYFUNCTION("""COMPUTED_VALUE"""),0.4)</f>
        <v>0.4</v>
      </c>
      <c r="E144" s="17">
        <f ca="1">IFERROR(__xludf.DUMMYFUNCTION("""COMPUTED_VALUE"""),1.15276721415184)</f>
        <v>1.1527672141518399</v>
      </c>
      <c r="F144" s="17">
        <f ca="1">IFERROR(__xludf.DUMMYFUNCTION("""COMPUTED_VALUE"""),1.10940312597166)</f>
        <v>1.1094031259716599</v>
      </c>
      <c r="G144" s="17">
        <f ca="1">IFERROR(__xludf.DUMMYFUNCTION("""COMPUTED_VALUE"""),1.27452468749564)</f>
        <v>1.27452468749564</v>
      </c>
      <c r="H144" s="17">
        <f ca="1">IFERROR(__xludf.DUMMYFUNCTION("""COMPUTED_VALUE"""),1.14498212777528)</f>
        <v>1.1449821277752801</v>
      </c>
      <c r="I144" s="17">
        <f ca="1">IFERROR(__xludf.DUMMYFUNCTION("""COMPUTED_VALUE"""),0.955431045627524)</f>
        <v>0.95543104562752401</v>
      </c>
      <c r="J144" s="17">
        <f ca="1">IFERROR(__xludf.DUMMYFUNCTION("""COMPUTED_VALUE"""),1.22232580602246)</f>
        <v>1.22232580602246</v>
      </c>
      <c r="K144" s="17" t="str">
        <f ca="1">IFERROR(__xludf.DUMMYFUNCTION("""COMPUTED_VALUE"""),"nan")</f>
        <v>nan</v>
      </c>
      <c r="L144" s="17">
        <f ca="1">IFERROR(__xludf.DUMMYFUNCTION("""COMPUTED_VALUE"""),1.15326623777702)</f>
        <v>1.15326623777702</v>
      </c>
      <c r="M144" s="17">
        <f ca="1">IFERROR(__xludf.DUMMYFUNCTION("""COMPUTED_VALUE"""),1.30583356022738)</f>
        <v>1.3058335602273801</v>
      </c>
      <c r="N144" s="17">
        <f ca="1">IFERROR(__xludf.DUMMYFUNCTION("""COMPUTED_VALUE"""),1.07654189071867)</f>
        <v>1.0765418907186699</v>
      </c>
      <c r="O144" s="17">
        <f ca="1">IFERROR(__xludf.DUMMYFUNCTION("""COMPUTED_VALUE"""),1.12037321013475)</f>
        <v>1.1203732101347501</v>
      </c>
      <c r="P144" s="17">
        <f ca="1">IFERROR(__xludf.DUMMYFUNCTION("""COMPUTED_VALUE"""),1.28027392849166)</f>
        <v>1.28027392849166</v>
      </c>
      <c r="Q144" s="17">
        <f ca="1">IFERROR(__xludf.DUMMYFUNCTION("""COMPUTED_VALUE"""),1.62119594733021)</f>
        <v>1.62119594733021</v>
      </c>
      <c r="R144" s="17">
        <f ca="1">IFERROR(__xludf.DUMMYFUNCTION("""COMPUTED_VALUE"""),1.33290359456468)</f>
        <v>1.3329035945646801</v>
      </c>
      <c r="S144" s="17">
        <f ca="1">IFERROR(__xludf.DUMMYFUNCTION("""COMPUTED_VALUE"""),1.20888281808227)</f>
        <v>1.2088828180822699</v>
      </c>
      <c r="T144" s="17">
        <f ca="1">IFERROR(__xludf.DUMMYFUNCTION("""COMPUTED_VALUE"""),1.07034245777876)</f>
        <v>1.0703424577787599</v>
      </c>
      <c r="U144" s="17">
        <f ca="1">IFERROR(__xludf.DUMMYFUNCTION("""COMPUTED_VALUE"""),1.05126949331663)</f>
        <v>1.05126949331663</v>
      </c>
      <c r="V144" s="17">
        <f ca="1">IFERROR(__xludf.DUMMYFUNCTION("""COMPUTED_VALUE"""),1.07086401647976)</f>
        <v>1.07086401647976</v>
      </c>
      <c r="W144" s="17">
        <f ca="1">IFERROR(__xludf.DUMMYFUNCTION("""COMPUTED_VALUE"""),1.09352736097508)</f>
        <v>1.09352736097508</v>
      </c>
      <c r="X144" s="17">
        <f ca="1">IFERROR(__xludf.DUMMYFUNCTION("""COMPUTED_VALUE"""),0.995289116140924)</f>
        <v>0.99528911614092397</v>
      </c>
      <c r="Y144" s="17">
        <f ca="1">IFERROR(__xludf.DUMMYFUNCTION("""COMPUTED_VALUE"""),1.10337336046882)</f>
        <v>1.1033733604688201</v>
      </c>
      <c r="Z144" s="17">
        <f ca="1">IFERROR(__xludf.DUMMYFUNCTION("""COMPUTED_VALUE"""),1.11045336452631)</f>
        <v>1.1104533645263099</v>
      </c>
      <c r="AA144" s="17">
        <f ca="1">IFERROR(__xludf.DUMMYFUNCTION("""COMPUTED_VALUE"""),1.45786419363586)</f>
        <v>1.4578641936358601</v>
      </c>
      <c r="AB144" s="17">
        <f ca="1">IFERROR(__xludf.DUMMYFUNCTION("""COMPUTED_VALUE"""),1.41251753290687)</f>
        <v>1.41251753290687</v>
      </c>
      <c r="AC144" s="17">
        <f ca="1">IFERROR(__xludf.DUMMYFUNCTION("""COMPUTED_VALUE"""),1.16594948606742)</f>
        <v>1.16594948606742</v>
      </c>
      <c r="AD144" s="17">
        <f ca="1">IFERROR(__xludf.DUMMYFUNCTION("""COMPUTED_VALUE"""),1.10505156626361)</f>
        <v>1.10505156626361</v>
      </c>
      <c r="AE144" s="17">
        <f ca="1">IFERROR(__xludf.DUMMYFUNCTION("""COMPUTED_VALUE"""),1.31711607748044)</f>
        <v>1.31711607748044</v>
      </c>
      <c r="AF144" s="17">
        <f ca="1">IFERROR(__xludf.DUMMYFUNCTION("""COMPUTED_VALUE"""),1.26770838569617)</f>
        <v>1.2677083856961699</v>
      </c>
      <c r="AG144" s="17">
        <f ca="1">IFERROR(__xludf.DUMMYFUNCTION("""COMPUTED_VALUE"""),1.27850187547793)</f>
        <v>1.27850187547793</v>
      </c>
      <c r="AH144" s="17">
        <f ca="1">IFERROR(__xludf.DUMMYFUNCTION("""COMPUTED_VALUE"""),1.16202566585209)</f>
        <v>1.16202566585209</v>
      </c>
      <c r="AI144" s="17">
        <f ca="1">IFERROR(__xludf.DUMMYFUNCTION("""COMPUTED_VALUE"""),1.17165259342662)</f>
        <v>1.17165259342662</v>
      </c>
      <c r="AJ144" s="17">
        <f ca="1">IFERROR(__xludf.DUMMYFUNCTION("""COMPUTED_VALUE"""),1.38275708328322)</f>
        <v>1.3827570832832199</v>
      </c>
    </row>
    <row r="145" spans="2:36" ht="15.75" customHeight="1" x14ac:dyDescent="0.45">
      <c r="B145" s="10" t="str">
        <f ca="1">IFERROR(__xludf.DUMMYFUNCTION("""COMPUTED_VALUE"""),"CricketX")</f>
        <v>CricketX</v>
      </c>
      <c r="C145" s="10" t="str">
        <f ca="1">IFERROR(__xludf.DUMMYFUNCTION("""COMPUTED_VALUE"""),"aligned_timestamps")</f>
        <v>aligned_timestamps</v>
      </c>
      <c r="D145" s="10">
        <f ca="1">IFERROR(__xludf.DUMMYFUNCTION("""COMPUTED_VALUE"""),0.6)</f>
        <v>0.6</v>
      </c>
      <c r="E145" s="17">
        <f ca="1">IFERROR(__xludf.DUMMYFUNCTION("""COMPUTED_VALUE"""),1.13062954054884)</f>
        <v>1.13062954054884</v>
      </c>
      <c r="F145" s="17">
        <f ca="1">IFERROR(__xludf.DUMMYFUNCTION("""COMPUTED_VALUE"""),1.0861665284316)</f>
        <v>1.0861665284316</v>
      </c>
      <c r="G145" s="17">
        <f ca="1">IFERROR(__xludf.DUMMYFUNCTION("""COMPUTED_VALUE"""),1.35498960332304)</f>
        <v>1.35498960332304</v>
      </c>
      <c r="H145" s="17">
        <f ca="1">IFERROR(__xludf.DUMMYFUNCTION("""COMPUTED_VALUE"""),1.17987930288543)</f>
        <v>1.17987930288543</v>
      </c>
      <c r="I145" s="17">
        <f ca="1">IFERROR(__xludf.DUMMYFUNCTION("""COMPUTED_VALUE"""),0.970840621896086)</f>
        <v>0.970840621896086</v>
      </c>
      <c r="J145" s="17">
        <f ca="1">IFERROR(__xludf.DUMMYFUNCTION("""COMPUTED_VALUE"""),1.24892972206392)</f>
        <v>1.2489297220639199</v>
      </c>
      <c r="K145" s="17" t="str">
        <f ca="1">IFERROR(__xludf.DUMMYFUNCTION("""COMPUTED_VALUE"""),"nan")</f>
        <v>nan</v>
      </c>
      <c r="L145" s="17">
        <f ca="1">IFERROR(__xludf.DUMMYFUNCTION("""COMPUTED_VALUE"""),1.10671186254923)</f>
        <v>1.10671186254923</v>
      </c>
      <c r="M145" s="17">
        <f ca="1">IFERROR(__xludf.DUMMYFUNCTION("""COMPUTED_VALUE"""),1.45169523198982)</f>
        <v>1.45169523198982</v>
      </c>
      <c r="N145" s="17">
        <f ca="1">IFERROR(__xludf.DUMMYFUNCTION("""COMPUTED_VALUE"""),1.0997351907494)</f>
        <v>1.0997351907494</v>
      </c>
      <c r="O145" s="17">
        <f ca="1">IFERROR(__xludf.DUMMYFUNCTION("""COMPUTED_VALUE"""),1.11686340638919)</f>
        <v>1.11686340638919</v>
      </c>
      <c r="P145" s="17">
        <f ca="1">IFERROR(__xludf.DUMMYFUNCTION("""COMPUTED_VALUE"""),1.45762694486763)</f>
        <v>1.45762694486763</v>
      </c>
      <c r="Q145" s="17">
        <f ca="1">IFERROR(__xludf.DUMMYFUNCTION("""COMPUTED_VALUE"""),1.58897980011104)</f>
        <v>1.58897980011104</v>
      </c>
      <c r="R145" s="17">
        <f ca="1">IFERROR(__xludf.DUMMYFUNCTION("""COMPUTED_VALUE"""),1.48840757443743)</f>
        <v>1.4884075744374301</v>
      </c>
      <c r="S145" s="17">
        <f ca="1">IFERROR(__xludf.DUMMYFUNCTION("""COMPUTED_VALUE"""),1.32416481191154)</f>
        <v>1.3241648119115399</v>
      </c>
      <c r="T145" s="17">
        <f ca="1">IFERROR(__xludf.DUMMYFUNCTION("""COMPUTED_VALUE"""),1.20042062890655)</f>
        <v>1.20042062890655</v>
      </c>
      <c r="U145" s="17">
        <f ca="1">IFERROR(__xludf.DUMMYFUNCTION("""COMPUTED_VALUE"""),1.13288677828)</f>
        <v>1.1328867782800001</v>
      </c>
      <c r="V145" s="17">
        <f ca="1">IFERROR(__xludf.DUMMYFUNCTION("""COMPUTED_VALUE"""),1.33009950998905)</f>
        <v>1.33009950998905</v>
      </c>
      <c r="W145" s="17">
        <f ca="1">IFERROR(__xludf.DUMMYFUNCTION("""COMPUTED_VALUE"""),1.13377442343325)</f>
        <v>1.1337744234332501</v>
      </c>
      <c r="X145" s="17">
        <f ca="1">IFERROR(__xludf.DUMMYFUNCTION("""COMPUTED_VALUE"""),2.90296761627004)</f>
        <v>2.9029676162700402</v>
      </c>
      <c r="Y145" s="17">
        <f ca="1">IFERROR(__xludf.DUMMYFUNCTION("""COMPUTED_VALUE"""),1.17071382549646)</f>
        <v>1.17071382549646</v>
      </c>
      <c r="Z145" s="17">
        <f ca="1">IFERROR(__xludf.DUMMYFUNCTION("""COMPUTED_VALUE"""),1.10820181766543)</f>
        <v>1.10820181766543</v>
      </c>
      <c r="AA145" s="17">
        <f ca="1">IFERROR(__xludf.DUMMYFUNCTION("""COMPUTED_VALUE"""),1.470406878563)</f>
        <v>1.470406878563</v>
      </c>
      <c r="AB145" s="17">
        <f ca="1">IFERROR(__xludf.DUMMYFUNCTION("""COMPUTED_VALUE"""),1.43871175803652)</f>
        <v>1.4387117580365201</v>
      </c>
      <c r="AC145" s="17">
        <f ca="1">IFERROR(__xludf.DUMMYFUNCTION("""COMPUTED_VALUE"""),1.18158509361132)</f>
        <v>1.1815850936113199</v>
      </c>
      <c r="AD145" s="17">
        <f ca="1">IFERROR(__xludf.DUMMYFUNCTION("""COMPUTED_VALUE"""),1.13681730203429)</f>
        <v>1.13681730203429</v>
      </c>
      <c r="AE145" s="17">
        <f ca="1">IFERROR(__xludf.DUMMYFUNCTION("""COMPUTED_VALUE"""),1.19938869633735)</f>
        <v>1.1993886963373499</v>
      </c>
      <c r="AF145" s="17">
        <f ca="1">IFERROR(__xludf.DUMMYFUNCTION("""COMPUTED_VALUE"""),1.49262156740888)</f>
        <v>1.4926215674088801</v>
      </c>
      <c r="AG145" s="17">
        <f ca="1">IFERROR(__xludf.DUMMYFUNCTION("""COMPUTED_VALUE"""),1.30044938091217)</f>
        <v>1.30044938091217</v>
      </c>
      <c r="AH145" s="17">
        <f ca="1">IFERROR(__xludf.DUMMYFUNCTION("""COMPUTED_VALUE"""),1.22922430449457)</f>
        <v>1.2292243044945701</v>
      </c>
      <c r="AI145" s="17">
        <f ca="1">IFERROR(__xludf.DUMMYFUNCTION("""COMPUTED_VALUE"""),1.21223299222828)</f>
        <v>1.21223299222828</v>
      </c>
      <c r="AJ145" s="17">
        <f ca="1">IFERROR(__xludf.DUMMYFUNCTION("""COMPUTED_VALUE"""),1.34605278056089)</f>
        <v>1.3460527805608899</v>
      </c>
    </row>
    <row r="146" spans="2:36" ht="15.75" customHeight="1" x14ac:dyDescent="0.45">
      <c r="B146" s="10" t="str">
        <f ca="1">IFERROR(__xludf.DUMMYFUNCTION("""COMPUTED_VALUE"""),"CricketX")</f>
        <v>CricketX</v>
      </c>
      <c r="C146" s="10" t="str">
        <f ca="1">IFERROR(__xludf.DUMMYFUNCTION("""COMPUTED_VALUE"""),"aligned_timestamps")</f>
        <v>aligned_timestamps</v>
      </c>
      <c r="D146" s="10">
        <f ca="1">IFERROR(__xludf.DUMMYFUNCTION("""COMPUTED_VALUE"""),0.8)</f>
        <v>0.8</v>
      </c>
      <c r="E146" s="17">
        <f ca="1">IFERROR(__xludf.DUMMYFUNCTION("""COMPUTED_VALUE"""),1.04404185505569)</f>
        <v>1.04404185505569</v>
      </c>
      <c r="F146" s="17">
        <f ca="1">IFERROR(__xludf.DUMMYFUNCTION("""COMPUTED_VALUE"""),0.970675874917667)</f>
        <v>0.97067587491766705</v>
      </c>
      <c r="G146" s="17">
        <f ca="1">IFERROR(__xludf.DUMMYFUNCTION("""COMPUTED_VALUE"""),1.19976447576509)</f>
        <v>1.19976447576509</v>
      </c>
      <c r="H146" s="17">
        <f ca="1">IFERROR(__xludf.DUMMYFUNCTION("""COMPUTED_VALUE"""),1.12538917581881)</f>
        <v>1.1253891758188099</v>
      </c>
      <c r="I146" s="17">
        <f ca="1">IFERROR(__xludf.DUMMYFUNCTION("""COMPUTED_VALUE"""),0.913315168216645)</f>
        <v>0.91331516821664505</v>
      </c>
      <c r="J146" s="17">
        <f ca="1">IFERROR(__xludf.DUMMYFUNCTION("""COMPUTED_VALUE"""),1.18694044623721)</f>
        <v>1.18694044623721</v>
      </c>
      <c r="K146" s="17" t="str">
        <f ca="1">IFERROR(__xludf.DUMMYFUNCTION("""COMPUTED_VALUE"""),"nan")</f>
        <v>nan</v>
      </c>
      <c r="L146" s="17">
        <f ca="1">IFERROR(__xludf.DUMMYFUNCTION("""COMPUTED_VALUE"""),0.99831983880158)</f>
        <v>0.99831983880158004</v>
      </c>
      <c r="M146" s="17">
        <f ca="1">IFERROR(__xludf.DUMMYFUNCTION("""COMPUTED_VALUE"""),1.45411177323155)</f>
        <v>1.4541117732315501</v>
      </c>
      <c r="N146" s="17">
        <f ca="1">IFERROR(__xludf.DUMMYFUNCTION("""COMPUTED_VALUE"""),1.07625762395078)</f>
        <v>1.07625762395078</v>
      </c>
      <c r="O146" s="17">
        <f ca="1">IFERROR(__xludf.DUMMYFUNCTION("""COMPUTED_VALUE"""),1.0251574547324)</f>
        <v>1.0251574547324001</v>
      </c>
      <c r="P146" s="17">
        <f ca="1">IFERROR(__xludf.DUMMYFUNCTION("""COMPUTED_VALUE"""),1.37350010509726)</f>
        <v>1.3735001050972599</v>
      </c>
      <c r="Q146" s="17">
        <f ca="1">IFERROR(__xludf.DUMMYFUNCTION("""COMPUTED_VALUE"""),1.4701632824228)</f>
        <v>1.4701632824227999</v>
      </c>
      <c r="R146" s="17">
        <f ca="1">IFERROR(__xludf.DUMMYFUNCTION("""COMPUTED_VALUE"""),1.73948557594378)</f>
        <v>1.7394855759437799</v>
      </c>
      <c r="S146" s="17">
        <f ca="1">IFERROR(__xludf.DUMMYFUNCTION("""COMPUTED_VALUE"""),1.23388551828788)</f>
        <v>1.2338855182878801</v>
      </c>
      <c r="T146" s="17">
        <f ca="1">IFERROR(__xludf.DUMMYFUNCTION("""COMPUTED_VALUE"""),1.19424733845071)</f>
        <v>1.19424733845071</v>
      </c>
      <c r="U146" s="17">
        <f ca="1">IFERROR(__xludf.DUMMYFUNCTION("""COMPUTED_VALUE"""),1.13262254527613)</f>
        <v>1.13262254527613</v>
      </c>
      <c r="V146" s="17">
        <f ca="1">IFERROR(__xludf.DUMMYFUNCTION("""COMPUTED_VALUE"""),1.21108554541889)</f>
        <v>1.21108554541889</v>
      </c>
      <c r="W146" s="17">
        <f ca="1">IFERROR(__xludf.DUMMYFUNCTION("""COMPUTED_VALUE"""),1.05304729616113)</f>
        <v>1.0530472961611299</v>
      </c>
      <c r="X146" s="17">
        <f ca="1">IFERROR(__xludf.DUMMYFUNCTION("""COMPUTED_VALUE"""),1.51533560591719)</f>
        <v>1.5153356059171901</v>
      </c>
      <c r="Y146" s="17">
        <f ca="1">IFERROR(__xludf.DUMMYFUNCTION("""COMPUTED_VALUE"""),1.08370568204924)</f>
        <v>1.0837056820492399</v>
      </c>
      <c r="Z146" s="17">
        <f ca="1">IFERROR(__xludf.DUMMYFUNCTION("""COMPUTED_VALUE"""),1.03129549832688)</f>
        <v>1.0312954983268801</v>
      </c>
      <c r="AA146" s="17">
        <f ca="1">IFERROR(__xludf.DUMMYFUNCTION("""COMPUTED_VALUE"""),1.22165477783203)</f>
        <v>1.2216547778320299</v>
      </c>
      <c r="AB146" s="17">
        <f ca="1">IFERROR(__xludf.DUMMYFUNCTION("""COMPUTED_VALUE"""),1.3799525650343)</f>
        <v>1.3799525650343001</v>
      </c>
      <c r="AC146" s="17">
        <f ca="1">IFERROR(__xludf.DUMMYFUNCTION("""COMPUTED_VALUE"""),1.10913258212471)</f>
        <v>1.10913258212471</v>
      </c>
      <c r="AD146" s="17">
        <f ca="1">IFERROR(__xludf.DUMMYFUNCTION("""COMPUTED_VALUE"""),1.05345409749149)</f>
        <v>1.0534540974914901</v>
      </c>
      <c r="AE146" s="17" t="str">
        <f ca="1">IFERROR(__xludf.DUMMYFUNCTION("""COMPUTED_VALUE"""),"nan")</f>
        <v>nan</v>
      </c>
      <c r="AF146" s="17">
        <f ca="1">IFERROR(__xludf.DUMMYFUNCTION("""COMPUTED_VALUE"""),1.33393619086813)</f>
        <v>1.33393619086813</v>
      </c>
      <c r="AG146" s="17">
        <f ca="1">IFERROR(__xludf.DUMMYFUNCTION("""COMPUTED_VALUE"""),1.10879433531059)</f>
        <v>1.10879433531059</v>
      </c>
      <c r="AH146" s="17">
        <f ca="1">IFERROR(__xludf.DUMMYFUNCTION("""COMPUTED_VALUE"""),1.06298998125821)</f>
        <v>1.06298998125821</v>
      </c>
      <c r="AI146" s="17">
        <f ca="1">IFERROR(__xludf.DUMMYFUNCTION("""COMPUTED_VALUE"""),1.05985765258328)</f>
        <v>1.0598576525832799</v>
      </c>
      <c r="AJ146" s="17">
        <f ca="1">IFERROR(__xludf.DUMMYFUNCTION("""COMPUTED_VALUE"""),1.14693729387473)</f>
        <v>1.14693729387473</v>
      </c>
    </row>
    <row r="147" spans="2:36" ht="15.75" customHeight="1" x14ac:dyDescent="0.45">
      <c r="B147" s="10" t="str">
        <f ca="1">IFERROR(__xludf.DUMMYFUNCTION("""COMPUTED_VALUE"""),"CricketX")</f>
        <v>CricketX</v>
      </c>
      <c r="C147" s="10" t="str">
        <f ca="1">IFERROR(__xludf.DUMMYFUNCTION("""COMPUTED_VALUE"""),"mcar")</f>
        <v>mcar</v>
      </c>
      <c r="D147" s="10">
        <f ca="1">IFERROR(__xludf.DUMMYFUNCTION("""COMPUTED_VALUE"""),0.1)</f>
        <v>0.1</v>
      </c>
      <c r="E147" s="17">
        <f ca="1">IFERROR(__xludf.DUMMYFUNCTION("""COMPUTED_VALUE"""),0.97789337260514)</f>
        <v>0.97789337260513998</v>
      </c>
      <c r="F147" s="17">
        <f ca="1">IFERROR(__xludf.DUMMYFUNCTION("""COMPUTED_VALUE"""),0.776845365934092)</f>
        <v>0.77684536593409204</v>
      </c>
      <c r="G147" s="17">
        <f ca="1">IFERROR(__xludf.DUMMYFUNCTION("""COMPUTED_VALUE"""),0.78157203733036)</f>
        <v>0.78157203733035996</v>
      </c>
      <c r="H147" s="17">
        <f ca="1">IFERROR(__xludf.DUMMYFUNCTION("""COMPUTED_VALUE"""),0.766924385853126)</f>
        <v>0.76692438585312595</v>
      </c>
      <c r="I147" s="17">
        <f ca="1">IFERROR(__xludf.DUMMYFUNCTION("""COMPUTED_VALUE"""),0.67625373291076)</f>
        <v>0.67625373291075996</v>
      </c>
      <c r="J147" s="17">
        <f ca="1">IFERROR(__xludf.DUMMYFUNCTION("""COMPUTED_VALUE"""),0.747520775162871)</f>
        <v>0.74752077516287097</v>
      </c>
      <c r="K147" s="17" t="str">
        <f ca="1">IFERROR(__xludf.DUMMYFUNCTION("""COMPUTED_VALUE"""),"nan")</f>
        <v>nan</v>
      </c>
      <c r="L147" s="17">
        <f ca="1">IFERROR(__xludf.DUMMYFUNCTION("""COMPUTED_VALUE"""),0.774858169233554)</f>
        <v>0.77485816923355399</v>
      </c>
      <c r="M147" s="17">
        <f ca="1">IFERROR(__xludf.DUMMYFUNCTION("""COMPUTED_VALUE"""),0.783820197537724)</f>
        <v>0.78382019753772403</v>
      </c>
      <c r="N147" s="17">
        <f ca="1">IFERROR(__xludf.DUMMYFUNCTION("""COMPUTED_VALUE"""),0.673033172196091)</f>
        <v>0.67303317219609105</v>
      </c>
      <c r="O147" s="17">
        <f ca="1">IFERROR(__xludf.DUMMYFUNCTION("""COMPUTED_VALUE"""),0.751236308009493)</f>
        <v>0.75123630800949304</v>
      </c>
      <c r="P147" s="17">
        <f ca="1">IFERROR(__xludf.DUMMYFUNCTION("""COMPUTED_VALUE"""),0.763468346110537)</f>
        <v>0.76346834611053704</v>
      </c>
      <c r="Q147" s="17">
        <f ca="1">IFERROR(__xludf.DUMMYFUNCTION("""COMPUTED_VALUE"""),1.26419685438187)</f>
        <v>1.26419685438187</v>
      </c>
      <c r="R147" s="17">
        <f ca="1">IFERROR(__xludf.DUMMYFUNCTION("""COMPUTED_VALUE"""),0.712890530032724)</f>
        <v>0.71289053003272396</v>
      </c>
      <c r="S147" s="17">
        <f ca="1">IFERROR(__xludf.DUMMYFUNCTION("""COMPUTED_VALUE"""),0.751630819129313)</f>
        <v>0.75163081912931295</v>
      </c>
      <c r="T147" s="17">
        <f ca="1">IFERROR(__xludf.DUMMYFUNCTION("""COMPUTED_VALUE"""),0.5666860968949)</f>
        <v>0.56668609689490002</v>
      </c>
      <c r="U147" s="17">
        <f ca="1">IFERROR(__xludf.DUMMYFUNCTION("""COMPUTED_VALUE"""),0.607982044363364)</f>
        <v>0.607982044363364</v>
      </c>
      <c r="V147" s="17">
        <f ca="1">IFERROR(__xludf.DUMMYFUNCTION("""COMPUTED_VALUE"""),0.609166182072484)</f>
        <v>0.60916618207248396</v>
      </c>
      <c r="W147" s="17">
        <f ca="1">IFERROR(__xludf.DUMMYFUNCTION("""COMPUTED_VALUE"""),0.642958837015686)</f>
        <v>0.64295883701568601</v>
      </c>
      <c r="X147" s="17">
        <f ca="1">IFERROR(__xludf.DUMMYFUNCTION("""COMPUTED_VALUE"""),0.701507491017417)</f>
        <v>0.70150749101741705</v>
      </c>
      <c r="Y147" s="17">
        <f ca="1">IFERROR(__xludf.DUMMYFUNCTION("""COMPUTED_VALUE"""),0.54168989949809)</f>
        <v>0.54168989949808999</v>
      </c>
      <c r="Z147" s="17">
        <f ca="1">IFERROR(__xludf.DUMMYFUNCTION("""COMPUTED_VALUE"""),0.668589546424744)</f>
        <v>0.668589546424744</v>
      </c>
      <c r="AA147" s="17">
        <f ca="1">IFERROR(__xludf.DUMMYFUNCTION("""COMPUTED_VALUE"""),0.62201200250498)</f>
        <v>0.62201200250498001</v>
      </c>
      <c r="AB147" s="17">
        <f ca="1">IFERROR(__xludf.DUMMYFUNCTION("""COMPUTED_VALUE"""),0.821999335062734)</f>
        <v>0.82199933506273404</v>
      </c>
      <c r="AC147" s="17">
        <f ca="1">IFERROR(__xludf.DUMMYFUNCTION("""COMPUTED_VALUE"""),0.678599998573436)</f>
        <v>0.678599998573436</v>
      </c>
      <c r="AD147" s="17">
        <f ca="1">IFERROR(__xludf.DUMMYFUNCTION("""COMPUTED_VALUE"""),0.649771410091749)</f>
        <v>0.64977141009174899</v>
      </c>
      <c r="AE147" s="17">
        <f ca="1">IFERROR(__xludf.DUMMYFUNCTION("""COMPUTED_VALUE"""),0.805036556044129)</f>
        <v>0.80503655604412905</v>
      </c>
      <c r="AF147" s="17">
        <f ca="1">IFERROR(__xludf.DUMMYFUNCTION("""COMPUTED_VALUE"""),0.71355213941754)</f>
        <v>0.71355213941754003</v>
      </c>
      <c r="AG147" s="17">
        <f ca="1">IFERROR(__xludf.DUMMYFUNCTION("""COMPUTED_VALUE"""),0.847327533510325)</f>
        <v>0.84732753351032497</v>
      </c>
      <c r="AH147" s="17">
        <f ca="1">IFERROR(__xludf.DUMMYFUNCTION("""COMPUTED_VALUE"""),0.688666539396724)</f>
        <v>0.68866653939672395</v>
      </c>
      <c r="AI147" s="17">
        <f ca="1">IFERROR(__xludf.DUMMYFUNCTION("""COMPUTED_VALUE"""),0.74842791549169)</f>
        <v>0.74842791549168997</v>
      </c>
      <c r="AJ147" s="17">
        <f ca="1">IFERROR(__xludf.DUMMYFUNCTION("""COMPUTED_VALUE"""),0.678209242619442)</f>
        <v>0.67820924261944204</v>
      </c>
    </row>
    <row r="148" spans="2:36" ht="15.75" customHeight="1" x14ac:dyDescent="0.45">
      <c r="B148" s="10" t="str">
        <f ca="1">IFERROR(__xludf.DUMMYFUNCTION("""COMPUTED_VALUE"""),"CricketX")</f>
        <v>CricketX</v>
      </c>
      <c r="C148" s="10" t="str">
        <f ca="1">IFERROR(__xludf.DUMMYFUNCTION("""COMPUTED_VALUE"""),"mcar")</f>
        <v>mcar</v>
      </c>
      <c r="D148" s="10">
        <f ca="1">IFERROR(__xludf.DUMMYFUNCTION("""COMPUTED_VALUE"""),0.2)</f>
        <v>0.2</v>
      </c>
      <c r="E148" s="17">
        <f ca="1">IFERROR(__xludf.DUMMYFUNCTION("""COMPUTED_VALUE"""),0.973129502598823)</f>
        <v>0.97312950259882303</v>
      </c>
      <c r="F148" s="17">
        <f ca="1">IFERROR(__xludf.DUMMYFUNCTION("""COMPUTED_VALUE"""),0.819274868683917)</f>
        <v>0.81927486868391697</v>
      </c>
      <c r="G148" s="17">
        <f ca="1">IFERROR(__xludf.DUMMYFUNCTION("""COMPUTED_VALUE"""),0.829393042255199)</f>
        <v>0.82939304225519905</v>
      </c>
      <c r="H148" s="17">
        <f ca="1">IFERROR(__xludf.DUMMYFUNCTION("""COMPUTED_VALUE"""),0.803681156686609)</f>
        <v>0.803681156686609</v>
      </c>
      <c r="I148" s="17">
        <f ca="1">IFERROR(__xludf.DUMMYFUNCTION("""COMPUTED_VALUE"""),0.695740282068346)</f>
        <v>0.69574028206834604</v>
      </c>
      <c r="J148" s="17">
        <f ca="1">IFERROR(__xludf.DUMMYFUNCTION("""COMPUTED_VALUE"""),0.76610203110817)</f>
        <v>0.76610203110816999</v>
      </c>
      <c r="K148" s="17" t="str">
        <f ca="1">IFERROR(__xludf.DUMMYFUNCTION("""COMPUTED_VALUE"""),"nan")</f>
        <v>nan</v>
      </c>
      <c r="L148" s="17">
        <f ca="1">IFERROR(__xludf.DUMMYFUNCTION("""COMPUTED_VALUE"""),0.819443995616689)</f>
        <v>0.81944399561668901</v>
      </c>
      <c r="M148" s="17">
        <f ca="1">IFERROR(__xludf.DUMMYFUNCTION("""COMPUTED_VALUE"""),0.813790448933616)</f>
        <v>0.81379044893361596</v>
      </c>
      <c r="N148" s="17">
        <f ca="1">IFERROR(__xludf.DUMMYFUNCTION("""COMPUTED_VALUE"""),0.71081037986783)</f>
        <v>0.71081037986783002</v>
      </c>
      <c r="O148" s="17">
        <f ca="1">IFERROR(__xludf.DUMMYFUNCTION("""COMPUTED_VALUE"""),0.78027156725454)</f>
        <v>0.78027156725454005</v>
      </c>
      <c r="P148" s="17">
        <f ca="1">IFERROR(__xludf.DUMMYFUNCTION("""COMPUTED_VALUE"""),0.787110828050627)</f>
        <v>0.78711082805062704</v>
      </c>
      <c r="Q148" s="17">
        <f ca="1">IFERROR(__xludf.DUMMYFUNCTION("""COMPUTED_VALUE"""),1.27731004252413)</f>
        <v>1.2773100425241299</v>
      </c>
      <c r="R148" s="17">
        <f ca="1">IFERROR(__xludf.DUMMYFUNCTION("""COMPUTED_VALUE"""),0.810888154134901)</f>
        <v>0.81088815413490101</v>
      </c>
      <c r="S148" s="17">
        <f ca="1">IFERROR(__xludf.DUMMYFUNCTION("""COMPUTED_VALUE"""),0.884262190222886)</f>
        <v>0.88426219022288599</v>
      </c>
      <c r="T148" s="17">
        <f ca="1">IFERROR(__xludf.DUMMYFUNCTION("""COMPUTED_VALUE"""),0.602107306188536)</f>
        <v>0.60210730618853603</v>
      </c>
      <c r="U148" s="17">
        <f ca="1">IFERROR(__xludf.DUMMYFUNCTION("""COMPUTED_VALUE"""),0.65273218571412)</f>
        <v>0.65273218571411995</v>
      </c>
      <c r="V148" s="17">
        <f ca="1">IFERROR(__xludf.DUMMYFUNCTION("""COMPUTED_VALUE"""),0.651960421461303)</f>
        <v>0.65196042146130295</v>
      </c>
      <c r="W148" s="17">
        <f ca="1">IFERROR(__xludf.DUMMYFUNCTION("""COMPUTED_VALUE"""),0.700023858458797)</f>
        <v>0.700023858458797</v>
      </c>
      <c r="X148" s="17">
        <f ca="1">IFERROR(__xludf.DUMMYFUNCTION("""COMPUTED_VALUE"""),0.7178436097222)</f>
        <v>0.71784360972219996</v>
      </c>
      <c r="Y148" s="17">
        <f ca="1">IFERROR(__xludf.DUMMYFUNCTION("""COMPUTED_VALUE"""),0.572539935354169)</f>
        <v>0.57253993535416903</v>
      </c>
      <c r="Z148" s="17">
        <f ca="1">IFERROR(__xludf.DUMMYFUNCTION("""COMPUTED_VALUE"""),0.711874945271887)</f>
        <v>0.71187494527188699</v>
      </c>
      <c r="AA148" s="17">
        <f ca="1">IFERROR(__xludf.DUMMYFUNCTION("""COMPUTED_VALUE"""),0.743999050162958)</f>
        <v>0.74399905016295798</v>
      </c>
      <c r="AB148" s="17">
        <f ca="1">IFERROR(__xludf.DUMMYFUNCTION("""COMPUTED_VALUE"""),0.935928690929551)</f>
        <v>0.935928690929551</v>
      </c>
      <c r="AC148" s="17">
        <f ca="1">IFERROR(__xludf.DUMMYFUNCTION("""COMPUTED_VALUE"""),0.765389676261511)</f>
        <v>0.765389676261511</v>
      </c>
      <c r="AD148" s="17">
        <f ca="1">IFERROR(__xludf.DUMMYFUNCTION("""COMPUTED_VALUE"""),0.688257268729684)</f>
        <v>0.68825726872968396</v>
      </c>
      <c r="AE148" s="17">
        <f ca="1">IFERROR(__xludf.DUMMYFUNCTION("""COMPUTED_VALUE"""),0.82244920166677)</f>
        <v>0.82244920166677005</v>
      </c>
      <c r="AF148" s="17">
        <f ca="1">IFERROR(__xludf.DUMMYFUNCTION("""COMPUTED_VALUE"""),0.741264561662184)</f>
        <v>0.74126456166218402</v>
      </c>
      <c r="AG148" s="17">
        <f ca="1">IFERROR(__xludf.DUMMYFUNCTION("""COMPUTED_VALUE"""),0.816859214879319)</f>
        <v>0.81685921487931901</v>
      </c>
      <c r="AH148" s="17">
        <f ca="1">IFERROR(__xludf.DUMMYFUNCTION("""COMPUTED_VALUE"""),0.73008530387338)</f>
        <v>0.73008530387338</v>
      </c>
      <c r="AI148" s="17">
        <f ca="1">IFERROR(__xludf.DUMMYFUNCTION("""COMPUTED_VALUE"""),0.800986379565525)</f>
        <v>0.80098637956552499</v>
      </c>
      <c r="AJ148" s="17">
        <f ca="1">IFERROR(__xludf.DUMMYFUNCTION("""COMPUTED_VALUE"""),0.711638529116856)</f>
        <v>0.71163852911685599</v>
      </c>
    </row>
    <row r="149" spans="2:36" ht="15.75" customHeight="1" x14ac:dyDescent="0.45">
      <c r="B149" s="10" t="str">
        <f ca="1">IFERROR(__xludf.DUMMYFUNCTION("""COMPUTED_VALUE"""),"CricketX")</f>
        <v>CricketX</v>
      </c>
      <c r="C149" s="10" t="str">
        <f ca="1">IFERROR(__xludf.DUMMYFUNCTION("""COMPUTED_VALUE"""),"mcar")</f>
        <v>mcar</v>
      </c>
      <c r="D149" s="10">
        <f ca="1">IFERROR(__xludf.DUMMYFUNCTION("""COMPUTED_VALUE"""),0.4)</f>
        <v>0.4</v>
      </c>
      <c r="E149" s="17">
        <f ca="1">IFERROR(__xludf.DUMMYFUNCTION("""COMPUTED_VALUE"""),1.00994132487359)</f>
        <v>1.00994132487359</v>
      </c>
      <c r="F149" s="17">
        <f ca="1">IFERROR(__xludf.DUMMYFUNCTION("""COMPUTED_VALUE"""),0.846299514728856)</f>
        <v>0.84629951472885601</v>
      </c>
      <c r="G149" s="17">
        <f ca="1">IFERROR(__xludf.DUMMYFUNCTION("""COMPUTED_VALUE"""),0.859451708437005)</f>
        <v>0.85945170843700502</v>
      </c>
      <c r="H149" s="17">
        <f ca="1">IFERROR(__xludf.DUMMYFUNCTION("""COMPUTED_VALUE"""),0.858326700488921)</f>
        <v>0.85832670048892101</v>
      </c>
      <c r="I149" s="17">
        <f ca="1">IFERROR(__xludf.DUMMYFUNCTION("""COMPUTED_VALUE"""),0.764874102675012)</f>
        <v>0.76487410267501199</v>
      </c>
      <c r="J149" s="17">
        <f ca="1">IFERROR(__xludf.DUMMYFUNCTION("""COMPUTED_VALUE"""),0.830288370614267)</f>
        <v>0.83028837061426697</v>
      </c>
      <c r="K149" s="17" t="str">
        <f ca="1">IFERROR(__xludf.DUMMYFUNCTION("""COMPUTED_VALUE"""),"nan")</f>
        <v>nan</v>
      </c>
      <c r="L149" s="17">
        <f ca="1">IFERROR(__xludf.DUMMYFUNCTION("""COMPUTED_VALUE"""),0.90183276075581)</f>
        <v>0.90183276075580998</v>
      </c>
      <c r="M149" s="17">
        <f ca="1">IFERROR(__xludf.DUMMYFUNCTION("""COMPUTED_VALUE"""),0.863491643018412)</f>
        <v>0.86349164301841197</v>
      </c>
      <c r="N149" s="17">
        <f ca="1">IFERROR(__xludf.DUMMYFUNCTION("""COMPUTED_VALUE"""),0.811426276880263)</f>
        <v>0.81142627688026303</v>
      </c>
      <c r="O149" s="17">
        <f ca="1">IFERROR(__xludf.DUMMYFUNCTION("""COMPUTED_VALUE"""),0.835763867843118)</f>
        <v>0.83576386784311796</v>
      </c>
      <c r="P149" s="17">
        <f ca="1">IFERROR(__xludf.DUMMYFUNCTION("""COMPUTED_VALUE"""),0.865335582752156)</f>
        <v>0.86533558275215605</v>
      </c>
      <c r="Q149" s="17">
        <f ca="1">IFERROR(__xludf.DUMMYFUNCTION("""COMPUTED_VALUE"""),1.30277797686618)</f>
        <v>1.30277797686618</v>
      </c>
      <c r="R149" s="17">
        <f ca="1">IFERROR(__xludf.DUMMYFUNCTION("""COMPUTED_VALUE"""),0.927247318361788)</f>
        <v>0.92724731836178798</v>
      </c>
      <c r="S149" s="17">
        <f ca="1">IFERROR(__xludf.DUMMYFUNCTION("""COMPUTED_VALUE"""),1.15202319212516)</f>
        <v>1.15202319212516</v>
      </c>
      <c r="T149" s="17">
        <f ca="1">IFERROR(__xludf.DUMMYFUNCTION("""COMPUTED_VALUE"""),0.697708236938093)</f>
        <v>0.69770823693809303</v>
      </c>
      <c r="U149" s="17">
        <f ca="1">IFERROR(__xludf.DUMMYFUNCTION("""COMPUTED_VALUE"""),0.742238262735472)</f>
        <v>0.742238262735472</v>
      </c>
      <c r="V149" s="17">
        <f ca="1">IFERROR(__xludf.DUMMYFUNCTION("""COMPUTED_VALUE"""),0.760649311523941)</f>
        <v>0.760649311523941</v>
      </c>
      <c r="W149" s="17">
        <f ca="1">IFERROR(__xludf.DUMMYFUNCTION("""COMPUTED_VALUE"""),0.798781935835403)</f>
        <v>0.79878193583540302</v>
      </c>
      <c r="X149" s="17">
        <f ca="1">IFERROR(__xludf.DUMMYFUNCTION("""COMPUTED_VALUE"""),0.764898552148899)</f>
        <v>0.76489855214889901</v>
      </c>
      <c r="Y149" s="17">
        <f ca="1">IFERROR(__xludf.DUMMYFUNCTION("""COMPUTED_VALUE"""),0.671906377692125)</f>
        <v>0.67190637769212502</v>
      </c>
      <c r="Z149" s="17">
        <f ca="1">IFERROR(__xludf.DUMMYFUNCTION("""COMPUTED_VALUE"""),0.790802487965561)</f>
        <v>0.79080248796556096</v>
      </c>
      <c r="AA149" s="17">
        <f ca="1">IFERROR(__xludf.DUMMYFUNCTION("""COMPUTED_VALUE"""),0.813625096559492)</f>
        <v>0.813625096559492</v>
      </c>
      <c r="AB149" s="17">
        <f ca="1">IFERROR(__xludf.DUMMYFUNCTION("""COMPUTED_VALUE"""),1.00074458144101)</f>
        <v>1.0007445814410101</v>
      </c>
      <c r="AC149" s="17">
        <f ca="1">IFERROR(__xludf.DUMMYFUNCTION("""COMPUTED_VALUE"""),0.875349316062289)</f>
        <v>0.87534931606228905</v>
      </c>
      <c r="AD149" s="17">
        <f ca="1">IFERROR(__xludf.DUMMYFUNCTION("""COMPUTED_VALUE"""),0.803219059069073)</f>
        <v>0.80321905906907298</v>
      </c>
      <c r="AE149" s="17">
        <f ca="1">IFERROR(__xludf.DUMMYFUNCTION("""COMPUTED_VALUE"""),0.948873648920519)</f>
        <v>0.94887364892051895</v>
      </c>
      <c r="AF149" s="17">
        <f ca="1">IFERROR(__xludf.DUMMYFUNCTION("""COMPUTED_VALUE"""),0.905469135975179)</f>
        <v>0.90546913597517897</v>
      </c>
      <c r="AG149" s="17">
        <f ca="1">IFERROR(__xludf.DUMMYFUNCTION("""COMPUTED_VALUE"""),0.955271200947279)</f>
        <v>0.95527120094727902</v>
      </c>
      <c r="AH149" s="17">
        <f ca="1">IFERROR(__xludf.DUMMYFUNCTION("""COMPUTED_VALUE"""),0.845765203133664)</f>
        <v>0.84576520313366399</v>
      </c>
      <c r="AI149" s="17">
        <f ca="1">IFERROR(__xludf.DUMMYFUNCTION("""COMPUTED_VALUE"""),0.92495763864472)</f>
        <v>0.92495763864472003</v>
      </c>
      <c r="AJ149" s="17">
        <f ca="1">IFERROR(__xludf.DUMMYFUNCTION("""COMPUTED_VALUE"""),0.888680650608656)</f>
        <v>0.88868065060865598</v>
      </c>
    </row>
    <row r="150" spans="2:36" ht="15.75" customHeight="1" x14ac:dyDescent="0.45">
      <c r="B150" s="10" t="str">
        <f ca="1">IFERROR(__xludf.DUMMYFUNCTION("""COMPUTED_VALUE"""),"CricketX")</f>
        <v>CricketX</v>
      </c>
      <c r="C150" s="10" t="str">
        <f ca="1">IFERROR(__xludf.DUMMYFUNCTION("""COMPUTED_VALUE"""),"mcar")</f>
        <v>mcar</v>
      </c>
      <c r="D150" s="10">
        <f ca="1">IFERROR(__xludf.DUMMYFUNCTION("""COMPUTED_VALUE"""),0.6)</f>
        <v>0.6</v>
      </c>
      <c r="E150" s="17">
        <f ca="1">IFERROR(__xludf.DUMMYFUNCTION("""COMPUTED_VALUE"""),1.00396313366781)</f>
        <v>1.0039631336678101</v>
      </c>
      <c r="F150" s="17">
        <f ca="1">IFERROR(__xludf.DUMMYFUNCTION("""COMPUTED_VALUE"""),0.862440223572854)</f>
        <v>0.86244022357285399</v>
      </c>
      <c r="G150" s="17">
        <f ca="1">IFERROR(__xludf.DUMMYFUNCTION("""COMPUTED_VALUE"""),0.898802295743372)</f>
        <v>0.898802295743372</v>
      </c>
      <c r="H150" s="17">
        <f ca="1">IFERROR(__xludf.DUMMYFUNCTION("""COMPUTED_VALUE"""),0.892392177171237)</f>
        <v>0.89239217717123698</v>
      </c>
      <c r="I150" s="17">
        <f ca="1">IFERROR(__xludf.DUMMYFUNCTION("""COMPUTED_VALUE"""),0.788017114284026)</f>
        <v>0.78801711428402599</v>
      </c>
      <c r="J150" s="17">
        <f ca="1">IFERROR(__xludf.DUMMYFUNCTION("""COMPUTED_VALUE"""),0.84992598283002)</f>
        <v>0.84992598283001997</v>
      </c>
      <c r="K150" s="17" t="str">
        <f ca="1">IFERROR(__xludf.DUMMYFUNCTION("""COMPUTED_VALUE"""),"nan")</f>
        <v>nan</v>
      </c>
      <c r="L150" s="17">
        <f ca="1">IFERROR(__xludf.DUMMYFUNCTION("""COMPUTED_VALUE"""),0.900855810033495)</f>
        <v>0.90085581003349502</v>
      </c>
      <c r="M150" s="17">
        <f ca="1">IFERROR(__xludf.DUMMYFUNCTION("""COMPUTED_VALUE"""),0.919367537571593)</f>
        <v>0.91936753757159295</v>
      </c>
      <c r="N150" s="17">
        <f ca="1">IFERROR(__xludf.DUMMYFUNCTION("""COMPUTED_VALUE"""),0.855122411425283)</f>
        <v>0.855122411425283</v>
      </c>
      <c r="O150" s="17">
        <f ca="1">IFERROR(__xludf.DUMMYFUNCTION("""COMPUTED_VALUE"""),0.855265070948482)</f>
        <v>0.85526507094848203</v>
      </c>
      <c r="P150" s="17">
        <f ca="1">IFERROR(__xludf.DUMMYFUNCTION("""COMPUTED_VALUE"""),0.915085039607403)</f>
        <v>0.91508503960740295</v>
      </c>
      <c r="Q150" s="17">
        <f ca="1">IFERROR(__xludf.DUMMYFUNCTION("""COMPUTED_VALUE"""),1.29003598934436)</f>
        <v>1.29003598934436</v>
      </c>
      <c r="R150" s="17">
        <f ca="1">IFERROR(__xludf.DUMMYFUNCTION("""COMPUTED_VALUE"""),0.968880412930497)</f>
        <v>0.96888041293049698</v>
      </c>
      <c r="S150" s="17">
        <f ca="1">IFERROR(__xludf.DUMMYFUNCTION("""COMPUTED_VALUE"""),1.20487093463734)</f>
        <v>1.2048709346373401</v>
      </c>
      <c r="T150" s="17">
        <f ca="1">IFERROR(__xludf.DUMMYFUNCTION("""COMPUTED_VALUE"""),0.739654297090245)</f>
        <v>0.73965429709024499</v>
      </c>
      <c r="U150" s="17">
        <f ca="1">IFERROR(__xludf.DUMMYFUNCTION("""COMPUTED_VALUE"""),0.816922084675349)</f>
        <v>0.81692208467534899</v>
      </c>
      <c r="V150" s="17">
        <f ca="1">IFERROR(__xludf.DUMMYFUNCTION("""COMPUTED_VALUE"""),0.828025287398107)</f>
        <v>0.82802528739810699</v>
      </c>
      <c r="W150" s="17">
        <f ca="1">IFERROR(__xludf.DUMMYFUNCTION("""COMPUTED_VALUE"""),0.860093941819284)</f>
        <v>0.860093941819284</v>
      </c>
      <c r="X150" s="17">
        <f ca="1">IFERROR(__xludf.DUMMYFUNCTION("""COMPUTED_VALUE"""),0.794153089531314)</f>
        <v>0.79415308953131403</v>
      </c>
      <c r="Y150" s="17">
        <f ca="1">IFERROR(__xludf.DUMMYFUNCTION("""COMPUTED_VALUE"""),0.734913807053917)</f>
        <v>0.73491380705391696</v>
      </c>
      <c r="Z150" s="17">
        <f ca="1">IFERROR(__xludf.DUMMYFUNCTION("""COMPUTED_VALUE"""),0.837408814333646)</f>
        <v>0.837408814333646</v>
      </c>
      <c r="AA150" s="17">
        <f ca="1">IFERROR(__xludf.DUMMYFUNCTION("""COMPUTED_VALUE"""),1.10297975053591)</f>
        <v>1.10297975053591</v>
      </c>
      <c r="AB150" s="17">
        <f ca="1">IFERROR(__xludf.DUMMYFUNCTION("""COMPUTED_VALUE"""),1.20075698665464)</f>
        <v>1.2007569866546399</v>
      </c>
      <c r="AC150" s="17">
        <f ca="1">IFERROR(__xludf.DUMMYFUNCTION("""COMPUTED_VALUE"""),0.947054060694522)</f>
        <v>0.94705406069452203</v>
      </c>
      <c r="AD150" s="17">
        <f ca="1">IFERROR(__xludf.DUMMYFUNCTION("""COMPUTED_VALUE"""),0.874310371716315)</f>
        <v>0.87431037171631498</v>
      </c>
      <c r="AE150" s="17">
        <f ca="1">IFERROR(__xludf.DUMMYFUNCTION("""COMPUTED_VALUE"""),1.07142605162481)</f>
        <v>1.07142605162481</v>
      </c>
      <c r="AF150" s="17">
        <f ca="1">IFERROR(__xludf.DUMMYFUNCTION("""COMPUTED_VALUE"""),0.985894379867137)</f>
        <v>0.98589437986713702</v>
      </c>
      <c r="AG150" s="17">
        <f ca="1">IFERROR(__xludf.DUMMYFUNCTION("""COMPUTED_VALUE"""),1.11138297607198)</f>
        <v>1.11138297607198</v>
      </c>
      <c r="AH150" s="17">
        <f ca="1">IFERROR(__xludf.DUMMYFUNCTION("""COMPUTED_VALUE"""),0.915262225024857)</f>
        <v>0.91526222502485699</v>
      </c>
      <c r="AI150" s="17">
        <f ca="1">IFERROR(__xludf.DUMMYFUNCTION("""COMPUTED_VALUE"""),1.02466374142013)</f>
        <v>1.0246637414201301</v>
      </c>
      <c r="AJ150" s="17">
        <f ca="1">IFERROR(__xludf.DUMMYFUNCTION("""COMPUTED_VALUE"""),1.16087107735423)</f>
        <v>1.1608710773542299</v>
      </c>
    </row>
    <row r="151" spans="2:36" ht="15.75" customHeight="1" x14ac:dyDescent="0.45">
      <c r="B151" s="10" t="str">
        <f ca="1">IFERROR(__xludf.DUMMYFUNCTION("""COMPUTED_VALUE"""),"CricketX")</f>
        <v>CricketX</v>
      </c>
      <c r="C151" s="10" t="str">
        <f ca="1">IFERROR(__xludf.DUMMYFUNCTION("""COMPUTED_VALUE"""),"mcar")</f>
        <v>mcar</v>
      </c>
      <c r="D151" s="10">
        <f ca="1">IFERROR(__xludf.DUMMYFUNCTION("""COMPUTED_VALUE"""),0.8)</f>
        <v>0.8</v>
      </c>
      <c r="E151" s="17">
        <f ca="1">IFERROR(__xludf.DUMMYFUNCTION("""COMPUTED_VALUE"""),1.0089179416109)</f>
        <v>1.0089179416109</v>
      </c>
      <c r="F151" s="17">
        <f ca="1">IFERROR(__xludf.DUMMYFUNCTION("""COMPUTED_VALUE"""),0.914226569794992)</f>
        <v>0.91422656979499195</v>
      </c>
      <c r="G151" s="17">
        <f ca="1">IFERROR(__xludf.DUMMYFUNCTION("""COMPUTED_VALUE"""),1.05727079772038)</f>
        <v>1.0572707977203799</v>
      </c>
      <c r="H151" s="17">
        <f ca="1">IFERROR(__xludf.DUMMYFUNCTION("""COMPUTED_VALUE"""),1.02396163508705)</f>
        <v>1.02396163508705</v>
      </c>
      <c r="I151" s="17">
        <f ca="1">IFERROR(__xludf.DUMMYFUNCTION("""COMPUTED_VALUE"""),0.855318994796868)</f>
        <v>0.85531899479686802</v>
      </c>
      <c r="J151" s="17">
        <f ca="1">IFERROR(__xludf.DUMMYFUNCTION("""COMPUTED_VALUE"""),1.17658490766779)</f>
        <v>1.1765849076677899</v>
      </c>
      <c r="K151" s="17" t="str">
        <f ca="1">IFERROR(__xludf.DUMMYFUNCTION("""COMPUTED_VALUE"""),"nan")</f>
        <v>nan</v>
      </c>
      <c r="L151" s="17">
        <f ca="1">IFERROR(__xludf.DUMMYFUNCTION("""COMPUTED_VALUE"""),0.929495144853964)</f>
        <v>0.92949514485396401</v>
      </c>
      <c r="M151" s="17">
        <f ca="1">IFERROR(__xludf.DUMMYFUNCTION("""COMPUTED_VALUE"""),1.08079293982944)</f>
        <v>1.08079293982944</v>
      </c>
      <c r="N151" s="17">
        <f ca="1">IFERROR(__xludf.DUMMYFUNCTION("""COMPUTED_VALUE"""),0.936458626558958)</f>
        <v>0.93645862655895795</v>
      </c>
      <c r="O151" s="17">
        <f ca="1">IFERROR(__xludf.DUMMYFUNCTION("""COMPUTED_VALUE"""),0.948429007316187)</f>
        <v>0.94842900731618696</v>
      </c>
      <c r="P151" s="17">
        <f ca="1">IFERROR(__xludf.DUMMYFUNCTION("""COMPUTED_VALUE"""),1.03932047466224)</f>
        <v>1.03932047466224</v>
      </c>
      <c r="Q151" s="17">
        <f ca="1">IFERROR(__xludf.DUMMYFUNCTION("""COMPUTED_VALUE"""),1.2952035750722)</f>
        <v>1.2952035750722</v>
      </c>
      <c r="R151" s="17">
        <f ca="1">IFERROR(__xludf.DUMMYFUNCTION("""COMPUTED_VALUE"""),1.19938678533536)</f>
        <v>1.1993867853353599</v>
      </c>
      <c r="S151" s="17">
        <f ca="1">IFERROR(__xludf.DUMMYFUNCTION("""COMPUTED_VALUE"""),1.21815412158838)</f>
        <v>1.21815412158838</v>
      </c>
      <c r="T151" s="17">
        <f ca="1">IFERROR(__xludf.DUMMYFUNCTION("""COMPUTED_VALUE"""),0.885992667985337)</f>
        <v>0.88599266798533705</v>
      </c>
      <c r="U151" s="17">
        <f ca="1">IFERROR(__xludf.DUMMYFUNCTION("""COMPUTED_VALUE"""),0.915730199712245)</f>
        <v>0.91573019971224501</v>
      </c>
      <c r="V151" s="17">
        <f ca="1">IFERROR(__xludf.DUMMYFUNCTION("""COMPUTED_VALUE"""),0.956136452705834)</f>
        <v>0.95613645270583403</v>
      </c>
      <c r="W151" s="17">
        <f ca="1">IFERROR(__xludf.DUMMYFUNCTION("""COMPUTED_VALUE"""),0.953766921178581)</f>
        <v>0.95376692117858097</v>
      </c>
      <c r="X151" s="17">
        <f ca="1">IFERROR(__xludf.DUMMYFUNCTION("""COMPUTED_VALUE"""),1.35236426971666)</f>
        <v>1.35236426971666</v>
      </c>
      <c r="Y151" s="17">
        <f ca="1">IFERROR(__xludf.DUMMYFUNCTION("""COMPUTED_VALUE"""),0.94294903562252)</f>
        <v>0.94294903562251997</v>
      </c>
      <c r="Z151" s="17">
        <f ca="1">IFERROR(__xludf.DUMMYFUNCTION("""COMPUTED_VALUE"""),0.919350467163502)</f>
        <v>0.91935046716350199</v>
      </c>
      <c r="AA151" s="17">
        <f ca="1">IFERROR(__xludf.DUMMYFUNCTION("""COMPUTED_VALUE"""),1.16875741699188)</f>
        <v>1.16875741699188</v>
      </c>
      <c r="AB151" s="17">
        <f ca="1">IFERROR(__xludf.DUMMYFUNCTION("""COMPUTED_VALUE"""),1.34689238011674)</f>
        <v>1.3468923801167401</v>
      </c>
      <c r="AC151" s="17">
        <f ca="1">IFERROR(__xludf.DUMMYFUNCTION("""COMPUTED_VALUE"""),1.03999456250902)</f>
        <v>1.0399945625090199</v>
      </c>
      <c r="AD151" s="17">
        <f ca="1">IFERROR(__xludf.DUMMYFUNCTION("""COMPUTED_VALUE"""),0.986803131273983)</f>
        <v>0.986803131273983</v>
      </c>
      <c r="AE151" s="17">
        <f ca="1">IFERROR(__xludf.DUMMYFUNCTION("""COMPUTED_VALUE"""),1.2614615879179)</f>
        <v>1.2614615879179001</v>
      </c>
      <c r="AF151" s="17">
        <f ca="1">IFERROR(__xludf.DUMMYFUNCTION("""COMPUTED_VALUE"""),1.1100739505702)</f>
        <v>1.1100739505702</v>
      </c>
      <c r="AG151" s="17">
        <f ca="1">IFERROR(__xludf.DUMMYFUNCTION("""COMPUTED_VALUE"""),1.20243625409536)</f>
        <v>1.2024362540953599</v>
      </c>
      <c r="AH151" s="17">
        <f ca="1">IFERROR(__xludf.DUMMYFUNCTION("""COMPUTED_VALUE"""),1.05919926574404)</f>
        <v>1.0591992657440401</v>
      </c>
      <c r="AI151" s="17">
        <f ca="1">IFERROR(__xludf.DUMMYFUNCTION("""COMPUTED_VALUE"""),1.05008622580613)</f>
        <v>1.0500862258061301</v>
      </c>
      <c r="AJ151" s="17">
        <f ca="1">IFERROR(__xludf.DUMMYFUNCTION("""COMPUTED_VALUE"""),1.12573772897761)</f>
        <v>1.12573772897761</v>
      </c>
    </row>
    <row r="152" spans="2:36" ht="15.75" customHeight="1" x14ac:dyDescent="0.45">
      <c r="B152" s="10" t="str">
        <f ca="1">IFERROR(__xludf.DUMMYFUNCTION("""COMPUTED_VALUE"""),"DistalPhalanxOutlineAgeGroup")</f>
        <v>DistalPhalanxOutlineAgeGroup</v>
      </c>
      <c r="C152" s="10" t="str">
        <f ca="1">IFERROR(__xludf.DUMMYFUNCTION("""COMPUTED_VALUE"""),"aligned_series")</f>
        <v>aligned_series</v>
      </c>
      <c r="D152" s="10">
        <f ca="1">IFERROR(__xludf.DUMMYFUNCTION("""COMPUTED_VALUE"""),0.1)</f>
        <v>0.1</v>
      </c>
      <c r="E152" s="17">
        <f ca="1">IFERROR(__xludf.DUMMYFUNCTION("""COMPUTED_VALUE"""),1.02227987948871)</f>
        <v>1.02227987948871</v>
      </c>
      <c r="F152" s="17">
        <f ca="1">IFERROR(__xludf.DUMMYFUNCTION("""COMPUTED_VALUE"""),0.196187319333013)</f>
        <v>0.196187319333013</v>
      </c>
      <c r="G152" s="17">
        <f ca="1">IFERROR(__xludf.DUMMYFUNCTION("""COMPUTED_VALUE"""),0.173894516172614)</f>
        <v>0.17389451617261401</v>
      </c>
      <c r="H152" s="17">
        <f ca="1">IFERROR(__xludf.DUMMYFUNCTION("""COMPUTED_VALUE"""),0.23060861019933)</f>
        <v>0.23060861019932999</v>
      </c>
      <c r="I152" s="17">
        <f ca="1">IFERROR(__xludf.DUMMYFUNCTION("""COMPUTED_VALUE"""),0.156738841481842)</f>
        <v>0.156738841481842</v>
      </c>
      <c r="J152" s="17">
        <f ca="1">IFERROR(__xludf.DUMMYFUNCTION("""COMPUTED_VALUE"""),0.542582908725869)</f>
        <v>0.54258290872586901</v>
      </c>
      <c r="K152" s="17" t="str">
        <f ca="1">IFERROR(__xludf.DUMMYFUNCTION("""COMPUTED_VALUE"""),"nan")</f>
        <v>nan</v>
      </c>
      <c r="L152" s="17">
        <f ca="1">IFERROR(__xludf.DUMMYFUNCTION("""COMPUTED_VALUE"""),0.172480978372503)</f>
        <v>0.17248097837250301</v>
      </c>
      <c r="M152" s="17">
        <f ca="1">IFERROR(__xludf.DUMMYFUNCTION("""COMPUTED_VALUE"""),0.173129516633377)</f>
        <v>0.173129516633377</v>
      </c>
      <c r="N152" s="17">
        <f ca="1">IFERROR(__xludf.DUMMYFUNCTION("""COMPUTED_VALUE"""),0.325466655096279)</f>
        <v>0.32546665509627898</v>
      </c>
      <c r="O152" s="17">
        <f ca="1">IFERROR(__xludf.DUMMYFUNCTION("""COMPUTED_VALUE"""),0.141011278870693)</f>
        <v>0.14101127887069301</v>
      </c>
      <c r="P152" s="17">
        <f ca="1">IFERROR(__xludf.DUMMYFUNCTION("""COMPUTED_VALUE"""),0.865885187528578)</f>
        <v>0.86588518752857802</v>
      </c>
      <c r="Q152" s="17">
        <f ca="1">IFERROR(__xludf.DUMMYFUNCTION("""COMPUTED_VALUE"""),0.243403493451525)</f>
        <v>0.24340349345152501</v>
      </c>
      <c r="R152" s="17">
        <f ca="1">IFERROR(__xludf.DUMMYFUNCTION("""COMPUTED_VALUE"""),0.534467184338851)</f>
        <v>0.53446718433885099</v>
      </c>
      <c r="S152" s="17">
        <f ca="1">IFERROR(__xludf.DUMMYFUNCTION("""COMPUTED_VALUE"""),0.383091810560009)</f>
        <v>0.38309181056000902</v>
      </c>
      <c r="T152" s="17">
        <f ca="1">IFERROR(__xludf.DUMMYFUNCTION("""COMPUTED_VALUE"""),0.269491900597102)</f>
        <v>0.26949190059710199</v>
      </c>
      <c r="U152" s="17">
        <f ca="1">IFERROR(__xludf.DUMMYFUNCTION("""COMPUTED_VALUE"""),0.188810019771001)</f>
        <v>0.18881001977100101</v>
      </c>
      <c r="V152" s="17">
        <f ca="1">IFERROR(__xludf.DUMMYFUNCTION("""COMPUTED_VALUE"""),0.18784588447676)</f>
        <v>0.18784588447676001</v>
      </c>
      <c r="W152" s="17">
        <f ca="1">IFERROR(__xludf.DUMMYFUNCTION("""COMPUTED_VALUE"""),0.254363702527661)</f>
        <v>0.254363702527661</v>
      </c>
      <c r="X152" s="17">
        <f ca="1">IFERROR(__xludf.DUMMYFUNCTION("""COMPUTED_VALUE"""),0.340421139383415)</f>
        <v>0.34042113938341501</v>
      </c>
      <c r="Y152" s="17">
        <f ca="1">IFERROR(__xludf.DUMMYFUNCTION("""COMPUTED_VALUE"""),0.211165157336571)</f>
        <v>0.21116515733657101</v>
      </c>
      <c r="Z152" s="17">
        <f ca="1">IFERROR(__xludf.DUMMYFUNCTION("""COMPUTED_VALUE"""),0.521933021217788)</f>
        <v>0.52193302121778795</v>
      </c>
      <c r="AA152" s="17">
        <f ca="1">IFERROR(__xludf.DUMMYFUNCTION("""COMPUTED_VALUE"""),0.249305878807594)</f>
        <v>0.249305878807594</v>
      </c>
      <c r="AB152" s="17">
        <f ca="1">IFERROR(__xludf.DUMMYFUNCTION("""COMPUTED_VALUE"""),0.298401124340292)</f>
        <v>0.29840112434029198</v>
      </c>
      <c r="AC152" s="17">
        <f ca="1">IFERROR(__xludf.DUMMYFUNCTION("""COMPUTED_VALUE"""),0.634983598818762)</f>
        <v>0.63498359881876199</v>
      </c>
      <c r="AD152" s="17">
        <f ca="1">IFERROR(__xludf.DUMMYFUNCTION("""COMPUTED_VALUE"""),0.254697275699017)</f>
        <v>0.25469727569901701</v>
      </c>
      <c r="AE152" s="17">
        <f ca="1">IFERROR(__xludf.DUMMYFUNCTION("""COMPUTED_VALUE"""),1.12731555746545)</f>
        <v>1.1273155574654501</v>
      </c>
      <c r="AF152" s="17">
        <f ca="1">IFERROR(__xludf.DUMMYFUNCTION("""COMPUTED_VALUE"""),0.47512612375269)</f>
        <v>0.47512612375268998</v>
      </c>
      <c r="AG152" s="17">
        <f ca="1">IFERROR(__xludf.DUMMYFUNCTION("""COMPUTED_VALUE"""),0.562185648656582)</f>
        <v>0.56218564865658205</v>
      </c>
      <c r="AH152" s="17">
        <f ca="1">IFERROR(__xludf.DUMMYFUNCTION("""COMPUTED_VALUE"""),1.08101998191077)</f>
        <v>1.08101998191077</v>
      </c>
      <c r="AI152" s="17">
        <f ca="1">IFERROR(__xludf.DUMMYFUNCTION("""COMPUTED_VALUE"""),1.21033283341511)</f>
        <v>1.21033283341511</v>
      </c>
      <c r="AJ152" s="17">
        <f ca="1">IFERROR(__xludf.DUMMYFUNCTION("""COMPUTED_VALUE"""),0.785599541050524)</f>
        <v>0.78559954105052399</v>
      </c>
    </row>
    <row r="153" spans="2:36" ht="15.75" customHeight="1" x14ac:dyDescent="0.45">
      <c r="B153" s="10" t="str">
        <f ca="1">IFERROR(__xludf.DUMMYFUNCTION("""COMPUTED_VALUE"""),"DistalPhalanxOutlineAgeGroup")</f>
        <v>DistalPhalanxOutlineAgeGroup</v>
      </c>
      <c r="C153" s="10" t="str">
        <f ca="1">IFERROR(__xludf.DUMMYFUNCTION("""COMPUTED_VALUE"""),"aligned_series")</f>
        <v>aligned_series</v>
      </c>
      <c r="D153" s="10">
        <f ca="1">IFERROR(__xludf.DUMMYFUNCTION("""COMPUTED_VALUE"""),0.2)</f>
        <v>0.2</v>
      </c>
      <c r="E153" s="17">
        <f ca="1">IFERROR(__xludf.DUMMYFUNCTION("""COMPUTED_VALUE"""),1.02426134930368)</f>
        <v>1.0242613493036801</v>
      </c>
      <c r="F153" s="17">
        <f ca="1">IFERROR(__xludf.DUMMYFUNCTION("""COMPUTED_VALUE"""),0.183702748332914)</f>
        <v>0.183702748332914</v>
      </c>
      <c r="G153" s="17">
        <f ca="1">IFERROR(__xludf.DUMMYFUNCTION("""COMPUTED_VALUE"""),0.149125915811905)</f>
        <v>0.14912591581190501</v>
      </c>
      <c r="H153" s="17">
        <f ca="1">IFERROR(__xludf.DUMMYFUNCTION("""COMPUTED_VALUE"""),0.199137604344626)</f>
        <v>0.19913760434462599</v>
      </c>
      <c r="I153" s="17">
        <f ca="1">IFERROR(__xludf.DUMMYFUNCTION("""COMPUTED_VALUE"""),0.185094771644162)</f>
        <v>0.18509477164416199</v>
      </c>
      <c r="J153" s="17">
        <f ca="1">IFERROR(__xludf.DUMMYFUNCTION("""COMPUTED_VALUE"""),0.894395938337096)</f>
        <v>0.89439593833709596</v>
      </c>
      <c r="K153" s="17" t="str">
        <f ca="1">IFERROR(__xludf.DUMMYFUNCTION("""COMPUTED_VALUE"""),"nan")</f>
        <v>nan</v>
      </c>
      <c r="L153" s="17">
        <f ca="1">IFERROR(__xludf.DUMMYFUNCTION("""COMPUTED_VALUE"""),0.159078397757404)</f>
        <v>0.15907839775740401</v>
      </c>
      <c r="M153" s="17">
        <f ca="1">IFERROR(__xludf.DUMMYFUNCTION("""COMPUTED_VALUE"""),0.158449304774587)</f>
        <v>0.15844930477458699</v>
      </c>
      <c r="N153" s="17">
        <f ca="1">IFERROR(__xludf.DUMMYFUNCTION("""COMPUTED_VALUE"""),0.293607285463413)</f>
        <v>0.29360728546341303</v>
      </c>
      <c r="O153" s="17">
        <f ca="1">IFERROR(__xludf.DUMMYFUNCTION("""COMPUTED_VALUE"""),0.121463314084826)</f>
        <v>0.121463314084826</v>
      </c>
      <c r="P153" s="17">
        <f ca="1">IFERROR(__xludf.DUMMYFUNCTION("""COMPUTED_VALUE"""),0.846430812826789)</f>
        <v>0.846430812826789</v>
      </c>
      <c r="Q153" s="17">
        <f ca="1">IFERROR(__xludf.DUMMYFUNCTION("""COMPUTED_VALUE"""),0.210699517699062)</f>
        <v>0.21069951769906201</v>
      </c>
      <c r="R153" s="17">
        <f ca="1">IFERROR(__xludf.DUMMYFUNCTION("""COMPUTED_VALUE"""),0.633717686474836)</f>
        <v>0.63371768647483595</v>
      </c>
      <c r="S153" s="17">
        <f ca="1">IFERROR(__xludf.DUMMYFUNCTION("""COMPUTED_VALUE"""),0.406721068632513)</f>
        <v>0.40672106863251301</v>
      </c>
      <c r="T153" s="17">
        <f ca="1">IFERROR(__xludf.DUMMYFUNCTION("""COMPUTED_VALUE"""),0.232007243520526)</f>
        <v>0.23200724352052601</v>
      </c>
      <c r="U153" s="17">
        <f ca="1">IFERROR(__xludf.DUMMYFUNCTION("""COMPUTED_VALUE"""),0.162698893216063)</f>
        <v>0.16269889321606301</v>
      </c>
      <c r="V153" s="17">
        <f ca="1">IFERROR(__xludf.DUMMYFUNCTION("""COMPUTED_VALUE"""),0.1860085813549)</f>
        <v>0.1860085813549</v>
      </c>
      <c r="W153" s="17">
        <f ca="1">IFERROR(__xludf.DUMMYFUNCTION("""COMPUTED_VALUE"""),0.253945167717309)</f>
        <v>0.25394516771730902</v>
      </c>
      <c r="X153" s="17">
        <f ca="1">IFERROR(__xludf.DUMMYFUNCTION("""COMPUTED_VALUE"""),0.298445744127939)</f>
        <v>0.29844574412793901</v>
      </c>
      <c r="Y153" s="17">
        <f ca="1">IFERROR(__xludf.DUMMYFUNCTION("""COMPUTED_VALUE"""),0.183343956339989)</f>
        <v>0.18334395633998901</v>
      </c>
      <c r="Z153" s="17">
        <f ca="1">IFERROR(__xludf.DUMMYFUNCTION("""COMPUTED_VALUE"""),0.480507894126115)</f>
        <v>0.480507894126115</v>
      </c>
      <c r="AA153" s="17">
        <f ca="1">IFERROR(__xludf.DUMMYFUNCTION("""COMPUTED_VALUE"""),0.14840599016991)</f>
        <v>0.14840599016990999</v>
      </c>
      <c r="AB153" s="17">
        <f ca="1">IFERROR(__xludf.DUMMYFUNCTION("""COMPUTED_VALUE"""),0.312892999587058)</f>
        <v>0.31289299958705802</v>
      </c>
      <c r="AC153" s="17">
        <f ca="1">IFERROR(__xludf.DUMMYFUNCTION("""COMPUTED_VALUE"""),0.480759244399103)</f>
        <v>0.480759244399103</v>
      </c>
      <c r="AD153" s="17">
        <f ca="1">IFERROR(__xludf.DUMMYFUNCTION("""COMPUTED_VALUE"""),0.20337226262887)</f>
        <v>0.20337226262887001</v>
      </c>
      <c r="AE153" s="17">
        <f ca="1">IFERROR(__xludf.DUMMYFUNCTION("""COMPUTED_VALUE"""),1.14853787142358)</f>
        <v>1.1485378714235801</v>
      </c>
      <c r="AF153" s="17">
        <f ca="1">IFERROR(__xludf.DUMMYFUNCTION("""COMPUTED_VALUE"""),0.329827218317968)</f>
        <v>0.32982721831796802</v>
      </c>
      <c r="AG153" s="17">
        <f ca="1">IFERROR(__xludf.DUMMYFUNCTION("""COMPUTED_VALUE"""),0.656900072383918)</f>
        <v>0.65690007238391801</v>
      </c>
      <c r="AH153" s="17">
        <f ca="1">IFERROR(__xludf.DUMMYFUNCTION("""COMPUTED_VALUE"""),1.00947324029923)</f>
        <v>1.0094732402992299</v>
      </c>
      <c r="AI153" s="17">
        <f ca="1">IFERROR(__xludf.DUMMYFUNCTION("""COMPUTED_VALUE"""),1.14774015552152)</f>
        <v>1.1477401555215201</v>
      </c>
      <c r="AJ153" s="17">
        <f ca="1">IFERROR(__xludf.DUMMYFUNCTION("""COMPUTED_VALUE"""),0.732033390732797)</f>
        <v>0.73203339073279705</v>
      </c>
    </row>
    <row r="154" spans="2:36" ht="15.75" customHeight="1" x14ac:dyDescent="0.45">
      <c r="B154" s="10" t="str">
        <f ca="1">IFERROR(__xludf.DUMMYFUNCTION("""COMPUTED_VALUE"""),"DistalPhalanxOutlineAgeGroup")</f>
        <v>DistalPhalanxOutlineAgeGroup</v>
      </c>
      <c r="C154" s="10" t="str">
        <f ca="1">IFERROR(__xludf.DUMMYFUNCTION("""COMPUTED_VALUE"""),"aligned_series")</f>
        <v>aligned_series</v>
      </c>
      <c r="D154" s="10">
        <f ca="1">IFERROR(__xludf.DUMMYFUNCTION("""COMPUTED_VALUE"""),0.4)</f>
        <v>0.4</v>
      </c>
      <c r="E154" s="17">
        <f ca="1">IFERROR(__xludf.DUMMYFUNCTION("""COMPUTED_VALUE"""),1.05315879482161)</f>
        <v>1.0531587948216099</v>
      </c>
      <c r="F154" s="17">
        <f ca="1">IFERROR(__xludf.DUMMYFUNCTION("""COMPUTED_VALUE"""),0.158914680459429)</f>
        <v>0.158914680459429</v>
      </c>
      <c r="G154" s="17">
        <f ca="1">IFERROR(__xludf.DUMMYFUNCTION("""COMPUTED_VALUE"""),0.135161243160483)</f>
        <v>0.135161243160483</v>
      </c>
      <c r="H154" s="17">
        <f ca="1">IFERROR(__xludf.DUMMYFUNCTION("""COMPUTED_VALUE"""),0.166834320484316)</f>
        <v>0.16683432048431601</v>
      </c>
      <c r="I154" s="17">
        <f ca="1">IFERROR(__xludf.DUMMYFUNCTION("""COMPUTED_VALUE"""),0.173992778068802)</f>
        <v>0.17399277806880201</v>
      </c>
      <c r="J154" s="17">
        <f ca="1">IFERROR(__xludf.DUMMYFUNCTION("""COMPUTED_VALUE"""),0.945699584865396)</f>
        <v>0.94569958486539596</v>
      </c>
      <c r="K154" s="17" t="str">
        <f ca="1">IFERROR(__xludf.DUMMYFUNCTION("""COMPUTED_VALUE"""),"nan")</f>
        <v>nan</v>
      </c>
      <c r="L154" s="17">
        <f ca="1">IFERROR(__xludf.DUMMYFUNCTION("""COMPUTED_VALUE"""),0.140317519107873)</f>
        <v>0.14031751910787299</v>
      </c>
      <c r="M154" s="17">
        <f ca="1">IFERROR(__xludf.DUMMYFUNCTION("""COMPUTED_VALUE"""),0.142770341017772)</f>
        <v>0.142770341017772</v>
      </c>
      <c r="N154" s="17">
        <f ca="1">IFERROR(__xludf.DUMMYFUNCTION("""COMPUTED_VALUE"""),0.303223456168249)</f>
        <v>0.30322345616824897</v>
      </c>
      <c r="O154" s="17">
        <f ca="1">IFERROR(__xludf.DUMMYFUNCTION("""COMPUTED_VALUE"""),0.122362681562048)</f>
        <v>0.12236268156204801</v>
      </c>
      <c r="P154" s="17">
        <f ca="1">IFERROR(__xludf.DUMMYFUNCTION("""COMPUTED_VALUE"""),0.815277175771862)</f>
        <v>0.81527717577186198</v>
      </c>
      <c r="Q154" s="17">
        <f ca="1">IFERROR(__xludf.DUMMYFUNCTION("""COMPUTED_VALUE"""),0.19818737099478)</f>
        <v>0.19818737099478001</v>
      </c>
      <c r="R154" s="17">
        <f ca="1">IFERROR(__xludf.DUMMYFUNCTION("""COMPUTED_VALUE"""),0.554768151852565)</f>
        <v>0.55476815185256501</v>
      </c>
      <c r="S154" s="17">
        <f ca="1">IFERROR(__xludf.DUMMYFUNCTION("""COMPUTED_VALUE"""),0.509181193092212)</f>
        <v>0.50918119309221199</v>
      </c>
      <c r="T154" s="17">
        <f ca="1">IFERROR(__xludf.DUMMYFUNCTION("""COMPUTED_VALUE"""),0.2084293530795)</f>
        <v>0.2084293530795</v>
      </c>
      <c r="U154" s="17">
        <f ca="1">IFERROR(__xludf.DUMMYFUNCTION("""COMPUTED_VALUE"""),0.141512201656243)</f>
        <v>0.14151220165624301</v>
      </c>
      <c r="V154" s="17">
        <f ca="1">IFERROR(__xludf.DUMMYFUNCTION("""COMPUTED_VALUE"""),0.155811157806975)</f>
        <v>0.15581115780697499</v>
      </c>
      <c r="W154" s="17">
        <f ca="1">IFERROR(__xludf.DUMMYFUNCTION("""COMPUTED_VALUE"""),0.283755134230562)</f>
        <v>0.28375513423056198</v>
      </c>
      <c r="X154" s="17">
        <f ca="1">IFERROR(__xludf.DUMMYFUNCTION("""COMPUTED_VALUE"""),0.269350434567025)</f>
        <v>0.26935043456702501</v>
      </c>
      <c r="Y154" s="17">
        <f ca="1">IFERROR(__xludf.DUMMYFUNCTION("""COMPUTED_VALUE"""),0.172379927302584)</f>
        <v>0.172379927302584</v>
      </c>
      <c r="Z154" s="17">
        <f ca="1">IFERROR(__xludf.DUMMYFUNCTION("""COMPUTED_VALUE"""),0.399734018916023)</f>
        <v>0.399734018916023</v>
      </c>
      <c r="AA154" s="17">
        <f ca="1">IFERROR(__xludf.DUMMYFUNCTION("""COMPUTED_VALUE"""),0.137570680902171)</f>
        <v>0.13757068090217101</v>
      </c>
      <c r="AB154" s="17">
        <f ca="1">IFERROR(__xludf.DUMMYFUNCTION("""COMPUTED_VALUE"""),0.944099369934088)</f>
        <v>0.94409936993408805</v>
      </c>
      <c r="AC154" s="17">
        <f ca="1">IFERROR(__xludf.DUMMYFUNCTION("""COMPUTED_VALUE"""),0.636249586989913)</f>
        <v>0.63624958698991296</v>
      </c>
      <c r="AD154" s="17">
        <f ca="1">IFERROR(__xludf.DUMMYFUNCTION("""COMPUTED_VALUE"""),0.186854189586216)</f>
        <v>0.186854189586216</v>
      </c>
      <c r="AE154" s="17">
        <f ca="1">IFERROR(__xludf.DUMMYFUNCTION("""COMPUTED_VALUE"""),1.16025457023167)</f>
        <v>1.16025457023167</v>
      </c>
      <c r="AF154" s="17">
        <f ca="1">IFERROR(__xludf.DUMMYFUNCTION("""COMPUTED_VALUE"""),0.224435926360721)</f>
        <v>0.22443592636072099</v>
      </c>
      <c r="AG154" s="17">
        <f ca="1">IFERROR(__xludf.DUMMYFUNCTION("""COMPUTED_VALUE"""),0.612334675887063)</f>
        <v>0.61233467588706303</v>
      </c>
      <c r="AH154" s="17">
        <f ca="1">IFERROR(__xludf.DUMMYFUNCTION("""COMPUTED_VALUE"""),0.93700317926663)</f>
        <v>0.93700317926663002</v>
      </c>
      <c r="AI154" s="17">
        <f ca="1">IFERROR(__xludf.DUMMYFUNCTION("""COMPUTED_VALUE"""),1.08080503437977)</f>
        <v>1.0808050343797699</v>
      </c>
      <c r="AJ154" s="17">
        <f ca="1">IFERROR(__xludf.DUMMYFUNCTION("""COMPUTED_VALUE"""),0.660662067433457)</f>
        <v>0.66066206743345701</v>
      </c>
    </row>
    <row r="155" spans="2:36" ht="15.75" customHeight="1" x14ac:dyDescent="0.45">
      <c r="B155" s="10" t="str">
        <f ca="1">IFERROR(__xludf.DUMMYFUNCTION("""COMPUTED_VALUE"""),"DistalPhalanxOutlineAgeGroup")</f>
        <v>DistalPhalanxOutlineAgeGroup</v>
      </c>
      <c r="C155" s="10" t="str">
        <f ca="1">IFERROR(__xludf.DUMMYFUNCTION("""COMPUTED_VALUE"""),"aligned_series")</f>
        <v>aligned_series</v>
      </c>
      <c r="D155" s="10">
        <f ca="1">IFERROR(__xludf.DUMMYFUNCTION("""COMPUTED_VALUE"""),0.6)</f>
        <v>0.6</v>
      </c>
      <c r="E155" s="17">
        <f ca="1">IFERROR(__xludf.DUMMYFUNCTION("""COMPUTED_VALUE"""),1.09090381212876)</f>
        <v>1.09090381212876</v>
      </c>
      <c r="F155" s="17">
        <f ca="1">IFERROR(__xludf.DUMMYFUNCTION("""COMPUTED_VALUE"""),0.165432804210364)</f>
        <v>0.16543280421036399</v>
      </c>
      <c r="G155" s="17">
        <f ca="1">IFERROR(__xludf.DUMMYFUNCTION("""COMPUTED_VALUE"""),0.1466700605555)</f>
        <v>0.1466700605555</v>
      </c>
      <c r="H155" s="17">
        <f ca="1">IFERROR(__xludf.DUMMYFUNCTION("""COMPUTED_VALUE"""),0.161769561415634)</f>
        <v>0.16176956141563401</v>
      </c>
      <c r="I155" s="17">
        <f ca="1">IFERROR(__xludf.DUMMYFUNCTION("""COMPUTED_VALUE"""),0.266266770493698)</f>
        <v>0.26626677049369801</v>
      </c>
      <c r="J155" s="17">
        <f ca="1">IFERROR(__xludf.DUMMYFUNCTION("""COMPUTED_VALUE"""),1.11193858002643)</f>
        <v>1.1119385800264301</v>
      </c>
      <c r="K155" s="17" t="str">
        <f ca="1">IFERROR(__xludf.DUMMYFUNCTION("""COMPUTED_VALUE"""),"nan")</f>
        <v>nan</v>
      </c>
      <c r="L155" s="17">
        <f ca="1">IFERROR(__xludf.DUMMYFUNCTION("""COMPUTED_VALUE"""),0.147283589603238)</f>
        <v>0.14728358960323801</v>
      </c>
      <c r="M155" s="17">
        <f ca="1">IFERROR(__xludf.DUMMYFUNCTION("""COMPUTED_VALUE"""),0.145515923443994)</f>
        <v>0.145515923443994</v>
      </c>
      <c r="N155" s="17">
        <f ca="1">IFERROR(__xludf.DUMMYFUNCTION("""COMPUTED_VALUE"""),0.308153412887194)</f>
        <v>0.308153412887194</v>
      </c>
      <c r="O155" s="17">
        <f ca="1">IFERROR(__xludf.DUMMYFUNCTION("""COMPUTED_VALUE"""),0.732219353474822)</f>
        <v>0.73221935347482203</v>
      </c>
      <c r="P155" s="17">
        <f ca="1">IFERROR(__xludf.DUMMYFUNCTION("""COMPUTED_VALUE"""),0.806328047416242)</f>
        <v>0.80632804741624198</v>
      </c>
      <c r="Q155" s="17">
        <f ca="1">IFERROR(__xludf.DUMMYFUNCTION("""COMPUTED_VALUE"""),0.826451621164278)</f>
        <v>0.82645162116427795</v>
      </c>
      <c r="R155" s="17">
        <f ca="1">IFERROR(__xludf.DUMMYFUNCTION("""COMPUTED_VALUE"""),0.683817342160256)</f>
        <v>0.68381734216025603</v>
      </c>
      <c r="S155" s="17">
        <f ca="1">IFERROR(__xludf.DUMMYFUNCTION("""COMPUTED_VALUE"""),0.657527859355472)</f>
        <v>0.65752785935547198</v>
      </c>
      <c r="T155" s="17">
        <f ca="1">IFERROR(__xludf.DUMMYFUNCTION("""COMPUTED_VALUE"""),0.285638066086177)</f>
        <v>0.28563806608617698</v>
      </c>
      <c r="U155" s="17">
        <f ca="1">IFERROR(__xludf.DUMMYFUNCTION("""COMPUTED_VALUE"""),0.154394348239403)</f>
        <v>0.15439434823940301</v>
      </c>
      <c r="V155" s="17">
        <f ca="1">IFERROR(__xludf.DUMMYFUNCTION("""COMPUTED_VALUE"""),0.171752020178326)</f>
        <v>0.171752020178326</v>
      </c>
      <c r="W155" s="17">
        <f ca="1">IFERROR(__xludf.DUMMYFUNCTION("""COMPUTED_VALUE"""),0.277981964650576)</f>
        <v>0.27798196465057601</v>
      </c>
      <c r="X155" s="17">
        <f ca="1">IFERROR(__xludf.DUMMYFUNCTION("""COMPUTED_VALUE"""),0.260822162367658)</f>
        <v>0.26082216236765798</v>
      </c>
      <c r="Y155" s="17">
        <f ca="1">IFERROR(__xludf.DUMMYFUNCTION("""COMPUTED_VALUE"""),0.188532052503297)</f>
        <v>0.18853205250329699</v>
      </c>
      <c r="Z155" s="17">
        <f ca="1">IFERROR(__xludf.DUMMYFUNCTION("""COMPUTED_VALUE"""),0.443394094568001)</f>
        <v>0.443394094568001</v>
      </c>
      <c r="AA155" s="17">
        <f ca="1">IFERROR(__xludf.DUMMYFUNCTION("""COMPUTED_VALUE"""),0.144533793403299)</f>
        <v>0.144533793403299</v>
      </c>
      <c r="AB155" s="17">
        <f ca="1">IFERROR(__xludf.DUMMYFUNCTION("""COMPUTED_VALUE"""),1.29369535264994)</f>
        <v>1.29369535264994</v>
      </c>
      <c r="AC155" s="17">
        <f ca="1">IFERROR(__xludf.DUMMYFUNCTION("""COMPUTED_VALUE"""),0.708331847237341)</f>
        <v>0.70833184723734099</v>
      </c>
      <c r="AD155" s="17">
        <f ca="1">IFERROR(__xludf.DUMMYFUNCTION("""COMPUTED_VALUE"""),0.204103663804323)</f>
        <v>0.20410366380432299</v>
      </c>
      <c r="AE155" s="17">
        <f ca="1">IFERROR(__xludf.DUMMYFUNCTION("""COMPUTED_VALUE"""),1.17161446306251)</f>
        <v>1.17161446306251</v>
      </c>
      <c r="AF155" s="17">
        <f ca="1">IFERROR(__xludf.DUMMYFUNCTION("""COMPUTED_VALUE"""),0.290910257515903)</f>
        <v>0.29091025751590299</v>
      </c>
      <c r="AG155" s="17">
        <f ca="1">IFERROR(__xludf.DUMMYFUNCTION("""COMPUTED_VALUE"""),0.544245279004178)</f>
        <v>0.54424527900417796</v>
      </c>
      <c r="AH155" s="17">
        <f ca="1">IFERROR(__xludf.DUMMYFUNCTION("""COMPUTED_VALUE"""),0.908148950593777)</f>
        <v>0.90814895059377698</v>
      </c>
      <c r="AI155" s="17">
        <f ca="1">IFERROR(__xludf.DUMMYFUNCTION("""COMPUTED_VALUE"""),1.05610191694262)</f>
        <v>1.05610191694262</v>
      </c>
      <c r="AJ155" s="17">
        <f ca="1">IFERROR(__xludf.DUMMYFUNCTION("""COMPUTED_VALUE"""),0.681851799832738)</f>
        <v>0.68185179983273803</v>
      </c>
    </row>
    <row r="156" spans="2:36" ht="15.75" customHeight="1" x14ac:dyDescent="0.45">
      <c r="B156" s="10" t="str">
        <f ca="1">IFERROR(__xludf.DUMMYFUNCTION("""COMPUTED_VALUE"""),"DistalPhalanxOutlineAgeGroup")</f>
        <v>DistalPhalanxOutlineAgeGroup</v>
      </c>
      <c r="C156" s="10" t="str">
        <f ca="1">IFERROR(__xludf.DUMMYFUNCTION("""COMPUTED_VALUE"""),"aligned_series")</f>
        <v>aligned_series</v>
      </c>
      <c r="D156" s="10">
        <f ca="1">IFERROR(__xludf.DUMMYFUNCTION("""COMPUTED_VALUE"""),0.8)</f>
        <v>0.8</v>
      </c>
      <c r="E156" s="17">
        <f ca="1">IFERROR(__xludf.DUMMYFUNCTION("""COMPUTED_VALUE"""),1.13301617886828)</f>
        <v>1.13301617886828</v>
      </c>
      <c r="F156" s="17">
        <f ca="1">IFERROR(__xludf.DUMMYFUNCTION("""COMPUTED_VALUE"""),0.190046218002269)</f>
        <v>0.19004621800226901</v>
      </c>
      <c r="G156" s="17">
        <f ca="1">IFERROR(__xludf.DUMMYFUNCTION("""COMPUTED_VALUE"""),0.168424683707351)</f>
        <v>0.168424683707351</v>
      </c>
      <c r="H156" s="17">
        <f ca="1">IFERROR(__xludf.DUMMYFUNCTION("""COMPUTED_VALUE"""),0.168562651264558)</f>
        <v>0.16856265126455799</v>
      </c>
      <c r="I156" s="17">
        <f ca="1">IFERROR(__xludf.DUMMYFUNCTION("""COMPUTED_VALUE"""),0.509671087332436)</f>
        <v>0.50967108733243605</v>
      </c>
      <c r="J156" s="17">
        <f ca="1">IFERROR(__xludf.DUMMYFUNCTION("""COMPUTED_VALUE"""),1.17988678325906)</f>
        <v>1.17988678325906</v>
      </c>
      <c r="K156" s="17" t="str">
        <f ca="1">IFERROR(__xludf.DUMMYFUNCTION("""COMPUTED_VALUE"""),"nan")</f>
        <v>nan</v>
      </c>
      <c r="L156" s="17">
        <f ca="1">IFERROR(__xludf.DUMMYFUNCTION("""COMPUTED_VALUE"""),0.157587142378931)</f>
        <v>0.15758714237893101</v>
      </c>
      <c r="M156" s="17">
        <f ca="1">IFERROR(__xludf.DUMMYFUNCTION("""COMPUTED_VALUE"""),0.288669824610078)</f>
        <v>0.28866982461007801</v>
      </c>
      <c r="N156" s="17">
        <f ca="1">IFERROR(__xludf.DUMMYFUNCTION("""COMPUTED_VALUE"""),0.313241659849432)</f>
        <v>0.31324165984943197</v>
      </c>
      <c r="O156" s="17">
        <f ca="1">IFERROR(__xludf.DUMMYFUNCTION("""COMPUTED_VALUE"""),0.877993378045497)</f>
        <v>0.87799337804549704</v>
      </c>
      <c r="P156" s="17">
        <f ca="1">IFERROR(__xludf.DUMMYFUNCTION("""COMPUTED_VALUE"""),0.804952095474332)</f>
        <v>0.804952095474332</v>
      </c>
      <c r="Q156" s="17">
        <f ca="1">IFERROR(__xludf.DUMMYFUNCTION("""COMPUTED_VALUE"""),1.21416550255633)</f>
        <v>1.21416550255633</v>
      </c>
      <c r="R156" s="17">
        <f ca="1">IFERROR(__xludf.DUMMYFUNCTION("""COMPUTED_VALUE"""),0.921234468270503)</f>
        <v>0.92123446827050304</v>
      </c>
      <c r="S156" s="17">
        <f ca="1">IFERROR(__xludf.DUMMYFUNCTION("""COMPUTED_VALUE"""),0.849144667823526)</f>
        <v>0.84914466782352604</v>
      </c>
      <c r="T156" s="17">
        <f ca="1">IFERROR(__xludf.DUMMYFUNCTION("""COMPUTED_VALUE"""),0.471879578664367)</f>
        <v>0.47187957866436703</v>
      </c>
      <c r="U156" s="17">
        <f ca="1">IFERROR(__xludf.DUMMYFUNCTION("""COMPUTED_VALUE"""),0.175362282318686)</f>
        <v>0.175362282318686</v>
      </c>
      <c r="V156" s="17">
        <f ca="1">IFERROR(__xludf.DUMMYFUNCTION("""COMPUTED_VALUE"""),0.290001873873879)</f>
        <v>0.29000187387387899</v>
      </c>
      <c r="W156" s="17">
        <f ca="1">IFERROR(__xludf.DUMMYFUNCTION("""COMPUTED_VALUE"""),0.252466841630042)</f>
        <v>0.25246684163004202</v>
      </c>
      <c r="X156" s="17">
        <f ca="1">IFERROR(__xludf.DUMMYFUNCTION("""COMPUTED_VALUE"""),0.247108588243842)</f>
        <v>0.24710858824384199</v>
      </c>
      <c r="Y156" s="17">
        <f ca="1">IFERROR(__xludf.DUMMYFUNCTION("""COMPUTED_VALUE"""),0.807230720173562)</f>
        <v>0.80723072017356201</v>
      </c>
      <c r="Z156" s="17">
        <f ca="1">IFERROR(__xludf.DUMMYFUNCTION("""COMPUTED_VALUE"""),0.492598618561439)</f>
        <v>0.49259861856143899</v>
      </c>
      <c r="AA156" s="17">
        <f ca="1">IFERROR(__xludf.DUMMYFUNCTION("""COMPUTED_VALUE"""),0.134250376463889)</f>
        <v>0.13425037646388899</v>
      </c>
      <c r="AB156" s="17">
        <f ca="1">IFERROR(__xludf.DUMMYFUNCTION("""COMPUTED_VALUE"""),2.0220238706976)</f>
        <v>2.0220238706976001</v>
      </c>
      <c r="AC156" s="17">
        <f ca="1">IFERROR(__xludf.DUMMYFUNCTION("""COMPUTED_VALUE"""),0.591300835061538)</f>
        <v>0.59130083506153797</v>
      </c>
      <c r="AD156" s="17">
        <f ca="1">IFERROR(__xludf.DUMMYFUNCTION("""COMPUTED_VALUE"""),0.322594570826377)</f>
        <v>0.32259457082637699</v>
      </c>
      <c r="AE156" s="17">
        <f ca="1">IFERROR(__xludf.DUMMYFUNCTION("""COMPUTED_VALUE"""),1.17798225624592)</f>
        <v>1.1779822562459199</v>
      </c>
      <c r="AF156" s="17">
        <f ca="1">IFERROR(__xludf.DUMMYFUNCTION("""COMPUTED_VALUE"""),0.692004842259673)</f>
        <v>0.69200484225967296</v>
      </c>
      <c r="AG156" s="17">
        <f ca="1">IFERROR(__xludf.DUMMYFUNCTION("""COMPUTED_VALUE"""),0.594497343326766)</f>
        <v>0.59449734332676596</v>
      </c>
      <c r="AH156" s="17">
        <f ca="1">IFERROR(__xludf.DUMMYFUNCTION("""COMPUTED_VALUE"""),0.895710245156305)</f>
        <v>0.89571024515630504</v>
      </c>
      <c r="AI156" s="17">
        <f ca="1">IFERROR(__xludf.DUMMYFUNCTION("""COMPUTED_VALUE"""),1.04862602461179)</f>
        <v>1.04862602461179</v>
      </c>
      <c r="AJ156" s="17">
        <f ca="1">IFERROR(__xludf.DUMMYFUNCTION("""COMPUTED_VALUE"""),0.761951427208755)</f>
        <v>0.76195142720875497</v>
      </c>
    </row>
    <row r="157" spans="2:36" ht="15.75" customHeight="1" x14ac:dyDescent="0.45">
      <c r="B157" s="10" t="str">
        <f ca="1">IFERROR(__xludf.DUMMYFUNCTION("""COMPUTED_VALUE"""),"DistalPhalanxOutlineAgeGroup")</f>
        <v>DistalPhalanxOutlineAgeGroup</v>
      </c>
      <c r="C157" s="10" t="str">
        <f ca="1">IFERROR(__xludf.DUMMYFUNCTION("""COMPUTED_VALUE"""),"aligned_timestamps")</f>
        <v>aligned_timestamps</v>
      </c>
      <c r="D157" s="10">
        <f ca="1">IFERROR(__xludf.DUMMYFUNCTION("""COMPUTED_VALUE"""),0.1)</f>
        <v>0.1</v>
      </c>
      <c r="E157" s="17">
        <f ca="1">IFERROR(__xludf.DUMMYFUNCTION("""COMPUTED_VALUE"""),1.00068164227816)</f>
        <v>1.0006816422781599</v>
      </c>
      <c r="F157" s="17">
        <f ca="1">IFERROR(__xludf.DUMMYFUNCTION("""COMPUTED_VALUE"""),0.147971347059222)</f>
        <v>0.14797134705922199</v>
      </c>
      <c r="G157" s="17">
        <f ca="1">IFERROR(__xludf.DUMMYFUNCTION("""COMPUTED_VALUE"""),0.120837154941587)</f>
        <v>0.120837154941587</v>
      </c>
      <c r="H157" s="17">
        <f ca="1">IFERROR(__xludf.DUMMYFUNCTION("""COMPUTED_VALUE"""),0.163266675554625)</f>
        <v>0.16326667555462501</v>
      </c>
      <c r="I157" s="17">
        <f ca="1">IFERROR(__xludf.DUMMYFUNCTION("""COMPUTED_VALUE"""),0.124122099365647)</f>
        <v>0.124122099365647</v>
      </c>
      <c r="J157" s="17">
        <f ca="1">IFERROR(__xludf.DUMMYFUNCTION("""COMPUTED_VALUE"""),0.811573726923993)</f>
        <v>0.81157372692399299</v>
      </c>
      <c r="K157" s="17" t="str">
        <f ca="1">IFERROR(__xludf.DUMMYFUNCTION("""COMPUTED_VALUE"""),"nan")</f>
        <v>nan</v>
      </c>
      <c r="L157" s="17">
        <f ca="1">IFERROR(__xludf.DUMMYFUNCTION("""COMPUTED_VALUE"""),0.127547569806257)</f>
        <v>0.12754756980625701</v>
      </c>
      <c r="M157" s="17">
        <f ca="1">IFERROR(__xludf.DUMMYFUNCTION("""COMPUTED_VALUE"""),0.120221988367128)</f>
        <v>0.120221988367128</v>
      </c>
      <c r="N157" s="17">
        <f ca="1">IFERROR(__xludf.DUMMYFUNCTION("""COMPUTED_VALUE"""),0.181620095360015)</f>
        <v>0.181620095360015</v>
      </c>
      <c r="O157" s="17">
        <f ca="1">IFERROR(__xludf.DUMMYFUNCTION("""COMPUTED_VALUE"""),0.119134835265975)</f>
        <v>0.119134835265975</v>
      </c>
      <c r="P157" s="17">
        <f ca="1">IFERROR(__xludf.DUMMYFUNCTION("""COMPUTED_VALUE"""),0.841020698712365)</f>
        <v>0.84102069871236496</v>
      </c>
      <c r="Q157" s="17">
        <f ca="1">IFERROR(__xludf.DUMMYFUNCTION("""COMPUTED_VALUE"""),0.190197165580349)</f>
        <v>0.19019716558034899</v>
      </c>
      <c r="R157" s="17">
        <f ca="1">IFERROR(__xludf.DUMMYFUNCTION("""COMPUTED_VALUE"""),0.566685999494251)</f>
        <v>0.56668599949425102</v>
      </c>
      <c r="S157" s="17">
        <f ca="1">IFERROR(__xludf.DUMMYFUNCTION("""COMPUTED_VALUE"""),0.371200313593586)</f>
        <v>0.37120031359358602</v>
      </c>
      <c r="T157" s="17">
        <f ca="1">IFERROR(__xludf.DUMMYFUNCTION("""COMPUTED_VALUE"""),0.186467965543885)</f>
        <v>0.18646796554388501</v>
      </c>
      <c r="U157" s="17">
        <f ca="1">IFERROR(__xludf.DUMMYFUNCTION("""COMPUTED_VALUE"""),0.132171974140864)</f>
        <v>0.13217197414086401</v>
      </c>
      <c r="V157" s="17">
        <f ca="1">IFERROR(__xludf.DUMMYFUNCTION("""COMPUTED_VALUE"""),0.165111873636793)</f>
        <v>0.165111873636793</v>
      </c>
      <c r="W157" s="17">
        <f ca="1">IFERROR(__xludf.DUMMYFUNCTION("""COMPUTED_VALUE"""),0.291609012957884)</f>
        <v>0.291609012957884</v>
      </c>
      <c r="X157" s="17">
        <f ca="1">IFERROR(__xludf.DUMMYFUNCTION("""COMPUTED_VALUE"""),0.276493315988185)</f>
        <v>0.276493315988185</v>
      </c>
      <c r="Y157" s="17">
        <f ca="1">IFERROR(__xludf.DUMMYFUNCTION("""COMPUTED_VALUE"""),0.158477784802069)</f>
        <v>0.158477784802069</v>
      </c>
      <c r="Z157" s="17">
        <f ca="1">IFERROR(__xludf.DUMMYFUNCTION("""COMPUTED_VALUE"""),0.314686424316707)</f>
        <v>0.31468642431670701</v>
      </c>
      <c r="AA157" s="17">
        <f ca="1">IFERROR(__xludf.DUMMYFUNCTION("""COMPUTED_VALUE"""),0.0856787484261636)</f>
        <v>8.5678748426163603E-2</v>
      </c>
      <c r="AB157" s="17">
        <f ca="1">IFERROR(__xludf.DUMMYFUNCTION("""COMPUTED_VALUE"""),0.2109601578844)</f>
        <v>0.21096015788440001</v>
      </c>
      <c r="AC157" s="17">
        <f ca="1">IFERROR(__xludf.DUMMYFUNCTION("""COMPUTED_VALUE"""),0.453680282793092)</f>
        <v>0.45368028279309203</v>
      </c>
      <c r="AD157" s="17">
        <f ca="1">IFERROR(__xludf.DUMMYFUNCTION("""COMPUTED_VALUE"""),0.163003816167606)</f>
        <v>0.16300381616760601</v>
      </c>
      <c r="AE157" s="17">
        <f ca="1">IFERROR(__xludf.DUMMYFUNCTION("""COMPUTED_VALUE"""),0.905330313311476)</f>
        <v>0.90533031331147595</v>
      </c>
      <c r="AF157" s="17">
        <f ca="1">IFERROR(__xludf.DUMMYFUNCTION("""COMPUTED_VALUE"""),0.136830349421794)</f>
        <v>0.13683034942179401</v>
      </c>
      <c r="AG157" s="17">
        <f ca="1">IFERROR(__xludf.DUMMYFUNCTION("""COMPUTED_VALUE"""),0.610943157954919)</f>
        <v>0.61094315795491905</v>
      </c>
      <c r="AH157" s="17">
        <f ca="1">IFERROR(__xludf.DUMMYFUNCTION("""COMPUTED_VALUE"""),0.597778203342267)</f>
        <v>0.59777820334226694</v>
      </c>
      <c r="AI157" s="17">
        <f ca="1">IFERROR(__xludf.DUMMYFUNCTION("""COMPUTED_VALUE"""),0.473963671506268)</f>
        <v>0.473963671506268</v>
      </c>
      <c r="AJ157" s="17">
        <f ca="1">IFERROR(__xludf.DUMMYFUNCTION("""COMPUTED_VALUE"""),0.248114620054816)</f>
        <v>0.24811462005481599</v>
      </c>
    </row>
    <row r="158" spans="2:36" ht="15.75" customHeight="1" x14ac:dyDescent="0.45">
      <c r="B158" s="10" t="str">
        <f ca="1">IFERROR(__xludf.DUMMYFUNCTION("""COMPUTED_VALUE"""),"DistalPhalanxOutlineAgeGroup")</f>
        <v>DistalPhalanxOutlineAgeGroup</v>
      </c>
      <c r="C158" s="10" t="str">
        <f ca="1">IFERROR(__xludf.DUMMYFUNCTION("""COMPUTED_VALUE"""),"aligned_timestamps")</f>
        <v>aligned_timestamps</v>
      </c>
      <c r="D158" s="10">
        <f ca="1">IFERROR(__xludf.DUMMYFUNCTION("""COMPUTED_VALUE"""),0.2)</f>
        <v>0.2</v>
      </c>
      <c r="E158" s="17">
        <f ca="1">IFERROR(__xludf.DUMMYFUNCTION("""COMPUTED_VALUE"""),1.02426134930368)</f>
        <v>1.0242613493036801</v>
      </c>
      <c r="F158" s="17">
        <f ca="1">IFERROR(__xludf.DUMMYFUNCTION("""COMPUTED_VALUE"""),0.183702748332914)</f>
        <v>0.183702748332914</v>
      </c>
      <c r="G158" s="17">
        <f ca="1">IFERROR(__xludf.DUMMYFUNCTION("""COMPUTED_VALUE"""),0.149125915811905)</f>
        <v>0.14912591581190501</v>
      </c>
      <c r="H158" s="17">
        <f ca="1">IFERROR(__xludf.DUMMYFUNCTION("""COMPUTED_VALUE"""),0.199137604344626)</f>
        <v>0.19913760434462599</v>
      </c>
      <c r="I158" s="17">
        <f ca="1">IFERROR(__xludf.DUMMYFUNCTION("""COMPUTED_VALUE"""),0.185094771644162)</f>
        <v>0.18509477164416199</v>
      </c>
      <c r="J158" s="17">
        <f ca="1">IFERROR(__xludf.DUMMYFUNCTION("""COMPUTED_VALUE"""),0.894395938337096)</f>
        <v>0.89439593833709596</v>
      </c>
      <c r="K158" s="17" t="str">
        <f ca="1">IFERROR(__xludf.DUMMYFUNCTION("""COMPUTED_VALUE"""),"nan")</f>
        <v>nan</v>
      </c>
      <c r="L158" s="17">
        <f ca="1">IFERROR(__xludf.DUMMYFUNCTION("""COMPUTED_VALUE"""),0.159078397757404)</f>
        <v>0.15907839775740401</v>
      </c>
      <c r="M158" s="17">
        <f ca="1">IFERROR(__xludf.DUMMYFUNCTION("""COMPUTED_VALUE"""),0.158449304774587)</f>
        <v>0.15844930477458699</v>
      </c>
      <c r="N158" s="17">
        <f ca="1">IFERROR(__xludf.DUMMYFUNCTION("""COMPUTED_VALUE"""),0.293607285463413)</f>
        <v>0.29360728546341303</v>
      </c>
      <c r="O158" s="17">
        <f ca="1">IFERROR(__xludf.DUMMYFUNCTION("""COMPUTED_VALUE"""),0.121463314084826)</f>
        <v>0.121463314084826</v>
      </c>
      <c r="P158" s="17">
        <f ca="1">IFERROR(__xludf.DUMMYFUNCTION("""COMPUTED_VALUE"""),0.846430812826789)</f>
        <v>0.846430812826789</v>
      </c>
      <c r="Q158" s="17">
        <f ca="1">IFERROR(__xludf.DUMMYFUNCTION("""COMPUTED_VALUE"""),0.210699517699062)</f>
        <v>0.21069951769906201</v>
      </c>
      <c r="R158" s="17">
        <f ca="1">IFERROR(__xludf.DUMMYFUNCTION("""COMPUTED_VALUE"""),0.633717686474836)</f>
        <v>0.63371768647483595</v>
      </c>
      <c r="S158" s="17">
        <f ca="1">IFERROR(__xludf.DUMMYFUNCTION("""COMPUTED_VALUE"""),0.406721068632513)</f>
        <v>0.40672106863251301</v>
      </c>
      <c r="T158" s="17">
        <f ca="1">IFERROR(__xludf.DUMMYFUNCTION("""COMPUTED_VALUE"""),0.232007243520526)</f>
        <v>0.23200724352052601</v>
      </c>
      <c r="U158" s="17">
        <f ca="1">IFERROR(__xludf.DUMMYFUNCTION("""COMPUTED_VALUE"""),0.162698893216063)</f>
        <v>0.16269889321606301</v>
      </c>
      <c r="V158" s="17">
        <f ca="1">IFERROR(__xludf.DUMMYFUNCTION("""COMPUTED_VALUE"""),0.1860085813549)</f>
        <v>0.1860085813549</v>
      </c>
      <c r="W158" s="17">
        <f ca="1">IFERROR(__xludf.DUMMYFUNCTION("""COMPUTED_VALUE"""),0.259000500773561)</f>
        <v>0.25900050077356102</v>
      </c>
      <c r="X158" s="17">
        <f ca="1">IFERROR(__xludf.DUMMYFUNCTION("""COMPUTED_VALUE"""),0.298454259762825)</f>
        <v>0.29845425976282502</v>
      </c>
      <c r="Y158" s="17">
        <f ca="1">IFERROR(__xludf.DUMMYFUNCTION("""COMPUTED_VALUE"""),0.183343956339989)</f>
        <v>0.18334395633998901</v>
      </c>
      <c r="Z158" s="17">
        <f ca="1">IFERROR(__xludf.DUMMYFUNCTION("""COMPUTED_VALUE"""),0.480507894126115)</f>
        <v>0.480507894126115</v>
      </c>
      <c r="AA158" s="17">
        <f ca="1">IFERROR(__xludf.DUMMYFUNCTION("""COMPUTED_VALUE"""),0.14840599016991)</f>
        <v>0.14840599016990999</v>
      </c>
      <c r="AB158" s="17">
        <f ca="1">IFERROR(__xludf.DUMMYFUNCTION("""COMPUTED_VALUE"""),0.412267604624192)</f>
        <v>0.41226760462419199</v>
      </c>
      <c r="AC158" s="17">
        <f ca="1">IFERROR(__xludf.DUMMYFUNCTION("""COMPUTED_VALUE"""),0.480759244399103)</f>
        <v>0.480759244399103</v>
      </c>
      <c r="AD158" s="17">
        <f ca="1">IFERROR(__xludf.DUMMYFUNCTION("""COMPUTED_VALUE"""),0.201568862789407)</f>
        <v>0.201568862789407</v>
      </c>
      <c r="AE158" s="17">
        <f ca="1">IFERROR(__xludf.DUMMYFUNCTION("""COMPUTED_VALUE"""),1.138969724581)</f>
        <v>1.138969724581</v>
      </c>
      <c r="AF158" s="17">
        <f ca="1">IFERROR(__xludf.DUMMYFUNCTION("""COMPUTED_VALUE"""),0.329827218317968)</f>
        <v>0.32982721831796802</v>
      </c>
      <c r="AG158" s="17">
        <f ca="1">IFERROR(__xludf.DUMMYFUNCTION("""COMPUTED_VALUE"""),0.598166624728168)</f>
        <v>0.59816662472816795</v>
      </c>
      <c r="AH158" s="17">
        <f ca="1">IFERROR(__xludf.DUMMYFUNCTION("""COMPUTED_VALUE"""),1.00947324029923)</f>
        <v>1.0094732402992299</v>
      </c>
      <c r="AI158" s="17">
        <f ca="1">IFERROR(__xludf.DUMMYFUNCTION("""COMPUTED_VALUE"""),1.14774015552152)</f>
        <v>1.1477401555215201</v>
      </c>
      <c r="AJ158" s="17">
        <f ca="1">IFERROR(__xludf.DUMMYFUNCTION("""COMPUTED_VALUE"""),0.737509316223661)</f>
        <v>0.737509316223661</v>
      </c>
    </row>
    <row r="159" spans="2:36" ht="15.75" customHeight="1" x14ac:dyDescent="0.45">
      <c r="B159" s="10" t="str">
        <f ca="1">IFERROR(__xludf.DUMMYFUNCTION("""COMPUTED_VALUE"""),"DistalPhalanxOutlineAgeGroup")</f>
        <v>DistalPhalanxOutlineAgeGroup</v>
      </c>
      <c r="C159" s="10" t="str">
        <f ca="1">IFERROR(__xludf.DUMMYFUNCTION("""COMPUTED_VALUE"""),"aligned_timestamps")</f>
        <v>aligned_timestamps</v>
      </c>
      <c r="D159" s="10">
        <f ca="1">IFERROR(__xludf.DUMMYFUNCTION("""COMPUTED_VALUE"""),0.4)</f>
        <v>0.4</v>
      </c>
      <c r="E159" s="17">
        <f ca="1">IFERROR(__xludf.DUMMYFUNCTION("""COMPUTED_VALUE"""),0.981548029351525)</f>
        <v>0.98154802935152496</v>
      </c>
      <c r="F159" s="17">
        <f ca="1">IFERROR(__xludf.DUMMYFUNCTION("""COMPUTED_VALUE"""),0.222858754783141)</f>
        <v>0.22285875478314099</v>
      </c>
      <c r="G159" s="17">
        <f ca="1">IFERROR(__xludf.DUMMYFUNCTION("""COMPUTED_VALUE"""),0.254053622791671)</f>
        <v>0.25405362279167099</v>
      </c>
      <c r="H159" s="17">
        <f ca="1">IFERROR(__xludf.DUMMYFUNCTION("""COMPUTED_VALUE"""),0.27969290728666)</f>
        <v>0.27969290728666002</v>
      </c>
      <c r="I159" s="17">
        <f ca="1">IFERROR(__xludf.DUMMYFUNCTION("""COMPUTED_VALUE"""),0.271563401471192)</f>
        <v>0.27156340147119201</v>
      </c>
      <c r="J159" s="17">
        <f ca="1">IFERROR(__xludf.DUMMYFUNCTION("""COMPUTED_VALUE"""),1.06707643672383)</f>
        <v>1.0670764367238299</v>
      </c>
      <c r="K159" s="17" t="str">
        <f ca="1">IFERROR(__xludf.DUMMYFUNCTION("""COMPUTED_VALUE"""),"nan")</f>
        <v>nan</v>
      </c>
      <c r="L159" s="17">
        <f ca="1">IFERROR(__xludf.DUMMYFUNCTION("""COMPUTED_VALUE"""),0.200365926671663)</f>
        <v>0.200365926671663</v>
      </c>
      <c r="M159" s="17">
        <f ca="1">IFERROR(__xludf.DUMMYFUNCTION("""COMPUTED_VALUE"""),0.220016415530836)</f>
        <v>0.22001641553083601</v>
      </c>
      <c r="N159" s="17">
        <f ca="1">IFERROR(__xludf.DUMMYFUNCTION("""COMPUTED_VALUE"""),0.298556214899351)</f>
        <v>0.29855621489935102</v>
      </c>
      <c r="O159" s="17">
        <f ca="1">IFERROR(__xludf.DUMMYFUNCTION("""COMPUTED_VALUE"""),0.527336124391755)</f>
        <v>0.52733612439175503</v>
      </c>
      <c r="P159" s="17">
        <f ca="1">IFERROR(__xludf.DUMMYFUNCTION("""COMPUTED_VALUE"""),1.04650792603402)</f>
        <v>1.04650792603402</v>
      </c>
      <c r="Q159" s="17">
        <f ca="1">IFERROR(__xludf.DUMMYFUNCTION("""COMPUTED_VALUE"""),0.297800292792202)</f>
        <v>0.29780029279220199</v>
      </c>
      <c r="R159" s="17">
        <f ca="1">IFERROR(__xludf.DUMMYFUNCTION("""COMPUTED_VALUE"""),0.629157625780302)</f>
        <v>0.62915762578030199</v>
      </c>
      <c r="S159" s="17">
        <f ca="1">IFERROR(__xludf.DUMMYFUNCTION("""COMPUTED_VALUE"""),0.328577828881012)</f>
        <v>0.328577828881012</v>
      </c>
      <c r="T159" s="17">
        <f ca="1">IFERROR(__xludf.DUMMYFUNCTION("""COMPUTED_VALUE"""),0.307424697710008)</f>
        <v>0.30742469771000802</v>
      </c>
      <c r="U159" s="17">
        <f ca="1">IFERROR(__xludf.DUMMYFUNCTION("""COMPUTED_VALUE"""),0.236048281526255)</f>
        <v>0.23604828152625501</v>
      </c>
      <c r="V159" s="17">
        <f ca="1">IFERROR(__xludf.DUMMYFUNCTION("""COMPUTED_VALUE"""),0.237843892480497)</f>
        <v>0.237843892480497</v>
      </c>
      <c r="W159" s="17">
        <f ca="1">IFERROR(__xludf.DUMMYFUNCTION("""COMPUTED_VALUE"""),0.374631320026736)</f>
        <v>0.37463132002673599</v>
      </c>
      <c r="X159" s="17">
        <f ca="1">IFERROR(__xludf.DUMMYFUNCTION("""COMPUTED_VALUE"""),0.311471324175461)</f>
        <v>0.31147132417546097</v>
      </c>
      <c r="Y159" s="17">
        <f ca="1">IFERROR(__xludf.DUMMYFUNCTION("""COMPUTED_VALUE"""),0.264326275903949)</f>
        <v>0.26432627590394903</v>
      </c>
      <c r="Z159" s="17">
        <f ca="1">IFERROR(__xludf.DUMMYFUNCTION("""COMPUTED_VALUE"""),0.612315974775814)</f>
        <v>0.61231597477581401</v>
      </c>
      <c r="AA159" s="17">
        <f ca="1">IFERROR(__xludf.DUMMYFUNCTION("""COMPUTED_VALUE"""),0.241537566800257)</f>
        <v>0.24153756680025701</v>
      </c>
      <c r="AB159" s="17">
        <f ca="1">IFERROR(__xludf.DUMMYFUNCTION("""COMPUTED_VALUE"""),0.344825944780113)</f>
        <v>0.34482594478011303</v>
      </c>
      <c r="AC159" s="17">
        <f ca="1">IFERROR(__xludf.DUMMYFUNCTION("""COMPUTED_VALUE"""),0.57175978309666)</f>
        <v>0.57175978309665998</v>
      </c>
      <c r="AD159" s="17">
        <f ca="1">IFERROR(__xludf.DUMMYFUNCTION("""COMPUTED_VALUE"""),0.271758944639255)</f>
        <v>0.27175894463925498</v>
      </c>
      <c r="AE159" s="17">
        <f ca="1">IFERROR(__xludf.DUMMYFUNCTION("""COMPUTED_VALUE"""),0.964542836761648)</f>
        <v>0.96454283676164798</v>
      </c>
      <c r="AF159" s="17">
        <f ca="1">IFERROR(__xludf.DUMMYFUNCTION("""COMPUTED_VALUE"""),0.56881373228273)</f>
        <v>0.56881373228273002</v>
      </c>
      <c r="AG159" s="17">
        <f ca="1">IFERROR(__xludf.DUMMYFUNCTION("""COMPUTED_VALUE"""),1.07782034776628)</f>
        <v>1.07782034776628</v>
      </c>
      <c r="AH159" s="17">
        <f ca="1">IFERROR(__xludf.DUMMYFUNCTION("""COMPUTED_VALUE"""),0.982720104169705)</f>
        <v>0.98272010416970501</v>
      </c>
      <c r="AI159" s="17">
        <f ca="1">IFERROR(__xludf.DUMMYFUNCTION("""COMPUTED_VALUE"""),1.0031663815298)</f>
        <v>1.0031663815298</v>
      </c>
      <c r="AJ159" s="17">
        <f ca="1">IFERROR(__xludf.DUMMYFUNCTION("""COMPUTED_VALUE"""),0.900931009850146)</f>
        <v>0.90093100985014596</v>
      </c>
    </row>
    <row r="160" spans="2:36" ht="15.75" customHeight="1" x14ac:dyDescent="0.45">
      <c r="B160" s="10" t="str">
        <f ca="1">IFERROR(__xludf.DUMMYFUNCTION("""COMPUTED_VALUE"""),"DistalPhalanxOutlineAgeGroup")</f>
        <v>DistalPhalanxOutlineAgeGroup</v>
      </c>
      <c r="C160" s="10" t="str">
        <f ca="1">IFERROR(__xludf.DUMMYFUNCTION("""COMPUTED_VALUE"""),"aligned_timestamps")</f>
        <v>aligned_timestamps</v>
      </c>
      <c r="D160" s="10">
        <f ca="1">IFERROR(__xludf.DUMMYFUNCTION("""COMPUTED_VALUE"""),0.6)</f>
        <v>0.6</v>
      </c>
      <c r="E160" s="17">
        <f ca="1">IFERROR(__xludf.DUMMYFUNCTION("""COMPUTED_VALUE"""),1.04914691529057)</f>
        <v>1.0491469152905699</v>
      </c>
      <c r="F160" s="17">
        <f ca="1">IFERROR(__xludf.DUMMYFUNCTION("""COMPUTED_VALUE"""),0.236421215760938)</f>
        <v>0.236421215760938</v>
      </c>
      <c r="G160" s="17">
        <f ca="1">IFERROR(__xludf.DUMMYFUNCTION("""COMPUTED_VALUE"""),0.29727439230727)</f>
        <v>0.29727439230726999</v>
      </c>
      <c r="H160" s="17">
        <f ca="1">IFERROR(__xludf.DUMMYFUNCTION("""COMPUTED_VALUE"""),0.291384745295422)</f>
        <v>0.29138474529542202</v>
      </c>
      <c r="I160" s="17">
        <f ca="1">IFERROR(__xludf.DUMMYFUNCTION("""COMPUTED_VALUE"""),0.377258029430499)</f>
        <v>0.37725802943049902</v>
      </c>
      <c r="J160" s="17">
        <f ca="1">IFERROR(__xludf.DUMMYFUNCTION("""COMPUTED_VALUE"""),1.15871780760995)</f>
        <v>1.15871780760995</v>
      </c>
      <c r="K160" s="17" t="str">
        <f ca="1">IFERROR(__xludf.DUMMYFUNCTION("""COMPUTED_VALUE"""),"nan")</f>
        <v>nan</v>
      </c>
      <c r="L160" s="17">
        <f ca="1">IFERROR(__xludf.DUMMYFUNCTION("""COMPUTED_VALUE"""),0.196299761782716)</f>
        <v>0.19629976178271599</v>
      </c>
      <c r="M160" s="17">
        <f ca="1">IFERROR(__xludf.DUMMYFUNCTION("""COMPUTED_VALUE"""),1.10753779128578)</f>
        <v>1.10753779128578</v>
      </c>
      <c r="N160" s="17">
        <f ca="1">IFERROR(__xludf.DUMMYFUNCTION("""COMPUTED_VALUE"""),0.315565763984737)</f>
        <v>0.31556576398473701</v>
      </c>
      <c r="O160" s="17">
        <f ca="1">IFERROR(__xludf.DUMMYFUNCTION("""COMPUTED_VALUE"""),0.682107214212595)</f>
        <v>0.68210721421259501</v>
      </c>
      <c r="P160" s="17">
        <f ca="1">IFERROR(__xludf.DUMMYFUNCTION("""COMPUTED_VALUE"""),1.59505935631724)</f>
        <v>1.5950593563172399</v>
      </c>
      <c r="Q160" s="17">
        <f ca="1">IFERROR(__xludf.DUMMYFUNCTION("""COMPUTED_VALUE"""),0.304370478622853)</f>
        <v>0.30437047862285299</v>
      </c>
      <c r="R160" s="17">
        <f ca="1">IFERROR(__xludf.DUMMYFUNCTION("""COMPUTED_VALUE"""),0.925924680663982)</f>
        <v>0.92592468066398204</v>
      </c>
      <c r="S160" s="17">
        <f ca="1">IFERROR(__xludf.DUMMYFUNCTION("""COMPUTED_VALUE"""),1.21834027697555)</f>
        <v>1.21834027697555</v>
      </c>
      <c r="T160" s="17">
        <f ca="1">IFERROR(__xludf.DUMMYFUNCTION("""COMPUTED_VALUE"""),0.749534681140219)</f>
        <v>0.74953468114021904</v>
      </c>
      <c r="U160" s="17">
        <f ca="1">IFERROR(__xludf.DUMMYFUNCTION("""COMPUTED_VALUE"""),0.626396038706897)</f>
        <v>0.62639603870689697</v>
      </c>
      <c r="V160" s="17">
        <f ca="1">IFERROR(__xludf.DUMMYFUNCTION("""COMPUTED_VALUE"""),1.16245785741101)</f>
        <v>1.16245785741101</v>
      </c>
      <c r="W160" s="17">
        <f ca="1">IFERROR(__xludf.DUMMYFUNCTION("""COMPUTED_VALUE"""),0.478365359889689)</f>
        <v>0.47836535988968898</v>
      </c>
      <c r="X160" s="17">
        <f ca="1">IFERROR(__xludf.DUMMYFUNCTION("""COMPUTED_VALUE"""),0.320449218724159)</f>
        <v>0.32044921872415899</v>
      </c>
      <c r="Y160" s="17">
        <f ca="1">IFERROR(__xludf.DUMMYFUNCTION("""COMPUTED_VALUE"""),0.264971396488146)</f>
        <v>0.26497139648814599</v>
      </c>
      <c r="Z160" s="17">
        <f ca="1">IFERROR(__xludf.DUMMYFUNCTION("""COMPUTED_VALUE"""),0.878022501064439)</f>
        <v>0.87802250106443902</v>
      </c>
      <c r="AA160" s="17">
        <f ca="1">IFERROR(__xludf.DUMMYFUNCTION("""COMPUTED_VALUE"""),1.36801761384949)</f>
        <v>1.3680176138494899</v>
      </c>
      <c r="AB160" s="17">
        <f ca="1">IFERROR(__xludf.DUMMYFUNCTION("""COMPUTED_VALUE"""),1.61685471938773)</f>
        <v>1.6168547193877301</v>
      </c>
      <c r="AC160" s="17">
        <f ca="1">IFERROR(__xludf.DUMMYFUNCTION("""COMPUTED_VALUE"""),0.648324532681878)</f>
        <v>0.64832453268187795</v>
      </c>
      <c r="AD160" s="17">
        <f ca="1">IFERROR(__xludf.DUMMYFUNCTION("""COMPUTED_VALUE"""),0.320284977875225)</f>
        <v>0.32028497787522497</v>
      </c>
      <c r="AE160" s="17">
        <f ca="1">IFERROR(__xludf.DUMMYFUNCTION("""COMPUTED_VALUE"""),0.871687778782653)</f>
        <v>0.87168777878265302</v>
      </c>
      <c r="AF160" s="17">
        <f ca="1">IFERROR(__xludf.DUMMYFUNCTION("""COMPUTED_VALUE"""),1.35647722365358)</f>
        <v>1.35647722365358</v>
      </c>
      <c r="AG160" s="17">
        <f ca="1">IFERROR(__xludf.DUMMYFUNCTION("""COMPUTED_VALUE"""),1.05879885836609)</f>
        <v>1.0587988583660899</v>
      </c>
      <c r="AH160" s="17">
        <f ca="1">IFERROR(__xludf.DUMMYFUNCTION("""COMPUTED_VALUE"""),1.06952270064967)</f>
        <v>1.0695227006496699</v>
      </c>
      <c r="AI160" s="17" t="str">
        <f ca="1">IFERROR(__xludf.DUMMYFUNCTION("""COMPUTED_VALUE"""),"nan")</f>
        <v>nan</v>
      </c>
      <c r="AJ160" s="17">
        <f ca="1">IFERROR(__xludf.DUMMYFUNCTION("""COMPUTED_VALUE"""),1.07014148768324)</f>
        <v>1.07014148768324</v>
      </c>
    </row>
    <row r="161" spans="2:36" ht="15.75" customHeight="1" x14ac:dyDescent="0.45">
      <c r="B161" s="10" t="str">
        <f ca="1">IFERROR(__xludf.DUMMYFUNCTION("""COMPUTED_VALUE"""),"DistalPhalanxOutlineAgeGroup")</f>
        <v>DistalPhalanxOutlineAgeGroup</v>
      </c>
      <c r="C161" s="10" t="str">
        <f ca="1">IFERROR(__xludf.DUMMYFUNCTION("""COMPUTED_VALUE"""),"aligned_timestamps")</f>
        <v>aligned_timestamps</v>
      </c>
      <c r="D161" s="10">
        <f ca="1">IFERROR(__xludf.DUMMYFUNCTION("""COMPUTED_VALUE"""),0.8)</f>
        <v>0.8</v>
      </c>
      <c r="E161" s="17">
        <f ca="1">IFERROR(__xludf.DUMMYFUNCTION("""COMPUTED_VALUE"""),1.00933939650043)</f>
        <v>1.00933939650043</v>
      </c>
      <c r="F161" s="17">
        <f ca="1">IFERROR(__xludf.DUMMYFUNCTION("""COMPUTED_VALUE"""),0.259558179970191)</f>
        <v>0.25955817997019098</v>
      </c>
      <c r="G161" s="17">
        <f ca="1">IFERROR(__xludf.DUMMYFUNCTION("""COMPUTED_VALUE"""),0.474603321000355)</f>
        <v>0.47460332100035502</v>
      </c>
      <c r="H161" s="17">
        <f ca="1">IFERROR(__xludf.DUMMYFUNCTION("""COMPUTED_VALUE"""),0.309990326079862)</f>
        <v>0.30999032607986199</v>
      </c>
      <c r="I161" s="17">
        <f ca="1">IFERROR(__xludf.DUMMYFUNCTION("""COMPUTED_VALUE"""),0.551932455343488)</f>
        <v>0.551932455343488</v>
      </c>
      <c r="J161" s="17">
        <f ca="1">IFERROR(__xludf.DUMMYFUNCTION("""COMPUTED_VALUE"""),1.07743940956227)</f>
        <v>1.0774394095622699</v>
      </c>
      <c r="K161" s="17" t="str">
        <f ca="1">IFERROR(__xludf.DUMMYFUNCTION("""COMPUTED_VALUE"""),"nan")</f>
        <v>nan</v>
      </c>
      <c r="L161" s="17">
        <f ca="1">IFERROR(__xludf.DUMMYFUNCTION("""COMPUTED_VALUE"""),0.27825063647331)</f>
        <v>0.27825063647331</v>
      </c>
      <c r="M161" s="17">
        <f ca="1">IFERROR(__xludf.DUMMYFUNCTION("""COMPUTED_VALUE"""),1.16585011193571)</f>
        <v>1.1658501119357101</v>
      </c>
      <c r="N161" s="17">
        <f ca="1">IFERROR(__xludf.DUMMYFUNCTION("""COMPUTED_VALUE"""),0.367290531399383)</f>
        <v>0.367290531399383</v>
      </c>
      <c r="O161" s="17">
        <f ca="1">IFERROR(__xludf.DUMMYFUNCTION("""COMPUTED_VALUE"""),0.74726959544035)</f>
        <v>0.74726959544034999</v>
      </c>
      <c r="P161" s="17">
        <f ca="1">IFERROR(__xludf.DUMMYFUNCTION("""COMPUTED_VALUE"""),1.46460408970288)</f>
        <v>1.46460408970288</v>
      </c>
      <c r="Q161" s="17">
        <f ca="1">IFERROR(__xludf.DUMMYFUNCTION("""COMPUTED_VALUE"""),0.339348591853307)</f>
        <v>0.33934859185330701</v>
      </c>
      <c r="R161" s="17">
        <f ca="1">IFERROR(__xludf.DUMMYFUNCTION("""COMPUTED_VALUE"""),0.788805345031058)</f>
        <v>0.78880534503105804</v>
      </c>
      <c r="S161" s="17">
        <f ca="1">IFERROR(__xludf.DUMMYFUNCTION("""COMPUTED_VALUE"""),1.10641650868289)</f>
        <v>1.1064165086828901</v>
      </c>
      <c r="T161" s="17">
        <f ca="1">IFERROR(__xludf.DUMMYFUNCTION("""COMPUTED_VALUE"""),0.783082301440741)</f>
        <v>0.78308230144074098</v>
      </c>
      <c r="U161" s="17">
        <f ca="1">IFERROR(__xludf.DUMMYFUNCTION("""COMPUTED_VALUE"""),0.588626395267697)</f>
        <v>0.588626395267697</v>
      </c>
      <c r="V161" s="17">
        <f ca="1">IFERROR(__xludf.DUMMYFUNCTION("""COMPUTED_VALUE"""),1.16144797594717)</f>
        <v>1.1614479759471701</v>
      </c>
      <c r="W161" s="17">
        <f ca="1">IFERROR(__xludf.DUMMYFUNCTION("""COMPUTED_VALUE"""),0.518172012647349)</f>
        <v>0.51817201264734902</v>
      </c>
      <c r="X161" s="17">
        <f ca="1">IFERROR(__xludf.DUMMYFUNCTION("""COMPUTED_VALUE"""),0.324864164550009)</f>
        <v>0.32486416455000899</v>
      </c>
      <c r="Y161" s="17">
        <f ca="1">IFERROR(__xludf.DUMMYFUNCTION("""COMPUTED_VALUE"""),0.303902836601702)</f>
        <v>0.30390283660170198</v>
      </c>
      <c r="Z161" s="17">
        <f ca="1">IFERROR(__xludf.DUMMYFUNCTION("""COMPUTED_VALUE"""),0.937040227358201)</f>
        <v>0.93704022735820103</v>
      </c>
      <c r="AA161" s="17">
        <f ca="1">IFERROR(__xludf.DUMMYFUNCTION("""COMPUTED_VALUE"""),2.21405239803187)</f>
        <v>2.2140523980318698</v>
      </c>
      <c r="AB161" s="17">
        <f ca="1">IFERROR(__xludf.DUMMYFUNCTION("""COMPUTED_VALUE"""),1.42717527751403)</f>
        <v>1.4271752775140301</v>
      </c>
      <c r="AC161" s="17">
        <f ca="1">IFERROR(__xludf.DUMMYFUNCTION("""COMPUTED_VALUE"""),0.645444264823852)</f>
        <v>0.64544426482385198</v>
      </c>
      <c r="AD161" s="17">
        <f ca="1">IFERROR(__xludf.DUMMYFUNCTION("""COMPUTED_VALUE"""),0.395459958534489)</f>
        <v>0.39545995853448901</v>
      </c>
      <c r="AE161" s="17" t="str">
        <f ca="1">IFERROR(__xludf.DUMMYFUNCTION("""COMPUTED_VALUE"""),"nan")</f>
        <v>nan</v>
      </c>
      <c r="AF161" s="17">
        <f ca="1">IFERROR(__xludf.DUMMYFUNCTION("""COMPUTED_VALUE"""),1.25174363686923)</f>
        <v>1.2517436368692301</v>
      </c>
      <c r="AG161" s="17">
        <f ca="1">IFERROR(__xludf.DUMMYFUNCTION("""COMPUTED_VALUE"""),1.13839671332624)</f>
        <v>1.13839671332624</v>
      </c>
      <c r="AH161" s="17">
        <f ca="1">IFERROR(__xludf.DUMMYFUNCTION("""COMPUTED_VALUE"""),1.09886411063826)</f>
        <v>1.0988641106382599</v>
      </c>
      <c r="AI161" s="17" t="str">
        <f ca="1">IFERROR(__xludf.DUMMYFUNCTION("""COMPUTED_VALUE"""),"nan")</f>
        <v>nan</v>
      </c>
      <c r="AJ161" s="17">
        <f ca="1">IFERROR(__xludf.DUMMYFUNCTION("""COMPUTED_VALUE"""),1.04482810947413)</f>
        <v>1.0448281094741301</v>
      </c>
    </row>
    <row r="162" spans="2:36" ht="15.75" customHeight="1" x14ac:dyDescent="0.45">
      <c r="B162" s="10" t="str">
        <f ca="1">IFERROR(__xludf.DUMMYFUNCTION("""COMPUTED_VALUE"""),"DistalPhalanxOutlineAgeGroup")</f>
        <v>DistalPhalanxOutlineAgeGroup</v>
      </c>
      <c r="C162" s="10" t="str">
        <f ca="1">IFERROR(__xludf.DUMMYFUNCTION("""COMPUTED_VALUE"""),"mcar")</f>
        <v>mcar</v>
      </c>
      <c r="D162" s="10">
        <f ca="1">IFERROR(__xludf.DUMMYFUNCTION("""COMPUTED_VALUE"""),0.1)</f>
        <v>0.1</v>
      </c>
      <c r="E162" s="17">
        <f ca="1">IFERROR(__xludf.DUMMYFUNCTION("""COMPUTED_VALUE"""),1.00294280802835)</f>
        <v>1.00294280802835</v>
      </c>
      <c r="F162" s="17">
        <f ca="1">IFERROR(__xludf.DUMMYFUNCTION("""COMPUTED_VALUE"""),0.134467004282376)</f>
        <v>0.13446700428237601</v>
      </c>
      <c r="G162" s="17">
        <f ca="1">IFERROR(__xludf.DUMMYFUNCTION("""COMPUTED_VALUE"""),0.132837173005652)</f>
        <v>0.13283717300565201</v>
      </c>
      <c r="H162" s="17">
        <f ca="1">IFERROR(__xludf.DUMMYFUNCTION("""COMPUTED_VALUE"""),0.181705318138851)</f>
        <v>0.18170531813885099</v>
      </c>
      <c r="I162" s="17">
        <f ca="1">IFERROR(__xludf.DUMMYFUNCTION("""COMPUTED_VALUE"""),0.0749608511220903)</f>
        <v>7.4960851122090305E-2</v>
      </c>
      <c r="J162" s="17">
        <f ca="1">IFERROR(__xludf.DUMMYFUNCTION("""COMPUTED_VALUE"""),0.111796654767335)</f>
        <v>0.111796654767335</v>
      </c>
      <c r="K162" s="17" t="str">
        <f ca="1">IFERROR(__xludf.DUMMYFUNCTION("""COMPUTED_VALUE"""),"nan")</f>
        <v>nan</v>
      </c>
      <c r="L162" s="17">
        <f ca="1">IFERROR(__xludf.DUMMYFUNCTION("""COMPUTED_VALUE"""),0.116295386547894)</f>
        <v>0.11629538654789399</v>
      </c>
      <c r="M162" s="17">
        <f ca="1">IFERROR(__xludf.DUMMYFUNCTION("""COMPUTED_VALUE"""),0.136509561740084)</f>
        <v>0.136509561740084</v>
      </c>
      <c r="N162" s="17">
        <f ca="1">IFERROR(__xludf.DUMMYFUNCTION("""COMPUTED_VALUE"""),0.138316738396837)</f>
        <v>0.138316738396837</v>
      </c>
      <c r="O162" s="17">
        <f ca="1">IFERROR(__xludf.DUMMYFUNCTION("""COMPUTED_VALUE"""),0.112054120551226)</f>
        <v>0.112054120551226</v>
      </c>
      <c r="P162" s="17">
        <f ca="1">IFERROR(__xludf.DUMMYFUNCTION("""COMPUTED_VALUE"""),0.597092556546609)</f>
        <v>0.59709255654660898</v>
      </c>
      <c r="Q162" s="17">
        <f ca="1">IFERROR(__xludf.DUMMYFUNCTION("""COMPUTED_VALUE"""),0.299988148414996)</f>
        <v>0.29998814841499599</v>
      </c>
      <c r="R162" s="17">
        <f ca="1">IFERROR(__xludf.DUMMYFUNCTION("""COMPUTED_VALUE"""),0.0872025047149152)</f>
        <v>8.7202504714915197E-2</v>
      </c>
      <c r="S162" s="17">
        <f ca="1">IFERROR(__xludf.DUMMYFUNCTION("""COMPUTED_VALUE"""),0.880880588274425)</f>
        <v>0.88088058827442495</v>
      </c>
      <c r="T162" s="17">
        <f ca="1">IFERROR(__xludf.DUMMYFUNCTION("""COMPUTED_VALUE"""),0.204430297112591)</f>
        <v>0.204430297112591</v>
      </c>
      <c r="U162" s="17">
        <f ca="1">IFERROR(__xludf.DUMMYFUNCTION("""COMPUTED_VALUE"""),0.120558098223898)</f>
        <v>0.120558098223898</v>
      </c>
      <c r="V162" s="17">
        <f ca="1">IFERROR(__xludf.DUMMYFUNCTION("""COMPUTED_VALUE"""),0.142182534164519)</f>
        <v>0.14218253416451901</v>
      </c>
      <c r="W162" s="17">
        <f ca="1">IFERROR(__xludf.DUMMYFUNCTION("""COMPUTED_VALUE"""),0.381079799547944)</f>
        <v>0.38107979954794402</v>
      </c>
      <c r="X162" s="17">
        <f ca="1">IFERROR(__xludf.DUMMYFUNCTION("""COMPUTED_VALUE"""),0.217034116724449)</f>
        <v>0.217034116724449</v>
      </c>
      <c r="Y162" s="17">
        <f ca="1">IFERROR(__xludf.DUMMYFUNCTION("""COMPUTED_VALUE"""),0.203453130347004)</f>
        <v>0.20345313034700399</v>
      </c>
      <c r="Z162" s="17">
        <f ca="1">IFERROR(__xludf.DUMMYFUNCTION("""COMPUTED_VALUE"""),0.301009038797739)</f>
        <v>0.30100903879773899</v>
      </c>
      <c r="AA162" s="17">
        <f ca="1">IFERROR(__xludf.DUMMYFUNCTION("""COMPUTED_VALUE"""),0.0724503609111548)</f>
        <v>7.2450360911154796E-2</v>
      </c>
      <c r="AB162" s="17">
        <f ca="1">IFERROR(__xludf.DUMMYFUNCTION("""COMPUTED_VALUE"""),0.223644074280082)</f>
        <v>0.22364407428008201</v>
      </c>
      <c r="AC162" s="17">
        <f ca="1">IFERROR(__xludf.DUMMYFUNCTION("""COMPUTED_VALUE"""),0.485297673048282)</f>
        <v>0.48529767304828197</v>
      </c>
      <c r="AD162" s="17">
        <f ca="1">IFERROR(__xludf.DUMMYFUNCTION("""COMPUTED_VALUE"""),0.378794450661136)</f>
        <v>0.37879445066113598</v>
      </c>
      <c r="AE162" s="17">
        <f ca="1">IFERROR(__xludf.DUMMYFUNCTION("""COMPUTED_VALUE"""),0.752597380778285)</f>
        <v>0.75259738077828497</v>
      </c>
      <c r="AF162" s="17">
        <f ca="1">IFERROR(__xludf.DUMMYFUNCTION("""COMPUTED_VALUE"""),0.550487355079562)</f>
        <v>0.55048735507956204</v>
      </c>
      <c r="AG162" s="17">
        <f ca="1">IFERROR(__xludf.DUMMYFUNCTION("""COMPUTED_VALUE"""),0.827453729048387)</f>
        <v>0.82745372904838699</v>
      </c>
      <c r="AH162" s="17">
        <f ca="1">IFERROR(__xludf.DUMMYFUNCTION("""COMPUTED_VALUE"""),0.563132832762612)</f>
        <v>0.56313283276261195</v>
      </c>
      <c r="AI162" s="17">
        <f ca="1">IFERROR(__xludf.DUMMYFUNCTION("""COMPUTED_VALUE"""),0.352486270762045)</f>
        <v>0.35248627076204497</v>
      </c>
      <c r="AJ162" s="17">
        <f ca="1">IFERROR(__xludf.DUMMYFUNCTION("""COMPUTED_VALUE"""),0.482764421829053)</f>
        <v>0.48276442182905299</v>
      </c>
    </row>
    <row r="163" spans="2:36" ht="15.75" customHeight="1" x14ac:dyDescent="0.45">
      <c r="B163" s="10" t="str">
        <f ca="1">IFERROR(__xludf.DUMMYFUNCTION("""COMPUTED_VALUE"""),"DistalPhalanxOutlineAgeGroup")</f>
        <v>DistalPhalanxOutlineAgeGroup</v>
      </c>
      <c r="C163" s="10" t="str">
        <f ca="1">IFERROR(__xludf.DUMMYFUNCTION("""COMPUTED_VALUE"""),"mcar")</f>
        <v>mcar</v>
      </c>
      <c r="D163" s="10">
        <f ca="1">IFERROR(__xludf.DUMMYFUNCTION("""COMPUTED_VALUE"""),0.2)</f>
        <v>0.2</v>
      </c>
      <c r="E163" s="17">
        <f ca="1">IFERROR(__xludf.DUMMYFUNCTION("""COMPUTED_VALUE"""),1.03924637640996)</f>
        <v>1.03924637640996</v>
      </c>
      <c r="F163" s="17">
        <f ca="1">IFERROR(__xludf.DUMMYFUNCTION("""COMPUTED_VALUE"""),0.13110628240393)</f>
        <v>0.13110628240392999</v>
      </c>
      <c r="G163" s="17">
        <f ca="1">IFERROR(__xludf.DUMMYFUNCTION("""COMPUTED_VALUE"""),0.134878554051637)</f>
        <v>0.13487855405163701</v>
      </c>
      <c r="H163" s="17">
        <f ca="1">IFERROR(__xludf.DUMMYFUNCTION("""COMPUTED_VALUE"""),0.181686810203342)</f>
        <v>0.18168681020334199</v>
      </c>
      <c r="I163" s="17">
        <f ca="1">IFERROR(__xludf.DUMMYFUNCTION("""COMPUTED_VALUE"""),0.0804496460015938)</f>
        <v>8.0449646001593794E-2</v>
      </c>
      <c r="J163" s="17">
        <f ca="1">IFERROR(__xludf.DUMMYFUNCTION("""COMPUTED_VALUE"""),0.113883143637165)</f>
        <v>0.11388314363716499</v>
      </c>
      <c r="K163" s="17" t="str">
        <f ca="1">IFERROR(__xludf.DUMMYFUNCTION("""COMPUTED_VALUE"""),"nan")</f>
        <v>nan</v>
      </c>
      <c r="L163" s="17">
        <f ca="1">IFERROR(__xludf.DUMMYFUNCTION("""COMPUTED_VALUE"""),0.119479702794151)</f>
        <v>0.119479702794151</v>
      </c>
      <c r="M163" s="17">
        <f ca="1">IFERROR(__xludf.DUMMYFUNCTION("""COMPUTED_VALUE"""),0.128745148169027)</f>
        <v>0.12874514816902699</v>
      </c>
      <c r="N163" s="17">
        <f ca="1">IFERROR(__xludf.DUMMYFUNCTION("""COMPUTED_VALUE"""),0.212385476823345)</f>
        <v>0.21238547682334499</v>
      </c>
      <c r="O163" s="17">
        <f ca="1">IFERROR(__xludf.DUMMYFUNCTION("""COMPUTED_VALUE"""),0.117755706341221)</f>
        <v>0.117755706341221</v>
      </c>
      <c r="P163" s="17">
        <f ca="1">IFERROR(__xludf.DUMMYFUNCTION("""COMPUTED_VALUE"""),0.64583775432217)</f>
        <v>0.64583775432217005</v>
      </c>
      <c r="Q163" s="17">
        <f ca="1">IFERROR(__xludf.DUMMYFUNCTION("""COMPUTED_VALUE"""),0.297403542949134)</f>
        <v>0.29740354294913401</v>
      </c>
      <c r="R163" s="17">
        <f ca="1">IFERROR(__xludf.DUMMYFUNCTION("""COMPUTED_VALUE"""),0.0902088042792203)</f>
        <v>9.0208804279220303E-2</v>
      </c>
      <c r="S163" s="17">
        <f ca="1">IFERROR(__xludf.DUMMYFUNCTION("""COMPUTED_VALUE"""),0.880306477320432)</f>
        <v>0.88030647732043199</v>
      </c>
      <c r="T163" s="17">
        <f ca="1">IFERROR(__xludf.DUMMYFUNCTION("""COMPUTED_VALUE"""),0.220154525419779)</f>
        <v>0.22015452541977901</v>
      </c>
      <c r="U163" s="17">
        <f ca="1">IFERROR(__xludf.DUMMYFUNCTION("""COMPUTED_VALUE"""),0.137885764825153)</f>
        <v>0.137885764825153</v>
      </c>
      <c r="V163" s="17">
        <f ca="1">IFERROR(__xludf.DUMMYFUNCTION("""COMPUTED_VALUE"""),0.163702855214426)</f>
        <v>0.16370285521442601</v>
      </c>
      <c r="W163" s="17">
        <f ca="1">IFERROR(__xludf.DUMMYFUNCTION("""COMPUTED_VALUE"""),0.440776197320217)</f>
        <v>0.440776197320217</v>
      </c>
      <c r="X163" s="17">
        <f ca="1">IFERROR(__xludf.DUMMYFUNCTION("""COMPUTED_VALUE"""),0.216902570916558)</f>
        <v>0.21690257091655801</v>
      </c>
      <c r="Y163" s="17">
        <f ca="1">IFERROR(__xludf.DUMMYFUNCTION("""COMPUTED_VALUE"""),0.21305563238454)</f>
        <v>0.21305563238454001</v>
      </c>
      <c r="Z163" s="17">
        <f ca="1">IFERROR(__xludf.DUMMYFUNCTION("""COMPUTED_VALUE"""),0.365836709951633)</f>
        <v>0.36583670995163298</v>
      </c>
      <c r="AA163" s="17">
        <f ca="1">IFERROR(__xludf.DUMMYFUNCTION("""COMPUTED_VALUE"""),0.070531686921297)</f>
        <v>7.0531686921296993E-2</v>
      </c>
      <c r="AB163" s="17">
        <f ca="1">IFERROR(__xludf.DUMMYFUNCTION("""COMPUTED_VALUE"""),0.192686525711627)</f>
        <v>0.192686525711627</v>
      </c>
      <c r="AC163" s="17">
        <f ca="1">IFERROR(__xludf.DUMMYFUNCTION("""COMPUTED_VALUE"""),0.521301391868481)</f>
        <v>0.52130139186848101</v>
      </c>
      <c r="AD163" s="17">
        <f ca="1">IFERROR(__xludf.DUMMYFUNCTION("""COMPUTED_VALUE"""),0.631891249939359)</f>
        <v>0.63189124993935897</v>
      </c>
      <c r="AE163" s="17">
        <f ca="1">IFERROR(__xludf.DUMMYFUNCTION("""COMPUTED_VALUE"""),0.999682731211822)</f>
        <v>0.99968273121182205</v>
      </c>
      <c r="AF163" s="17">
        <f ca="1">IFERROR(__xludf.DUMMYFUNCTION("""COMPUTED_VALUE"""),0.172071412440034)</f>
        <v>0.17207141244003399</v>
      </c>
      <c r="AG163" s="17">
        <f ca="1">IFERROR(__xludf.DUMMYFUNCTION("""COMPUTED_VALUE"""),0.985318434181621)</f>
        <v>0.98531843418162102</v>
      </c>
      <c r="AH163" s="17">
        <f ca="1">IFERROR(__xludf.DUMMYFUNCTION("""COMPUTED_VALUE"""),0.683738294962754)</f>
        <v>0.68373829496275396</v>
      </c>
      <c r="AI163" s="17">
        <f ca="1">IFERROR(__xludf.DUMMYFUNCTION("""COMPUTED_VALUE"""),0.674712796153026)</f>
        <v>0.67471279615302604</v>
      </c>
      <c r="AJ163" s="17">
        <f ca="1">IFERROR(__xludf.DUMMYFUNCTION("""COMPUTED_VALUE"""),0.545989211841891)</f>
        <v>0.54598921184189098</v>
      </c>
    </row>
    <row r="164" spans="2:36" ht="15.75" customHeight="1" x14ac:dyDescent="0.45">
      <c r="B164" s="10" t="str">
        <f ca="1">IFERROR(__xludf.DUMMYFUNCTION("""COMPUTED_VALUE"""),"DistalPhalanxOutlineAgeGroup")</f>
        <v>DistalPhalanxOutlineAgeGroup</v>
      </c>
      <c r="C164" s="10" t="str">
        <f ca="1">IFERROR(__xludf.DUMMYFUNCTION("""COMPUTED_VALUE"""),"mcar")</f>
        <v>mcar</v>
      </c>
      <c r="D164" s="10">
        <f ca="1">IFERROR(__xludf.DUMMYFUNCTION("""COMPUTED_VALUE"""),0.4)</f>
        <v>0.4</v>
      </c>
      <c r="E164" s="17">
        <f ca="1">IFERROR(__xludf.DUMMYFUNCTION("""COMPUTED_VALUE"""),1.00689704485821)</f>
        <v>1.00689704485821</v>
      </c>
      <c r="F164" s="17">
        <f ca="1">IFERROR(__xludf.DUMMYFUNCTION("""COMPUTED_VALUE"""),0.142962447208454)</f>
        <v>0.142962447208454</v>
      </c>
      <c r="G164" s="17">
        <f ca="1">IFERROR(__xludf.DUMMYFUNCTION("""COMPUTED_VALUE"""),0.140494996873951)</f>
        <v>0.14049499687395101</v>
      </c>
      <c r="H164" s="17">
        <f ca="1">IFERROR(__xludf.DUMMYFUNCTION("""COMPUTED_VALUE"""),0.195645379390565)</f>
        <v>0.19564537939056501</v>
      </c>
      <c r="I164" s="17">
        <f ca="1">IFERROR(__xludf.DUMMYFUNCTION("""COMPUTED_VALUE"""),0.10531015243933)</f>
        <v>0.10531015243932999</v>
      </c>
      <c r="J164" s="17">
        <f ca="1">IFERROR(__xludf.DUMMYFUNCTION("""COMPUTED_VALUE"""),0.31108513976293)</f>
        <v>0.31108513976293001</v>
      </c>
      <c r="K164" s="17" t="str">
        <f ca="1">IFERROR(__xludf.DUMMYFUNCTION("""COMPUTED_VALUE"""),"nan")</f>
        <v>nan</v>
      </c>
      <c r="L164" s="17">
        <f ca="1">IFERROR(__xludf.DUMMYFUNCTION("""COMPUTED_VALUE"""),0.133273784841993)</f>
        <v>0.13327378484199301</v>
      </c>
      <c r="M164" s="17">
        <f ca="1">IFERROR(__xludf.DUMMYFUNCTION("""COMPUTED_VALUE"""),0.145196454188264)</f>
        <v>0.14519645418826399</v>
      </c>
      <c r="N164" s="17">
        <f ca="1">IFERROR(__xludf.DUMMYFUNCTION("""COMPUTED_VALUE"""),0.207366293708079)</f>
        <v>0.20736629370807899</v>
      </c>
      <c r="O164" s="17">
        <f ca="1">IFERROR(__xludf.DUMMYFUNCTION("""COMPUTED_VALUE"""),0.121529287671124)</f>
        <v>0.121529287671124</v>
      </c>
      <c r="P164" s="17">
        <f ca="1">IFERROR(__xludf.DUMMYFUNCTION("""COMPUTED_VALUE"""),0.691663545131456)</f>
        <v>0.691663545131456</v>
      </c>
      <c r="Q164" s="17">
        <f ca="1">IFERROR(__xludf.DUMMYFUNCTION("""COMPUTED_VALUE"""),0.388350611469417)</f>
        <v>0.38835061146941702</v>
      </c>
      <c r="R164" s="17">
        <f ca="1">IFERROR(__xludf.DUMMYFUNCTION("""COMPUTED_VALUE"""),0.118507088011235)</f>
        <v>0.118507088011235</v>
      </c>
      <c r="S164" s="17">
        <f ca="1">IFERROR(__xludf.DUMMYFUNCTION("""COMPUTED_VALUE"""),0.982347261848688)</f>
        <v>0.98234726184868804</v>
      </c>
      <c r="T164" s="17">
        <f ca="1">IFERROR(__xludf.DUMMYFUNCTION("""COMPUTED_VALUE"""),0.270865678002395)</f>
        <v>0.27086567800239503</v>
      </c>
      <c r="U164" s="17">
        <f ca="1">IFERROR(__xludf.DUMMYFUNCTION("""COMPUTED_VALUE"""),0.148782725511887)</f>
        <v>0.14878272551188701</v>
      </c>
      <c r="V164" s="17">
        <f ca="1">IFERROR(__xludf.DUMMYFUNCTION("""COMPUTED_VALUE"""),0.218930290442512)</f>
        <v>0.218930290442512</v>
      </c>
      <c r="W164" s="17">
        <f ca="1">IFERROR(__xludf.DUMMYFUNCTION("""COMPUTED_VALUE"""),0.386331411137142)</f>
        <v>0.38633141113714198</v>
      </c>
      <c r="X164" s="17">
        <f ca="1">IFERROR(__xludf.DUMMYFUNCTION("""COMPUTED_VALUE"""),0.228010127904511)</f>
        <v>0.228010127904511</v>
      </c>
      <c r="Y164" s="17">
        <f ca="1">IFERROR(__xludf.DUMMYFUNCTION("""COMPUTED_VALUE"""),0.224238288224797)</f>
        <v>0.22423828822479699</v>
      </c>
      <c r="Z164" s="17">
        <f ca="1">IFERROR(__xludf.DUMMYFUNCTION("""COMPUTED_VALUE"""),0.612146799587049)</f>
        <v>0.61214679958704898</v>
      </c>
      <c r="AA164" s="17">
        <f ca="1">IFERROR(__xludf.DUMMYFUNCTION("""COMPUTED_VALUE"""),0.166482948348134)</f>
        <v>0.16648294834813401</v>
      </c>
      <c r="AB164" s="17">
        <f ca="1">IFERROR(__xludf.DUMMYFUNCTION("""COMPUTED_VALUE"""),0.236364899092131)</f>
        <v>0.23636489909213099</v>
      </c>
      <c r="AC164" s="17">
        <f ca="1">IFERROR(__xludf.DUMMYFUNCTION("""COMPUTED_VALUE"""),0.523121510980214)</f>
        <v>0.52312151098021398</v>
      </c>
      <c r="AD164" s="17">
        <f ca="1">IFERROR(__xludf.DUMMYFUNCTION("""COMPUTED_VALUE"""),0.343756240446206)</f>
        <v>0.34375624044620601</v>
      </c>
      <c r="AE164" s="17">
        <f ca="1">IFERROR(__xludf.DUMMYFUNCTION("""COMPUTED_VALUE"""),1.16576671136929)</f>
        <v>1.16576671136929</v>
      </c>
      <c r="AF164" s="17">
        <f ca="1">IFERROR(__xludf.DUMMYFUNCTION("""COMPUTED_VALUE"""),0.353573083992911)</f>
        <v>0.35357308399291099</v>
      </c>
      <c r="AG164" s="17">
        <f ca="1">IFERROR(__xludf.DUMMYFUNCTION("""COMPUTED_VALUE"""),0.953125997107031)</f>
        <v>0.95312599710703105</v>
      </c>
      <c r="AH164" s="17">
        <f ca="1">IFERROR(__xludf.DUMMYFUNCTION("""COMPUTED_VALUE"""),0.841395921912866)</f>
        <v>0.84139592191286605</v>
      </c>
      <c r="AI164" s="17">
        <f ca="1">IFERROR(__xludf.DUMMYFUNCTION("""COMPUTED_VALUE"""),1.07289159040801)</f>
        <v>1.0728915904080101</v>
      </c>
      <c r="AJ164" s="17">
        <f ca="1">IFERROR(__xludf.DUMMYFUNCTION("""COMPUTED_VALUE"""),0.860631329343042)</f>
        <v>0.86063132934304198</v>
      </c>
    </row>
    <row r="165" spans="2:36" ht="15.75" customHeight="1" x14ac:dyDescent="0.45">
      <c r="B165" s="10" t="str">
        <f ca="1">IFERROR(__xludf.DUMMYFUNCTION("""COMPUTED_VALUE"""),"DistalPhalanxOutlineAgeGroup")</f>
        <v>DistalPhalanxOutlineAgeGroup</v>
      </c>
      <c r="C165" s="10" t="str">
        <f ca="1">IFERROR(__xludf.DUMMYFUNCTION("""COMPUTED_VALUE"""),"mcar")</f>
        <v>mcar</v>
      </c>
      <c r="D165" s="10">
        <f ca="1">IFERROR(__xludf.DUMMYFUNCTION("""COMPUTED_VALUE"""),0.6)</f>
        <v>0.6</v>
      </c>
      <c r="E165" s="17">
        <f ca="1">IFERROR(__xludf.DUMMYFUNCTION("""COMPUTED_VALUE"""),1.01342201402365)</f>
        <v>1.0134220140236501</v>
      </c>
      <c r="F165" s="17">
        <f ca="1">IFERROR(__xludf.DUMMYFUNCTION("""COMPUTED_VALUE"""),0.150613443452584)</f>
        <v>0.15061344345258401</v>
      </c>
      <c r="G165" s="17">
        <f ca="1">IFERROR(__xludf.DUMMYFUNCTION("""COMPUTED_VALUE"""),0.146852915267074)</f>
        <v>0.146852915267074</v>
      </c>
      <c r="H165" s="17">
        <f ca="1">IFERROR(__xludf.DUMMYFUNCTION("""COMPUTED_VALUE"""),0.206866828131477)</f>
        <v>0.206866828131477</v>
      </c>
      <c r="I165" s="17">
        <f ca="1">IFERROR(__xludf.DUMMYFUNCTION("""COMPUTED_VALUE"""),0.12302300752203)</f>
        <v>0.12302300752203001</v>
      </c>
      <c r="J165" s="17">
        <f ca="1">IFERROR(__xludf.DUMMYFUNCTION("""COMPUTED_VALUE"""),0.328939360625305)</f>
        <v>0.32893936062530499</v>
      </c>
      <c r="K165" s="17" t="str">
        <f ca="1">IFERROR(__xludf.DUMMYFUNCTION("""COMPUTED_VALUE"""),"nan")</f>
        <v>nan</v>
      </c>
      <c r="L165" s="17">
        <f ca="1">IFERROR(__xludf.DUMMYFUNCTION("""COMPUTED_VALUE"""),0.139530753080408)</f>
        <v>0.13953075308040799</v>
      </c>
      <c r="M165" s="17">
        <f ca="1">IFERROR(__xludf.DUMMYFUNCTION("""COMPUTED_VALUE"""),0.157584199791797)</f>
        <v>0.157584199791797</v>
      </c>
      <c r="N165" s="17">
        <f ca="1">IFERROR(__xludf.DUMMYFUNCTION("""COMPUTED_VALUE"""),0.194952994227148)</f>
        <v>0.19495299422714801</v>
      </c>
      <c r="O165" s="17">
        <f ca="1">IFERROR(__xludf.DUMMYFUNCTION("""COMPUTED_VALUE"""),0.125637455715117)</f>
        <v>0.125637455715117</v>
      </c>
      <c r="P165" s="17">
        <f ca="1">IFERROR(__xludf.DUMMYFUNCTION("""COMPUTED_VALUE"""),0.748542685147632)</f>
        <v>0.748542685147632</v>
      </c>
      <c r="Q165" s="17">
        <f ca="1">IFERROR(__xludf.DUMMYFUNCTION("""COMPUTED_VALUE"""),0.43974007532355)</f>
        <v>0.43974007532354997</v>
      </c>
      <c r="R165" s="17">
        <f ca="1">IFERROR(__xludf.DUMMYFUNCTION("""COMPUTED_VALUE"""),0.138640686163952)</f>
        <v>0.138640686163952</v>
      </c>
      <c r="S165" s="17">
        <f ca="1">IFERROR(__xludf.DUMMYFUNCTION("""COMPUTED_VALUE"""),0.995154380011002)</f>
        <v>0.99515438001100198</v>
      </c>
      <c r="T165" s="17">
        <f ca="1">IFERROR(__xludf.DUMMYFUNCTION("""COMPUTED_VALUE"""),0.397559126907155)</f>
        <v>0.397559126907155</v>
      </c>
      <c r="U165" s="17">
        <f ca="1">IFERROR(__xludf.DUMMYFUNCTION("""COMPUTED_VALUE"""),0.17832528019088)</f>
        <v>0.17832528019088001</v>
      </c>
      <c r="V165" s="17">
        <f ca="1">IFERROR(__xludf.DUMMYFUNCTION("""COMPUTED_VALUE"""),0.240467007071977)</f>
        <v>0.24046700707197699</v>
      </c>
      <c r="W165" s="17">
        <f ca="1">IFERROR(__xludf.DUMMYFUNCTION("""COMPUTED_VALUE"""),0.42268855408138)</f>
        <v>0.42268855408138001</v>
      </c>
      <c r="X165" s="17">
        <f ca="1">IFERROR(__xludf.DUMMYFUNCTION("""COMPUTED_VALUE"""),0.233124731725125)</f>
        <v>0.23312473172512499</v>
      </c>
      <c r="Y165" s="17">
        <f ca="1">IFERROR(__xludf.DUMMYFUNCTION("""COMPUTED_VALUE"""),0.227641475787627)</f>
        <v>0.227641475787627</v>
      </c>
      <c r="Z165" s="17">
        <f ca="1">IFERROR(__xludf.DUMMYFUNCTION("""COMPUTED_VALUE"""),0.70968228495854)</f>
        <v>0.70968228495854002</v>
      </c>
      <c r="AA165" s="17">
        <f ca="1">IFERROR(__xludf.DUMMYFUNCTION("""COMPUTED_VALUE"""),0.126609942981975)</f>
        <v>0.126609942981975</v>
      </c>
      <c r="AB165" s="17">
        <f ca="1">IFERROR(__xludf.DUMMYFUNCTION("""COMPUTED_VALUE"""),0.310059157653348)</f>
        <v>0.31005915765334802</v>
      </c>
      <c r="AC165" s="17">
        <f ca="1">IFERROR(__xludf.DUMMYFUNCTION("""COMPUTED_VALUE"""),0.528379283464618)</f>
        <v>0.52837928346461804</v>
      </c>
      <c r="AD165" s="17">
        <f ca="1">IFERROR(__xludf.DUMMYFUNCTION("""COMPUTED_VALUE"""),0.370926733682036)</f>
        <v>0.37092673368203599</v>
      </c>
      <c r="AE165" s="17">
        <f ca="1">IFERROR(__xludf.DUMMYFUNCTION("""COMPUTED_VALUE"""),1.265113663172)</f>
        <v>1.2651136631719999</v>
      </c>
      <c r="AF165" s="17">
        <f ca="1">IFERROR(__xludf.DUMMYFUNCTION("""COMPUTED_VALUE"""),0.448064064757239)</f>
        <v>0.44806406475723898</v>
      </c>
      <c r="AG165" s="17">
        <f ca="1">IFERROR(__xludf.DUMMYFUNCTION("""COMPUTED_VALUE"""),1.06946179922004)</f>
        <v>1.0694617992200399</v>
      </c>
      <c r="AH165" s="17">
        <f ca="1">IFERROR(__xludf.DUMMYFUNCTION("""COMPUTED_VALUE"""),1.0314437147736)</f>
        <v>1.0314437147736</v>
      </c>
      <c r="AI165" s="17">
        <f ca="1">IFERROR(__xludf.DUMMYFUNCTION("""COMPUTED_VALUE"""),1.07252143297315)</f>
        <v>1.0725214329731501</v>
      </c>
      <c r="AJ165" s="17">
        <f ca="1">IFERROR(__xludf.DUMMYFUNCTION("""COMPUTED_VALUE"""),1.1099183231162)</f>
        <v>1.1099183231162</v>
      </c>
    </row>
    <row r="166" spans="2:36" ht="15.75" customHeight="1" x14ac:dyDescent="0.45">
      <c r="B166" s="10" t="str">
        <f ca="1">IFERROR(__xludf.DUMMYFUNCTION("""COMPUTED_VALUE"""),"DistalPhalanxOutlineAgeGroup")</f>
        <v>DistalPhalanxOutlineAgeGroup</v>
      </c>
      <c r="C166" s="10" t="str">
        <f ca="1">IFERROR(__xludf.DUMMYFUNCTION("""COMPUTED_VALUE"""),"mcar")</f>
        <v>mcar</v>
      </c>
      <c r="D166" s="10">
        <f ca="1">IFERROR(__xludf.DUMMYFUNCTION("""COMPUTED_VALUE"""),0.8)</f>
        <v>0.8</v>
      </c>
      <c r="E166" s="17">
        <f ca="1">IFERROR(__xludf.DUMMYFUNCTION("""COMPUTED_VALUE"""),1.01454754415428)</f>
        <v>1.0145475441542799</v>
      </c>
      <c r="F166" s="17">
        <f ca="1">IFERROR(__xludf.DUMMYFUNCTION("""COMPUTED_VALUE"""),0.199232548848462)</f>
        <v>0.199232548848462</v>
      </c>
      <c r="G166" s="17">
        <f ca="1">IFERROR(__xludf.DUMMYFUNCTION("""COMPUTED_VALUE"""),0.17602996080492)</f>
        <v>0.17602996080492</v>
      </c>
      <c r="H166" s="17">
        <f ca="1">IFERROR(__xludf.DUMMYFUNCTION("""COMPUTED_VALUE"""),0.215487242349169)</f>
        <v>0.21548724234916899</v>
      </c>
      <c r="I166" s="17">
        <f ca="1">IFERROR(__xludf.DUMMYFUNCTION("""COMPUTED_VALUE"""),0.203774032329895)</f>
        <v>0.20377403232989499</v>
      </c>
      <c r="J166" s="17">
        <f ca="1">IFERROR(__xludf.DUMMYFUNCTION("""COMPUTED_VALUE"""),0.94210755318882)</f>
        <v>0.94210755318882</v>
      </c>
      <c r="K166" s="17" t="str">
        <f ca="1">IFERROR(__xludf.DUMMYFUNCTION("""COMPUTED_VALUE"""),"nan")</f>
        <v>nan</v>
      </c>
      <c r="L166" s="17">
        <f ca="1">IFERROR(__xludf.DUMMYFUNCTION("""COMPUTED_VALUE"""),0.182055989030422)</f>
        <v>0.182055989030422</v>
      </c>
      <c r="M166" s="17">
        <f ca="1">IFERROR(__xludf.DUMMYFUNCTION("""COMPUTED_VALUE"""),0.499693491882489)</f>
        <v>0.49969349188248902</v>
      </c>
      <c r="N166" s="17">
        <f ca="1">IFERROR(__xludf.DUMMYFUNCTION("""COMPUTED_VALUE"""),0.20673257396484)</f>
        <v>0.20673257396483999</v>
      </c>
      <c r="O166" s="17">
        <f ca="1">IFERROR(__xludf.DUMMYFUNCTION("""COMPUTED_VALUE"""),0.227617750970413)</f>
        <v>0.22761775097041301</v>
      </c>
      <c r="P166" s="17">
        <f ca="1">IFERROR(__xludf.DUMMYFUNCTION("""COMPUTED_VALUE"""),0.939678588419401)</f>
        <v>0.939678588419401</v>
      </c>
      <c r="Q166" s="17">
        <f ca="1">IFERROR(__xludf.DUMMYFUNCTION("""COMPUTED_VALUE"""),0.548394297848412)</f>
        <v>0.54839429784841198</v>
      </c>
      <c r="R166" s="17">
        <f ca="1">IFERROR(__xludf.DUMMYFUNCTION("""COMPUTED_VALUE"""),0.201450716044852)</f>
        <v>0.20145071604485201</v>
      </c>
      <c r="S166" s="17">
        <f ca="1">IFERROR(__xludf.DUMMYFUNCTION("""COMPUTED_VALUE"""),1.01414837315106)</f>
        <v>1.0141483731510601</v>
      </c>
      <c r="T166" s="17">
        <f ca="1">IFERROR(__xludf.DUMMYFUNCTION("""COMPUTED_VALUE"""),0.627689084118648)</f>
        <v>0.62768908411864799</v>
      </c>
      <c r="U166" s="17">
        <f ca="1">IFERROR(__xludf.DUMMYFUNCTION("""COMPUTED_VALUE"""),0.325419533387214)</f>
        <v>0.32541953338721402</v>
      </c>
      <c r="V166" s="17">
        <f ca="1">IFERROR(__xludf.DUMMYFUNCTION("""COMPUTED_VALUE"""),0.304132211671116)</f>
        <v>0.30413221167111598</v>
      </c>
      <c r="W166" s="17">
        <f ca="1">IFERROR(__xludf.DUMMYFUNCTION("""COMPUTED_VALUE"""),0.375197306016167)</f>
        <v>0.37519730601616702</v>
      </c>
      <c r="X166" s="17">
        <f ca="1">IFERROR(__xludf.DUMMYFUNCTION("""COMPUTED_VALUE"""),0.229731568208719)</f>
        <v>0.22973156820871901</v>
      </c>
      <c r="Y166" s="17">
        <f ca="1">IFERROR(__xludf.DUMMYFUNCTION("""COMPUTED_VALUE"""),0.347918151308004)</f>
        <v>0.34791815130800402</v>
      </c>
      <c r="Z166" s="17">
        <f ca="1">IFERROR(__xludf.DUMMYFUNCTION("""COMPUTED_VALUE"""),0.836107425761302)</f>
        <v>0.83610742576130204</v>
      </c>
      <c r="AA166" s="17">
        <f ca="1">IFERROR(__xludf.DUMMYFUNCTION("""COMPUTED_VALUE"""),0.231673186587252)</f>
        <v>0.231673186587252</v>
      </c>
      <c r="AB166" s="17">
        <f ca="1">IFERROR(__xludf.DUMMYFUNCTION("""COMPUTED_VALUE"""),0.60746929755725)</f>
        <v>0.60746929755724999</v>
      </c>
      <c r="AC166" s="17">
        <f ca="1">IFERROR(__xludf.DUMMYFUNCTION("""COMPUTED_VALUE"""),0.54010761063271)</f>
        <v>0.54010761063270996</v>
      </c>
      <c r="AD166" s="17">
        <f ca="1">IFERROR(__xludf.DUMMYFUNCTION("""COMPUTED_VALUE"""),0.510814938246099)</f>
        <v>0.51081493824609903</v>
      </c>
      <c r="AE166" s="17">
        <f ca="1">IFERROR(__xludf.DUMMYFUNCTION("""COMPUTED_VALUE"""),1.58400621413963)</f>
        <v>1.5840062141396301</v>
      </c>
      <c r="AF166" s="17">
        <f ca="1">IFERROR(__xludf.DUMMYFUNCTION("""COMPUTED_VALUE"""),0.700620874533544)</f>
        <v>0.70062087453354405</v>
      </c>
      <c r="AG166" s="17">
        <f ca="1">IFERROR(__xludf.DUMMYFUNCTION("""COMPUTED_VALUE"""),1.18632259670463)</f>
        <v>1.18632259670463</v>
      </c>
      <c r="AH166" s="17">
        <f ca="1">IFERROR(__xludf.DUMMYFUNCTION("""COMPUTED_VALUE"""),1.06610091123102)</f>
        <v>1.06610091123102</v>
      </c>
      <c r="AI166" s="17">
        <f ca="1">IFERROR(__xludf.DUMMYFUNCTION("""COMPUTED_VALUE"""),1.05347667415494)</f>
        <v>1.05347667415494</v>
      </c>
      <c r="AJ166" s="17">
        <f ca="1">IFERROR(__xludf.DUMMYFUNCTION("""COMPUTED_VALUE"""),1.19606412492413)</f>
        <v>1.1960641249241299</v>
      </c>
    </row>
    <row r="167" spans="2:36" ht="15.75" customHeight="1" x14ac:dyDescent="0.45">
      <c r="B167" s="10" t="str">
        <f ca="1">IFERROR(__xludf.DUMMYFUNCTION("""COMPUTED_VALUE"""),"DistalPhalanxOutlineCorrect")</f>
        <v>DistalPhalanxOutlineCorrect</v>
      </c>
      <c r="C167" s="10" t="str">
        <f ca="1">IFERROR(__xludf.DUMMYFUNCTION("""COMPUTED_VALUE"""),"aligned_series")</f>
        <v>aligned_series</v>
      </c>
      <c r="D167" s="10">
        <f ca="1">IFERROR(__xludf.DUMMYFUNCTION("""COMPUTED_VALUE"""),0.1)</f>
        <v>0.1</v>
      </c>
      <c r="E167" s="17">
        <f ca="1">IFERROR(__xludf.DUMMYFUNCTION("""COMPUTED_VALUE"""),0.989887720899299)</f>
        <v>0.989887720899299</v>
      </c>
      <c r="F167" s="17">
        <f ca="1">IFERROR(__xludf.DUMMYFUNCTION("""COMPUTED_VALUE"""),0.250732830918149)</f>
        <v>0.25073283091814902</v>
      </c>
      <c r="G167" s="17">
        <f ca="1">IFERROR(__xludf.DUMMYFUNCTION("""COMPUTED_VALUE"""),0.250948001593766)</f>
        <v>0.25094800159376601</v>
      </c>
      <c r="H167" s="17">
        <f ca="1">IFERROR(__xludf.DUMMYFUNCTION("""COMPUTED_VALUE"""),0.214547932910598)</f>
        <v>0.21454793291059801</v>
      </c>
      <c r="I167" s="17">
        <f ca="1">IFERROR(__xludf.DUMMYFUNCTION("""COMPUTED_VALUE"""),0.143852018829912)</f>
        <v>0.143852018829912</v>
      </c>
      <c r="J167" s="17">
        <f ca="1">IFERROR(__xludf.DUMMYFUNCTION("""COMPUTED_VALUE"""),1.031956112092)</f>
        <v>1.031956112092</v>
      </c>
      <c r="K167" s="17" t="str">
        <f ca="1">IFERROR(__xludf.DUMMYFUNCTION("""COMPUTED_VALUE"""),"nan")</f>
        <v>nan</v>
      </c>
      <c r="L167" s="17">
        <f ca="1">IFERROR(__xludf.DUMMYFUNCTION("""COMPUTED_VALUE"""),0.183843821745344)</f>
        <v>0.183843821745344</v>
      </c>
      <c r="M167" s="17">
        <f ca="1">IFERROR(__xludf.DUMMYFUNCTION("""COMPUTED_VALUE"""),0.234539034951969)</f>
        <v>0.23453903495196901</v>
      </c>
      <c r="N167" s="18">
        <f ca="1">IFERROR(__xludf.DUMMYFUNCTION("""COMPUTED_VALUE"""),0.354244949430836)</f>
        <v>0.35424494943083601</v>
      </c>
      <c r="O167" s="17">
        <f ca="1">IFERROR(__xludf.DUMMYFUNCTION("""COMPUTED_VALUE"""),0.165194015714856)</f>
        <v>0.16519401571485601</v>
      </c>
      <c r="P167" s="17">
        <f ca="1">IFERROR(__xludf.DUMMYFUNCTION("""COMPUTED_VALUE"""),0.870782515771091)</f>
        <v>0.870782515771091</v>
      </c>
      <c r="Q167" s="17">
        <f ca="1">IFERROR(__xludf.DUMMYFUNCTION("""COMPUTED_VALUE"""),0.339586227569671)</f>
        <v>0.339586227569671</v>
      </c>
      <c r="R167" s="17">
        <f ca="1">IFERROR(__xludf.DUMMYFUNCTION("""COMPUTED_VALUE"""),0.352772579723755)</f>
        <v>0.35277257972375498</v>
      </c>
      <c r="S167" s="17">
        <f ca="1">IFERROR(__xludf.DUMMYFUNCTION("""COMPUTED_VALUE"""),0.311403229651701)</f>
        <v>0.31140322965170097</v>
      </c>
      <c r="T167" s="17">
        <f ca="1">IFERROR(__xludf.DUMMYFUNCTION("""COMPUTED_VALUE"""),0.278064302652694)</f>
        <v>0.278064302652694</v>
      </c>
      <c r="U167" s="17">
        <f ca="1">IFERROR(__xludf.DUMMYFUNCTION("""COMPUTED_VALUE"""),0.189251300595406)</f>
        <v>0.18925130059540601</v>
      </c>
      <c r="V167" s="17">
        <f ca="1">IFERROR(__xludf.DUMMYFUNCTION("""COMPUTED_VALUE"""),0.219529057046682)</f>
        <v>0.21952905704668199</v>
      </c>
      <c r="W167" s="17">
        <f ca="1">IFERROR(__xludf.DUMMYFUNCTION("""COMPUTED_VALUE"""),0.3361898883723)</f>
        <v>0.33618988837230002</v>
      </c>
      <c r="X167" s="17">
        <f ca="1">IFERROR(__xludf.DUMMYFUNCTION("""COMPUTED_VALUE"""),0.313195229878113)</f>
        <v>0.31319522987811299</v>
      </c>
      <c r="Y167" s="17">
        <f ca="1">IFERROR(__xludf.DUMMYFUNCTION("""COMPUTED_VALUE"""),0.239168093948321)</f>
        <v>0.239168093948321</v>
      </c>
      <c r="Z167" s="17">
        <f ca="1">IFERROR(__xludf.DUMMYFUNCTION("""COMPUTED_VALUE"""),0.44157737834092)</f>
        <v>0.44157737834091998</v>
      </c>
      <c r="AA167" s="17">
        <f ca="1">IFERROR(__xludf.DUMMYFUNCTION("""COMPUTED_VALUE"""),0.16010818746004)</f>
        <v>0.16010818746003999</v>
      </c>
      <c r="AB167" s="17">
        <f ca="1">IFERROR(__xludf.DUMMYFUNCTION("""COMPUTED_VALUE"""),0.332998390237408)</f>
        <v>0.33299839023740802</v>
      </c>
      <c r="AC167" s="17">
        <f ca="1">IFERROR(__xludf.DUMMYFUNCTION("""COMPUTED_VALUE"""),0.611171199617263)</f>
        <v>0.61117119961726296</v>
      </c>
      <c r="AD167" s="17">
        <f ca="1">IFERROR(__xludf.DUMMYFUNCTION("""COMPUTED_VALUE"""),0.29090017345032)</f>
        <v>0.29090017345031999</v>
      </c>
      <c r="AE167" s="17">
        <f ca="1">IFERROR(__xludf.DUMMYFUNCTION("""COMPUTED_VALUE"""),1.11162638292763)</f>
        <v>1.1116263829276301</v>
      </c>
      <c r="AF167" s="17">
        <f ca="1">IFERROR(__xludf.DUMMYFUNCTION("""COMPUTED_VALUE"""),0.346264303888893)</f>
        <v>0.34626430388889301</v>
      </c>
      <c r="AG167" s="17">
        <f ca="1">IFERROR(__xludf.DUMMYFUNCTION("""COMPUTED_VALUE"""),0.654954033833916)</f>
        <v>0.65495403383391604</v>
      </c>
      <c r="AH167" s="17">
        <f ca="1">IFERROR(__xludf.DUMMYFUNCTION("""COMPUTED_VALUE"""),0.99425078583663)</f>
        <v>0.99425078583662996</v>
      </c>
      <c r="AI167" s="17">
        <f ca="1">IFERROR(__xludf.DUMMYFUNCTION("""COMPUTED_VALUE"""),1.11983998513535)</f>
        <v>1.11983998513535</v>
      </c>
      <c r="AJ167" s="17">
        <f ca="1">IFERROR(__xludf.DUMMYFUNCTION("""COMPUTED_VALUE"""),0.717853161417161)</f>
        <v>0.71785316141716105</v>
      </c>
    </row>
    <row r="168" spans="2:36" ht="15.75" customHeight="1" x14ac:dyDescent="0.45">
      <c r="B168" s="10" t="str">
        <f ca="1">IFERROR(__xludf.DUMMYFUNCTION("""COMPUTED_VALUE"""),"DistalPhalanxOutlineCorrect")</f>
        <v>DistalPhalanxOutlineCorrect</v>
      </c>
      <c r="C168" s="10" t="str">
        <f ca="1">IFERROR(__xludf.DUMMYFUNCTION("""COMPUTED_VALUE"""),"aligned_series")</f>
        <v>aligned_series</v>
      </c>
      <c r="D168" s="10">
        <f ca="1">IFERROR(__xludf.DUMMYFUNCTION("""COMPUTED_VALUE"""),0.2)</f>
        <v>0.2</v>
      </c>
      <c r="E168" s="17">
        <f ca="1">IFERROR(__xludf.DUMMYFUNCTION("""COMPUTED_VALUE"""),1.00650473823125)</f>
        <v>1.00650473823125</v>
      </c>
      <c r="F168" s="17">
        <f ca="1">IFERROR(__xludf.DUMMYFUNCTION("""COMPUTED_VALUE"""),0.23841534916122)</f>
        <v>0.23841534916122001</v>
      </c>
      <c r="G168" s="17">
        <f ca="1">IFERROR(__xludf.DUMMYFUNCTION("""COMPUTED_VALUE"""),0.23663400361083)</f>
        <v>0.23663400361083001</v>
      </c>
      <c r="H168" s="17">
        <f ca="1">IFERROR(__xludf.DUMMYFUNCTION("""COMPUTED_VALUE"""),0.220580214689244)</f>
        <v>0.22058021468924399</v>
      </c>
      <c r="I168" s="17">
        <f ca="1">IFERROR(__xludf.DUMMYFUNCTION("""COMPUTED_VALUE"""),0.16398287801872)</f>
        <v>0.16398287801872</v>
      </c>
      <c r="J168" s="17">
        <f ca="1">IFERROR(__xludf.DUMMYFUNCTION("""COMPUTED_VALUE"""),1.00011289161854)</f>
        <v>1.00011289161854</v>
      </c>
      <c r="K168" s="17" t="str">
        <f ca="1">IFERROR(__xludf.DUMMYFUNCTION("""COMPUTED_VALUE"""),"nan")</f>
        <v>nan</v>
      </c>
      <c r="L168" s="17">
        <f ca="1">IFERROR(__xludf.DUMMYFUNCTION("""COMPUTED_VALUE"""),0.1934346769618)</f>
        <v>0.1934346769618</v>
      </c>
      <c r="M168" s="17">
        <f ca="1">IFERROR(__xludf.DUMMYFUNCTION("""COMPUTED_VALUE"""),0.231261767251719)</f>
        <v>0.23126176725171901</v>
      </c>
      <c r="N168" s="18">
        <f ca="1">IFERROR(__xludf.DUMMYFUNCTION("""COMPUTED_VALUE"""),0.344926650872643)</f>
        <v>0.34492665087264301</v>
      </c>
      <c r="O168" s="17">
        <f ca="1">IFERROR(__xludf.DUMMYFUNCTION("""COMPUTED_VALUE"""),0.173434632195425)</f>
        <v>0.17343463219542499</v>
      </c>
      <c r="P168" s="17">
        <f ca="1">IFERROR(__xludf.DUMMYFUNCTION("""COMPUTED_VALUE"""),0.903301719456767)</f>
        <v>0.90330171945676696</v>
      </c>
      <c r="Q168" s="17">
        <f ca="1">IFERROR(__xludf.DUMMYFUNCTION("""COMPUTED_VALUE"""),0.346059204558989)</f>
        <v>0.34605920455898898</v>
      </c>
      <c r="R168" s="17">
        <f ca="1">IFERROR(__xludf.DUMMYFUNCTION("""COMPUTED_VALUE"""),0.532953713253517)</f>
        <v>0.53295371325351704</v>
      </c>
      <c r="S168" s="17">
        <f ca="1">IFERROR(__xludf.DUMMYFUNCTION("""COMPUTED_VALUE"""),0.440428474915894)</f>
        <v>0.44042847491589399</v>
      </c>
      <c r="T168" s="17">
        <f ca="1">IFERROR(__xludf.DUMMYFUNCTION("""COMPUTED_VALUE"""),0.28716526103768)</f>
        <v>0.28716526103767998</v>
      </c>
      <c r="U168" s="17">
        <f ca="1">IFERROR(__xludf.DUMMYFUNCTION("""COMPUTED_VALUE"""),0.201283049144443)</f>
        <v>0.201283049144443</v>
      </c>
      <c r="V168" s="17">
        <f ca="1">IFERROR(__xludf.DUMMYFUNCTION("""COMPUTED_VALUE"""),0.193754780728462)</f>
        <v>0.193754780728462</v>
      </c>
      <c r="W168" s="17">
        <f ca="1">IFERROR(__xludf.DUMMYFUNCTION("""COMPUTED_VALUE"""),0.319567363488999)</f>
        <v>0.319567363488999</v>
      </c>
      <c r="X168" s="17">
        <f ca="1">IFERROR(__xludf.DUMMYFUNCTION("""COMPUTED_VALUE"""),0.305020900494472)</f>
        <v>0.305020900494472</v>
      </c>
      <c r="Y168" s="17">
        <f ca="1">IFERROR(__xludf.DUMMYFUNCTION("""COMPUTED_VALUE"""),0.233282939583093)</f>
        <v>0.23328293958309301</v>
      </c>
      <c r="Z168" s="17">
        <f ca="1">IFERROR(__xludf.DUMMYFUNCTION("""COMPUTED_VALUE"""),0.447085796972659)</f>
        <v>0.44708579697265899</v>
      </c>
      <c r="AA168" s="17">
        <f ca="1">IFERROR(__xludf.DUMMYFUNCTION("""COMPUTED_VALUE"""),0.171036674893504)</f>
        <v>0.17103667489350399</v>
      </c>
      <c r="AB168" s="17">
        <f ca="1">IFERROR(__xludf.DUMMYFUNCTION("""COMPUTED_VALUE"""),0.309846707379191)</f>
        <v>0.30984670737919101</v>
      </c>
      <c r="AC168" s="17">
        <f ca="1">IFERROR(__xludf.DUMMYFUNCTION("""COMPUTED_VALUE"""),0.618756921055423)</f>
        <v>0.61875692105542301</v>
      </c>
      <c r="AD168" s="17">
        <f ca="1">IFERROR(__xludf.DUMMYFUNCTION("""COMPUTED_VALUE"""),0.270831313644531)</f>
        <v>0.270831313644531</v>
      </c>
      <c r="AE168" s="17">
        <f ca="1">IFERROR(__xludf.DUMMYFUNCTION("""COMPUTED_VALUE"""),1.11913812513858)</f>
        <v>1.1191381251385799</v>
      </c>
      <c r="AF168" s="17">
        <f ca="1">IFERROR(__xludf.DUMMYFUNCTION("""COMPUTED_VALUE"""),0.360507270668945)</f>
        <v>0.360507270668945</v>
      </c>
      <c r="AG168" s="17">
        <f ca="1">IFERROR(__xludf.DUMMYFUNCTION("""COMPUTED_VALUE"""),0.590247442223633)</f>
        <v>0.59024744222363301</v>
      </c>
      <c r="AH168" s="17">
        <f ca="1">IFERROR(__xludf.DUMMYFUNCTION("""COMPUTED_VALUE"""),0.986638003334932)</f>
        <v>0.98663800333493201</v>
      </c>
      <c r="AI168" s="17">
        <f ca="1">IFERROR(__xludf.DUMMYFUNCTION("""COMPUTED_VALUE"""),1.11761678238708)</f>
        <v>1.11761678238708</v>
      </c>
      <c r="AJ168" s="17">
        <f ca="1">IFERROR(__xludf.DUMMYFUNCTION("""COMPUTED_VALUE"""),0.708459105662027)</f>
        <v>0.70845910566202697</v>
      </c>
    </row>
    <row r="169" spans="2:36" ht="15.75" customHeight="1" x14ac:dyDescent="0.45">
      <c r="B169" s="10" t="str">
        <f ca="1">IFERROR(__xludf.DUMMYFUNCTION("""COMPUTED_VALUE"""),"DistalPhalanxOutlineCorrect")</f>
        <v>DistalPhalanxOutlineCorrect</v>
      </c>
      <c r="C169" s="10" t="str">
        <f ca="1">IFERROR(__xludf.DUMMYFUNCTION("""COMPUTED_VALUE"""),"aligned_series")</f>
        <v>aligned_series</v>
      </c>
      <c r="D169" s="10">
        <f ca="1">IFERROR(__xludf.DUMMYFUNCTION("""COMPUTED_VALUE"""),0.4)</f>
        <v>0.4</v>
      </c>
      <c r="E169" s="17">
        <f ca="1">IFERROR(__xludf.DUMMYFUNCTION("""COMPUTED_VALUE"""),1.04003597450354)</f>
        <v>1.0400359745035399</v>
      </c>
      <c r="F169" s="17">
        <f ca="1">IFERROR(__xludf.DUMMYFUNCTION("""COMPUTED_VALUE"""),0.337578647361492)</f>
        <v>0.33757864736149201</v>
      </c>
      <c r="G169" s="17">
        <f ca="1">IFERROR(__xludf.DUMMYFUNCTION("""COMPUTED_VALUE"""),0.269943829586006)</f>
        <v>0.26994382958600599</v>
      </c>
      <c r="H169" s="17">
        <f ca="1">IFERROR(__xludf.DUMMYFUNCTION("""COMPUTED_VALUE"""),0.274260405365644)</f>
        <v>0.274260405365644</v>
      </c>
      <c r="I169" s="17">
        <f ca="1">IFERROR(__xludf.DUMMYFUNCTION("""COMPUTED_VALUE"""),0.396579531283965)</f>
        <v>0.396579531283965</v>
      </c>
      <c r="J169" s="17">
        <f ca="1">IFERROR(__xludf.DUMMYFUNCTION("""COMPUTED_VALUE"""),1.18761222832478)</f>
        <v>1.1876122283247801</v>
      </c>
      <c r="K169" s="17" t="str">
        <f ca="1">IFERROR(__xludf.DUMMYFUNCTION("""COMPUTED_VALUE"""),"nan")</f>
        <v>nan</v>
      </c>
      <c r="L169" s="17">
        <f ca="1">IFERROR(__xludf.DUMMYFUNCTION("""COMPUTED_VALUE"""),0.234056830651655)</f>
        <v>0.234056830651655</v>
      </c>
      <c r="M169" s="17">
        <f ca="1">IFERROR(__xludf.DUMMYFUNCTION("""COMPUTED_VALUE"""),0.477798383470748)</f>
        <v>0.47779838347074799</v>
      </c>
      <c r="N169" s="18">
        <f ca="1">IFERROR(__xludf.DUMMYFUNCTION("""COMPUTED_VALUE"""),0.344554415903846)</f>
        <v>0.344554415903846</v>
      </c>
      <c r="O169" s="17">
        <f ca="1">IFERROR(__xludf.DUMMYFUNCTION("""COMPUTED_VALUE"""),0.262457524289745)</f>
        <v>0.262457524289745</v>
      </c>
      <c r="P169" s="17">
        <f ca="1">IFERROR(__xludf.DUMMYFUNCTION("""COMPUTED_VALUE"""),0.924132061183977)</f>
        <v>0.92413206118397695</v>
      </c>
      <c r="Q169" s="17">
        <f ca="1">IFERROR(__xludf.DUMMYFUNCTION("""COMPUTED_VALUE"""),0.32960858903872)</f>
        <v>0.32960858903871998</v>
      </c>
      <c r="R169" s="17">
        <f ca="1">IFERROR(__xludf.DUMMYFUNCTION("""COMPUTED_VALUE"""),0.955842917137541)</f>
        <v>0.95584291713754099</v>
      </c>
      <c r="S169" s="17">
        <f ca="1">IFERROR(__xludf.DUMMYFUNCTION("""COMPUTED_VALUE"""),0.650211738475244)</f>
        <v>0.65021173847524405</v>
      </c>
      <c r="T169" s="17">
        <f ca="1">IFERROR(__xludf.DUMMYFUNCTION("""COMPUTED_VALUE"""),0.393598172073211)</f>
        <v>0.39359817207321102</v>
      </c>
      <c r="U169" s="17">
        <f ca="1">IFERROR(__xludf.DUMMYFUNCTION("""COMPUTED_VALUE"""),0.234103719341951)</f>
        <v>0.23410371934195101</v>
      </c>
      <c r="V169" s="17">
        <f ca="1">IFERROR(__xludf.DUMMYFUNCTION("""COMPUTED_VALUE"""),0.283292373678334)</f>
        <v>0.28329237367833399</v>
      </c>
      <c r="W169" s="17">
        <f ca="1">IFERROR(__xludf.DUMMYFUNCTION("""COMPUTED_VALUE"""),0.286122419835114)</f>
        <v>0.28612241983511399</v>
      </c>
      <c r="X169" s="17">
        <f ca="1">IFERROR(__xludf.DUMMYFUNCTION("""COMPUTED_VALUE"""),0.314948359621187)</f>
        <v>0.314948359621187</v>
      </c>
      <c r="Y169" s="17">
        <f ca="1">IFERROR(__xludf.DUMMYFUNCTION("""COMPUTED_VALUE"""),0.271160920376002)</f>
        <v>0.27116092037600198</v>
      </c>
      <c r="Z169" s="17">
        <f ca="1">IFERROR(__xludf.DUMMYFUNCTION("""COMPUTED_VALUE"""),0.477099112156262)</f>
        <v>0.477099112156262</v>
      </c>
      <c r="AA169" s="17">
        <f ca="1">IFERROR(__xludf.DUMMYFUNCTION("""COMPUTED_VALUE"""),0.189302834004794)</f>
        <v>0.189302834004794</v>
      </c>
      <c r="AB169" s="17">
        <f ca="1">IFERROR(__xludf.DUMMYFUNCTION("""COMPUTED_VALUE"""),0.505383816377267)</f>
        <v>0.50538381637726704</v>
      </c>
      <c r="AC169" s="17">
        <f ca="1">IFERROR(__xludf.DUMMYFUNCTION("""COMPUTED_VALUE"""),0.665707045782431)</f>
        <v>0.66570704578243101</v>
      </c>
      <c r="AD169" s="17">
        <f ca="1">IFERROR(__xludf.DUMMYFUNCTION("""COMPUTED_VALUE"""),0.290917322542771)</f>
        <v>0.29091732254277097</v>
      </c>
      <c r="AE169" s="17">
        <f ca="1">IFERROR(__xludf.DUMMYFUNCTION("""COMPUTED_VALUE"""),1.12127595950345)</f>
        <v>1.12127595950345</v>
      </c>
      <c r="AF169" s="17">
        <f ca="1">IFERROR(__xludf.DUMMYFUNCTION("""COMPUTED_VALUE"""),0.553023109879262)</f>
        <v>0.55302310987926195</v>
      </c>
      <c r="AG169" s="17">
        <f ca="1">IFERROR(__xludf.DUMMYFUNCTION("""COMPUTED_VALUE"""),0.619167152420838)</f>
        <v>0.61916715242083797</v>
      </c>
      <c r="AH169" s="17">
        <f ca="1">IFERROR(__xludf.DUMMYFUNCTION("""COMPUTED_VALUE"""),0.986365707900486)</f>
        <v>0.98636570790048606</v>
      </c>
      <c r="AI169" s="17">
        <f ca="1">IFERROR(__xludf.DUMMYFUNCTION("""COMPUTED_VALUE"""),1.11670106410294)</f>
        <v>1.11670106410294</v>
      </c>
      <c r="AJ169" s="17">
        <f ca="1">IFERROR(__xludf.DUMMYFUNCTION("""COMPUTED_VALUE"""),0.715452197186245)</f>
        <v>0.71545219718624498</v>
      </c>
    </row>
    <row r="170" spans="2:36" ht="15.75" customHeight="1" x14ac:dyDescent="0.45">
      <c r="B170" s="10" t="str">
        <f ca="1">IFERROR(__xludf.DUMMYFUNCTION("""COMPUTED_VALUE"""),"DistalPhalanxOutlineCorrect")</f>
        <v>DistalPhalanxOutlineCorrect</v>
      </c>
      <c r="C170" s="10" t="str">
        <f ca="1">IFERROR(__xludf.DUMMYFUNCTION("""COMPUTED_VALUE"""),"aligned_series")</f>
        <v>aligned_series</v>
      </c>
      <c r="D170" s="10">
        <f ca="1">IFERROR(__xludf.DUMMYFUNCTION("""COMPUTED_VALUE"""),0.6)</f>
        <v>0.6</v>
      </c>
      <c r="E170" s="17">
        <f ca="1">IFERROR(__xludf.DUMMYFUNCTION("""COMPUTED_VALUE"""),1.07521548685367)</f>
        <v>1.0752154868536701</v>
      </c>
      <c r="F170" s="17">
        <f ca="1">IFERROR(__xludf.DUMMYFUNCTION("""COMPUTED_VALUE"""),0.371336215274868)</f>
        <v>0.37133621527486799</v>
      </c>
      <c r="G170" s="17">
        <f ca="1">IFERROR(__xludf.DUMMYFUNCTION("""COMPUTED_VALUE"""),0.478119567140589)</f>
        <v>0.47811956714058901</v>
      </c>
      <c r="H170" s="17">
        <f ca="1">IFERROR(__xludf.DUMMYFUNCTION("""COMPUTED_VALUE"""),0.384479866480667)</f>
        <v>0.38447986648066701</v>
      </c>
      <c r="I170" s="17">
        <f ca="1">IFERROR(__xludf.DUMMYFUNCTION("""COMPUTED_VALUE"""),0.460357992809875)</f>
        <v>0.46035799280987499</v>
      </c>
      <c r="J170" s="17">
        <f ca="1">IFERROR(__xludf.DUMMYFUNCTION("""COMPUTED_VALUE"""),1.16315883062625)</f>
        <v>1.1631588306262499</v>
      </c>
      <c r="K170" s="17" t="str">
        <f ca="1">IFERROR(__xludf.DUMMYFUNCTION("""COMPUTED_VALUE"""),"nan")</f>
        <v>nan</v>
      </c>
      <c r="L170" s="17">
        <f ca="1">IFERROR(__xludf.DUMMYFUNCTION("""COMPUTED_VALUE"""),0.252643169909772)</f>
        <v>0.25264316990977198</v>
      </c>
      <c r="M170" s="17">
        <f ca="1">IFERROR(__xludf.DUMMYFUNCTION("""COMPUTED_VALUE"""),0.887116091069218)</f>
        <v>0.88711609106921796</v>
      </c>
      <c r="N170" s="18">
        <f ca="1">IFERROR(__xludf.DUMMYFUNCTION("""COMPUTED_VALUE"""),0.336046862908636)</f>
        <v>0.336046862908636</v>
      </c>
      <c r="O170" s="17">
        <f ca="1">IFERROR(__xludf.DUMMYFUNCTION("""COMPUTED_VALUE"""),0.63264395593614)</f>
        <v>0.63264395593613998</v>
      </c>
      <c r="P170" s="17">
        <f ca="1">IFERROR(__xludf.DUMMYFUNCTION("""COMPUTED_VALUE"""),0.918563162332896)</f>
        <v>0.91856316233289603</v>
      </c>
      <c r="Q170" s="17">
        <f ca="1">IFERROR(__xludf.DUMMYFUNCTION("""COMPUTED_VALUE"""),0.844716269579252)</f>
        <v>0.84471626957925205</v>
      </c>
      <c r="R170" s="17">
        <f ca="1">IFERROR(__xludf.DUMMYFUNCTION("""COMPUTED_VALUE"""),0.957579149305381)</f>
        <v>0.95757914930538102</v>
      </c>
      <c r="S170" s="17">
        <f ca="1">IFERROR(__xludf.DUMMYFUNCTION("""COMPUTED_VALUE"""),0.751460576632149)</f>
        <v>0.75146057663214905</v>
      </c>
      <c r="T170" s="17">
        <f ca="1">IFERROR(__xludf.DUMMYFUNCTION("""COMPUTED_VALUE"""),0.373782749161421)</f>
        <v>0.37378274916142101</v>
      </c>
      <c r="U170" s="17">
        <f ca="1">IFERROR(__xludf.DUMMYFUNCTION("""COMPUTED_VALUE"""),0.25379584864399)</f>
        <v>0.25379584864399002</v>
      </c>
      <c r="V170" s="17">
        <f ca="1">IFERROR(__xludf.DUMMYFUNCTION("""COMPUTED_VALUE"""),0.265193264921071)</f>
        <v>0.26519326492107098</v>
      </c>
      <c r="W170" s="17">
        <f ca="1">IFERROR(__xludf.DUMMYFUNCTION("""COMPUTED_VALUE"""),0.298484266312486)</f>
        <v>0.29848426631248598</v>
      </c>
      <c r="X170" s="17">
        <f ca="1">IFERROR(__xludf.DUMMYFUNCTION("""COMPUTED_VALUE"""),0.303005759631599)</f>
        <v>0.30300575963159898</v>
      </c>
      <c r="Y170" s="17">
        <f ca="1">IFERROR(__xludf.DUMMYFUNCTION("""COMPUTED_VALUE"""),0.281276692225502)</f>
        <v>0.281276692225502</v>
      </c>
      <c r="Z170" s="17">
        <f ca="1">IFERROR(__xludf.DUMMYFUNCTION("""COMPUTED_VALUE"""),0.527215564804719)</f>
        <v>0.52721556480471898</v>
      </c>
      <c r="AA170" s="17">
        <f ca="1">IFERROR(__xludf.DUMMYFUNCTION("""COMPUTED_VALUE"""),0.612638722661501)</f>
        <v>0.61263872266150099</v>
      </c>
      <c r="AB170" s="17">
        <f ca="1">IFERROR(__xludf.DUMMYFUNCTION("""COMPUTED_VALUE"""),1.66791233193835)</f>
        <v>1.66791233193835</v>
      </c>
      <c r="AC170" s="17">
        <f ca="1">IFERROR(__xludf.DUMMYFUNCTION("""COMPUTED_VALUE"""),0.749449119137501)</f>
        <v>0.74944911913750101</v>
      </c>
      <c r="AD170" s="17">
        <f ca="1">IFERROR(__xludf.DUMMYFUNCTION("""COMPUTED_VALUE"""),0.339383037617029)</f>
        <v>0.33938303761702898</v>
      </c>
      <c r="AE170" s="17">
        <f ca="1">IFERROR(__xludf.DUMMYFUNCTION("""COMPUTED_VALUE"""),1.13590922641665)</f>
        <v>1.1359092264166499</v>
      </c>
      <c r="AF170" s="17">
        <f ca="1">IFERROR(__xludf.DUMMYFUNCTION("""COMPUTED_VALUE"""),0.517341327417668)</f>
        <v>0.51734132741766803</v>
      </c>
      <c r="AG170" s="17">
        <f ca="1">IFERROR(__xludf.DUMMYFUNCTION("""COMPUTED_VALUE"""),0.60636417848085)</f>
        <v>0.60636417848085</v>
      </c>
      <c r="AH170" s="17">
        <f ca="1">IFERROR(__xludf.DUMMYFUNCTION("""COMPUTED_VALUE"""),0.936948160751875)</f>
        <v>0.93694816075187504</v>
      </c>
      <c r="AI170" s="17">
        <f ca="1">IFERROR(__xludf.DUMMYFUNCTION("""COMPUTED_VALUE"""),1.07498120162924)</f>
        <v>1.0749812016292399</v>
      </c>
      <c r="AJ170" s="17">
        <f ca="1">IFERROR(__xludf.DUMMYFUNCTION("""COMPUTED_VALUE"""),0.723710646728117)</f>
        <v>0.72371064672811702</v>
      </c>
    </row>
    <row r="171" spans="2:36" ht="15.75" customHeight="1" x14ac:dyDescent="0.45">
      <c r="B171" s="10" t="str">
        <f ca="1">IFERROR(__xludf.DUMMYFUNCTION("""COMPUTED_VALUE"""),"DistalPhalanxOutlineCorrect")</f>
        <v>DistalPhalanxOutlineCorrect</v>
      </c>
      <c r="C171" s="10" t="str">
        <f ca="1">IFERROR(__xludf.DUMMYFUNCTION("""COMPUTED_VALUE"""),"aligned_series")</f>
        <v>aligned_series</v>
      </c>
      <c r="D171" s="10">
        <f ca="1">IFERROR(__xludf.DUMMYFUNCTION("""COMPUTED_VALUE"""),0.8)</f>
        <v>0.8</v>
      </c>
      <c r="E171" s="17">
        <f ca="1">IFERROR(__xludf.DUMMYFUNCTION("""COMPUTED_VALUE"""),1.11699317644806)</f>
        <v>1.1169931764480601</v>
      </c>
      <c r="F171" s="17">
        <f ca="1">IFERROR(__xludf.DUMMYFUNCTION("""COMPUTED_VALUE"""),0.40857165078122)</f>
        <v>0.40857165078121999</v>
      </c>
      <c r="G171" s="17">
        <f ca="1">IFERROR(__xludf.DUMMYFUNCTION("""COMPUTED_VALUE"""),0.705181996047075)</f>
        <v>0.70518199604707499</v>
      </c>
      <c r="H171" s="17">
        <f ca="1">IFERROR(__xludf.DUMMYFUNCTION("""COMPUTED_VALUE"""),0.335187177052509)</f>
        <v>0.335187177052509</v>
      </c>
      <c r="I171" s="17">
        <f ca="1">IFERROR(__xludf.DUMMYFUNCTION("""COMPUTED_VALUE"""),0.548946912422285)</f>
        <v>0.54894691242228499</v>
      </c>
      <c r="J171" s="17">
        <f ca="1">IFERROR(__xludf.DUMMYFUNCTION("""COMPUTED_VALUE"""),1.12038585371204)</f>
        <v>1.1203858537120399</v>
      </c>
      <c r="K171" s="17" t="str">
        <f ca="1">IFERROR(__xludf.DUMMYFUNCTION("""COMPUTED_VALUE"""),"nan")</f>
        <v>nan</v>
      </c>
      <c r="L171" s="17">
        <f ca="1">IFERROR(__xludf.DUMMYFUNCTION("""COMPUTED_VALUE"""),0.292340003760437)</f>
        <v>0.29234000376043701</v>
      </c>
      <c r="M171" s="17">
        <f ca="1">IFERROR(__xludf.DUMMYFUNCTION("""COMPUTED_VALUE"""),1.02882865975664)</f>
        <v>1.0288286597566401</v>
      </c>
      <c r="N171" s="18">
        <f ca="1">IFERROR(__xludf.DUMMYFUNCTION("""COMPUTED_VALUE"""),0.323965416545332)</f>
        <v>0.32396541654533201</v>
      </c>
      <c r="O171" s="17">
        <f ca="1">IFERROR(__xludf.DUMMYFUNCTION("""COMPUTED_VALUE"""),0.676308790471861)</f>
        <v>0.67630879047186099</v>
      </c>
      <c r="P171" s="17">
        <f ca="1">IFERROR(__xludf.DUMMYFUNCTION("""COMPUTED_VALUE"""),0.910014929798791)</f>
        <v>0.91001492979879095</v>
      </c>
      <c r="Q171" s="17">
        <f ca="1">IFERROR(__xludf.DUMMYFUNCTION("""COMPUTED_VALUE"""),1.21627599356606)</f>
        <v>1.2162759935660601</v>
      </c>
      <c r="R171" s="17">
        <f ca="1">IFERROR(__xludf.DUMMYFUNCTION("""COMPUTED_VALUE"""),0.976168383701558)</f>
        <v>0.97616838370155801</v>
      </c>
      <c r="S171" s="17">
        <f ca="1">IFERROR(__xludf.DUMMYFUNCTION("""COMPUTED_VALUE"""),0.865496700206391)</f>
        <v>0.86549670020639102</v>
      </c>
      <c r="T171" s="17">
        <f ca="1">IFERROR(__xludf.DUMMYFUNCTION("""COMPUTED_VALUE"""),0.51531145094001)</f>
        <v>0.51531145094000996</v>
      </c>
      <c r="U171" s="17">
        <f ca="1">IFERROR(__xludf.DUMMYFUNCTION("""COMPUTED_VALUE"""),0.265947525108131)</f>
        <v>0.26594752510813102</v>
      </c>
      <c r="V171" s="17">
        <f ca="1">IFERROR(__xludf.DUMMYFUNCTION("""COMPUTED_VALUE"""),0.308171504835706)</f>
        <v>0.30817150483570599</v>
      </c>
      <c r="W171" s="17">
        <f ca="1">IFERROR(__xludf.DUMMYFUNCTION("""COMPUTED_VALUE"""),0.319697624164912)</f>
        <v>0.31969762416491199</v>
      </c>
      <c r="X171" s="17">
        <f ca="1">IFERROR(__xludf.DUMMYFUNCTION("""COMPUTED_VALUE"""),0.285431863391851)</f>
        <v>0.285431863391851</v>
      </c>
      <c r="Y171" s="17">
        <f ca="1">IFERROR(__xludf.DUMMYFUNCTION("""COMPUTED_VALUE"""),0.320581928214754)</f>
        <v>0.32058192821475401</v>
      </c>
      <c r="Z171" s="17">
        <f ca="1">IFERROR(__xludf.DUMMYFUNCTION("""COMPUTED_VALUE"""),0.634595013201442)</f>
        <v>0.63459501320144196</v>
      </c>
      <c r="AA171" s="17">
        <f ca="1">IFERROR(__xludf.DUMMYFUNCTION("""COMPUTED_VALUE"""),0.400178704315141)</f>
        <v>0.40017870431514102</v>
      </c>
      <c r="AB171" s="17">
        <f ca="1">IFERROR(__xludf.DUMMYFUNCTION("""COMPUTED_VALUE"""),2.10631840569064)</f>
        <v>2.1063184056906401</v>
      </c>
      <c r="AC171" s="17">
        <f ca="1">IFERROR(__xludf.DUMMYFUNCTION("""COMPUTED_VALUE"""),0.645819273488785)</f>
        <v>0.64581927348878498</v>
      </c>
      <c r="AD171" s="17">
        <f ca="1">IFERROR(__xludf.DUMMYFUNCTION("""COMPUTED_VALUE"""),0.48445910122849)</f>
        <v>0.48445910122849001</v>
      </c>
      <c r="AE171" s="17">
        <f ca="1">IFERROR(__xludf.DUMMYFUNCTION("""COMPUTED_VALUE"""),1.14969903413115)</f>
        <v>1.1496990341311499</v>
      </c>
      <c r="AF171" s="17">
        <f ca="1">IFERROR(__xludf.DUMMYFUNCTION("""COMPUTED_VALUE"""),0.724400296148612)</f>
        <v>0.72440029614861201</v>
      </c>
      <c r="AG171" s="17">
        <f ca="1">IFERROR(__xludf.DUMMYFUNCTION("""COMPUTED_VALUE"""),0.600420458343824)</f>
        <v>0.60042045834382396</v>
      </c>
      <c r="AH171" s="17">
        <f ca="1">IFERROR(__xludf.DUMMYFUNCTION("""COMPUTED_VALUE"""),0.890986662534487)</f>
        <v>0.890986662534487</v>
      </c>
      <c r="AI171" s="17">
        <f ca="1">IFERROR(__xludf.DUMMYFUNCTION("""COMPUTED_VALUE"""),1.03357621823836)</f>
        <v>1.0335762182383601</v>
      </c>
      <c r="AJ171" s="17">
        <f ca="1">IFERROR(__xludf.DUMMYFUNCTION("""COMPUTED_VALUE"""),0.727655618663728)</f>
        <v>0.72765561866372797</v>
      </c>
    </row>
    <row r="172" spans="2:36" ht="15.75" customHeight="1" x14ac:dyDescent="0.45">
      <c r="B172" s="10" t="str">
        <f ca="1">IFERROR(__xludf.DUMMYFUNCTION("""COMPUTED_VALUE"""),"DistalPhalanxOutlineCorrect")</f>
        <v>DistalPhalanxOutlineCorrect</v>
      </c>
      <c r="C172" s="10" t="str">
        <f ca="1">IFERROR(__xludf.DUMMYFUNCTION("""COMPUTED_VALUE"""),"aligned_timestamps")</f>
        <v>aligned_timestamps</v>
      </c>
      <c r="D172" s="10">
        <f ca="1">IFERROR(__xludf.DUMMYFUNCTION("""COMPUTED_VALUE"""),0.1)</f>
        <v>0.1</v>
      </c>
      <c r="E172" s="17">
        <f ca="1">IFERROR(__xludf.DUMMYFUNCTION("""COMPUTED_VALUE"""),0.983562722895464)</f>
        <v>0.98356272289546398</v>
      </c>
      <c r="F172" s="17">
        <f ca="1">IFERROR(__xludf.DUMMYFUNCTION("""COMPUTED_VALUE"""),0.166613034838229)</f>
        <v>0.16661303483822901</v>
      </c>
      <c r="G172" s="17">
        <f ca="1">IFERROR(__xludf.DUMMYFUNCTION("""COMPUTED_VALUE"""),0.160579793638537)</f>
        <v>0.160579793638537</v>
      </c>
      <c r="H172" s="17">
        <f ca="1">IFERROR(__xludf.DUMMYFUNCTION("""COMPUTED_VALUE"""),0.181123550064707)</f>
        <v>0.18112355006470701</v>
      </c>
      <c r="I172" s="17">
        <f ca="1">IFERROR(__xludf.DUMMYFUNCTION("""COMPUTED_VALUE"""),0.145364771310323)</f>
        <v>0.14536477131032299</v>
      </c>
      <c r="J172" s="17">
        <f ca="1">IFERROR(__xludf.DUMMYFUNCTION("""COMPUTED_VALUE"""),0.224999322632545)</f>
        <v>0.22499932263254499</v>
      </c>
      <c r="K172" s="17" t="str">
        <f ca="1">IFERROR(__xludf.DUMMYFUNCTION("""COMPUTED_VALUE"""),"nan")</f>
        <v>nan</v>
      </c>
      <c r="L172" s="17">
        <f ca="1">IFERROR(__xludf.DUMMYFUNCTION("""COMPUTED_VALUE"""),0.172888470566879)</f>
        <v>0.172888470566879</v>
      </c>
      <c r="M172" s="17">
        <f ca="1">IFERROR(__xludf.DUMMYFUNCTION("""COMPUTED_VALUE"""),0.179689606074188)</f>
        <v>0.17968960607418799</v>
      </c>
      <c r="N172" s="18">
        <f ca="1">IFERROR(__xludf.DUMMYFUNCTION("""COMPUTED_VALUE"""),0.239055682959041)</f>
        <v>0.239055682959041</v>
      </c>
      <c r="O172" s="17">
        <f ca="1">IFERROR(__xludf.DUMMYFUNCTION("""COMPUTED_VALUE"""),0.175441108342151)</f>
        <v>0.17544110834215099</v>
      </c>
      <c r="P172" s="17">
        <f ca="1">IFERROR(__xludf.DUMMYFUNCTION("""COMPUTED_VALUE"""),0.79015980859846)</f>
        <v>0.79015980859846002</v>
      </c>
      <c r="Q172" s="17">
        <f ca="1">IFERROR(__xludf.DUMMYFUNCTION("""COMPUTED_VALUE"""),0.291952390682012)</f>
        <v>0.29195239068201201</v>
      </c>
      <c r="R172" s="17">
        <f ca="1">IFERROR(__xludf.DUMMYFUNCTION("""COMPUTED_VALUE"""),0.464681930237583)</f>
        <v>0.46468193023758297</v>
      </c>
      <c r="S172" s="17">
        <f ca="1">IFERROR(__xludf.DUMMYFUNCTION("""COMPUTED_VALUE"""),0.410961357103009)</f>
        <v>0.41096135710300902</v>
      </c>
      <c r="T172" s="17">
        <f ca="1">IFERROR(__xludf.DUMMYFUNCTION("""COMPUTED_VALUE"""),0.230997754488563)</f>
        <v>0.230997754488563</v>
      </c>
      <c r="U172" s="17">
        <f ca="1">IFERROR(__xludf.DUMMYFUNCTION("""COMPUTED_VALUE"""),0.175027312983678)</f>
        <v>0.17502731298367799</v>
      </c>
      <c r="V172" s="17">
        <f ca="1">IFERROR(__xludf.DUMMYFUNCTION("""COMPUTED_VALUE"""),0.204550725675832)</f>
        <v>0.20455072567583199</v>
      </c>
      <c r="W172" s="17">
        <f ca="1">IFERROR(__xludf.DUMMYFUNCTION("""COMPUTED_VALUE"""),0.36520174880765)</f>
        <v>0.36520174880765</v>
      </c>
      <c r="X172" s="17">
        <f ca="1">IFERROR(__xludf.DUMMYFUNCTION("""COMPUTED_VALUE"""),0.264686240168729)</f>
        <v>0.26468624016872899</v>
      </c>
      <c r="Y172" s="17">
        <f ca="1">IFERROR(__xludf.DUMMYFUNCTION("""COMPUTED_VALUE"""),0.167967447076083)</f>
        <v>0.16796744707608299</v>
      </c>
      <c r="Z172" s="17">
        <f ca="1">IFERROR(__xludf.DUMMYFUNCTION("""COMPUTED_VALUE"""),0.33039670544379)</f>
        <v>0.33039670544379002</v>
      </c>
      <c r="AA172" s="17">
        <f ca="1">IFERROR(__xludf.DUMMYFUNCTION("""COMPUTED_VALUE"""),0.133881143780053)</f>
        <v>0.133881143780053</v>
      </c>
      <c r="AB172" s="17">
        <f ca="1">IFERROR(__xludf.DUMMYFUNCTION("""COMPUTED_VALUE"""),0.240949895019226)</f>
        <v>0.24094989501922601</v>
      </c>
      <c r="AC172" s="17">
        <f ca="1">IFERROR(__xludf.DUMMYFUNCTION("""COMPUTED_VALUE"""),0.37304452864595)</f>
        <v>0.37304452864595</v>
      </c>
      <c r="AD172" s="17">
        <f ca="1">IFERROR(__xludf.DUMMYFUNCTION("""COMPUTED_VALUE"""),0.199306281921869)</f>
        <v>0.199306281921869</v>
      </c>
      <c r="AE172" s="17">
        <f ca="1">IFERROR(__xludf.DUMMYFUNCTION("""COMPUTED_VALUE"""),0.882011492360357)</f>
        <v>0.88201149236035703</v>
      </c>
      <c r="AF172" s="17">
        <f ca="1">IFERROR(__xludf.DUMMYFUNCTION("""COMPUTED_VALUE"""),0.207020226059169)</f>
        <v>0.207020226059169</v>
      </c>
      <c r="AG172" s="17">
        <f ca="1">IFERROR(__xludf.DUMMYFUNCTION("""COMPUTED_VALUE"""),0.589389077459959)</f>
        <v>0.58938907745995905</v>
      </c>
      <c r="AH172" s="17">
        <f ca="1">IFERROR(__xludf.DUMMYFUNCTION("""COMPUTED_VALUE"""),0.605204699320164)</f>
        <v>0.60520469932016396</v>
      </c>
      <c r="AI172" s="17">
        <f ca="1">IFERROR(__xludf.DUMMYFUNCTION("""COMPUTED_VALUE"""),0.508238631315222)</f>
        <v>0.50823863131522196</v>
      </c>
      <c r="AJ172" s="17">
        <f ca="1">IFERROR(__xludf.DUMMYFUNCTION("""COMPUTED_VALUE"""),0.28612393095122)</f>
        <v>0.28612393095122002</v>
      </c>
    </row>
    <row r="173" spans="2:36" ht="15.75" customHeight="1" x14ac:dyDescent="0.45">
      <c r="B173" s="10" t="str">
        <f ca="1">IFERROR(__xludf.DUMMYFUNCTION("""COMPUTED_VALUE"""),"DistalPhalanxOutlineCorrect")</f>
        <v>DistalPhalanxOutlineCorrect</v>
      </c>
      <c r="C173" s="10" t="str">
        <f ca="1">IFERROR(__xludf.DUMMYFUNCTION("""COMPUTED_VALUE"""),"aligned_timestamps")</f>
        <v>aligned_timestamps</v>
      </c>
      <c r="D173" s="10">
        <f ca="1">IFERROR(__xludf.DUMMYFUNCTION("""COMPUTED_VALUE"""),0.2)</f>
        <v>0.2</v>
      </c>
      <c r="E173" s="17">
        <f ca="1">IFERROR(__xludf.DUMMYFUNCTION("""COMPUTED_VALUE"""),1.00650473823125)</f>
        <v>1.00650473823125</v>
      </c>
      <c r="F173" s="17">
        <f ca="1">IFERROR(__xludf.DUMMYFUNCTION("""COMPUTED_VALUE"""),0.23841534916122)</f>
        <v>0.23841534916122001</v>
      </c>
      <c r="G173" s="17">
        <f ca="1">IFERROR(__xludf.DUMMYFUNCTION("""COMPUTED_VALUE"""),0.23663400361083)</f>
        <v>0.23663400361083001</v>
      </c>
      <c r="H173" s="17">
        <f ca="1">IFERROR(__xludf.DUMMYFUNCTION("""COMPUTED_VALUE"""),0.220580214689244)</f>
        <v>0.22058021468924399</v>
      </c>
      <c r="I173" s="17">
        <f ca="1">IFERROR(__xludf.DUMMYFUNCTION("""COMPUTED_VALUE"""),0.16398287801872)</f>
        <v>0.16398287801872</v>
      </c>
      <c r="J173" s="17">
        <f ca="1">IFERROR(__xludf.DUMMYFUNCTION("""COMPUTED_VALUE"""),1.00011289161854)</f>
        <v>1.00011289161854</v>
      </c>
      <c r="K173" s="17" t="str">
        <f ca="1">IFERROR(__xludf.DUMMYFUNCTION("""COMPUTED_VALUE"""),"nan")</f>
        <v>nan</v>
      </c>
      <c r="L173" s="17">
        <f ca="1">IFERROR(__xludf.DUMMYFUNCTION("""COMPUTED_VALUE"""),0.1934346769618)</f>
        <v>0.1934346769618</v>
      </c>
      <c r="M173" s="17">
        <f ca="1">IFERROR(__xludf.DUMMYFUNCTION("""COMPUTED_VALUE"""),0.231261767251719)</f>
        <v>0.23126176725171901</v>
      </c>
      <c r="N173" s="18">
        <f ca="1">IFERROR(__xludf.DUMMYFUNCTION("""COMPUTED_VALUE"""),0.344926650872643)</f>
        <v>0.34492665087264301</v>
      </c>
      <c r="O173" s="17">
        <f ca="1">IFERROR(__xludf.DUMMYFUNCTION("""COMPUTED_VALUE"""),0.173434632195425)</f>
        <v>0.17343463219542499</v>
      </c>
      <c r="P173" s="17">
        <f ca="1">IFERROR(__xludf.DUMMYFUNCTION("""COMPUTED_VALUE"""),0.903301719456767)</f>
        <v>0.90330171945676696</v>
      </c>
      <c r="Q173" s="17">
        <f ca="1">IFERROR(__xludf.DUMMYFUNCTION("""COMPUTED_VALUE"""),0.346059204558989)</f>
        <v>0.34605920455898898</v>
      </c>
      <c r="R173" s="17">
        <f ca="1">IFERROR(__xludf.DUMMYFUNCTION("""COMPUTED_VALUE"""),0.532953713253517)</f>
        <v>0.53295371325351704</v>
      </c>
      <c r="S173" s="17">
        <f ca="1">IFERROR(__xludf.DUMMYFUNCTION("""COMPUTED_VALUE"""),0.440428474915894)</f>
        <v>0.44042847491589399</v>
      </c>
      <c r="T173" s="17">
        <f ca="1">IFERROR(__xludf.DUMMYFUNCTION("""COMPUTED_VALUE"""),0.28716526103768)</f>
        <v>0.28716526103767998</v>
      </c>
      <c r="U173" s="17">
        <f ca="1">IFERROR(__xludf.DUMMYFUNCTION("""COMPUTED_VALUE"""),0.201283049144443)</f>
        <v>0.201283049144443</v>
      </c>
      <c r="V173" s="17">
        <f ca="1">IFERROR(__xludf.DUMMYFUNCTION("""COMPUTED_VALUE"""),0.193754780728462)</f>
        <v>0.193754780728462</v>
      </c>
      <c r="W173" s="17">
        <f ca="1">IFERROR(__xludf.DUMMYFUNCTION("""COMPUTED_VALUE"""),0.304833328445138)</f>
        <v>0.304833328445138</v>
      </c>
      <c r="X173" s="17">
        <f ca="1">IFERROR(__xludf.DUMMYFUNCTION("""COMPUTED_VALUE"""),0.301426966149415)</f>
        <v>0.301426966149415</v>
      </c>
      <c r="Y173" s="17">
        <f ca="1">IFERROR(__xludf.DUMMYFUNCTION("""COMPUTED_VALUE"""),0.233282939583093)</f>
        <v>0.23328293958309301</v>
      </c>
      <c r="Z173" s="17">
        <f ca="1">IFERROR(__xludf.DUMMYFUNCTION("""COMPUTED_VALUE"""),0.447085796972659)</f>
        <v>0.44708579697265899</v>
      </c>
      <c r="AA173" s="17">
        <f ca="1">IFERROR(__xludf.DUMMYFUNCTION("""COMPUTED_VALUE"""),0.171036674893504)</f>
        <v>0.17103667489350399</v>
      </c>
      <c r="AB173" s="17">
        <f ca="1">IFERROR(__xludf.DUMMYFUNCTION("""COMPUTED_VALUE"""),0.327803345897656)</f>
        <v>0.32780334589765597</v>
      </c>
      <c r="AC173" s="17">
        <f ca="1">IFERROR(__xludf.DUMMYFUNCTION("""COMPUTED_VALUE"""),0.618756921055423)</f>
        <v>0.61875692105542301</v>
      </c>
      <c r="AD173" s="17">
        <f ca="1">IFERROR(__xludf.DUMMYFUNCTION("""COMPUTED_VALUE"""),0.324654476769521)</f>
        <v>0.32465447676952103</v>
      </c>
      <c r="AE173" s="17">
        <f ca="1">IFERROR(__xludf.DUMMYFUNCTION("""COMPUTED_VALUE"""),1.12064663438885)</f>
        <v>1.1206466343888499</v>
      </c>
      <c r="AF173" s="17">
        <f ca="1">IFERROR(__xludf.DUMMYFUNCTION("""COMPUTED_VALUE"""),0.360507270668945)</f>
        <v>0.360507270668945</v>
      </c>
      <c r="AG173" s="17">
        <f ca="1">IFERROR(__xludf.DUMMYFUNCTION("""COMPUTED_VALUE"""),0.59451560598789)</f>
        <v>0.59451560598788999</v>
      </c>
      <c r="AH173" s="17">
        <f ca="1">IFERROR(__xludf.DUMMYFUNCTION("""COMPUTED_VALUE"""),0.986638003334932)</f>
        <v>0.98663800333493201</v>
      </c>
      <c r="AI173" s="17">
        <f ca="1">IFERROR(__xludf.DUMMYFUNCTION("""COMPUTED_VALUE"""),1.11761678238708)</f>
        <v>1.11761678238708</v>
      </c>
      <c r="AJ173" s="17">
        <f ca="1">IFERROR(__xludf.DUMMYFUNCTION("""COMPUTED_VALUE"""),0.711840844063247)</f>
        <v>0.71184084406324699</v>
      </c>
    </row>
    <row r="174" spans="2:36" ht="15.75" customHeight="1" x14ac:dyDescent="0.45">
      <c r="B174" s="10" t="str">
        <f ca="1">IFERROR(__xludf.DUMMYFUNCTION("""COMPUTED_VALUE"""),"DistalPhalanxOutlineCorrect")</f>
        <v>DistalPhalanxOutlineCorrect</v>
      </c>
      <c r="C174" s="10" t="str">
        <f ca="1">IFERROR(__xludf.DUMMYFUNCTION("""COMPUTED_VALUE"""),"aligned_timestamps")</f>
        <v>aligned_timestamps</v>
      </c>
      <c r="D174" s="10">
        <f ca="1">IFERROR(__xludf.DUMMYFUNCTION("""COMPUTED_VALUE"""),0.4)</f>
        <v>0.4</v>
      </c>
      <c r="E174" s="17">
        <f ca="1">IFERROR(__xludf.DUMMYFUNCTION("""COMPUTED_VALUE"""),0.979636851095151)</f>
        <v>0.97963685109515097</v>
      </c>
      <c r="F174" s="17">
        <f ca="1">IFERROR(__xludf.DUMMYFUNCTION("""COMPUTED_VALUE"""),0.283573862324953)</f>
        <v>0.28357386232495302</v>
      </c>
      <c r="G174" s="17">
        <f ca="1">IFERROR(__xludf.DUMMYFUNCTION("""COMPUTED_VALUE"""),0.289937820590568)</f>
        <v>0.289937820590568</v>
      </c>
      <c r="H174" s="17">
        <f ca="1">IFERROR(__xludf.DUMMYFUNCTION("""COMPUTED_VALUE"""),0.304399426838954)</f>
        <v>0.30439942683895399</v>
      </c>
      <c r="I174" s="17">
        <f ca="1">IFERROR(__xludf.DUMMYFUNCTION("""COMPUTED_VALUE"""),0.312958608600544)</f>
        <v>0.31295860860054397</v>
      </c>
      <c r="J174" s="17">
        <f ca="1">IFERROR(__xludf.DUMMYFUNCTION("""COMPUTED_VALUE"""),0.958632125137763)</f>
        <v>0.95863212513776297</v>
      </c>
      <c r="K174" s="17" t="str">
        <f ca="1">IFERROR(__xludf.DUMMYFUNCTION("""COMPUTED_VALUE"""),"nan")</f>
        <v>nan</v>
      </c>
      <c r="L174" s="17">
        <f ca="1">IFERROR(__xludf.DUMMYFUNCTION("""COMPUTED_VALUE"""),0.34147714031587)</f>
        <v>0.34147714031587001</v>
      </c>
      <c r="M174" s="17">
        <f ca="1">IFERROR(__xludf.DUMMYFUNCTION("""COMPUTED_VALUE"""),0.26144672438783)</f>
        <v>0.26144672438783001</v>
      </c>
      <c r="N174" s="18">
        <f ca="1">IFERROR(__xludf.DUMMYFUNCTION("""COMPUTED_VALUE"""),0.32600092537258)</f>
        <v>0.32600092537258002</v>
      </c>
      <c r="O174" s="17">
        <f ca="1">IFERROR(__xludf.DUMMYFUNCTION("""COMPUTED_VALUE"""),0.707355382679584)</f>
        <v>0.70735538267958398</v>
      </c>
      <c r="P174" s="17">
        <f ca="1">IFERROR(__xludf.DUMMYFUNCTION("""COMPUTED_VALUE"""),1.02308404724536)</f>
        <v>1.02308404724536</v>
      </c>
      <c r="Q174" s="17">
        <f ca="1">IFERROR(__xludf.DUMMYFUNCTION("""COMPUTED_VALUE"""),0.419643718042548)</f>
        <v>0.41964371804254802</v>
      </c>
      <c r="R174" s="17">
        <f ca="1">IFERROR(__xludf.DUMMYFUNCTION("""COMPUTED_VALUE"""),0.610869137707132)</f>
        <v>0.61086913770713203</v>
      </c>
      <c r="S174" s="17">
        <f ca="1">IFERROR(__xludf.DUMMYFUNCTION("""COMPUTED_VALUE"""),0.379223449177279)</f>
        <v>0.37922344917727902</v>
      </c>
      <c r="T174" s="17">
        <f ca="1">IFERROR(__xludf.DUMMYFUNCTION("""COMPUTED_VALUE"""),0.351491902371752)</f>
        <v>0.35149190237175199</v>
      </c>
      <c r="U174" s="17">
        <f ca="1">IFERROR(__xludf.DUMMYFUNCTION("""COMPUTED_VALUE"""),0.283478913377508)</f>
        <v>0.28347891337750802</v>
      </c>
      <c r="V174" s="17">
        <f ca="1">IFERROR(__xludf.DUMMYFUNCTION("""COMPUTED_VALUE"""),0.296303290535814)</f>
        <v>0.296303290535814</v>
      </c>
      <c r="W174" s="17">
        <f ca="1">IFERROR(__xludf.DUMMYFUNCTION("""COMPUTED_VALUE"""),0.436687578005723)</f>
        <v>0.436687578005723</v>
      </c>
      <c r="X174" s="17">
        <f ca="1">IFERROR(__xludf.DUMMYFUNCTION("""COMPUTED_VALUE"""),0.339676293137296)</f>
        <v>0.33967629313729603</v>
      </c>
      <c r="Y174" s="17">
        <f ca="1">IFERROR(__xludf.DUMMYFUNCTION("""COMPUTED_VALUE"""),0.303007828813016)</f>
        <v>0.30300782881301602</v>
      </c>
      <c r="Z174" s="17">
        <f ca="1">IFERROR(__xludf.DUMMYFUNCTION("""COMPUTED_VALUE"""),0.610927886042717)</f>
        <v>0.61092788604271697</v>
      </c>
      <c r="AA174" s="17">
        <f ca="1">IFERROR(__xludf.DUMMYFUNCTION("""COMPUTED_VALUE"""),0.290907383106282)</f>
        <v>0.290907383106282</v>
      </c>
      <c r="AB174" s="17">
        <f ca="1">IFERROR(__xludf.DUMMYFUNCTION("""COMPUTED_VALUE"""),0.388228548625028)</f>
        <v>0.38822854862502798</v>
      </c>
      <c r="AC174" s="17">
        <f ca="1">IFERROR(__xludf.DUMMYFUNCTION("""COMPUTED_VALUE"""),0.607622193550807)</f>
        <v>0.60762219355080704</v>
      </c>
      <c r="AD174" s="17">
        <f ca="1">IFERROR(__xludf.DUMMYFUNCTION("""COMPUTED_VALUE"""),0.332015349216194)</f>
        <v>0.33201534921619402</v>
      </c>
      <c r="AE174" s="17">
        <f ca="1">IFERROR(__xludf.DUMMYFUNCTION("""COMPUTED_VALUE"""),0.954338875674304)</f>
        <v>0.95433887567430398</v>
      </c>
      <c r="AF174" s="17">
        <f ca="1">IFERROR(__xludf.DUMMYFUNCTION("""COMPUTED_VALUE"""),0.575573824670133)</f>
        <v>0.57557382467013296</v>
      </c>
      <c r="AG174" s="17">
        <f ca="1">IFERROR(__xludf.DUMMYFUNCTION("""COMPUTED_VALUE"""),1.05017981033684)</f>
        <v>1.05017981033684</v>
      </c>
      <c r="AH174" s="17">
        <f ca="1">IFERROR(__xludf.DUMMYFUNCTION("""COMPUTED_VALUE"""),0.978328794726702)</f>
        <v>0.97832879472670198</v>
      </c>
      <c r="AI174" s="17">
        <f ca="1">IFERROR(__xludf.DUMMYFUNCTION("""COMPUTED_VALUE"""),0.998507897787801)</f>
        <v>0.99850789778780102</v>
      </c>
      <c r="AJ174" s="17">
        <f ca="1">IFERROR(__xludf.DUMMYFUNCTION("""COMPUTED_VALUE"""),1.12868325841556)</f>
        <v>1.1286832584155599</v>
      </c>
    </row>
    <row r="175" spans="2:36" ht="15.75" customHeight="1" x14ac:dyDescent="0.45">
      <c r="B175" s="10" t="str">
        <f ca="1">IFERROR(__xludf.DUMMYFUNCTION("""COMPUTED_VALUE"""),"DistalPhalanxOutlineCorrect")</f>
        <v>DistalPhalanxOutlineCorrect</v>
      </c>
      <c r="C175" s="10" t="str">
        <f ca="1">IFERROR(__xludf.DUMMYFUNCTION("""COMPUTED_VALUE"""),"aligned_timestamps")</f>
        <v>aligned_timestamps</v>
      </c>
      <c r="D175" s="10">
        <f ca="1">IFERROR(__xludf.DUMMYFUNCTION("""COMPUTED_VALUE"""),0.6)</f>
        <v>0.6</v>
      </c>
      <c r="E175" s="17">
        <f ca="1">IFERROR(__xludf.DUMMYFUNCTION("""COMPUTED_VALUE"""),1.0449186036994)</f>
        <v>1.0449186036994</v>
      </c>
      <c r="F175" s="17">
        <f ca="1">IFERROR(__xludf.DUMMYFUNCTION("""COMPUTED_VALUE"""),0.263746874009901)</f>
        <v>0.26374687400990099</v>
      </c>
      <c r="G175" s="17">
        <f ca="1">IFERROR(__xludf.DUMMYFUNCTION("""COMPUTED_VALUE"""),0.262435956230188)</f>
        <v>0.26243595623018801</v>
      </c>
      <c r="H175" s="17">
        <f ca="1">IFERROR(__xludf.DUMMYFUNCTION("""COMPUTED_VALUE"""),0.311139624207508)</f>
        <v>0.31113962420750801</v>
      </c>
      <c r="I175" s="17">
        <f ca="1">IFERROR(__xludf.DUMMYFUNCTION("""COMPUTED_VALUE"""),0.390106801809655)</f>
        <v>0.39010680180965501</v>
      </c>
      <c r="J175" s="17">
        <f ca="1">IFERROR(__xludf.DUMMYFUNCTION("""COMPUTED_VALUE"""),1.10085630906014)</f>
        <v>1.10085630906014</v>
      </c>
      <c r="K175" s="17" t="str">
        <f ca="1">IFERROR(__xludf.DUMMYFUNCTION("""COMPUTED_VALUE"""),"nan")</f>
        <v>nan</v>
      </c>
      <c r="L175" s="17">
        <f ca="1">IFERROR(__xludf.DUMMYFUNCTION("""COMPUTED_VALUE"""),0.287806155344827)</f>
        <v>0.28780615534482701</v>
      </c>
      <c r="M175" s="17">
        <f ca="1">IFERROR(__xludf.DUMMYFUNCTION("""COMPUTED_VALUE"""),0.812921706749926)</f>
        <v>0.81292170674992603</v>
      </c>
      <c r="N175" s="18">
        <f ca="1">IFERROR(__xludf.DUMMYFUNCTION("""COMPUTED_VALUE"""),0.327777505105537)</f>
        <v>0.32777750510553699</v>
      </c>
      <c r="O175" s="17">
        <f ca="1">IFERROR(__xludf.DUMMYFUNCTION("""COMPUTED_VALUE"""),0.772914593809572)</f>
        <v>0.77291459380957195</v>
      </c>
      <c r="P175" s="17">
        <f ca="1">IFERROR(__xludf.DUMMYFUNCTION("""COMPUTED_VALUE"""),1.56364193469298)</f>
        <v>1.56364193469298</v>
      </c>
      <c r="Q175" s="17">
        <f ca="1">IFERROR(__xludf.DUMMYFUNCTION("""COMPUTED_VALUE"""),0.400805475405315)</f>
        <v>0.40080547540531503</v>
      </c>
      <c r="R175" s="17">
        <f ca="1">IFERROR(__xludf.DUMMYFUNCTION("""COMPUTED_VALUE"""),0.797116705505355)</f>
        <v>0.79711670550535496</v>
      </c>
      <c r="S175" s="17">
        <f ca="1">IFERROR(__xludf.DUMMYFUNCTION("""COMPUTED_VALUE"""),1.27971969758973)</f>
        <v>1.27971969758973</v>
      </c>
      <c r="T175" s="17">
        <f ca="1">IFERROR(__xludf.DUMMYFUNCTION("""COMPUTED_VALUE"""),0.683918682416195)</f>
        <v>0.68391868241619502</v>
      </c>
      <c r="U175" s="17">
        <f ca="1">IFERROR(__xludf.DUMMYFUNCTION("""COMPUTED_VALUE"""),0.538334199466045)</f>
        <v>0.53833419946604499</v>
      </c>
      <c r="V175" s="17">
        <f ca="1">IFERROR(__xludf.DUMMYFUNCTION("""COMPUTED_VALUE"""),1.19653714377931)</f>
        <v>1.19653714377931</v>
      </c>
      <c r="W175" s="17">
        <f ca="1">IFERROR(__xludf.DUMMYFUNCTION("""COMPUTED_VALUE"""),0.579520658605786)</f>
        <v>0.57952065860578605</v>
      </c>
      <c r="X175" s="17">
        <f ca="1">IFERROR(__xludf.DUMMYFUNCTION("""COMPUTED_VALUE"""),0.331787621069747)</f>
        <v>0.33178762106974702</v>
      </c>
      <c r="Y175" s="17">
        <f ca="1">IFERROR(__xludf.DUMMYFUNCTION("""COMPUTED_VALUE"""),0.292508840989055)</f>
        <v>0.292508840989055</v>
      </c>
      <c r="Z175" s="17">
        <f ca="1">IFERROR(__xludf.DUMMYFUNCTION("""COMPUTED_VALUE"""),0.87937266508694)</f>
        <v>0.87937266508694001</v>
      </c>
      <c r="AA175" s="17">
        <f ca="1">IFERROR(__xludf.DUMMYFUNCTION("""COMPUTED_VALUE"""),1.2280964446776)</f>
        <v>1.2280964446775999</v>
      </c>
      <c r="AB175" s="17">
        <f ca="1">IFERROR(__xludf.DUMMYFUNCTION("""COMPUTED_VALUE"""),1.80298336163846)</f>
        <v>1.8029833616384601</v>
      </c>
      <c r="AC175" s="17">
        <f ca="1">IFERROR(__xludf.DUMMYFUNCTION("""COMPUTED_VALUE"""),0.697553344982364)</f>
        <v>0.69755334498236399</v>
      </c>
      <c r="AD175" s="17">
        <f ca="1">IFERROR(__xludf.DUMMYFUNCTION("""COMPUTED_VALUE"""),0.398934363134531)</f>
        <v>0.39893436313453101</v>
      </c>
      <c r="AE175" s="17">
        <f ca="1">IFERROR(__xludf.DUMMYFUNCTION("""COMPUTED_VALUE"""),0.86385403377256)</f>
        <v>0.86385403377255998</v>
      </c>
      <c r="AF175" s="17">
        <f ca="1">IFERROR(__xludf.DUMMYFUNCTION("""COMPUTED_VALUE"""),1.36354883300787)</f>
        <v>1.36354883300787</v>
      </c>
      <c r="AG175" s="17">
        <f ca="1">IFERROR(__xludf.DUMMYFUNCTION("""COMPUTED_VALUE"""),1.03474296605435)</f>
        <v>1.0347429660543499</v>
      </c>
      <c r="AH175" s="17">
        <f ca="1">IFERROR(__xludf.DUMMYFUNCTION("""COMPUTED_VALUE"""),1.07948534207519)</f>
        <v>1.07948534207519</v>
      </c>
      <c r="AI175" s="17" t="str">
        <f ca="1">IFERROR(__xludf.DUMMYFUNCTION("""COMPUTED_VALUE"""),"nan")</f>
        <v>nan</v>
      </c>
      <c r="AJ175" s="17">
        <f ca="1">IFERROR(__xludf.DUMMYFUNCTION("""COMPUTED_VALUE"""),1.10780170640742)</f>
        <v>1.1078017064074199</v>
      </c>
    </row>
    <row r="176" spans="2:36" ht="15.75" customHeight="1" x14ac:dyDescent="0.45">
      <c r="B176" s="10" t="str">
        <f ca="1">IFERROR(__xludf.DUMMYFUNCTION("""COMPUTED_VALUE"""),"DistalPhalanxOutlineCorrect")</f>
        <v>DistalPhalanxOutlineCorrect</v>
      </c>
      <c r="C176" s="10" t="str">
        <f ca="1">IFERROR(__xludf.DUMMYFUNCTION("""COMPUTED_VALUE"""),"aligned_timestamps")</f>
        <v>aligned_timestamps</v>
      </c>
      <c r="D176" s="10">
        <f ca="1">IFERROR(__xludf.DUMMYFUNCTION("""COMPUTED_VALUE"""),0.8)</f>
        <v>0.8</v>
      </c>
      <c r="E176" s="17">
        <f ca="1">IFERROR(__xludf.DUMMYFUNCTION("""COMPUTED_VALUE"""),1.00627147614764)</f>
        <v>1.0062714761476399</v>
      </c>
      <c r="F176" s="17">
        <f ca="1">IFERROR(__xludf.DUMMYFUNCTION("""COMPUTED_VALUE"""),0.274674830512383)</f>
        <v>0.27467483051238301</v>
      </c>
      <c r="G176" s="17">
        <f ca="1">IFERROR(__xludf.DUMMYFUNCTION("""COMPUTED_VALUE"""),0.259169226384396)</f>
        <v>0.25916922638439599</v>
      </c>
      <c r="H176" s="17">
        <f ca="1">IFERROR(__xludf.DUMMYFUNCTION("""COMPUTED_VALUE"""),0.347116243943779)</f>
        <v>0.34711624394377899</v>
      </c>
      <c r="I176" s="17">
        <f ca="1">IFERROR(__xludf.DUMMYFUNCTION("""COMPUTED_VALUE"""),0.566248489237777)</f>
        <v>0.56624848923777704</v>
      </c>
      <c r="J176" s="17">
        <f ca="1">IFERROR(__xludf.DUMMYFUNCTION("""COMPUTED_VALUE"""),1.05245694939574)</f>
        <v>1.0524569493957401</v>
      </c>
      <c r="K176" s="17" t="str">
        <f ca="1">IFERROR(__xludf.DUMMYFUNCTION("""COMPUTED_VALUE"""),"nan")</f>
        <v>nan</v>
      </c>
      <c r="L176" s="17">
        <f ca="1">IFERROR(__xludf.DUMMYFUNCTION("""COMPUTED_VALUE"""),0.289996063053256)</f>
        <v>0.28999606305325598</v>
      </c>
      <c r="M176" s="17">
        <f ca="1">IFERROR(__xludf.DUMMYFUNCTION("""COMPUTED_VALUE"""),1.16094154175307)</f>
        <v>1.16094154175307</v>
      </c>
      <c r="N176" s="18">
        <f ca="1">IFERROR(__xludf.DUMMYFUNCTION("""COMPUTED_VALUE"""),0.359051288194112)</f>
        <v>0.35905128819411197</v>
      </c>
      <c r="O176" s="17">
        <f ca="1">IFERROR(__xludf.DUMMYFUNCTION("""COMPUTED_VALUE"""),0.781557851987992)</f>
        <v>0.78155785198799199</v>
      </c>
      <c r="P176" s="17">
        <f ca="1">IFERROR(__xludf.DUMMYFUNCTION("""COMPUTED_VALUE"""),1.47201964565347)</f>
        <v>1.47201964565347</v>
      </c>
      <c r="Q176" s="17">
        <f ca="1">IFERROR(__xludf.DUMMYFUNCTION("""COMPUTED_VALUE"""),0.42286123661914)</f>
        <v>0.42286123661913999</v>
      </c>
      <c r="R176" s="17">
        <f ca="1">IFERROR(__xludf.DUMMYFUNCTION("""COMPUTED_VALUE"""),0.597581769208609)</f>
        <v>0.59758176920860895</v>
      </c>
      <c r="S176" s="17">
        <f ca="1">IFERROR(__xludf.DUMMYFUNCTION("""COMPUTED_VALUE"""),1.13136453344157)</f>
        <v>1.1313645334415701</v>
      </c>
      <c r="T176" s="17">
        <f ca="1">IFERROR(__xludf.DUMMYFUNCTION("""COMPUTED_VALUE"""),0.637613186459222)</f>
        <v>0.63761318645922205</v>
      </c>
      <c r="U176" s="17">
        <f ca="1">IFERROR(__xludf.DUMMYFUNCTION("""COMPUTED_VALUE"""),0.701224485275459)</f>
        <v>0.701224485275459</v>
      </c>
      <c r="V176" s="17">
        <f ca="1">IFERROR(__xludf.DUMMYFUNCTION("""COMPUTED_VALUE"""),1.21402622041087)</f>
        <v>1.21402622041087</v>
      </c>
      <c r="W176" s="17">
        <f ca="1">IFERROR(__xludf.DUMMYFUNCTION("""COMPUTED_VALUE"""),0.629979321392965)</f>
        <v>0.62997932139296497</v>
      </c>
      <c r="X176" s="17">
        <f ca="1">IFERROR(__xludf.DUMMYFUNCTION("""COMPUTED_VALUE"""),0.337761209835842)</f>
        <v>0.33776120983584201</v>
      </c>
      <c r="Y176" s="17">
        <f ca="1">IFERROR(__xludf.DUMMYFUNCTION("""COMPUTED_VALUE"""),0.335511885850893)</f>
        <v>0.33551188585089298</v>
      </c>
      <c r="Z176" s="17">
        <f ca="1">IFERROR(__xludf.DUMMYFUNCTION("""COMPUTED_VALUE"""),0.930470616395448)</f>
        <v>0.93047061639544804</v>
      </c>
      <c r="AA176" s="17">
        <f ca="1">IFERROR(__xludf.DUMMYFUNCTION("""COMPUTED_VALUE"""),1.51812184939507)</f>
        <v>1.5181218493950701</v>
      </c>
      <c r="AB176" s="17">
        <f ca="1">IFERROR(__xludf.DUMMYFUNCTION("""COMPUTED_VALUE"""),1.63354691396866)</f>
        <v>1.63354691396866</v>
      </c>
      <c r="AC176" s="17">
        <f ca="1">IFERROR(__xludf.DUMMYFUNCTION("""COMPUTED_VALUE"""),0.753229573876956)</f>
        <v>0.75322957387695599</v>
      </c>
      <c r="AD176" s="17">
        <f ca="1">IFERROR(__xludf.DUMMYFUNCTION("""COMPUTED_VALUE"""),0.521215148808284)</f>
        <v>0.52121514880828401</v>
      </c>
      <c r="AE176" s="17" t="str">
        <f ca="1">IFERROR(__xludf.DUMMYFUNCTION("""COMPUTED_VALUE"""),"nan")</f>
        <v>nan</v>
      </c>
      <c r="AF176" s="17">
        <f ca="1">IFERROR(__xludf.DUMMYFUNCTION("""COMPUTED_VALUE"""),1.24492309426816)</f>
        <v>1.2449230942681599</v>
      </c>
      <c r="AG176" s="17">
        <f ca="1">IFERROR(__xludf.DUMMYFUNCTION("""COMPUTED_VALUE"""),1.11527423389717)</f>
        <v>1.11527423389717</v>
      </c>
      <c r="AH176" s="17">
        <f ca="1">IFERROR(__xludf.DUMMYFUNCTION("""COMPUTED_VALUE"""),1.10673391276993)</f>
        <v>1.1067339127699301</v>
      </c>
      <c r="AI176" s="17" t="str">
        <f ca="1">IFERROR(__xludf.DUMMYFUNCTION("""COMPUTED_VALUE"""),"nan")</f>
        <v>nan</v>
      </c>
      <c r="AJ176" s="17">
        <f ca="1">IFERROR(__xludf.DUMMYFUNCTION("""COMPUTED_VALUE"""),1.05060645172446)</f>
        <v>1.05060645172446</v>
      </c>
    </row>
    <row r="177" spans="2:36" ht="15.75" customHeight="1" x14ac:dyDescent="0.45">
      <c r="B177" s="10" t="str">
        <f ca="1">IFERROR(__xludf.DUMMYFUNCTION("""COMPUTED_VALUE"""),"DistalPhalanxOutlineCorrect")</f>
        <v>DistalPhalanxOutlineCorrect</v>
      </c>
      <c r="C177" s="10" t="str">
        <f ca="1">IFERROR(__xludf.DUMMYFUNCTION("""COMPUTED_VALUE"""),"mcar")</f>
        <v>mcar</v>
      </c>
      <c r="D177" s="10">
        <f ca="1">IFERROR(__xludf.DUMMYFUNCTION("""COMPUTED_VALUE"""),0.1)</f>
        <v>0.1</v>
      </c>
      <c r="E177" s="17">
        <f ca="1">IFERROR(__xludf.DUMMYFUNCTION("""COMPUTED_VALUE"""),0.991623490775634)</f>
        <v>0.99162349077563405</v>
      </c>
      <c r="F177" s="17">
        <f ca="1">IFERROR(__xludf.DUMMYFUNCTION("""COMPUTED_VALUE"""),0.214208794028405)</f>
        <v>0.21420879402840501</v>
      </c>
      <c r="G177" s="17">
        <f ca="1">IFERROR(__xludf.DUMMYFUNCTION("""COMPUTED_VALUE"""),0.21375864125965)</f>
        <v>0.21375864125965</v>
      </c>
      <c r="H177" s="17">
        <f ca="1">IFERROR(__xludf.DUMMYFUNCTION("""COMPUTED_VALUE"""),0.262513433184853)</f>
        <v>0.26251343318485298</v>
      </c>
      <c r="I177" s="17">
        <f ca="1">IFERROR(__xludf.DUMMYFUNCTION("""COMPUTED_VALUE"""),0.100842825476527)</f>
        <v>0.100842825476527</v>
      </c>
      <c r="J177" s="17">
        <f ca="1">IFERROR(__xludf.DUMMYFUNCTION("""COMPUTED_VALUE"""),0.179562239027488)</f>
        <v>0.179562239027488</v>
      </c>
      <c r="K177" s="17" t="str">
        <f ca="1">IFERROR(__xludf.DUMMYFUNCTION("""COMPUTED_VALUE"""),"nan")</f>
        <v>nan</v>
      </c>
      <c r="L177" s="17">
        <f ca="1">IFERROR(__xludf.DUMMYFUNCTION("""COMPUTED_VALUE"""),0.165416975495434)</f>
        <v>0.16541697549543399</v>
      </c>
      <c r="M177" s="17">
        <f ca="1">IFERROR(__xludf.DUMMYFUNCTION("""COMPUTED_VALUE"""),0.21859093842147)</f>
        <v>0.21859093842147001</v>
      </c>
      <c r="N177" s="18">
        <f ca="1">IFERROR(__xludf.DUMMYFUNCTION("""COMPUTED_VALUE"""),0.181476415015927)</f>
        <v>0.18147641501592701</v>
      </c>
      <c r="O177" s="17">
        <f ca="1">IFERROR(__xludf.DUMMYFUNCTION("""COMPUTED_VALUE"""),0.152442427772281)</f>
        <v>0.15244242777228101</v>
      </c>
      <c r="P177" s="17">
        <f ca="1">IFERROR(__xludf.DUMMYFUNCTION("""COMPUTED_VALUE"""),0.590378680292646)</f>
        <v>0.59037868029264595</v>
      </c>
      <c r="Q177" s="17">
        <f ca="1">IFERROR(__xludf.DUMMYFUNCTION("""COMPUTED_VALUE"""),0.388430699556285)</f>
        <v>0.38843069955628501</v>
      </c>
      <c r="R177" s="17">
        <f ca="1">IFERROR(__xludf.DUMMYFUNCTION("""COMPUTED_VALUE"""),0.0934024649096954)</f>
        <v>9.3402464909695407E-2</v>
      </c>
      <c r="S177" s="17">
        <f ca="1">IFERROR(__xludf.DUMMYFUNCTION("""COMPUTED_VALUE"""),1.01432508246471)</f>
        <v>1.0143250824647101</v>
      </c>
      <c r="T177" s="17">
        <f ca="1">IFERROR(__xludf.DUMMYFUNCTION("""COMPUTED_VALUE"""),0.294663251461488)</f>
        <v>0.29466325146148797</v>
      </c>
      <c r="U177" s="17">
        <f ca="1">IFERROR(__xludf.DUMMYFUNCTION("""COMPUTED_VALUE"""),0.152966836136865)</f>
        <v>0.15296683613686499</v>
      </c>
      <c r="V177" s="17">
        <f ca="1">IFERROR(__xludf.DUMMYFUNCTION("""COMPUTED_VALUE"""),0.182088994776839)</f>
        <v>0.18208899477683901</v>
      </c>
      <c r="W177" s="17">
        <f ca="1">IFERROR(__xludf.DUMMYFUNCTION("""COMPUTED_VALUE"""),0.343431192849679)</f>
        <v>0.34343119284967899</v>
      </c>
      <c r="X177" s="17">
        <f ca="1">IFERROR(__xludf.DUMMYFUNCTION("""COMPUTED_VALUE"""),0.268396511931748)</f>
        <v>0.26839651193174802</v>
      </c>
      <c r="Y177" s="17">
        <f ca="1">IFERROR(__xludf.DUMMYFUNCTION("""COMPUTED_VALUE"""),0.284564893153364)</f>
        <v>0.28456489315336397</v>
      </c>
      <c r="Z177" s="17">
        <f ca="1">IFERROR(__xludf.DUMMYFUNCTION("""COMPUTED_VALUE"""),0.283021950670138)</f>
        <v>0.28302195067013802</v>
      </c>
      <c r="AA177" s="17">
        <f ca="1">IFERROR(__xludf.DUMMYFUNCTION("""COMPUTED_VALUE"""),0.0983035084764703)</f>
        <v>9.8303508476470305E-2</v>
      </c>
      <c r="AB177" s="17">
        <f ca="1">IFERROR(__xludf.DUMMYFUNCTION("""COMPUTED_VALUE"""),0.247551237034115)</f>
        <v>0.247551237034115</v>
      </c>
      <c r="AC177" s="17">
        <f ca="1">IFERROR(__xludf.DUMMYFUNCTION("""COMPUTED_VALUE"""),0.521988264183539)</f>
        <v>0.52198826418353905</v>
      </c>
      <c r="AD177" s="17">
        <f ca="1">IFERROR(__xludf.DUMMYFUNCTION("""COMPUTED_VALUE"""),0.336273462366847)</f>
        <v>0.33627346236684702</v>
      </c>
      <c r="AE177" s="17">
        <f ca="1">IFERROR(__xludf.DUMMYFUNCTION("""COMPUTED_VALUE"""),0.777779126400428)</f>
        <v>0.77777912640042801</v>
      </c>
      <c r="AF177" s="17">
        <f ca="1">IFERROR(__xludf.DUMMYFUNCTION("""COMPUTED_VALUE"""),0.697936063950883)</f>
        <v>0.69793606395088303</v>
      </c>
      <c r="AG177" s="17">
        <f ca="1">IFERROR(__xludf.DUMMYFUNCTION("""COMPUTED_VALUE"""),0.831360247318031)</f>
        <v>0.83136024731803104</v>
      </c>
      <c r="AH177" s="17">
        <f ca="1">IFERROR(__xludf.DUMMYFUNCTION("""COMPUTED_VALUE"""),0.594458232737608)</f>
        <v>0.59445823273760801</v>
      </c>
      <c r="AI177" s="17">
        <f ca="1">IFERROR(__xludf.DUMMYFUNCTION("""COMPUTED_VALUE"""),0.38455185694724)</f>
        <v>0.38455185694723998</v>
      </c>
      <c r="AJ177" s="17">
        <f ca="1">IFERROR(__xludf.DUMMYFUNCTION("""COMPUTED_VALUE"""),0.479262112382333)</f>
        <v>0.47926211238233302</v>
      </c>
    </row>
    <row r="178" spans="2:36" ht="15.75" customHeight="1" x14ac:dyDescent="0.45">
      <c r="B178" s="10" t="str">
        <f ca="1">IFERROR(__xludf.DUMMYFUNCTION("""COMPUTED_VALUE"""),"DistalPhalanxOutlineCorrect")</f>
        <v>DistalPhalanxOutlineCorrect</v>
      </c>
      <c r="C178" s="10" t="str">
        <f ca="1">IFERROR(__xludf.DUMMYFUNCTION("""COMPUTED_VALUE"""),"mcar")</f>
        <v>mcar</v>
      </c>
      <c r="D178" s="10">
        <f ca="1">IFERROR(__xludf.DUMMYFUNCTION("""COMPUTED_VALUE"""),0.2)</f>
        <v>0.2</v>
      </c>
      <c r="E178" s="17">
        <f ca="1">IFERROR(__xludf.DUMMYFUNCTION("""COMPUTED_VALUE"""),0.998176237164425)</f>
        <v>0.99817623716442505</v>
      </c>
      <c r="F178" s="17">
        <f ca="1">IFERROR(__xludf.DUMMYFUNCTION("""COMPUTED_VALUE"""),0.242463497032113)</f>
        <v>0.24246349703211301</v>
      </c>
      <c r="G178" s="17">
        <f ca="1">IFERROR(__xludf.DUMMYFUNCTION("""COMPUTED_VALUE"""),0.244644948245482)</f>
        <v>0.244644948245482</v>
      </c>
      <c r="H178" s="17">
        <f ca="1">IFERROR(__xludf.DUMMYFUNCTION("""COMPUTED_VALUE"""),0.273984804730471)</f>
        <v>0.27398480473047099</v>
      </c>
      <c r="I178" s="17">
        <f ca="1">IFERROR(__xludf.DUMMYFUNCTION("""COMPUTED_VALUE"""),0.119568140562505)</f>
        <v>0.119568140562505</v>
      </c>
      <c r="J178" s="17">
        <f ca="1">IFERROR(__xludf.DUMMYFUNCTION("""COMPUTED_VALUE"""),0.220456870058506)</f>
        <v>0.220456870058506</v>
      </c>
      <c r="K178" s="17" t="str">
        <f ca="1">IFERROR(__xludf.DUMMYFUNCTION("""COMPUTED_VALUE"""),"nan")</f>
        <v>nan</v>
      </c>
      <c r="L178" s="17">
        <f ca="1">IFERROR(__xludf.DUMMYFUNCTION("""COMPUTED_VALUE"""),0.199232481893262)</f>
        <v>0.19923248189326201</v>
      </c>
      <c r="M178" s="17">
        <f ca="1">IFERROR(__xludf.DUMMYFUNCTION("""COMPUTED_VALUE"""),0.251252008952231)</f>
        <v>0.25125200895223099</v>
      </c>
      <c r="N178" s="18">
        <f ca="1">IFERROR(__xludf.DUMMYFUNCTION("""COMPUTED_VALUE"""),0.274096290921149)</f>
        <v>0.27409629092114901</v>
      </c>
      <c r="O178" s="17">
        <f ca="1">IFERROR(__xludf.DUMMYFUNCTION("""COMPUTED_VALUE"""),0.185695786648382)</f>
        <v>0.18569578664838199</v>
      </c>
      <c r="P178" s="17">
        <f ca="1">IFERROR(__xludf.DUMMYFUNCTION("""COMPUTED_VALUE"""),0.632703517249911)</f>
        <v>0.63270351724991103</v>
      </c>
      <c r="Q178" s="17">
        <f ca="1">IFERROR(__xludf.DUMMYFUNCTION("""COMPUTED_VALUE"""),0.417638472969817)</f>
        <v>0.41763847296981699</v>
      </c>
      <c r="R178" s="17">
        <f ca="1">IFERROR(__xludf.DUMMYFUNCTION("""COMPUTED_VALUE"""),0.155313035849001)</f>
        <v>0.155313035849001</v>
      </c>
      <c r="S178" s="17">
        <f ca="1">IFERROR(__xludf.DUMMYFUNCTION("""COMPUTED_VALUE"""),1.01394591970176)</f>
        <v>1.01394591970176</v>
      </c>
      <c r="T178" s="17">
        <f ca="1">IFERROR(__xludf.DUMMYFUNCTION("""COMPUTED_VALUE"""),0.327494687150322)</f>
        <v>0.32749468715032198</v>
      </c>
      <c r="U178" s="17">
        <f ca="1">IFERROR(__xludf.DUMMYFUNCTION("""COMPUTED_VALUE"""),0.178749597665183)</f>
        <v>0.178749597665183</v>
      </c>
      <c r="V178" s="17">
        <f ca="1">IFERROR(__xludf.DUMMYFUNCTION("""COMPUTED_VALUE"""),0.24303416270854)</f>
        <v>0.24303416270854</v>
      </c>
      <c r="W178" s="17">
        <f ca="1">IFERROR(__xludf.DUMMYFUNCTION("""COMPUTED_VALUE"""),0.379893045980597)</f>
        <v>0.37989304598059698</v>
      </c>
      <c r="X178" s="17">
        <f ca="1">IFERROR(__xludf.DUMMYFUNCTION("""COMPUTED_VALUE"""),0.286075780831256)</f>
        <v>0.28607578083125601</v>
      </c>
      <c r="Y178" s="17">
        <f ca="1">IFERROR(__xludf.DUMMYFUNCTION("""COMPUTED_VALUE"""),0.313401625808876)</f>
        <v>0.31340162580887598</v>
      </c>
      <c r="Z178" s="17">
        <f ca="1">IFERROR(__xludf.DUMMYFUNCTION("""COMPUTED_VALUE"""),0.398409387963944)</f>
        <v>0.39840938796394398</v>
      </c>
      <c r="AA178" s="17">
        <f ca="1">IFERROR(__xludf.DUMMYFUNCTION("""COMPUTED_VALUE"""),0.110533523335051)</f>
        <v>0.110533523335051</v>
      </c>
      <c r="AB178" s="17">
        <f ca="1">IFERROR(__xludf.DUMMYFUNCTION("""COMPUTED_VALUE"""),0.288782715560173)</f>
        <v>0.28878271556017299</v>
      </c>
      <c r="AC178" s="17">
        <f ca="1">IFERROR(__xludf.DUMMYFUNCTION("""COMPUTED_VALUE"""),0.620184967470572)</f>
        <v>0.62018496747057195</v>
      </c>
      <c r="AD178" s="17">
        <f ca="1">IFERROR(__xludf.DUMMYFUNCTION("""COMPUTED_VALUE"""),0.62956269742964)</f>
        <v>0.62956269742963999</v>
      </c>
      <c r="AE178" s="17">
        <f ca="1">IFERROR(__xludf.DUMMYFUNCTION("""COMPUTED_VALUE"""),0.950315318869986)</f>
        <v>0.95031531886998599</v>
      </c>
      <c r="AF178" s="17">
        <f ca="1">IFERROR(__xludf.DUMMYFUNCTION("""COMPUTED_VALUE"""),0.25666770620528)</f>
        <v>0.25666770620528001</v>
      </c>
      <c r="AG178" s="17">
        <f ca="1">IFERROR(__xludf.DUMMYFUNCTION("""COMPUTED_VALUE"""),1.01221978814541)</f>
        <v>1.01221978814541</v>
      </c>
      <c r="AH178" s="17">
        <f ca="1">IFERROR(__xludf.DUMMYFUNCTION("""COMPUTED_VALUE"""),0.702753642567362)</f>
        <v>0.70275364256736195</v>
      </c>
      <c r="AI178" s="17">
        <f ca="1">IFERROR(__xludf.DUMMYFUNCTION("""COMPUTED_VALUE"""),0.671824613209856)</f>
        <v>0.67182461320985598</v>
      </c>
      <c r="AJ178" s="17">
        <f ca="1">IFERROR(__xludf.DUMMYFUNCTION("""COMPUTED_VALUE"""),0.531057582368258)</f>
        <v>0.53105758236825795</v>
      </c>
    </row>
    <row r="179" spans="2:36" ht="15.75" customHeight="1" x14ac:dyDescent="0.45">
      <c r="B179" s="10" t="str">
        <f ca="1">IFERROR(__xludf.DUMMYFUNCTION("""COMPUTED_VALUE"""),"DistalPhalanxOutlineCorrect")</f>
        <v>DistalPhalanxOutlineCorrect</v>
      </c>
      <c r="C179" s="10" t="str">
        <f ca="1">IFERROR(__xludf.DUMMYFUNCTION("""COMPUTED_VALUE"""),"mcar")</f>
        <v>mcar</v>
      </c>
      <c r="D179" s="10">
        <f ca="1">IFERROR(__xludf.DUMMYFUNCTION("""COMPUTED_VALUE"""),0.4)</f>
        <v>0.4</v>
      </c>
      <c r="E179" s="17">
        <f ca="1">IFERROR(__xludf.DUMMYFUNCTION("""COMPUTED_VALUE"""),1.00598376726289)</f>
        <v>1.00598376726289</v>
      </c>
      <c r="F179" s="17">
        <f ca="1">IFERROR(__xludf.DUMMYFUNCTION("""COMPUTED_VALUE"""),0.266463525691817)</f>
        <v>0.26646352569181703</v>
      </c>
      <c r="G179" s="17">
        <f ca="1">IFERROR(__xludf.DUMMYFUNCTION("""COMPUTED_VALUE"""),0.266781680168249)</f>
        <v>0.26678168016824899</v>
      </c>
      <c r="H179" s="17">
        <f ca="1">IFERROR(__xludf.DUMMYFUNCTION("""COMPUTED_VALUE"""),0.307303522734619)</f>
        <v>0.30730352273461897</v>
      </c>
      <c r="I179" s="17">
        <f ca="1">IFERROR(__xludf.DUMMYFUNCTION("""COMPUTED_VALUE"""),0.18299209863906)</f>
        <v>0.18299209863905999</v>
      </c>
      <c r="J179" s="17">
        <f ca="1">IFERROR(__xludf.DUMMYFUNCTION("""COMPUTED_VALUE"""),0.241692448866804)</f>
        <v>0.24169244886680399</v>
      </c>
      <c r="K179" s="17" t="str">
        <f ca="1">IFERROR(__xludf.DUMMYFUNCTION("""COMPUTED_VALUE"""),"nan")</f>
        <v>nan</v>
      </c>
      <c r="L179" s="17">
        <f ca="1">IFERROR(__xludf.DUMMYFUNCTION("""COMPUTED_VALUE"""),0.226642150949546)</f>
        <v>0.22664215094954601</v>
      </c>
      <c r="M179" s="17">
        <f ca="1">IFERROR(__xludf.DUMMYFUNCTION("""COMPUTED_VALUE"""),0.26063462893926)</f>
        <v>0.26063462893925998</v>
      </c>
      <c r="N179" s="18">
        <f ca="1">IFERROR(__xludf.DUMMYFUNCTION("""COMPUTED_VALUE"""),0.280151388383459)</f>
        <v>0.28015138838345899</v>
      </c>
      <c r="O179" s="17">
        <f ca="1">IFERROR(__xludf.DUMMYFUNCTION("""COMPUTED_VALUE"""),0.205416392757724)</f>
        <v>0.205416392757724</v>
      </c>
      <c r="P179" s="17">
        <f ca="1">IFERROR(__xludf.DUMMYFUNCTION("""COMPUTED_VALUE"""),0.72659570929154)</f>
        <v>0.72659570929154005</v>
      </c>
      <c r="Q179" s="17">
        <f ca="1">IFERROR(__xludf.DUMMYFUNCTION("""COMPUTED_VALUE"""),0.464590971079189)</f>
        <v>0.46459097107918901</v>
      </c>
      <c r="R179" s="17">
        <f ca="1">IFERROR(__xludf.DUMMYFUNCTION("""COMPUTED_VALUE"""),0.191788242990153)</f>
        <v>0.19178824299015301</v>
      </c>
      <c r="S179" s="17">
        <f ca="1">IFERROR(__xludf.DUMMYFUNCTION("""COMPUTED_VALUE"""),1.01079524697022)</f>
        <v>1.0107952469702199</v>
      </c>
      <c r="T179" s="17">
        <f ca="1">IFERROR(__xludf.DUMMYFUNCTION("""COMPUTED_VALUE"""),0.392319146868216)</f>
        <v>0.39231914686821601</v>
      </c>
      <c r="U179" s="17">
        <f ca="1">IFERROR(__xludf.DUMMYFUNCTION("""COMPUTED_VALUE"""),0.232035528894399)</f>
        <v>0.23203552889439899</v>
      </c>
      <c r="V179" s="17">
        <f ca="1">IFERROR(__xludf.DUMMYFUNCTION("""COMPUTED_VALUE"""),0.340099285274335)</f>
        <v>0.34009928527433497</v>
      </c>
      <c r="W179" s="17">
        <f ca="1">IFERROR(__xludf.DUMMYFUNCTION("""COMPUTED_VALUE"""),0.480178573761104)</f>
        <v>0.48017857376110401</v>
      </c>
      <c r="X179" s="17">
        <f ca="1">IFERROR(__xludf.DUMMYFUNCTION("""COMPUTED_VALUE"""),0.307204045869543)</f>
        <v>0.30720404586954297</v>
      </c>
      <c r="Y179" s="17">
        <f ca="1">IFERROR(__xludf.DUMMYFUNCTION("""COMPUTED_VALUE"""),0.320691432623656)</f>
        <v>0.32069143262365601</v>
      </c>
      <c r="Z179" s="17">
        <f ca="1">IFERROR(__xludf.DUMMYFUNCTION("""COMPUTED_VALUE"""),0.624040526452778)</f>
        <v>0.62404052645277797</v>
      </c>
      <c r="AA179" s="17">
        <f ca="1">IFERROR(__xludf.DUMMYFUNCTION("""COMPUTED_VALUE"""),0.17151504664099)</f>
        <v>0.17151504664098999</v>
      </c>
      <c r="AB179" s="17">
        <f ca="1">IFERROR(__xludf.DUMMYFUNCTION("""COMPUTED_VALUE"""),0.346372042910753)</f>
        <v>0.34637204291075302</v>
      </c>
      <c r="AC179" s="17">
        <f ca="1">IFERROR(__xludf.DUMMYFUNCTION("""COMPUTED_VALUE"""),0.631721577382054)</f>
        <v>0.63172157738205403</v>
      </c>
      <c r="AD179" s="17">
        <f ca="1">IFERROR(__xludf.DUMMYFUNCTION("""COMPUTED_VALUE"""),0.556057137092346)</f>
        <v>0.55605713709234605</v>
      </c>
      <c r="AE179" s="17">
        <f ca="1">IFERROR(__xludf.DUMMYFUNCTION("""COMPUTED_VALUE"""),1.17605778549827)</f>
        <v>1.1760577854982699</v>
      </c>
      <c r="AF179" s="17">
        <f ca="1">IFERROR(__xludf.DUMMYFUNCTION("""COMPUTED_VALUE"""),0.444331808563324)</f>
        <v>0.44433180856332399</v>
      </c>
      <c r="AG179" s="17">
        <f ca="1">IFERROR(__xludf.DUMMYFUNCTION("""COMPUTED_VALUE"""),0.981492611671881)</f>
        <v>0.98149261167188095</v>
      </c>
      <c r="AH179" s="17">
        <f ca="1">IFERROR(__xludf.DUMMYFUNCTION("""COMPUTED_VALUE"""),0.864511279252177)</f>
        <v>0.86451127925217697</v>
      </c>
      <c r="AI179" s="17">
        <f ca="1">IFERROR(__xludf.DUMMYFUNCTION("""COMPUTED_VALUE"""),1.08348250452223)</f>
        <v>1.08348250452223</v>
      </c>
      <c r="AJ179" s="17">
        <f ca="1">IFERROR(__xludf.DUMMYFUNCTION("""COMPUTED_VALUE"""),0.821806550046158)</f>
        <v>0.82180655004615799</v>
      </c>
    </row>
    <row r="180" spans="2:36" ht="15.75" customHeight="1" x14ac:dyDescent="0.45">
      <c r="B180" s="10" t="str">
        <f ca="1">IFERROR(__xludf.DUMMYFUNCTION("""COMPUTED_VALUE"""),"DistalPhalanxOutlineCorrect")</f>
        <v>DistalPhalanxOutlineCorrect</v>
      </c>
      <c r="C180" s="10" t="str">
        <f ca="1">IFERROR(__xludf.DUMMYFUNCTION("""COMPUTED_VALUE"""),"mcar")</f>
        <v>mcar</v>
      </c>
      <c r="D180" s="10">
        <f ca="1">IFERROR(__xludf.DUMMYFUNCTION("""COMPUTED_VALUE"""),0.6)</f>
        <v>0.6</v>
      </c>
      <c r="E180" s="17">
        <f ca="1">IFERROR(__xludf.DUMMYFUNCTION("""COMPUTED_VALUE"""),1.00660820972521)</f>
        <v>1.00660820972521</v>
      </c>
      <c r="F180" s="17">
        <f ca="1">IFERROR(__xludf.DUMMYFUNCTION("""COMPUTED_VALUE"""),0.268735108787713)</f>
        <v>0.26873510878771301</v>
      </c>
      <c r="G180" s="17">
        <f ca="1">IFERROR(__xludf.DUMMYFUNCTION("""COMPUTED_VALUE"""),0.276157277679815)</f>
        <v>0.27615727767981502</v>
      </c>
      <c r="H180" s="17">
        <f ca="1">IFERROR(__xludf.DUMMYFUNCTION("""COMPUTED_VALUE"""),0.314292725780349)</f>
        <v>0.314292725780349</v>
      </c>
      <c r="I180" s="17">
        <f ca="1">IFERROR(__xludf.DUMMYFUNCTION("""COMPUTED_VALUE"""),0.200804594797422)</f>
        <v>0.20080459479742199</v>
      </c>
      <c r="J180" s="17">
        <f ca="1">IFERROR(__xludf.DUMMYFUNCTION("""COMPUTED_VALUE"""),0.28786501126788)</f>
        <v>0.28786501126788</v>
      </c>
      <c r="K180" s="17" t="str">
        <f ca="1">IFERROR(__xludf.DUMMYFUNCTION("""COMPUTED_VALUE"""),"nan")</f>
        <v>nan</v>
      </c>
      <c r="L180" s="17">
        <f ca="1">IFERROR(__xludf.DUMMYFUNCTION("""COMPUTED_VALUE"""),0.246401482608094)</f>
        <v>0.246401482608094</v>
      </c>
      <c r="M180" s="17">
        <f ca="1">IFERROR(__xludf.DUMMYFUNCTION("""COMPUTED_VALUE"""),0.259187025917972)</f>
        <v>0.25918702591797199</v>
      </c>
      <c r="N180" s="18">
        <f ca="1">IFERROR(__xludf.DUMMYFUNCTION("""COMPUTED_VALUE"""),0.283563548939753)</f>
        <v>0.283563548939753</v>
      </c>
      <c r="O180" s="17">
        <f ca="1">IFERROR(__xludf.DUMMYFUNCTION("""COMPUTED_VALUE"""),0.455607084628574)</f>
        <v>0.45560708462857402</v>
      </c>
      <c r="P180" s="17">
        <f ca="1">IFERROR(__xludf.DUMMYFUNCTION("""COMPUTED_VALUE"""),0.755092587820991)</f>
        <v>0.75509258782099098</v>
      </c>
      <c r="Q180" s="17">
        <f ca="1">IFERROR(__xludf.DUMMYFUNCTION("""COMPUTED_VALUE"""),0.524566386650479)</f>
        <v>0.52456638665047906</v>
      </c>
      <c r="R180" s="17">
        <f ca="1">IFERROR(__xludf.DUMMYFUNCTION("""COMPUTED_VALUE"""),0.221682310673965)</f>
        <v>0.22168231067396499</v>
      </c>
      <c r="S180" s="17">
        <f ca="1">IFERROR(__xludf.DUMMYFUNCTION("""COMPUTED_VALUE"""),1.00510867890819)</f>
        <v>1.00510867890819</v>
      </c>
      <c r="T180" s="17">
        <f ca="1">IFERROR(__xludf.DUMMYFUNCTION("""COMPUTED_VALUE"""),0.405669905029298)</f>
        <v>0.40566990502929801</v>
      </c>
      <c r="U180" s="17">
        <f ca="1">IFERROR(__xludf.DUMMYFUNCTION("""COMPUTED_VALUE"""),0.270517280179603)</f>
        <v>0.27051728017960303</v>
      </c>
      <c r="V180" s="17">
        <f ca="1">IFERROR(__xludf.DUMMYFUNCTION("""COMPUTED_VALUE"""),0.330679577969755)</f>
        <v>0.330679577969755</v>
      </c>
      <c r="W180" s="17">
        <f ca="1">IFERROR(__xludf.DUMMYFUNCTION("""COMPUTED_VALUE"""),0.421096621005948)</f>
        <v>0.42109662100594802</v>
      </c>
      <c r="X180" s="17">
        <f ca="1">IFERROR(__xludf.DUMMYFUNCTION("""COMPUTED_VALUE"""),0.306432291925855)</f>
        <v>0.30643229192585503</v>
      </c>
      <c r="Y180" s="17">
        <f ca="1">IFERROR(__xludf.DUMMYFUNCTION("""COMPUTED_VALUE"""),0.325416669949409)</f>
        <v>0.32541666994940899</v>
      </c>
      <c r="Z180" s="17">
        <f ca="1">IFERROR(__xludf.DUMMYFUNCTION("""COMPUTED_VALUE"""),0.70036213313575)</f>
        <v>0.70036213313575002</v>
      </c>
      <c r="AA180" s="17">
        <f ca="1">IFERROR(__xludf.DUMMYFUNCTION("""COMPUTED_VALUE"""),0.193604978954686)</f>
        <v>0.19360497895468601</v>
      </c>
      <c r="AB180" s="17">
        <f ca="1">IFERROR(__xludf.DUMMYFUNCTION("""COMPUTED_VALUE"""),0.372228534420656)</f>
        <v>0.37222853442065601</v>
      </c>
      <c r="AC180" s="17">
        <f ca="1">IFERROR(__xludf.DUMMYFUNCTION("""COMPUTED_VALUE"""),0.64032787052423)</f>
        <v>0.64032787052423001</v>
      </c>
      <c r="AD180" s="17">
        <f ca="1">IFERROR(__xludf.DUMMYFUNCTION("""COMPUTED_VALUE"""),0.627740356364205)</f>
        <v>0.627740356364205</v>
      </c>
      <c r="AE180" s="17">
        <f ca="1">IFERROR(__xludf.DUMMYFUNCTION("""COMPUTED_VALUE"""),1.26943724162552)</f>
        <v>1.26943724162552</v>
      </c>
      <c r="AF180" s="17">
        <f ca="1">IFERROR(__xludf.DUMMYFUNCTION("""COMPUTED_VALUE"""),0.521917314399857)</f>
        <v>0.521917314399857</v>
      </c>
      <c r="AG180" s="17">
        <f ca="1">IFERROR(__xludf.DUMMYFUNCTION("""COMPUTED_VALUE"""),1.02554182421717)</f>
        <v>1.0255418242171701</v>
      </c>
      <c r="AH180" s="17">
        <f ca="1">IFERROR(__xludf.DUMMYFUNCTION("""COMPUTED_VALUE"""),1.01158173570262)</f>
        <v>1.01158173570262</v>
      </c>
      <c r="AI180" s="17">
        <f ca="1">IFERROR(__xludf.DUMMYFUNCTION("""COMPUTED_VALUE"""),1.05935760483427)</f>
        <v>1.0593576048342701</v>
      </c>
      <c r="AJ180" s="17">
        <f ca="1">IFERROR(__xludf.DUMMYFUNCTION("""COMPUTED_VALUE"""),1.11825149290159)</f>
        <v>1.1182514929015901</v>
      </c>
    </row>
    <row r="181" spans="2:36" ht="15.75" customHeight="1" x14ac:dyDescent="0.45">
      <c r="B181" s="10" t="str">
        <f ca="1">IFERROR(__xludf.DUMMYFUNCTION("""COMPUTED_VALUE"""),"DistalPhalanxOutlineCorrect")</f>
        <v>DistalPhalanxOutlineCorrect</v>
      </c>
      <c r="C181" s="10" t="str">
        <f ca="1">IFERROR(__xludf.DUMMYFUNCTION("""COMPUTED_VALUE"""),"mcar")</f>
        <v>mcar</v>
      </c>
      <c r="D181" s="10">
        <f ca="1">IFERROR(__xludf.DUMMYFUNCTION("""COMPUTED_VALUE"""),0.8)</f>
        <v>0.8</v>
      </c>
      <c r="E181" s="17">
        <f ca="1">IFERROR(__xludf.DUMMYFUNCTION("""COMPUTED_VALUE"""),1.01527799129013)</f>
        <v>1.01527799129013</v>
      </c>
      <c r="F181" s="17">
        <f ca="1">IFERROR(__xludf.DUMMYFUNCTION("""COMPUTED_VALUE"""),0.293819744196294)</f>
        <v>0.29381974419629397</v>
      </c>
      <c r="G181" s="17">
        <f ca="1">IFERROR(__xludf.DUMMYFUNCTION("""COMPUTED_VALUE"""),0.285207601873417)</f>
        <v>0.28520760187341698</v>
      </c>
      <c r="H181" s="17">
        <f ca="1">IFERROR(__xludf.DUMMYFUNCTION("""COMPUTED_VALUE"""),0.322862487512406)</f>
        <v>0.32286248751240598</v>
      </c>
      <c r="I181" s="17">
        <f ca="1">IFERROR(__xludf.DUMMYFUNCTION("""COMPUTED_VALUE"""),0.283106044277896)</f>
        <v>0.28310604427789599</v>
      </c>
      <c r="J181" s="17">
        <f ca="1">IFERROR(__xludf.DUMMYFUNCTION("""COMPUTED_VALUE"""),0.92248952635931)</f>
        <v>0.92248952635931003</v>
      </c>
      <c r="K181" s="17" t="str">
        <f ca="1">IFERROR(__xludf.DUMMYFUNCTION("""COMPUTED_VALUE"""),"nan")</f>
        <v>nan</v>
      </c>
      <c r="L181" s="17">
        <f ca="1">IFERROR(__xludf.DUMMYFUNCTION("""COMPUTED_VALUE"""),0.266095917369989)</f>
        <v>0.266095917369989</v>
      </c>
      <c r="M181" s="17">
        <f ca="1">IFERROR(__xludf.DUMMYFUNCTION("""COMPUTED_VALUE"""),0.416662774693927)</f>
        <v>0.41666277469392698</v>
      </c>
      <c r="N181" s="18">
        <f ca="1">IFERROR(__xludf.DUMMYFUNCTION("""COMPUTED_VALUE"""),0.320592827048798)</f>
        <v>0.32059282704879799</v>
      </c>
      <c r="O181" s="17">
        <f ca="1">IFERROR(__xludf.DUMMYFUNCTION("""COMPUTED_VALUE"""),0.38122371149964)</f>
        <v>0.38122371149964002</v>
      </c>
      <c r="P181" s="17">
        <f ca="1">IFERROR(__xludf.DUMMYFUNCTION("""COMPUTED_VALUE"""),0.935047100399402)</f>
        <v>0.93504710039940198</v>
      </c>
      <c r="Q181" s="17">
        <f ca="1">IFERROR(__xludf.DUMMYFUNCTION("""COMPUTED_VALUE"""),0.589090831850938)</f>
        <v>0.58909083185093802</v>
      </c>
      <c r="R181" s="17">
        <f ca="1">IFERROR(__xludf.DUMMYFUNCTION("""COMPUTED_VALUE"""),0.27973398394918)</f>
        <v>0.27973398394917998</v>
      </c>
      <c r="S181" s="17">
        <f ca="1">IFERROR(__xludf.DUMMYFUNCTION("""COMPUTED_VALUE"""),1.0199546408076)</f>
        <v>1.0199546408075999</v>
      </c>
      <c r="T181" s="17">
        <f ca="1">IFERROR(__xludf.DUMMYFUNCTION("""COMPUTED_VALUE"""),0.72530968986854)</f>
        <v>0.72530968986854005</v>
      </c>
      <c r="U181" s="17">
        <f ca="1">IFERROR(__xludf.DUMMYFUNCTION("""COMPUTED_VALUE"""),0.353554227343056)</f>
        <v>0.35355422734305603</v>
      </c>
      <c r="V181" s="17">
        <f ca="1">IFERROR(__xludf.DUMMYFUNCTION("""COMPUTED_VALUE"""),0.455248527070319)</f>
        <v>0.45524852707031899</v>
      </c>
      <c r="W181" s="17">
        <f ca="1">IFERROR(__xludf.DUMMYFUNCTION("""COMPUTED_VALUE"""),0.510778546158107)</f>
        <v>0.51077854615810703</v>
      </c>
      <c r="X181" s="17">
        <f ca="1">IFERROR(__xludf.DUMMYFUNCTION("""COMPUTED_VALUE"""),0.308092815477339)</f>
        <v>0.30809281547733902</v>
      </c>
      <c r="Y181" s="17">
        <f ca="1">IFERROR(__xludf.DUMMYFUNCTION("""COMPUTED_VALUE"""),0.396137569992918)</f>
        <v>0.39613756999291799</v>
      </c>
      <c r="Z181" s="17">
        <f ca="1">IFERROR(__xludf.DUMMYFUNCTION("""COMPUTED_VALUE"""),0.83535716257491)</f>
        <v>0.83535716257490999</v>
      </c>
      <c r="AA181" s="17">
        <f ca="1">IFERROR(__xludf.DUMMYFUNCTION("""COMPUTED_VALUE"""),0.264149685880765)</f>
        <v>0.26414968588076498</v>
      </c>
      <c r="AB181" s="17">
        <f ca="1">IFERROR(__xludf.DUMMYFUNCTION("""COMPUTED_VALUE"""),0.640833045170556)</f>
        <v>0.64083304517055595</v>
      </c>
      <c r="AC181" s="17">
        <f ca="1">IFERROR(__xludf.DUMMYFUNCTION("""COMPUTED_VALUE"""),0.676336313718024)</f>
        <v>0.67633631371802405</v>
      </c>
      <c r="AD181" s="17">
        <f ca="1">IFERROR(__xludf.DUMMYFUNCTION("""COMPUTED_VALUE"""),0.721199664871006)</f>
        <v>0.72119966487100595</v>
      </c>
      <c r="AE181" s="17" t="str">
        <f ca="1">IFERROR(__xludf.DUMMYFUNCTION("""COMPUTED_VALUE"""),"nan")</f>
        <v>nan</v>
      </c>
      <c r="AF181" s="17">
        <f ca="1">IFERROR(__xludf.DUMMYFUNCTION("""COMPUTED_VALUE"""),0.739984502662489)</f>
        <v>0.73998450266248905</v>
      </c>
      <c r="AG181" s="17">
        <f ca="1">IFERROR(__xludf.DUMMYFUNCTION("""COMPUTED_VALUE"""),1.07156349646181)</f>
        <v>1.0715634964618099</v>
      </c>
      <c r="AH181" s="17">
        <f ca="1">IFERROR(__xludf.DUMMYFUNCTION("""COMPUTED_VALUE"""),1.06670421978626)</f>
        <v>1.06670421978626</v>
      </c>
      <c r="AI181" s="17">
        <f ca="1">IFERROR(__xludf.DUMMYFUNCTION("""COMPUTED_VALUE"""),1.05135565981486)</f>
        <v>1.0513556598148599</v>
      </c>
      <c r="AJ181" s="17">
        <f ca="1">IFERROR(__xludf.DUMMYFUNCTION("""COMPUTED_VALUE"""),1.14669838295391)</f>
        <v>1.1466983829539099</v>
      </c>
    </row>
    <row r="182" spans="2:36" ht="15.75" customHeight="1" x14ac:dyDescent="0.45">
      <c r="B182" s="10" t="str">
        <f ca="1">IFERROR(__xludf.DUMMYFUNCTION("""COMPUTED_VALUE"""),"DistalPhalanxTW")</f>
        <v>DistalPhalanxTW</v>
      </c>
      <c r="C182" s="10" t="str">
        <f ca="1">IFERROR(__xludf.DUMMYFUNCTION("""COMPUTED_VALUE"""),"aligned_series")</f>
        <v>aligned_series</v>
      </c>
      <c r="D182" s="10">
        <f ca="1">IFERROR(__xludf.DUMMYFUNCTION("""COMPUTED_VALUE"""),0.1)</f>
        <v>0.1</v>
      </c>
      <c r="E182" s="17">
        <f ca="1">IFERROR(__xludf.DUMMYFUNCTION("""COMPUTED_VALUE"""),1.00325949597717)</f>
        <v>1.0032594959771699</v>
      </c>
      <c r="F182" s="17">
        <f ca="1">IFERROR(__xludf.DUMMYFUNCTION("""COMPUTED_VALUE"""),0.12781897957262)</f>
        <v>0.12781897957262001</v>
      </c>
      <c r="G182" s="17">
        <f ca="1">IFERROR(__xludf.DUMMYFUNCTION("""COMPUTED_VALUE"""),0.130053634450904)</f>
        <v>0.13005363445090401</v>
      </c>
      <c r="H182" s="17">
        <f ca="1">IFERROR(__xludf.DUMMYFUNCTION("""COMPUTED_VALUE"""),0.153124791379933)</f>
        <v>0.15312479137993301</v>
      </c>
      <c r="I182" s="17">
        <f ca="1">IFERROR(__xludf.DUMMYFUNCTION("""COMPUTED_VALUE"""),0.121034520204198)</f>
        <v>0.121034520204198</v>
      </c>
      <c r="J182" s="17">
        <f ca="1">IFERROR(__xludf.DUMMYFUNCTION("""COMPUTED_VALUE"""),0.856154644220482)</f>
        <v>0.85615464422048204</v>
      </c>
      <c r="K182" s="17" t="str">
        <f ca="1">IFERROR(__xludf.DUMMYFUNCTION("""COMPUTED_VALUE"""),"nan")</f>
        <v>nan</v>
      </c>
      <c r="L182" s="17">
        <f ca="1">IFERROR(__xludf.DUMMYFUNCTION("""COMPUTED_VALUE"""),0.148975612303565)</f>
        <v>0.14897561230356501</v>
      </c>
      <c r="M182" s="17">
        <f ca="1">IFERROR(__xludf.DUMMYFUNCTION("""COMPUTED_VALUE"""),0.141993795089537)</f>
        <v>0.14199379508953699</v>
      </c>
      <c r="N182" s="17">
        <f ca="1">IFERROR(__xludf.DUMMYFUNCTION("""COMPUTED_VALUE"""),0.203966983892559)</f>
        <v>0.20396698389255899</v>
      </c>
      <c r="O182" s="17">
        <f ca="1">IFERROR(__xludf.DUMMYFUNCTION("""COMPUTED_VALUE"""),0.129258630139016)</f>
        <v>0.12925863013901601</v>
      </c>
      <c r="P182" s="17">
        <f ca="1">IFERROR(__xludf.DUMMYFUNCTION("""COMPUTED_VALUE"""),0.827211337995533)</f>
        <v>0.82721133799553304</v>
      </c>
      <c r="Q182" s="17">
        <f ca="1">IFERROR(__xludf.DUMMYFUNCTION("""COMPUTED_VALUE"""),0.235461661602232)</f>
        <v>0.235461661602232</v>
      </c>
      <c r="R182" s="17">
        <f ca="1">IFERROR(__xludf.DUMMYFUNCTION("""COMPUTED_VALUE"""),0.201987428005963)</f>
        <v>0.201987428005963</v>
      </c>
      <c r="S182" s="17">
        <f ca="1">IFERROR(__xludf.DUMMYFUNCTION("""COMPUTED_VALUE"""),0.188570733520724)</f>
        <v>0.18857073352072401</v>
      </c>
      <c r="T182" s="17">
        <f ca="1">IFERROR(__xludf.DUMMYFUNCTION("""COMPUTED_VALUE"""),0.163505585078667)</f>
        <v>0.163505585078667</v>
      </c>
      <c r="U182" s="17">
        <f ca="1">IFERROR(__xludf.DUMMYFUNCTION("""COMPUTED_VALUE"""),0.147872715466381)</f>
        <v>0.14787271546638101</v>
      </c>
      <c r="V182" s="17">
        <f ca="1">IFERROR(__xludf.DUMMYFUNCTION("""COMPUTED_VALUE"""),0.157360066099588)</f>
        <v>0.157360066099588</v>
      </c>
      <c r="W182" s="17">
        <f ca="1">IFERROR(__xludf.DUMMYFUNCTION("""COMPUTED_VALUE"""),0.327530605272309)</f>
        <v>0.32753060527230898</v>
      </c>
      <c r="X182" s="17">
        <f ca="1">IFERROR(__xludf.DUMMYFUNCTION("""COMPUTED_VALUE"""),0.325239683591087)</f>
        <v>0.32523968359108701</v>
      </c>
      <c r="Y182" s="17">
        <f ca="1">IFERROR(__xludf.DUMMYFUNCTION("""COMPUTED_VALUE"""),0.147711497928059)</f>
        <v>0.14771149792805899</v>
      </c>
      <c r="Z182" s="17">
        <f ca="1">IFERROR(__xludf.DUMMYFUNCTION("""COMPUTED_VALUE"""),0.399236021412331)</f>
        <v>0.399236021412331</v>
      </c>
      <c r="AA182" s="17">
        <f ca="1">IFERROR(__xludf.DUMMYFUNCTION("""COMPUTED_VALUE"""),0.132483379768188)</f>
        <v>0.132483379768188</v>
      </c>
      <c r="AB182" s="17">
        <f ca="1">IFERROR(__xludf.DUMMYFUNCTION("""COMPUTED_VALUE"""),0.233711480863638)</f>
        <v>0.23371148086363799</v>
      </c>
      <c r="AC182" s="17">
        <f ca="1">IFERROR(__xludf.DUMMYFUNCTION("""COMPUTED_VALUE"""),0.601471170515014)</f>
        <v>0.60147117051501398</v>
      </c>
      <c r="AD182" s="17">
        <f ca="1">IFERROR(__xludf.DUMMYFUNCTION("""COMPUTED_VALUE"""),0.207899492284595)</f>
        <v>0.20789949228459501</v>
      </c>
      <c r="AE182" s="17">
        <f ca="1">IFERROR(__xludf.DUMMYFUNCTION("""COMPUTED_VALUE"""),1.17585638830725)</f>
        <v>1.1758563883072499</v>
      </c>
      <c r="AF182" s="17">
        <f ca="1">IFERROR(__xludf.DUMMYFUNCTION("""COMPUTED_VALUE"""),0.244656391691432)</f>
        <v>0.244656391691432</v>
      </c>
      <c r="AG182" s="17">
        <f ca="1">IFERROR(__xludf.DUMMYFUNCTION("""COMPUTED_VALUE"""),0.564159255962198)</f>
        <v>0.56415925596219796</v>
      </c>
      <c r="AH182" s="17">
        <f ca="1">IFERROR(__xludf.DUMMYFUNCTION("""COMPUTED_VALUE"""),0.894476562328989)</f>
        <v>0.89447656232898898</v>
      </c>
      <c r="AI182" s="17">
        <f ca="1">IFERROR(__xludf.DUMMYFUNCTION("""COMPUTED_VALUE"""),1.03290315547906)</f>
        <v>1.03290315547906</v>
      </c>
      <c r="AJ182" s="17">
        <f ca="1">IFERROR(__xludf.DUMMYFUNCTION("""COMPUTED_VALUE"""),0.605650763785572)</f>
        <v>0.60565076378557203</v>
      </c>
    </row>
    <row r="183" spans="2:36" ht="15.75" customHeight="1" x14ac:dyDescent="0.45">
      <c r="B183" s="10" t="str">
        <f ca="1">IFERROR(__xludf.DUMMYFUNCTION("""COMPUTED_VALUE"""),"DistalPhalanxTW")</f>
        <v>DistalPhalanxTW</v>
      </c>
      <c r="C183" s="10" t="str">
        <f ca="1">IFERROR(__xludf.DUMMYFUNCTION("""COMPUTED_VALUE"""),"aligned_series")</f>
        <v>aligned_series</v>
      </c>
      <c r="D183" s="10">
        <f ca="1">IFERROR(__xludf.DUMMYFUNCTION("""COMPUTED_VALUE"""),0.2)</f>
        <v>0.2</v>
      </c>
      <c r="E183" s="17">
        <f ca="1">IFERROR(__xludf.DUMMYFUNCTION("""COMPUTED_VALUE"""),1.02800807438005)</f>
        <v>1.0280080743800499</v>
      </c>
      <c r="F183" s="17">
        <f ca="1">IFERROR(__xludf.DUMMYFUNCTION("""COMPUTED_VALUE"""),0.135924457330778)</f>
        <v>0.13592445733077799</v>
      </c>
      <c r="G183" s="17">
        <f ca="1">IFERROR(__xludf.DUMMYFUNCTION("""COMPUTED_VALUE"""),0.135981427109038)</f>
        <v>0.13598142710903799</v>
      </c>
      <c r="H183" s="17">
        <f ca="1">IFERROR(__xludf.DUMMYFUNCTION("""COMPUTED_VALUE"""),0.16584159310547)</f>
        <v>0.16584159310547</v>
      </c>
      <c r="I183" s="17">
        <f ca="1">IFERROR(__xludf.DUMMYFUNCTION("""COMPUTED_VALUE"""),0.14149480009404)</f>
        <v>0.14149480009404</v>
      </c>
      <c r="J183" s="17">
        <f ca="1">IFERROR(__xludf.DUMMYFUNCTION("""COMPUTED_VALUE"""),0.992332557833349)</f>
        <v>0.99233255783334895</v>
      </c>
      <c r="K183" s="17" t="str">
        <f ca="1">IFERROR(__xludf.DUMMYFUNCTION("""COMPUTED_VALUE"""),"nan")</f>
        <v>nan</v>
      </c>
      <c r="L183" s="17">
        <f ca="1">IFERROR(__xludf.DUMMYFUNCTION("""COMPUTED_VALUE"""),0.171667517075354)</f>
        <v>0.17166751707535399</v>
      </c>
      <c r="M183" s="17">
        <f ca="1">IFERROR(__xludf.DUMMYFUNCTION("""COMPUTED_VALUE"""),0.632099407752255)</f>
        <v>0.63209940775225504</v>
      </c>
      <c r="N183" s="17">
        <f ca="1">IFERROR(__xludf.DUMMYFUNCTION("""COMPUTED_VALUE"""),0.263176368230486)</f>
        <v>0.26317636823048601</v>
      </c>
      <c r="O183" s="17">
        <f ca="1">IFERROR(__xludf.DUMMYFUNCTION("""COMPUTED_VALUE"""),0.135673887368909)</f>
        <v>0.13567388736890901</v>
      </c>
      <c r="P183" s="17">
        <f ca="1">IFERROR(__xludf.DUMMYFUNCTION("""COMPUTED_VALUE"""),0.884081766752837)</f>
        <v>0.88408176675283701</v>
      </c>
      <c r="Q183" s="17">
        <f ca="1">IFERROR(__xludf.DUMMYFUNCTION("""COMPUTED_VALUE"""),0.208725773269423)</f>
        <v>0.20872577326942299</v>
      </c>
      <c r="R183" s="17">
        <f ca="1">IFERROR(__xludf.DUMMYFUNCTION("""COMPUTED_VALUE"""),0.309946270044657)</f>
        <v>0.30994627004465702</v>
      </c>
      <c r="S183" s="17">
        <f ca="1">IFERROR(__xludf.DUMMYFUNCTION("""COMPUTED_VALUE"""),0.302158483704076)</f>
        <v>0.302158483704076</v>
      </c>
      <c r="T183" s="17">
        <f ca="1">IFERROR(__xludf.DUMMYFUNCTION("""COMPUTED_VALUE"""),0.196167681092904)</f>
        <v>0.196167681092904</v>
      </c>
      <c r="U183" s="17">
        <f ca="1">IFERROR(__xludf.DUMMYFUNCTION("""COMPUTED_VALUE"""),0.161531206654255)</f>
        <v>0.16153120665425499</v>
      </c>
      <c r="V183" s="17">
        <f ca="1">IFERROR(__xludf.DUMMYFUNCTION("""COMPUTED_VALUE"""),0.173041750451859)</f>
        <v>0.17304175045185899</v>
      </c>
      <c r="W183" s="17">
        <f ca="1">IFERROR(__xludf.DUMMYFUNCTION("""COMPUTED_VALUE"""),0.341513658636841)</f>
        <v>0.34151365863684102</v>
      </c>
      <c r="X183" s="17">
        <f ca="1">IFERROR(__xludf.DUMMYFUNCTION("""COMPUTED_VALUE"""),0.304649282917708)</f>
        <v>0.30464928291770799</v>
      </c>
      <c r="Y183" s="17">
        <f ca="1">IFERROR(__xludf.DUMMYFUNCTION("""COMPUTED_VALUE"""),0.16136060717294)</f>
        <v>0.16136060717294001</v>
      </c>
      <c r="Z183" s="17">
        <f ca="1">IFERROR(__xludf.DUMMYFUNCTION("""COMPUTED_VALUE"""),0.383233929737569)</f>
        <v>0.38323392973756898</v>
      </c>
      <c r="AA183" s="17">
        <f ca="1">IFERROR(__xludf.DUMMYFUNCTION("""COMPUTED_VALUE"""),0.147356296808966)</f>
        <v>0.147356296808966</v>
      </c>
      <c r="AB183" s="17">
        <f ca="1">IFERROR(__xludf.DUMMYFUNCTION("""COMPUTED_VALUE"""),0.296942807046521)</f>
        <v>0.29694280704652098</v>
      </c>
      <c r="AC183" s="17">
        <f ca="1">IFERROR(__xludf.DUMMYFUNCTION("""COMPUTED_VALUE"""),0.691403811637671)</f>
        <v>0.69140381163767095</v>
      </c>
      <c r="AD183" s="17">
        <f ca="1">IFERROR(__xludf.DUMMYFUNCTION("""COMPUTED_VALUE"""),0.189760992035178)</f>
        <v>0.18976099203517799</v>
      </c>
      <c r="AE183" s="17">
        <f ca="1">IFERROR(__xludf.DUMMYFUNCTION("""COMPUTED_VALUE"""),1.18648532945551)</f>
        <v>1.18648532945551</v>
      </c>
      <c r="AF183" s="17">
        <f ca="1">IFERROR(__xludf.DUMMYFUNCTION("""COMPUTED_VALUE"""),0.228089248873648)</f>
        <v>0.22808924887364801</v>
      </c>
      <c r="AG183" s="17">
        <f ca="1">IFERROR(__xludf.DUMMYFUNCTION("""COMPUTED_VALUE"""),0.576848238909257)</f>
        <v>0.57684823890925696</v>
      </c>
      <c r="AH183" s="17">
        <f ca="1">IFERROR(__xludf.DUMMYFUNCTION("""COMPUTED_VALUE"""),0.893896867212762)</f>
        <v>0.89389686721276196</v>
      </c>
      <c r="AI183" s="17">
        <f ca="1">IFERROR(__xludf.DUMMYFUNCTION("""COMPUTED_VALUE"""),1.02839591106854)</f>
        <v>1.0283959110685399</v>
      </c>
      <c r="AJ183" s="17">
        <f ca="1">IFERROR(__xludf.DUMMYFUNCTION("""COMPUTED_VALUE"""),0.62098161630998)</f>
        <v>0.62098161630997994</v>
      </c>
    </row>
    <row r="184" spans="2:36" ht="15.75" customHeight="1" x14ac:dyDescent="0.45">
      <c r="B184" s="10" t="str">
        <f ca="1">IFERROR(__xludf.DUMMYFUNCTION("""COMPUTED_VALUE"""),"DistalPhalanxTW")</f>
        <v>DistalPhalanxTW</v>
      </c>
      <c r="C184" s="10" t="str">
        <f ca="1">IFERROR(__xludf.DUMMYFUNCTION("""COMPUTED_VALUE"""),"aligned_series")</f>
        <v>aligned_series</v>
      </c>
      <c r="D184" s="10">
        <f ca="1">IFERROR(__xludf.DUMMYFUNCTION("""COMPUTED_VALUE"""),0.4)</f>
        <v>0.4</v>
      </c>
      <c r="E184" s="17">
        <f ca="1">IFERROR(__xludf.DUMMYFUNCTION("""COMPUTED_VALUE"""),1.0598426979805)</f>
        <v>1.0598426979805</v>
      </c>
      <c r="F184" s="17">
        <f ca="1">IFERROR(__xludf.DUMMYFUNCTION("""COMPUTED_VALUE"""),0.142143997762505)</f>
        <v>0.142143997762505</v>
      </c>
      <c r="G184" s="17">
        <f ca="1">IFERROR(__xludf.DUMMYFUNCTION("""COMPUTED_VALUE"""),0.132548271832596)</f>
        <v>0.13254827183259599</v>
      </c>
      <c r="H184" s="17">
        <f ca="1">IFERROR(__xludf.DUMMYFUNCTION("""COMPUTED_VALUE"""),0.168826008150976)</f>
        <v>0.16882600815097601</v>
      </c>
      <c r="I184" s="17">
        <f ca="1">IFERROR(__xludf.DUMMYFUNCTION("""COMPUTED_VALUE"""),0.163217966561237)</f>
        <v>0.16321796656123699</v>
      </c>
      <c r="J184" s="17">
        <f ca="1">IFERROR(__xludf.DUMMYFUNCTION("""COMPUTED_VALUE"""),1.13969589677318)</f>
        <v>1.1396958967731801</v>
      </c>
      <c r="K184" s="17" t="str">
        <f ca="1">IFERROR(__xludf.DUMMYFUNCTION("""COMPUTED_VALUE"""),"nan")</f>
        <v>nan</v>
      </c>
      <c r="L184" s="17">
        <f ca="1">IFERROR(__xludf.DUMMYFUNCTION("""COMPUTED_VALUE"""),0.172644055144344)</f>
        <v>0.172644055144344</v>
      </c>
      <c r="M184" s="17">
        <f ca="1">IFERROR(__xludf.DUMMYFUNCTION("""COMPUTED_VALUE"""),0.854536924815686)</f>
        <v>0.85453692481568599</v>
      </c>
      <c r="N184" s="17">
        <f ca="1">IFERROR(__xludf.DUMMYFUNCTION("""COMPUTED_VALUE"""),0.294832619801303)</f>
        <v>0.29483261980130299</v>
      </c>
      <c r="O184" s="17">
        <f ca="1">IFERROR(__xludf.DUMMYFUNCTION("""COMPUTED_VALUE"""),0.531426830140613)</f>
        <v>0.53142683014061298</v>
      </c>
      <c r="P184" s="17">
        <f ca="1">IFERROR(__xludf.DUMMYFUNCTION("""COMPUTED_VALUE"""),0.914439062328533)</f>
        <v>0.914439062328533</v>
      </c>
      <c r="Q184" s="17">
        <f ca="1">IFERROR(__xludf.DUMMYFUNCTION("""COMPUTED_VALUE"""),0.20465353087824)</f>
        <v>0.20465353087824001</v>
      </c>
      <c r="R184" s="17">
        <f ca="1">IFERROR(__xludf.DUMMYFUNCTION("""COMPUTED_VALUE"""),0.547105219760548)</f>
        <v>0.54710521976054804</v>
      </c>
      <c r="S184" s="17">
        <f ca="1">IFERROR(__xludf.DUMMYFUNCTION("""COMPUTED_VALUE"""),0.466864346736801)</f>
        <v>0.46686434673680099</v>
      </c>
      <c r="T184" s="17">
        <f ca="1">IFERROR(__xludf.DUMMYFUNCTION("""COMPUTED_VALUE"""),0.216251695809808)</f>
        <v>0.21625169580980799</v>
      </c>
      <c r="U184" s="17">
        <f ca="1">IFERROR(__xludf.DUMMYFUNCTION("""COMPUTED_VALUE"""),0.166172503723629)</f>
        <v>0.16617250372362899</v>
      </c>
      <c r="V184" s="17">
        <f ca="1">IFERROR(__xludf.DUMMYFUNCTION("""COMPUTED_VALUE"""),0.179149698251112)</f>
        <v>0.17914969825111199</v>
      </c>
      <c r="W184" s="17">
        <f ca="1">IFERROR(__xludf.DUMMYFUNCTION("""COMPUTED_VALUE"""),0.311230765797144)</f>
        <v>0.31123076579714398</v>
      </c>
      <c r="X184" s="17">
        <f ca="1">IFERROR(__xludf.DUMMYFUNCTION("""COMPUTED_VALUE"""),0.339699127970563)</f>
        <v>0.33969912797056301</v>
      </c>
      <c r="Y184" s="17">
        <f ca="1">IFERROR(__xludf.DUMMYFUNCTION("""COMPUTED_VALUE"""),0.164826613339512)</f>
        <v>0.16482661333951201</v>
      </c>
      <c r="Z184" s="17">
        <f ca="1">IFERROR(__xludf.DUMMYFUNCTION("""COMPUTED_VALUE"""),0.429843540621494)</f>
        <v>0.42984354062149399</v>
      </c>
      <c r="AA184" s="17">
        <f ca="1">IFERROR(__xludf.DUMMYFUNCTION("""COMPUTED_VALUE"""),0.133104440761803)</f>
        <v>0.133104440761803</v>
      </c>
      <c r="AB184" s="17">
        <f ca="1">IFERROR(__xludf.DUMMYFUNCTION("""COMPUTED_VALUE"""),0.883374718088359)</f>
        <v>0.88337471808835899</v>
      </c>
      <c r="AC184" s="17">
        <f ca="1">IFERROR(__xludf.DUMMYFUNCTION("""COMPUTED_VALUE"""),0.64186382491574)</f>
        <v>0.64186382491574001</v>
      </c>
      <c r="AD184" s="17">
        <f ca="1">IFERROR(__xludf.DUMMYFUNCTION("""COMPUTED_VALUE"""),0.220630963690676)</f>
        <v>0.220630963690676</v>
      </c>
      <c r="AE184" s="17">
        <f ca="1">IFERROR(__xludf.DUMMYFUNCTION("""COMPUTED_VALUE"""),1.17748834596437)</f>
        <v>1.1774883459643699</v>
      </c>
      <c r="AF184" s="17">
        <f ca="1">IFERROR(__xludf.DUMMYFUNCTION("""COMPUTED_VALUE"""),0.229562414096711)</f>
        <v>0.22956241409671099</v>
      </c>
      <c r="AG184" s="17">
        <f ca="1">IFERROR(__xludf.DUMMYFUNCTION("""COMPUTED_VALUE"""),0.553626760088435)</f>
        <v>0.55362676008843503</v>
      </c>
      <c r="AH184" s="17">
        <f ca="1">IFERROR(__xludf.DUMMYFUNCTION("""COMPUTED_VALUE"""),0.899007996841406)</f>
        <v>0.89900799684140598</v>
      </c>
      <c r="AI184" s="17">
        <f ca="1">IFERROR(__xludf.DUMMYFUNCTION("""COMPUTED_VALUE"""),1.0437255534754)</f>
        <v>1.0437255534754</v>
      </c>
      <c r="AJ184" s="17">
        <f ca="1">IFERROR(__xludf.DUMMYFUNCTION("""COMPUTED_VALUE"""),0.642902451230443)</f>
        <v>0.64290245123044298</v>
      </c>
    </row>
    <row r="185" spans="2:36" ht="15.75" customHeight="1" x14ac:dyDescent="0.45">
      <c r="B185" s="10" t="str">
        <f ca="1">IFERROR(__xludf.DUMMYFUNCTION("""COMPUTED_VALUE"""),"DistalPhalanxTW")</f>
        <v>DistalPhalanxTW</v>
      </c>
      <c r="C185" s="10" t="str">
        <f ca="1">IFERROR(__xludf.DUMMYFUNCTION("""COMPUTED_VALUE"""),"aligned_series")</f>
        <v>aligned_series</v>
      </c>
      <c r="D185" s="10">
        <f ca="1">IFERROR(__xludf.DUMMYFUNCTION("""COMPUTED_VALUE"""),0.6)</f>
        <v>0.6</v>
      </c>
      <c r="E185" s="17">
        <f ca="1">IFERROR(__xludf.DUMMYFUNCTION("""COMPUTED_VALUE"""),1.09831631223567)</f>
        <v>1.0983163122356701</v>
      </c>
      <c r="F185" s="17">
        <f ca="1">IFERROR(__xludf.DUMMYFUNCTION("""COMPUTED_VALUE"""),0.148231161022545)</f>
        <v>0.14823116102254499</v>
      </c>
      <c r="G185" s="17">
        <f ca="1">IFERROR(__xludf.DUMMYFUNCTION("""COMPUTED_VALUE"""),0.252495584193637)</f>
        <v>0.25249558419363699</v>
      </c>
      <c r="H185" s="17">
        <f ca="1">IFERROR(__xludf.DUMMYFUNCTION("""COMPUTED_VALUE"""),0.163191249820693)</f>
        <v>0.163191249820693</v>
      </c>
      <c r="I185" s="17">
        <f ca="1">IFERROR(__xludf.DUMMYFUNCTION("""COMPUTED_VALUE"""),0.270116773622825)</f>
        <v>0.27011677362282499</v>
      </c>
      <c r="J185" s="17">
        <f ca="1">IFERROR(__xludf.DUMMYFUNCTION("""COMPUTED_VALUE"""),1.1366694484201)</f>
        <v>1.1366694484201001</v>
      </c>
      <c r="K185" s="17" t="str">
        <f ca="1">IFERROR(__xludf.DUMMYFUNCTION("""COMPUTED_VALUE"""),"nan")</f>
        <v>nan</v>
      </c>
      <c r="L185" s="17">
        <f ca="1">IFERROR(__xludf.DUMMYFUNCTION("""COMPUTED_VALUE"""),0.176059124945356)</f>
        <v>0.176059124945356</v>
      </c>
      <c r="M185" s="17">
        <f ca="1">IFERROR(__xludf.DUMMYFUNCTION("""COMPUTED_VALUE"""),0.883126226420692)</f>
        <v>0.88312622642069205</v>
      </c>
      <c r="N185" s="17">
        <f ca="1">IFERROR(__xludf.DUMMYFUNCTION("""COMPUTED_VALUE"""),0.318343838642904)</f>
        <v>0.318343838642904</v>
      </c>
      <c r="O185" s="17">
        <f ca="1">IFERROR(__xludf.DUMMYFUNCTION("""COMPUTED_VALUE"""),0.788279589661224)</f>
        <v>0.78827958966122402</v>
      </c>
      <c r="P185" s="17">
        <f ca="1">IFERROR(__xludf.DUMMYFUNCTION("""COMPUTED_VALUE"""),0.929039930268384)</f>
        <v>0.92903993026838405</v>
      </c>
      <c r="Q185" s="17">
        <f ca="1">IFERROR(__xludf.DUMMYFUNCTION("""COMPUTED_VALUE"""),0.841435759199617)</f>
        <v>0.84143575919961699</v>
      </c>
      <c r="R185" s="17">
        <f ca="1">IFERROR(__xludf.DUMMYFUNCTION("""COMPUTED_VALUE"""),0.758894232928026)</f>
        <v>0.75889423292802605</v>
      </c>
      <c r="S185" s="17">
        <f ca="1">IFERROR(__xludf.DUMMYFUNCTION("""COMPUTED_VALUE"""),0.632296587701084)</f>
        <v>0.63229658770108399</v>
      </c>
      <c r="T185" s="17">
        <f ca="1">IFERROR(__xludf.DUMMYFUNCTION("""COMPUTED_VALUE"""),0.302656151437697)</f>
        <v>0.30265615143769697</v>
      </c>
      <c r="U185" s="17">
        <f ca="1">IFERROR(__xludf.DUMMYFUNCTION("""COMPUTED_VALUE"""),0.18002315261939)</f>
        <v>0.18002315261939</v>
      </c>
      <c r="V185" s="17">
        <f ca="1">IFERROR(__xludf.DUMMYFUNCTION("""COMPUTED_VALUE"""),0.180554814196515)</f>
        <v>0.18055481419651501</v>
      </c>
      <c r="W185" s="17">
        <f ca="1">IFERROR(__xludf.DUMMYFUNCTION("""COMPUTED_VALUE"""),0.286385426984947)</f>
        <v>0.28638542698494701</v>
      </c>
      <c r="X185" s="17">
        <f ca="1">IFERROR(__xludf.DUMMYFUNCTION("""COMPUTED_VALUE"""),0.294078596046575)</f>
        <v>0.29407859604657499</v>
      </c>
      <c r="Y185" s="17">
        <f ca="1">IFERROR(__xludf.DUMMYFUNCTION("""COMPUTED_VALUE"""),0.176479546515152)</f>
        <v>0.17647954651515199</v>
      </c>
      <c r="Z185" s="17">
        <f ca="1">IFERROR(__xludf.DUMMYFUNCTION("""COMPUTED_VALUE"""),0.397358213710991)</f>
        <v>0.397358213710991</v>
      </c>
      <c r="AA185" s="17">
        <f ca="1">IFERROR(__xludf.DUMMYFUNCTION("""COMPUTED_VALUE"""),0.142352589631238)</f>
        <v>0.14235258963123801</v>
      </c>
      <c r="AB185" s="17">
        <f ca="1">IFERROR(__xludf.DUMMYFUNCTION("""COMPUTED_VALUE"""),1.47393028639665)</f>
        <v>1.4739302863966499</v>
      </c>
      <c r="AC185" s="17">
        <f ca="1">IFERROR(__xludf.DUMMYFUNCTION("""COMPUTED_VALUE"""),0.501453193897357)</f>
        <v>0.50145319389735699</v>
      </c>
      <c r="AD185" s="17">
        <f ca="1">IFERROR(__xludf.DUMMYFUNCTION("""COMPUTED_VALUE"""),0.244483044942972)</f>
        <v>0.24448304494297199</v>
      </c>
      <c r="AE185" s="17">
        <f ca="1">IFERROR(__xludf.DUMMYFUNCTION("""COMPUTED_VALUE"""),1.18067349233047)</f>
        <v>1.18067349233047</v>
      </c>
      <c r="AF185" s="17">
        <f ca="1">IFERROR(__xludf.DUMMYFUNCTION("""COMPUTED_VALUE"""),0.260525798467699)</f>
        <v>0.26052579846769902</v>
      </c>
      <c r="AG185" s="17">
        <f ca="1">IFERROR(__xludf.DUMMYFUNCTION("""COMPUTED_VALUE"""),0.60763318800476)</f>
        <v>0.60763318800475996</v>
      </c>
      <c r="AH185" s="17">
        <f ca="1">IFERROR(__xludf.DUMMYFUNCTION("""COMPUTED_VALUE"""),0.903231198360157)</f>
        <v>0.90323119836015697</v>
      </c>
      <c r="AI185" s="17">
        <f ca="1">IFERROR(__xludf.DUMMYFUNCTION("""COMPUTED_VALUE"""),1.05397865885253)</f>
        <v>1.0539786588525299</v>
      </c>
      <c r="AJ185" s="17">
        <f ca="1">IFERROR(__xludf.DUMMYFUNCTION("""COMPUTED_VALUE"""),0.686141380405325)</f>
        <v>0.68614138040532502</v>
      </c>
    </row>
    <row r="186" spans="2:36" ht="15.75" customHeight="1" x14ac:dyDescent="0.45">
      <c r="B186" s="10" t="str">
        <f ca="1">IFERROR(__xludf.DUMMYFUNCTION("""COMPUTED_VALUE"""),"DistalPhalanxTW")</f>
        <v>DistalPhalanxTW</v>
      </c>
      <c r="C186" s="10" t="str">
        <f ca="1">IFERROR(__xludf.DUMMYFUNCTION("""COMPUTED_VALUE"""),"aligned_series")</f>
        <v>aligned_series</v>
      </c>
      <c r="D186" s="10">
        <f ca="1">IFERROR(__xludf.DUMMYFUNCTION("""COMPUTED_VALUE"""),0.8)</f>
        <v>0.8</v>
      </c>
      <c r="E186" s="17">
        <f ca="1">IFERROR(__xludf.DUMMYFUNCTION("""COMPUTED_VALUE"""),1.14001434766954)</f>
        <v>1.1400143476695399</v>
      </c>
      <c r="F186" s="17">
        <f ca="1">IFERROR(__xludf.DUMMYFUNCTION("""COMPUTED_VALUE"""),0.186055233499887)</f>
        <v>0.18605523349988701</v>
      </c>
      <c r="G186" s="17">
        <f ca="1">IFERROR(__xludf.DUMMYFUNCTION("""COMPUTED_VALUE"""),0.621593110505904)</f>
        <v>0.62159311050590405</v>
      </c>
      <c r="H186" s="17">
        <f ca="1">IFERROR(__xludf.DUMMYFUNCTION("""COMPUTED_VALUE"""),0.207475368576937)</f>
        <v>0.20747536857693699</v>
      </c>
      <c r="I186" s="17">
        <f ca="1">IFERROR(__xludf.DUMMYFUNCTION("""COMPUTED_VALUE"""),0.520091087156653)</f>
        <v>0.52009108715665298</v>
      </c>
      <c r="J186" s="17">
        <f ca="1">IFERROR(__xludf.DUMMYFUNCTION("""COMPUTED_VALUE"""),1.13495544035625)</f>
        <v>1.1349554403562501</v>
      </c>
      <c r="K186" s="17" t="str">
        <f ca="1">IFERROR(__xludf.DUMMYFUNCTION("""COMPUTED_VALUE"""),"nan")</f>
        <v>nan</v>
      </c>
      <c r="L186" s="17">
        <f ca="1">IFERROR(__xludf.DUMMYFUNCTION("""COMPUTED_VALUE"""),0.245130970500699)</f>
        <v>0.24513097050069901</v>
      </c>
      <c r="M186" s="17">
        <f ca="1">IFERROR(__xludf.DUMMYFUNCTION("""COMPUTED_VALUE"""),0.952597363004667)</f>
        <v>0.95259736300466702</v>
      </c>
      <c r="N186" s="17">
        <f ca="1">IFERROR(__xludf.DUMMYFUNCTION("""COMPUTED_VALUE"""),0.324509255822708)</f>
        <v>0.32450925582270801</v>
      </c>
      <c r="O186" s="17">
        <f ca="1">IFERROR(__xludf.DUMMYFUNCTION("""COMPUTED_VALUE"""),0.889836196883936)</f>
        <v>0.889836196883936</v>
      </c>
      <c r="P186" s="17">
        <f ca="1">IFERROR(__xludf.DUMMYFUNCTION("""COMPUTED_VALUE"""),0.932540931845266)</f>
        <v>0.93254093184526599</v>
      </c>
      <c r="Q186" s="17">
        <f ca="1">IFERROR(__xludf.DUMMYFUNCTION("""COMPUTED_VALUE"""),1.22979138757673)</f>
        <v>1.2297913875767299</v>
      </c>
      <c r="R186" s="17">
        <f ca="1">IFERROR(__xludf.DUMMYFUNCTION("""COMPUTED_VALUE"""),0.947969037004102)</f>
        <v>0.94796903700410196</v>
      </c>
      <c r="S186" s="17">
        <f ca="1">IFERROR(__xludf.DUMMYFUNCTION("""COMPUTED_VALUE"""),0.814962182449835)</f>
        <v>0.81496218244983498</v>
      </c>
      <c r="T186" s="17">
        <f ca="1">IFERROR(__xludf.DUMMYFUNCTION("""COMPUTED_VALUE"""),0.564894177276313)</f>
        <v>0.56489417727631297</v>
      </c>
      <c r="U186" s="17">
        <f ca="1">IFERROR(__xludf.DUMMYFUNCTION("""COMPUTED_VALUE"""),0.212887669444772)</f>
        <v>0.212887669444772</v>
      </c>
      <c r="V186" s="17">
        <f ca="1">IFERROR(__xludf.DUMMYFUNCTION("""COMPUTED_VALUE"""),0.234703863463852)</f>
        <v>0.234703863463852</v>
      </c>
      <c r="W186" s="17">
        <f ca="1">IFERROR(__xludf.DUMMYFUNCTION("""COMPUTED_VALUE"""),0.310406068094268)</f>
        <v>0.31040606809426802</v>
      </c>
      <c r="X186" s="17">
        <f ca="1">IFERROR(__xludf.DUMMYFUNCTION("""COMPUTED_VALUE"""),0.26468672924185)</f>
        <v>0.26468672924184999</v>
      </c>
      <c r="Y186" s="17">
        <f ca="1">IFERROR(__xludf.DUMMYFUNCTION("""COMPUTED_VALUE"""),0.241842674931045)</f>
        <v>0.241842674931045</v>
      </c>
      <c r="Z186" s="17">
        <f ca="1">IFERROR(__xludf.DUMMYFUNCTION("""COMPUTED_VALUE"""),0.444095032500444)</f>
        <v>0.44409503250044402</v>
      </c>
      <c r="AA186" s="17">
        <f ca="1">IFERROR(__xludf.DUMMYFUNCTION("""COMPUTED_VALUE"""),0.1336458414347)</f>
        <v>0.13364584143470001</v>
      </c>
      <c r="AB186" s="17">
        <f ca="1">IFERROR(__xludf.DUMMYFUNCTION("""COMPUTED_VALUE"""),1.99569992736206)</f>
        <v>1.9956999273620599</v>
      </c>
      <c r="AC186" s="17">
        <f ca="1">IFERROR(__xludf.DUMMYFUNCTION("""COMPUTED_VALUE"""),0.726311900889749)</f>
        <v>0.72631190088974895</v>
      </c>
      <c r="AD186" s="17">
        <f ca="1">IFERROR(__xludf.DUMMYFUNCTION("""COMPUTED_VALUE"""),0.360762370779946)</f>
        <v>0.360762370779946</v>
      </c>
      <c r="AE186" s="17">
        <f ca="1">IFERROR(__xludf.DUMMYFUNCTION("""COMPUTED_VALUE"""),1.18240061948059)</f>
        <v>1.1824006194805901</v>
      </c>
      <c r="AF186" s="17">
        <f ca="1">IFERROR(__xludf.DUMMYFUNCTION("""COMPUTED_VALUE"""),0.706974487526415)</f>
        <v>0.70697448752641501</v>
      </c>
      <c r="AG186" s="17">
        <f ca="1">IFERROR(__xludf.DUMMYFUNCTION("""COMPUTED_VALUE"""),0.56713263897246)</f>
        <v>0.56713263897246002</v>
      </c>
      <c r="AH186" s="17">
        <f ca="1">IFERROR(__xludf.DUMMYFUNCTION("""COMPUTED_VALUE"""),0.898008554101961)</f>
        <v>0.89800855410196101</v>
      </c>
      <c r="AI186" s="17">
        <f ca="1">IFERROR(__xludf.DUMMYFUNCTION("""COMPUTED_VALUE"""),1.05063408432605)</f>
        <v>1.05063408432605</v>
      </c>
      <c r="AJ186" s="17">
        <f ca="1">IFERROR(__xludf.DUMMYFUNCTION("""COMPUTED_VALUE"""),0.785368606909738)</f>
        <v>0.78536860690973798</v>
      </c>
    </row>
    <row r="187" spans="2:36" ht="15.75" customHeight="1" x14ac:dyDescent="0.45">
      <c r="B187" s="10" t="str">
        <f ca="1">IFERROR(__xludf.DUMMYFUNCTION("""COMPUTED_VALUE"""),"DistalPhalanxTW")</f>
        <v>DistalPhalanxTW</v>
      </c>
      <c r="C187" s="10" t="str">
        <f ca="1">IFERROR(__xludf.DUMMYFUNCTION("""COMPUTED_VALUE"""),"aligned_timestamps")</f>
        <v>aligned_timestamps</v>
      </c>
      <c r="D187" s="10">
        <f ca="1">IFERROR(__xludf.DUMMYFUNCTION("""COMPUTED_VALUE"""),0.1)</f>
        <v>0.1</v>
      </c>
      <c r="E187" s="17">
        <f ca="1">IFERROR(__xludf.DUMMYFUNCTION("""COMPUTED_VALUE"""),1.0139487208074)</f>
        <v>1.0139487208074001</v>
      </c>
      <c r="F187" s="17">
        <f ca="1">IFERROR(__xludf.DUMMYFUNCTION("""COMPUTED_VALUE"""),0.134714509638112)</f>
        <v>0.13471450963811199</v>
      </c>
      <c r="G187" s="17">
        <f ca="1">IFERROR(__xludf.DUMMYFUNCTION("""COMPUTED_VALUE"""),0.133260604312904)</f>
        <v>0.13326060431290401</v>
      </c>
      <c r="H187" s="17">
        <f ca="1">IFERROR(__xludf.DUMMYFUNCTION("""COMPUTED_VALUE"""),0.132638547095455)</f>
        <v>0.132638547095455</v>
      </c>
      <c r="I187" s="17">
        <f ca="1">IFERROR(__xludf.DUMMYFUNCTION("""COMPUTED_VALUE"""),0.121544911859004)</f>
        <v>0.121544911859004</v>
      </c>
      <c r="J187" s="17">
        <f ca="1">IFERROR(__xludf.DUMMYFUNCTION("""COMPUTED_VALUE"""),0.823971715311762)</f>
        <v>0.82397171531176205</v>
      </c>
      <c r="K187" s="17" t="str">
        <f ca="1">IFERROR(__xludf.DUMMYFUNCTION("""COMPUTED_VALUE"""),"nan")</f>
        <v>nan</v>
      </c>
      <c r="L187" s="17">
        <f ca="1">IFERROR(__xludf.DUMMYFUNCTION("""COMPUTED_VALUE"""),0.135817512065966)</f>
        <v>0.13581751206596601</v>
      </c>
      <c r="M187" s="17">
        <f ca="1">IFERROR(__xludf.DUMMYFUNCTION("""COMPUTED_VALUE"""),0.135273646643317)</f>
        <v>0.13527364664331701</v>
      </c>
      <c r="N187" s="17">
        <f ca="1">IFERROR(__xludf.DUMMYFUNCTION("""COMPUTED_VALUE"""),0.183256857327203)</f>
        <v>0.18325685732720301</v>
      </c>
      <c r="O187" s="17">
        <f ca="1">IFERROR(__xludf.DUMMYFUNCTION("""COMPUTED_VALUE"""),0.129037369181527)</f>
        <v>0.129037369181527</v>
      </c>
      <c r="P187" s="17">
        <f ca="1">IFERROR(__xludf.DUMMYFUNCTION("""COMPUTED_VALUE"""),0.793151818981042)</f>
        <v>0.79315181898104203</v>
      </c>
      <c r="Q187" s="17">
        <f ca="1">IFERROR(__xludf.DUMMYFUNCTION("""COMPUTED_VALUE"""),0.15201807140825)</f>
        <v>0.15201807140824999</v>
      </c>
      <c r="R187" s="17">
        <f ca="1">IFERROR(__xludf.DUMMYFUNCTION("""COMPUTED_VALUE"""),0.286057761841258)</f>
        <v>0.28605776184125797</v>
      </c>
      <c r="S187" s="17">
        <f ca="1">IFERROR(__xludf.DUMMYFUNCTION("""COMPUTED_VALUE"""),0.294049930284709)</f>
        <v>0.29404993028470899</v>
      </c>
      <c r="T187" s="17">
        <f ca="1">IFERROR(__xludf.DUMMYFUNCTION("""COMPUTED_VALUE"""),0.174348665357947)</f>
        <v>0.17434866535794699</v>
      </c>
      <c r="U187" s="17">
        <f ca="1">IFERROR(__xludf.DUMMYFUNCTION("""COMPUTED_VALUE"""),0.146774990046263)</f>
        <v>0.14677499004626299</v>
      </c>
      <c r="V187" s="17">
        <f ca="1">IFERROR(__xludf.DUMMYFUNCTION("""COMPUTED_VALUE"""),0.158288923054758)</f>
        <v>0.158288923054758</v>
      </c>
      <c r="W187" s="17">
        <f ca="1">IFERROR(__xludf.DUMMYFUNCTION("""COMPUTED_VALUE"""),0.314912413972785)</f>
        <v>0.31491241397278502</v>
      </c>
      <c r="X187" s="17">
        <f ca="1">IFERROR(__xludf.DUMMYFUNCTION("""COMPUTED_VALUE"""),0.286622673749719)</f>
        <v>0.286622673749719</v>
      </c>
      <c r="Y187" s="17">
        <f ca="1">IFERROR(__xludf.DUMMYFUNCTION("""COMPUTED_VALUE"""),0.13897709496677)</f>
        <v>0.13897709496676999</v>
      </c>
      <c r="Z187" s="17">
        <f ca="1">IFERROR(__xludf.DUMMYFUNCTION("""COMPUTED_VALUE"""),0.262399209527144)</f>
        <v>0.26239920952714402</v>
      </c>
      <c r="AA187" s="17">
        <f ca="1">IFERROR(__xludf.DUMMYFUNCTION("""COMPUTED_VALUE"""),0.0838480763316401)</f>
        <v>8.3848076331640098E-2</v>
      </c>
      <c r="AB187" s="17">
        <f ca="1">IFERROR(__xludf.DUMMYFUNCTION("""COMPUTED_VALUE"""),0.220392218252329)</f>
        <v>0.22039221825232899</v>
      </c>
      <c r="AC187" s="17">
        <f ca="1">IFERROR(__xludf.DUMMYFUNCTION("""COMPUTED_VALUE"""),0.328947311993961)</f>
        <v>0.32894731199396099</v>
      </c>
      <c r="AD187" s="17">
        <f ca="1">IFERROR(__xludf.DUMMYFUNCTION("""COMPUTED_VALUE"""),0.161312031288594)</f>
        <v>0.161312031288594</v>
      </c>
      <c r="AE187" s="17">
        <f ca="1">IFERROR(__xludf.DUMMYFUNCTION("""COMPUTED_VALUE"""),0.923276115200267)</f>
        <v>0.92327611520026698</v>
      </c>
      <c r="AF187" s="17">
        <f ca="1">IFERROR(__xludf.DUMMYFUNCTION("""COMPUTED_VALUE"""),0.159398121610059)</f>
        <v>0.15939812161005901</v>
      </c>
      <c r="AG187" s="17">
        <f ca="1">IFERROR(__xludf.DUMMYFUNCTION("""COMPUTED_VALUE"""),0.574041822125027)</f>
        <v>0.57404182212502697</v>
      </c>
      <c r="AH187" s="17">
        <f ca="1">IFERROR(__xludf.DUMMYFUNCTION("""COMPUTED_VALUE"""),0.553915614169423)</f>
        <v>0.55391561416942303</v>
      </c>
      <c r="AI187" s="17">
        <f ca="1">IFERROR(__xludf.DUMMYFUNCTION("""COMPUTED_VALUE"""),0.466496783549143)</f>
        <v>0.46649678354914298</v>
      </c>
      <c r="AJ187" s="17">
        <f ca="1">IFERROR(__xludf.DUMMYFUNCTION("""COMPUTED_VALUE"""),0.237544273610366)</f>
        <v>0.23754427361036601</v>
      </c>
    </row>
    <row r="188" spans="2:36" ht="15.75" customHeight="1" x14ac:dyDescent="0.45">
      <c r="B188" s="10" t="str">
        <f ca="1">IFERROR(__xludf.DUMMYFUNCTION("""COMPUTED_VALUE"""),"DistalPhalanxTW")</f>
        <v>DistalPhalanxTW</v>
      </c>
      <c r="C188" s="10" t="str">
        <f ca="1">IFERROR(__xludf.DUMMYFUNCTION("""COMPUTED_VALUE"""),"aligned_timestamps")</f>
        <v>aligned_timestamps</v>
      </c>
      <c r="D188" s="10">
        <f ca="1">IFERROR(__xludf.DUMMYFUNCTION("""COMPUTED_VALUE"""),0.2)</f>
        <v>0.2</v>
      </c>
      <c r="E188" s="17">
        <f ca="1">IFERROR(__xludf.DUMMYFUNCTION("""COMPUTED_VALUE"""),1.02800807438005)</f>
        <v>1.0280080743800499</v>
      </c>
      <c r="F188" s="17">
        <f ca="1">IFERROR(__xludf.DUMMYFUNCTION("""COMPUTED_VALUE"""),0.135924457330778)</f>
        <v>0.13592445733077799</v>
      </c>
      <c r="G188" s="17">
        <f ca="1">IFERROR(__xludf.DUMMYFUNCTION("""COMPUTED_VALUE"""),0.135981427109038)</f>
        <v>0.13598142710903799</v>
      </c>
      <c r="H188" s="17">
        <f ca="1">IFERROR(__xludf.DUMMYFUNCTION("""COMPUTED_VALUE"""),0.16584159310547)</f>
        <v>0.16584159310547</v>
      </c>
      <c r="I188" s="17">
        <f ca="1">IFERROR(__xludf.DUMMYFUNCTION("""COMPUTED_VALUE"""),0.14149480009404)</f>
        <v>0.14149480009404</v>
      </c>
      <c r="J188" s="17">
        <f ca="1">IFERROR(__xludf.DUMMYFUNCTION("""COMPUTED_VALUE"""),0.992332557833349)</f>
        <v>0.99233255783334895</v>
      </c>
      <c r="K188" s="17" t="str">
        <f ca="1">IFERROR(__xludf.DUMMYFUNCTION("""COMPUTED_VALUE"""),"nan")</f>
        <v>nan</v>
      </c>
      <c r="L188" s="17">
        <f ca="1">IFERROR(__xludf.DUMMYFUNCTION("""COMPUTED_VALUE"""),0.171667517075354)</f>
        <v>0.17166751707535399</v>
      </c>
      <c r="M188" s="17">
        <f ca="1">IFERROR(__xludf.DUMMYFUNCTION("""COMPUTED_VALUE"""),0.632099407752255)</f>
        <v>0.63209940775225504</v>
      </c>
      <c r="N188" s="17">
        <f ca="1">IFERROR(__xludf.DUMMYFUNCTION("""COMPUTED_VALUE"""),0.263176368230486)</f>
        <v>0.26317636823048601</v>
      </c>
      <c r="O188" s="17">
        <f ca="1">IFERROR(__xludf.DUMMYFUNCTION("""COMPUTED_VALUE"""),0.135673887368909)</f>
        <v>0.13567388736890901</v>
      </c>
      <c r="P188" s="17">
        <f ca="1">IFERROR(__xludf.DUMMYFUNCTION("""COMPUTED_VALUE"""),0.884081766752837)</f>
        <v>0.88408176675283701</v>
      </c>
      <c r="Q188" s="17">
        <f ca="1">IFERROR(__xludf.DUMMYFUNCTION("""COMPUTED_VALUE"""),0.208725773269423)</f>
        <v>0.20872577326942299</v>
      </c>
      <c r="R188" s="17">
        <f ca="1">IFERROR(__xludf.DUMMYFUNCTION("""COMPUTED_VALUE"""),0.309946270044657)</f>
        <v>0.30994627004465702</v>
      </c>
      <c r="S188" s="17">
        <f ca="1">IFERROR(__xludf.DUMMYFUNCTION("""COMPUTED_VALUE"""),0.302158483704076)</f>
        <v>0.302158483704076</v>
      </c>
      <c r="T188" s="17">
        <f ca="1">IFERROR(__xludf.DUMMYFUNCTION("""COMPUTED_VALUE"""),0.196167681092904)</f>
        <v>0.196167681092904</v>
      </c>
      <c r="U188" s="17">
        <f ca="1">IFERROR(__xludf.DUMMYFUNCTION("""COMPUTED_VALUE"""),0.161531206654255)</f>
        <v>0.16153120665425499</v>
      </c>
      <c r="V188" s="17">
        <f ca="1">IFERROR(__xludf.DUMMYFUNCTION("""COMPUTED_VALUE"""),0.173041750451859)</f>
        <v>0.17304175045185899</v>
      </c>
      <c r="W188" s="17">
        <f ca="1">IFERROR(__xludf.DUMMYFUNCTION("""COMPUTED_VALUE"""),0.333137495155882)</f>
        <v>0.33313749515588198</v>
      </c>
      <c r="X188" s="17">
        <f ca="1">IFERROR(__xludf.DUMMYFUNCTION("""COMPUTED_VALUE"""),0.312112849411005)</f>
        <v>0.31211284941100498</v>
      </c>
      <c r="Y188" s="17">
        <f ca="1">IFERROR(__xludf.DUMMYFUNCTION("""COMPUTED_VALUE"""),0.16136060717294)</f>
        <v>0.16136060717294001</v>
      </c>
      <c r="Z188" s="17">
        <f ca="1">IFERROR(__xludf.DUMMYFUNCTION("""COMPUTED_VALUE"""),0.383233929737569)</f>
        <v>0.38323392973756898</v>
      </c>
      <c r="AA188" s="17">
        <f ca="1">IFERROR(__xludf.DUMMYFUNCTION("""COMPUTED_VALUE"""),0.147356296808966)</f>
        <v>0.147356296808966</v>
      </c>
      <c r="AB188" s="17">
        <f ca="1">IFERROR(__xludf.DUMMYFUNCTION("""COMPUTED_VALUE"""),0.336726440256484)</f>
        <v>0.33672644025648402</v>
      </c>
      <c r="AC188" s="17">
        <f ca="1">IFERROR(__xludf.DUMMYFUNCTION("""COMPUTED_VALUE"""),0.690919074185723)</f>
        <v>0.69091907418572296</v>
      </c>
      <c r="AD188" s="17">
        <f ca="1">IFERROR(__xludf.DUMMYFUNCTION("""COMPUTED_VALUE"""),0.197792092947222)</f>
        <v>0.197792092947222</v>
      </c>
      <c r="AE188" s="17">
        <f ca="1">IFERROR(__xludf.DUMMYFUNCTION("""COMPUTED_VALUE"""),1.18422768820646)</f>
        <v>1.18422768820646</v>
      </c>
      <c r="AF188" s="17">
        <f ca="1">IFERROR(__xludf.DUMMYFUNCTION("""COMPUTED_VALUE"""),0.228089248873648)</f>
        <v>0.22808924887364801</v>
      </c>
      <c r="AG188" s="17">
        <f ca="1">IFERROR(__xludf.DUMMYFUNCTION("""COMPUTED_VALUE"""),0.579082076137473)</f>
        <v>0.57908207613747298</v>
      </c>
      <c r="AH188" s="17">
        <f ca="1">IFERROR(__xludf.DUMMYFUNCTION("""COMPUTED_VALUE"""),0.893896867212762)</f>
        <v>0.89389686721276196</v>
      </c>
      <c r="AI188" s="17">
        <f ca="1">IFERROR(__xludf.DUMMYFUNCTION("""COMPUTED_VALUE"""),1.02839591106854)</f>
        <v>1.0283959110685399</v>
      </c>
      <c r="AJ188" s="17">
        <f ca="1">IFERROR(__xludf.DUMMYFUNCTION("""COMPUTED_VALUE"""),0.624381791229305)</f>
        <v>0.62438179122930504</v>
      </c>
    </row>
    <row r="189" spans="2:36" ht="15.75" customHeight="1" x14ac:dyDescent="0.45">
      <c r="B189" s="10" t="str">
        <f ca="1">IFERROR(__xludf.DUMMYFUNCTION("""COMPUTED_VALUE"""),"DistalPhalanxTW")</f>
        <v>DistalPhalanxTW</v>
      </c>
      <c r="C189" s="10" t="str">
        <f ca="1">IFERROR(__xludf.DUMMYFUNCTION("""COMPUTED_VALUE"""),"aligned_timestamps")</f>
        <v>aligned_timestamps</v>
      </c>
      <c r="D189" s="10">
        <f ca="1">IFERROR(__xludf.DUMMYFUNCTION("""COMPUTED_VALUE"""),0.4)</f>
        <v>0.4</v>
      </c>
      <c r="E189" s="17">
        <f ca="1">IFERROR(__xludf.DUMMYFUNCTION("""COMPUTED_VALUE"""),0.975736326138183)</f>
        <v>0.97573632613818295</v>
      </c>
      <c r="F189" s="17">
        <f ca="1">IFERROR(__xludf.DUMMYFUNCTION("""COMPUTED_VALUE"""),0.187780342106463)</f>
        <v>0.18778034210646299</v>
      </c>
      <c r="G189" s="17">
        <f ca="1">IFERROR(__xludf.DUMMYFUNCTION("""COMPUTED_VALUE"""),0.283761893355653)</f>
        <v>0.28376189335565299</v>
      </c>
      <c r="H189" s="17">
        <f ca="1">IFERROR(__xludf.DUMMYFUNCTION("""COMPUTED_VALUE"""),0.193100432532258)</f>
        <v>0.193100432532258</v>
      </c>
      <c r="I189" s="17">
        <f ca="1">IFERROR(__xludf.DUMMYFUNCTION("""COMPUTED_VALUE"""),0.191190293143406)</f>
        <v>0.19119029314340599</v>
      </c>
      <c r="J189" s="17">
        <f ca="1">IFERROR(__xludf.DUMMYFUNCTION("""COMPUTED_VALUE"""),1.00692736013731)</f>
        <v>1.0069273601373101</v>
      </c>
      <c r="K189" s="17" t="str">
        <f ca="1">IFERROR(__xludf.DUMMYFUNCTION("""COMPUTED_VALUE"""),"nan")</f>
        <v>nan</v>
      </c>
      <c r="L189" s="17">
        <f ca="1">IFERROR(__xludf.DUMMYFUNCTION("""COMPUTED_VALUE"""),0.199029725005508)</f>
        <v>0.199029725005508</v>
      </c>
      <c r="M189" s="17">
        <f ca="1">IFERROR(__xludf.DUMMYFUNCTION("""COMPUTED_VALUE"""),0.796605533439936)</f>
        <v>0.79660553343993601</v>
      </c>
      <c r="N189" s="17">
        <f ca="1">IFERROR(__xludf.DUMMYFUNCTION("""COMPUTED_VALUE"""),0.227654821150608)</f>
        <v>0.22765482115060801</v>
      </c>
      <c r="O189" s="17">
        <f ca="1">IFERROR(__xludf.DUMMYFUNCTION("""COMPUTED_VALUE"""),0.367173432181197)</f>
        <v>0.36717343218119702</v>
      </c>
      <c r="P189" s="17">
        <f ca="1">IFERROR(__xludf.DUMMYFUNCTION("""COMPUTED_VALUE"""),1.04287288008838)</f>
        <v>1.04287288008838</v>
      </c>
      <c r="Q189" s="17">
        <f ca="1">IFERROR(__xludf.DUMMYFUNCTION("""COMPUTED_VALUE"""),0.236492099644657)</f>
        <v>0.23649209964465701</v>
      </c>
      <c r="R189" s="17">
        <f ca="1">IFERROR(__xludf.DUMMYFUNCTION("""COMPUTED_VALUE"""),0.333498601541705)</f>
        <v>0.33349860154170502</v>
      </c>
      <c r="S189" s="17">
        <f ca="1">IFERROR(__xludf.DUMMYFUNCTION("""COMPUTED_VALUE"""),0.272392580118509)</f>
        <v>0.27239258011850898</v>
      </c>
      <c r="T189" s="17">
        <f ca="1">IFERROR(__xludf.DUMMYFUNCTION("""COMPUTED_VALUE"""),0.242069963708538)</f>
        <v>0.24206996370853801</v>
      </c>
      <c r="U189" s="17">
        <f ca="1">IFERROR(__xludf.DUMMYFUNCTION("""COMPUTED_VALUE"""),0.218420760757179)</f>
        <v>0.21842076075717901</v>
      </c>
      <c r="V189" s="17">
        <f ca="1">IFERROR(__xludf.DUMMYFUNCTION("""COMPUTED_VALUE"""),0.207344100460834)</f>
        <v>0.20734410046083401</v>
      </c>
      <c r="W189" s="17">
        <f ca="1">IFERROR(__xludf.DUMMYFUNCTION("""COMPUTED_VALUE"""),0.338907545180679)</f>
        <v>0.338907545180679</v>
      </c>
      <c r="X189" s="17">
        <f ca="1">IFERROR(__xludf.DUMMYFUNCTION("""COMPUTED_VALUE"""),0.325055855144996)</f>
        <v>0.32505585514499602</v>
      </c>
      <c r="Y189" s="17">
        <f ca="1">IFERROR(__xludf.DUMMYFUNCTION("""COMPUTED_VALUE"""),0.197520835598999)</f>
        <v>0.197520835598999</v>
      </c>
      <c r="Z189" s="17">
        <f ca="1">IFERROR(__xludf.DUMMYFUNCTION("""COMPUTED_VALUE"""),0.533688529909195)</f>
        <v>0.53368852990919502</v>
      </c>
      <c r="AA189" s="17">
        <f ca="1">IFERROR(__xludf.DUMMYFUNCTION("""COMPUTED_VALUE"""),0.26782111547058)</f>
        <v>0.26782111547058002</v>
      </c>
      <c r="AB189" s="17">
        <f ca="1">IFERROR(__xludf.DUMMYFUNCTION("""COMPUTED_VALUE"""),0.524369253126147)</f>
        <v>0.52436925312614702</v>
      </c>
      <c r="AC189" s="17">
        <f ca="1">IFERROR(__xludf.DUMMYFUNCTION("""COMPUTED_VALUE"""),0.612019255498709)</f>
        <v>0.61201925549870895</v>
      </c>
      <c r="AD189" s="17">
        <f ca="1">IFERROR(__xludf.DUMMYFUNCTION("""COMPUTED_VALUE"""),0.212074188031408)</f>
        <v>0.21207418803140801</v>
      </c>
      <c r="AE189" s="17">
        <f ca="1">IFERROR(__xludf.DUMMYFUNCTION("""COMPUTED_VALUE"""),0.966370561235961)</f>
        <v>0.96637056123596099</v>
      </c>
      <c r="AF189" s="17">
        <f ca="1">IFERROR(__xludf.DUMMYFUNCTION("""COMPUTED_VALUE"""),0.771470659671088)</f>
        <v>0.77147065967108797</v>
      </c>
      <c r="AG189" s="17">
        <f ca="1">IFERROR(__xludf.DUMMYFUNCTION("""COMPUTED_VALUE"""),0.965011771721707)</f>
        <v>0.96501177172170705</v>
      </c>
      <c r="AH189" s="17">
        <f ca="1">IFERROR(__xludf.DUMMYFUNCTION("""COMPUTED_VALUE"""),0.913615124111975)</f>
        <v>0.91361512411197499</v>
      </c>
      <c r="AI189" s="17">
        <f ca="1">IFERROR(__xludf.DUMMYFUNCTION("""COMPUTED_VALUE"""),0.962343773045106)</f>
        <v>0.96234377304510599</v>
      </c>
      <c r="AJ189" s="17">
        <f ca="1">IFERROR(__xludf.DUMMYFUNCTION("""COMPUTED_VALUE"""),1.22123668603049)</f>
        <v>1.22123668603049</v>
      </c>
    </row>
    <row r="190" spans="2:36" ht="15.75" customHeight="1" x14ac:dyDescent="0.45">
      <c r="B190" s="10" t="str">
        <f ca="1">IFERROR(__xludf.DUMMYFUNCTION("""COMPUTED_VALUE"""),"DistalPhalanxTW")</f>
        <v>DistalPhalanxTW</v>
      </c>
      <c r="C190" s="10" t="str">
        <f ca="1">IFERROR(__xludf.DUMMYFUNCTION("""COMPUTED_VALUE"""),"aligned_timestamps")</f>
        <v>aligned_timestamps</v>
      </c>
      <c r="D190" s="10">
        <f ca="1">IFERROR(__xludf.DUMMYFUNCTION("""COMPUTED_VALUE"""),0.6)</f>
        <v>0.6</v>
      </c>
      <c r="E190" s="17">
        <f ca="1">IFERROR(__xludf.DUMMYFUNCTION("""COMPUTED_VALUE"""),1.04430919377361)</f>
        <v>1.04430919377361</v>
      </c>
      <c r="F190" s="17">
        <f ca="1">IFERROR(__xludf.DUMMYFUNCTION("""COMPUTED_VALUE"""),0.179675357057676)</f>
        <v>0.17967535705767601</v>
      </c>
      <c r="G190" s="17">
        <f ca="1">IFERROR(__xludf.DUMMYFUNCTION("""COMPUTED_VALUE"""),0.50051177038482)</f>
        <v>0.50051177038481998</v>
      </c>
      <c r="H190" s="17">
        <f ca="1">IFERROR(__xludf.DUMMYFUNCTION("""COMPUTED_VALUE"""),0.17640463789735)</f>
        <v>0.17640463789735</v>
      </c>
      <c r="I190" s="17">
        <f ca="1">IFERROR(__xludf.DUMMYFUNCTION("""COMPUTED_VALUE"""),0.247920933834821)</f>
        <v>0.247920933834821</v>
      </c>
      <c r="J190" s="17">
        <f ca="1">IFERROR(__xludf.DUMMYFUNCTION("""COMPUTED_VALUE"""),1.08878428629086)</f>
        <v>1.0887842862908601</v>
      </c>
      <c r="K190" s="17" t="str">
        <f ca="1">IFERROR(__xludf.DUMMYFUNCTION("""COMPUTED_VALUE"""),"nan")</f>
        <v>nan</v>
      </c>
      <c r="L190" s="17">
        <f ca="1">IFERROR(__xludf.DUMMYFUNCTION("""COMPUTED_VALUE"""),0.192723172988272)</f>
        <v>0.19272317298827199</v>
      </c>
      <c r="M190" s="17">
        <f ca="1">IFERROR(__xludf.DUMMYFUNCTION("""COMPUTED_VALUE"""),1.35396991426079)</f>
        <v>1.3539699142607899</v>
      </c>
      <c r="N190" s="17">
        <f ca="1">IFERROR(__xludf.DUMMYFUNCTION("""COMPUTED_VALUE"""),0.24927905873546)</f>
        <v>0.24927905873546</v>
      </c>
      <c r="O190" s="17">
        <f ca="1">IFERROR(__xludf.DUMMYFUNCTION("""COMPUTED_VALUE"""),0.611930510353828)</f>
        <v>0.61193051035382795</v>
      </c>
      <c r="P190" s="17">
        <f ca="1">IFERROR(__xludf.DUMMYFUNCTION("""COMPUTED_VALUE"""),1.67984364928714)</f>
        <v>1.67984364928714</v>
      </c>
      <c r="Q190" s="17">
        <f ca="1">IFERROR(__xludf.DUMMYFUNCTION("""COMPUTED_VALUE"""),0.210029629150667)</f>
        <v>0.210029629150667</v>
      </c>
      <c r="R190" s="17">
        <f ca="1">IFERROR(__xludf.DUMMYFUNCTION("""COMPUTED_VALUE"""),0.359531355912667)</f>
        <v>0.35953135591266699</v>
      </c>
      <c r="S190" s="17">
        <f ca="1">IFERROR(__xludf.DUMMYFUNCTION("""COMPUTED_VALUE"""),1.06744073823105)</f>
        <v>1.06744073823105</v>
      </c>
      <c r="T190" s="17">
        <f ca="1">IFERROR(__xludf.DUMMYFUNCTION("""COMPUTED_VALUE"""),0.843978985355236)</f>
        <v>0.84397898535523597</v>
      </c>
      <c r="U190" s="17">
        <f ca="1">IFERROR(__xludf.DUMMYFUNCTION("""COMPUTED_VALUE"""),0.451231714014225)</f>
        <v>0.45123171401422502</v>
      </c>
      <c r="V190" s="17">
        <f ca="1">IFERROR(__xludf.DUMMYFUNCTION("""COMPUTED_VALUE"""),1.0729198315308)</f>
        <v>1.0729198315308</v>
      </c>
      <c r="W190" s="17">
        <f ca="1">IFERROR(__xludf.DUMMYFUNCTION("""COMPUTED_VALUE"""),0.460062072435883)</f>
        <v>0.46006207243588298</v>
      </c>
      <c r="X190" s="17">
        <f ca="1">IFERROR(__xludf.DUMMYFUNCTION("""COMPUTED_VALUE"""),10.4382634471449)</f>
        <v>10.4382634471449</v>
      </c>
      <c r="Y190" s="17">
        <f ca="1">IFERROR(__xludf.DUMMYFUNCTION("""COMPUTED_VALUE"""),0.190746184060704)</f>
        <v>0.19074618406070401</v>
      </c>
      <c r="Z190" s="17">
        <f ca="1">IFERROR(__xludf.DUMMYFUNCTION("""COMPUTED_VALUE"""),0.835341928762998)</f>
        <v>0.83534192876299795</v>
      </c>
      <c r="AA190" s="17">
        <f ca="1">IFERROR(__xludf.DUMMYFUNCTION("""COMPUTED_VALUE"""),1.13900014258639)</f>
        <v>1.13900014258639</v>
      </c>
      <c r="AB190" s="17">
        <f ca="1">IFERROR(__xludf.DUMMYFUNCTION("""COMPUTED_VALUE"""),1.34843439135169)</f>
        <v>1.3484343913516901</v>
      </c>
      <c r="AC190" s="17">
        <f ca="1">IFERROR(__xludf.DUMMYFUNCTION("""COMPUTED_VALUE"""),0.588038639498965)</f>
        <v>0.58803863949896495</v>
      </c>
      <c r="AD190" s="17">
        <f ca="1">IFERROR(__xludf.DUMMYFUNCTION("""COMPUTED_VALUE"""),0.228564109340753)</f>
        <v>0.228564109340753</v>
      </c>
      <c r="AE190" s="17">
        <f ca="1">IFERROR(__xludf.DUMMYFUNCTION("""COMPUTED_VALUE"""),0.854104044841716)</f>
        <v>0.85410404484171598</v>
      </c>
      <c r="AF190" s="17">
        <f ca="1">IFERROR(__xludf.DUMMYFUNCTION("""COMPUTED_VALUE"""),1.44127062796083)</f>
        <v>1.4412706279608301</v>
      </c>
      <c r="AG190" s="17">
        <f ca="1">IFERROR(__xludf.DUMMYFUNCTION("""COMPUTED_VALUE"""),1.00921244460352)</f>
        <v>1.00921244460352</v>
      </c>
      <c r="AH190" s="17">
        <f ca="1">IFERROR(__xludf.DUMMYFUNCTION("""COMPUTED_VALUE"""),1.08576357551471)</f>
        <v>1.0857635755147099</v>
      </c>
      <c r="AI190" s="17" t="str">
        <f ca="1">IFERROR(__xludf.DUMMYFUNCTION("""COMPUTED_VALUE"""),"nan")</f>
        <v>nan</v>
      </c>
      <c r="AJ190" s="17">
        <f ca="1">IFERROR(__xludf.DUMMYFUNCTION("""COMPUTED_VALUE"""),0.970176502263504)</f>
        <v>0.97017650226350405</v>
      </c>
    </row>
    <row r="191" spans="2:36" ht="15.75" customHeight="1" x14ac:dyDescent="0.45">
      <c r="B191" s="10" t="str">
        <f ca="1">IFERROR(__xludf.DUMMYFUNCTION("""COMPUTED_VALUE"""),"DistalPhalanxTW")</f>
        <v>DistalPhalanxTW</v>
      </c>
      <c r="C191" s="10" t="str">
        <f ca="1">IFERROR(__xludf.DUMMYFUNCTION("""COMPUTED_VALUE"""),"aligned_timestamps")</f>
        <v>aligned_timestamps</v>
      </c>
      <c r="D191" s="10">
        <f ca="1">IFERROR(__xludf.DUMMYFUNCTION("""COMPUTED_VALUE"""),0.8)</f>
        <v>0.8</v>
      </c>
      <c r="E191" s="17">
        <f ca="1">IFERROR(__xludf.DUMMYFUNCTION("""COMPUTED_VALUE"""),1.01273479970244)</f>
        <v>1.0127347997024401</v>
      </c>
      <c r="F191" s="17">
        <f ca="1">IFERROR(__xludf.DUMMYFUNCTION("""COMPUTED_VALUE"""),0.187735496282646)</f>
        <v>0.18773549628264599</v>
      </c>
      <c r="G191" s="17">
        <f ca="1">IFERROR(__xludf.DUMMYFUNCTION("""COMPUTED_VALUE"""),0.760775868438476)</f>
        <v>0.760775868438476</v>
      </c>
      <c r="H191" s="17">
        <f ca="1">IFERROR(__xludf.DUMMYFUNCTION("""COMPUTED_VALUE"""),0.170098499731462)</f>
        <v>0.17009849973146199</v>
      </c>
      <c r="I191" s="17">
        <f ca="1">IFERROR(__xludf.DUMMYFUNCTION("""COMPUTED_VALUE"""),0.531978314792144)</f>
        <v>0.53197831479214397</v>
      </c>
      <c r="J191" s="17">
        <f ca="1">IFERROR(__xludf.DUMMYFUNCTION("""COMPUTED_VALUE"""),1.05460942320701)</f>
        <v>1.05460942320701</v>
      </c>
      <c r="K191" s="17" t="str">
        <f ca="1">IFERROR(__xludf.DUMMYFUNCTION("""COMPUTED_VALUE"""),"nan")</f>
        <v>nan</v>
      </c>
      <c r="L191" s="17">
        <f ca="1">IFERROR(__xludf.DUMMYFUNCTION("""COMPUTED_VALUE"""),0.225619040227793)</f>
        <v>0.225619040227793</v>
      </c>
      <c r="M191" s="17">
        <f ca="1">IFERROR(__xludf.DUMMYFUNCTION("""COMPUTED_VALUE"""),1.14701049235274)</f>
        <v>1.14701049235274</v>
      </c>
      <c r="N191" s="17">
        <f ca="1">IFERROR(__xludf.DUMMYFUNCTION("""COMPUTED_VALUE"""),0.273358425359316)</f>
        <v>0.27335842535931598</v>
      </c>
      <c r="O191" s="17">
        <f ca="1">IFERROR(__xludf.DUMMYFUNCTION("""COMPUTED_VALUE"""),0.771202210235211)</f>
        <v>0.77120221023521096</v>
      </c>
      <c r="P191" s="17">
        <f ca="1">IFERROR(__xludf.DUMMYFUNCTION("""COMPUTED_VALUE"""),1.48595331890867)</f>
        <v>1.48595331890867</v>
      </c>
      <c r="Q191" s="17">
        <f ca="1">IFERROR(__xludf.DUMMYFUNCTION("""COMPUTED_VALUE"""),0.193523680055437)</f>
        <v>0.19352368005543699</v>
      </c>
      <c r="R191" s="17">
        <f ca="1">IFERROR(__xludf.DUMMYFUNCTION("""COMPUTED_VALUE"""),0.279778225057628)</f>
        <v>0.279778225057628</v>
      </c>
      <c r="S191" s="17">
        <f ca="1">IFERROR(__xludf.DUMMYFUNCTION("""COMPUTED_VALUE"""),0.96014408915003)</f>
        <v>0.96014408915003002</v>
      </c>
      <c r="T191" s="17">
        <f ca="1">IFERROR(__xludf.DUMMYFUNCTION("""COMPUTED_VALUE"""),0.636691583575812)</f>
        <v>0.63669158357581201</v>
      </c>
      <c r="U191" s="17">
        <f ca="1">IFERROR(__xludf.DUMMYFUNCTION("""COMPUTED_VALUE"""),0.552297661460367)</f>
        <v>0.55229766146036696</v>
      </c>
      <c r="V191" s="17">
        <f ca="1">IFERROR(__xludf.DUMMYFUNCTION("""COMPUTED_VALUE"""),0.965547499368017)</f>
        <v>0.96554749936801698</v>
      </c>
      <c r="W191" s="17">
        <f ca="1">IFERROR(__xludf.DUMMYFUNCTION("""COMPUTED_VALUE"""),0.507369850908406)</f>
        <v>0.50736985090840603</v>
      </c>
      <c r="X191" s="17">
        <f ca="1">IFERROR(__xludf.DUMMYFUNCTION("""COMPUTED_VALUE"""),0.192758475655507)</f>
        <v>0.19275847565550699</v>
      </c>
      <c r="Y191" s="17">
        <f ca="1">IFERROR(__xludf.DUMMYFUNCTION("""COMPUTED_VALUE"""),0.197762559849444)</f>
        <v>0.19776255984944399</v>
      </c>
      <c r="Z191" s="17">
        <f ca="1">IFERROR(__xludf.DUMMYFUNCTION("""COMPUTED_VALUE"""),0.920033080700944)</f>
        <v>0.92003308070094403</v>
      </c>
      <c r="AA191" s="17">
        <f ca="1">IFERROR(__xludf.DUMMYFUNCTION("""COMPUTED_VALUE"""),0.869955355969108)</f>
        <v>0.869955355969108</v>
      </c>
      <c r="AB191" s="17">
        <f ca="1">IFERROR(__xludf.DUMMYFUNCTION("""COMPUTED_VALUE"""),1.26999475746799)</f>
        <v>1.26999475746799</v>
      </c>
      <c r="AC191" s="17">
        <f ca="1">IFERROR(__xludf.DUMMYFUNCTION("""COMPUTED_VALUE"""),0.623523619575746)</f>
        <v>0.62352361957574598</v>
      </c>
      <c r="AD191" s="17">
        <f ca="1">IFERROR(__xludf.DUMMYFUNCTION("""COMPUTED_VALUE"""),0.358892837774676)</f>
        <v>0.35889283777467601</v>
      </c>
      <c r="AE191" s="17" t="str">
        <f ca="1">IFERROR(__xludf.DUMMYFUNCTION("""COMPUTED_VALUE"""),"nan")</f>
        <v>nan</v>
      </c>
      <c r="AF191" s="17">
        <f ca="1">IFERROR(__xludf.DUMMYFUNCTION("""COMPUTED_VALUE"""),1.20706072693998)</f>
        <v>1.20706072693998</v>
      </c>
      <c r="AG191" s="17">
        <f ca="1">IFERROR(__xludf.DUMMYFUNCTION("""COMPUTED_VALUE"""),1.07190458949366)</f>
        <v>1.0719045894936601</v>
      </c>
      <c r="AH191" s="17">
        <f ca="1">IFERROR(__xludf.DUMMYFUNCTION("""COMPUTED_VALUE"""),1.0984263203995)</f>
        <v>1.0984263203994999</v>
      </c>
      <c r="AI191" s="17" t="str">
        <f ca="1">IFERROR(__xludf.DUMMYFUNCTION("""COMPUTED_VALUE"""),"nan")</f>
        <v>nan</v>
      </c>
      <c r="AJ191" s="17">
        <f ca="1">IFERROR(__xludf.DUMMYFUNCTION("""COMPUTED_VALUE"""),1.03334481266899)</f>
        <v>1.0333448126689899</v>
      </c>
    </row>
    <row r="192" spans="2:36" ht="15.75" customHeight="1" x14ac:dyDescent="0.45">
      <c r="B192" s="10" t="str">
        <f ca="1">IFERROR(__xludf.DUMMYFUNCTION("""COMPUTED_VALUE"""),"DistalPhalanxTW")</f>
        <v>DistalPhalanxTW</v>
      </c>
      <c r="C192" s="10" t="str">
        <f ca="1">IFERROR(__xludf.DUMMYFUNCTION("""COMPUTED_VALUE"""),"mcar")</f>
        <v>mcar</v>
      </c>
      <c r="D192" s="10">
        <f ca="1">IFERROR(__xludf.DUMMYFUNCTION("""COMPUTED_VALUE"""),0.1)</f>
        <v>0.1</v>
      </c>
      <c r="E192" s="17">
        <f ca="1">IFERROR(__xludf.DUMMYFUNCTION("""COMPUTED_VALUE"""),0.976772099970217)</f>
        <v>0.97677209997021697</v>
      </c>
      <c r="F192" s="17">
        <f ca="1">IFERROR(__xludf.DUMMYFUNCTION("""COMPUTED_VALUE"""),0.127785395100609)</f>
        <v>0.12778539510060899</v>
      </c>
      <c r="G192" s="17">
        <f ca="1">IFERROR(__xludf.DUMMYFUNCTION("""COMPUTED_VALUE"""),0.123814698114845)</f>
        <v>0.123814698114845</v>
      </c>
      <c r="H192" s="17">
        <f ca="1">IFERROR(__xludf.DUMMYFUNCTION("""COMPUTED_VALUE"""),0.160284558865316)</f>
        <v>0.16028455886531601</v>
      </c>
      <c r="I192" s="17">
        <f ca="1">IFERROR(__xludf.DUMMYFUNCTION("""COMPUTED_VALUE"""),0.102101987266786)</f>
        <v>0.102101987266786</v>
      </c>
      <c r="J192" s="17">
        <f ca="1">IFERROR(__xludf.DUMMYFUNCTION("""COMPUTED_VALUE"""),0.11214995733236)</f>
        <v>0.11214995733236</v>
      </c>
      <c r="K192" s="17" t="str">
        <f ca="1">IFERROR(__xludf.DUMMYFUNCTION("""COMPUTED_VALUE"""),"nan")</f>
        <v>nan</v>
      </c>
      <c r="L192" s="17">
        <f ca="1">IFERROR(__xludf.DUMMYFUNCTION("""COMPUTED_VALUE"""),0.14365405536559)</f>
        <v>0.14365405536559001</v>
      </c>
      <c r="M192" s="17">
        <f ca="1">IFERROR(__xludf.DUMMYFUNCTION("""COMPUTED_VALUE"""),0.127789032490152)</f>
        <v>0.127789032490152</v>
      </c>
      <c r="N192" s="17">
        <f ca="1">IFERROR(__xludf.DUMMYFUNCTION("""COMPUTED_VALUE"""),0.125778805495588)</f>
        <v>0.12577880549558801</v>
      </c>
      <c r="O192" s="17">
        <f ca="1">IFERROR(__xludf.DUMMYFUNCTION("""COMPUTED_VALUE"""),0.107016025019585)</f>
        <v>0.107016025019585</v>
      </c>
      <c r="P192" s="17">
        <f ca="1">IFERROR(__xludf.DUMMYFUNCTION("""COMPUTED_VALUE"""),0.568280967308621)</f>
        <v>0.56828096730862099</v>
      </c>
      <c r="Q192" s="17">
        <f ca="1">IFERROR(__xludf.DUMMYFUNCTION("""COMPUTED_VALUE"""),0.236547243756481)</f>
        <v>0.23654724375648101</v>
      </c>
      <c r="R192" s="17">
        <f ca="1">IFERROR(__xludf.DUMMYFUNCTION("""COMPUTED_VALUE"""),0.0941686885271249)</f>
        <v>9.41686885271249E-2</v>
      </c>
      <c r="S192" s="17">
        <f ca="1">IFERROR(__xludf.DUMMYFUNCTION("""COMPUTED_VALUE"""),0.405132565627102)</f>
        <v>0.40513256562710198</v>
      </c>
      <c r="T192" s="17">
        <f ca="1">IFERROR(__xludf.DUMMYFUNCTION("""COMPUTED_VALUE"""),0.193429478465688)</f>
        <v>0.193429478465688</v>
      </c>
      <c r="U192" s="17">
        <f ca="1">IFERROR(__xludf.DUMMYFUNCTION("""COMPUTED_VALUE"""),0.157749692243858)</f>
        <v>0.15774969224385799</v>
      </c>
      <c r="V192" s="17">
        <f ca="1">IFERROR(__xludf.DUMMYFUNCTION("""COMPUTED_VALUE"""),0.146399853242556)</f>
        <v>0.146399853242556</v>
      </c>
      <c r="W192" s="17">
        <f ca="1">IFERROR(__xludf.DUMMYFUNCTION("""COMPUTED_VALUE"""),0.362910214790329)</f>
        <v>0.36291021479032898</v>
      </c>
      <c r="X192" s="17">
        <f ca="1">IFERROR(__xludf.DUMMYFUNCTION("""COMPUTED_VALUE"""),0.208492310390122)</f>
        <v>0.208492310390122</v>
      </c>
      <c r="Y192" s="17">
        <f ca="1">IFERROR(__xludf.DUMMYFUNCTION("""COMPUTED_VALUE"""),0.182157878742074)</f>
        <v>0.18215787874207401</v>
      </c>
      <c r="Z192" s="17">
        <f ca="1">IFERROR(__xludf.DUMMYFUNCTION("""COMPUTED_VALUE"""),0.163610093309401)</f>
        <v>0.16361009330940099</v>
      </c>
      <c r="AA192" s="17">
        <f ca="1">IFERROR(__xludf.DUMMYFUNCTION("""COMPUTED_VALUE"""),0.0692114756618634)</f>
        <v>6.9211475661863406E-2</v>
      </c>
      <c r="AB192" s="17">
        <f ca="1">IFERROR(__xludf.DUMMYFUNCTION("""COMPUTED_VALUE"""),0.191976757704648)</f>
        <v>0.191976757704648</v>
      </c>
      <c r="AC192" s="17">
        <f ca="1">IFERROR(__xludf.DUMMYFUNCTION("""COMPUTED_VALUE"""),0.533043772018167)</f>
        <v>0.53304377201816699</v>
      </c>
      <c r="AD192" s="17">
        <f ca="1">IFERROR(__xludf.DUMMYFUNCTION("""COMPUTED_VALUE"""),0.340773441664941)</f>
        <v>0.340773441664941</v>
      </c>
      <c r="AE192" s="17">
        <f ca="1">IFERROR(__xludf.DUMMYFUNCTION("""COMPUTED_VALUE"""),0.783189433390796)</f>
        <v>0.78318943339079605</v>
      </c>
      <c r="AF192" s="17">
        <f ca="1">IFERROR(__xludf.DUMMYFUNCTION("""COMPUTED_VALUE"""),0.421540520445508)</f>
        <v>0.42154052044550799</v>
      </c>
      <c r="AG192" s="17">
        <f ca="1">IFERROR(__xludf.DUMMYFUNCTION("""COMPUTED_VALUE"""),0.794825109135776)</f>
        <v>0.79482510913577598</v>
      </c>
      <c r="AH192" s="17">
        <f ca="1">IFERROR(__xludf.DUMMYFUNCTION("""COMPUTED_VALUE"""),0.552505628680811)</f>
        <v>0.55250562868081099</v>
      </c>
      <c r="AI192" s="17">
        <f ca="1">IFERROR(__xludf.DUMMYFUNCTION("""COMPUTED_VALUE"""),0.353259180138392)</f>
        <v>0.35325918013839203</v>
      </c>
      <c r="AJ192" s="17">
        <f ca="1">IFERROR(__xludf.DUMMYFUNCTION("""COMPUTED_VALUE"""),0.445963037910596)</f>
        <v>0.44596303791059599</v>
      </c>
    </row>
    <row r="193" spans="2:36" ht="15.75" customHeight="1" x14ac:dyDescent="0.45">
      <c r="B193" s="10" t="str">
        <f ca="1">IFERROR(__xludf.DUMMYFUNCTION("""COMPUTED_VALUE"""),"DistalPhalanxTW")</f>
        <v>DistalPhalanxTW</v>
      </c>
      <c r="C193" s="10" t="str">
        <f ca="1">IFERROR(__xludf.DUMMYFUNCTION("""COMPUTED_VALUE"""),"mcar")</f>
        <v>mcar</v>
      </c>
      <c r="D193" s="10">
        <f ca="1">IFERROR(__xludf.DUMMYFUNCTION("""COMPUTED_VALUE"""),0.2)</f>
        <v>0.2</v>
      </c>
      <c r="E193" s="17">
        <f ca="1">IFERROR(__xludf.DUMMYFUNCTION("""COMPUTED_VALUE"""),0.954393914099658)</f>
        <v>0.95439391409965801</v>
      </c>
      <c r="F193" s="17">
        <f ca="1">IFERROR(__xludf.DUMMYFUNCTION("""COMPUTED_VALUE"""),0.130560642453708)</f>
        <v>0.13056064245370799</v>
      </c>
      <c r="G193" s="17">
        <f ca="1">IFERROR(__xludf.DUMMYFUNCTION("""COMPUTED_VALUE"""),0.124981869966489)</f>
        <v>0.124981869966489</v>
      </c>
      <c r="H193" s="17">
        <f ca="1">IFERROR(__xludf.DUMMYFUNCTION("""COMPUTED_VALUE"""),0.158490561961824)</f>
        <v>0.15849056196182401</v>
      </c>
      <c r="I193" s="17">
        <f ca="1">IFERROR(__xludf.DUMMYFUNCTION("""COMPUTED_VALUE"""),0.113889735232475)</f>
        <v>0.113889735232475</v>
      </c>
      <c r="J193" s="17">
        <f ca="1">IFERROR(__xludf.DUMMYFUNCTION("""COMPUTED_VALUE"""),0.134150821723707)</f>
        <v>0.13415082172370699</v>
      </c>
      <c r="K193" s="17" t="str">
        <f ca="1">IFERROR(__xludf.DUMMYFUNCTION("""COMPUTED_VALUE"""),"nan")</f>
        <v>nan</v>
      </c>
      <c r="L193" s="17">
        <f ca="1">IFERROR(__xludf.DUMMYFUNCTION("""COMPUTED_VALUE"""),0.155064091825661)</f>
        <v>0.155064091825661</v>
      </c>
      <c r="M193" s="17">
        <f ca="1">IFERROR(__xludf.DUMMYFUNCTION("""COMPUTED_VALUE"""),0.131231351997622)</f>
        <v>0.13123135199762201</v>
      </c>
      <c r="N193" s="17">
        <f ca="1">IFERROR(__xludf.DUMMYFUNCTION("""COMPUTED_VALUE"""),0.192149670247013)</f>
        <v>0.19214967024701299</v>
      </c>
      <c r="O193" s="17">
        <f ca="1">IFERROR(__xludf.DUMMYFUNCTION("""COMPUTED_VALUE"""),0.120074755135706)</f>
        <v>0.12007475513570599</v>
      </c>
      <c r="P193" s="17">
        <f ca="1">IFERROR(__xludf.DUMMYFUNCTION("""COMPUTED_VALUE"""),0.581753907664774)</f>
        <v>0.58175390766477397</v>
      </c>
      <c r="Q193" s="17">
        <f ca="1">IFERROR(__xludf.DUMMYFUNCTION("""COMPUTED_VALUE"""),0.263015967352403)</f>
        <v>0.26301596735240301</v>
      </c>
      <c r="R193" s="17">
        <f ca="1">IFERROR(__xludf.DUMMYFUNCTION("""COMPUTED_VALUE"""),0.15771374964837)</f>
        <v>0.15771374964837001</v>
      </c>
      <c r="S193" s="17">
        <f ca="1">IFERROR(__xludf.DUMMYFUNCTION("""COMPUTED_VALUE"""),0.770387106836268)</f>
        <v>0.77038710683626799</v>
      </c>
      <c r="T193" s="17">
        <f ca="1">IFERROR(__xludf.DUMMYFUNCTION("""COMPUTED_VALUE"""),0.205150114189739)</f>
        <v>0.205150114189739</v>
      </c>
      <c r="U193" s="17">
        <f ca="1">IFERROR(__xludf.DUMMYFUNCTION("""COMPUTED_VALUE"""),0.168871446002582)</f>
        <v>0.168871446002582</v>
      </c>
      <c r="V193" s="17">
        <f ca="1">IFERROR(__xludf.DUMMYFUNCTION("""COMPUTED_VALUE"""),0.175401430758419)</f>
        <v>0.17540143075841899</v>
      </c>
      <c r="W193" s="17">
        <f ca="1">IFERROR(__xludf.DUMMYFUNCTION("""COMPUTED_VALUE"""),0.385043217008792)</f>
        <v>0.38504321700879202</v>
      </c>
      <c r="X193" s="17">
        <f ca="1">IFERROR(__xludf.DUMMYFUNCTION("""COMPUTED_VALUE"""),0.187908491484959)</f>
        <v>0.187908491484959</v>
      </c>
      <c r="Y193" s="17">
        <f ca="1">IFERROR(__xludf.DUMMYFUNCTION("""COMPUTED_VALUE"""),0.174510952596682)</f>
        <v>0.17451095259668201</v>
      </c>
      <c r="Z193" s="17">
        <f ca="1">IFERROR(__xludf.DUMMYFUNCTION("""COMPUTED_VALUE"""),0.290312140574146)</f>
        <v>0.290312140574146</v>
      </c>
      <c r="AA193" s="17">
        <f ca="1">IFERROR(__xludf.DUMMYFUNCTION("""COMPUTED_VALUE"""),0.0883517107661477)</f>
        <v>8.8351710766147701E-2</v>
      </c>
      <c r="AB193" s="17">
        <f ca="1">IFERROR(__xludf.DUMMYFUNCTION("""COMPUTED_VALUE"""),0.198483000272481)</f>
        <v>0.198483000272481</v>
      </c>
      <c r="AC193" s="17">
        <f ca="1">IFERROR(__xludf.DUMMYFUNCTION("""COMPUTED_VALUE"""),0.638624239371397)</f>
        <v>0.63862423937139701</v>
      </c>
      <c r="AD193" s="17">
        <f ca="1">IFERROR(__xludf.DUMMYFUNCTION("""COMPUTED_VALUE"""),0.447596854583221)</f>
        <v>0.44759685458322102</v>
      </c>
      <c r="AE193" s="17">
        <f ca="1">IFERROR(__xludf.DUMMYFUNCTION("""COMPUTED_VALUE"""),0.904633245853674)</f>
        <v>0.904633245853674</v>
      </c>
      <c r="AF193" s="17">
        <f ca="1">IFERROR(__xludf.DUMMYFUNCTION("""COMPUTED_VALUE"""),0.191606031191356)</f>
        <v>0.191606031191356</v>
      </c>
      <c r="AG193" s="17">
        <f ca="1">IFERROR(__xludf.DUMMYFUNCTION("""COMPUTED_VALUE"""),0.930297346045257)</f>
        <v>0.93029734604525705</v>
      </c>
      <c r="AH193" s="17">
        <f ca="1">IFERROR(__xludf.DUMMYFUNCTION("""COMPUTED_VALUE"""),0.689607919483851)</f>
        <v>0.68960791948385103</v>
      </c>
      <c r="AI193" s="17">
        <f ca="1">IFERROR(__xludf.DUMMYFUNCTION("""COMPUTED_VALUE"""),0.693546218968971)</f>
        <v>0.69354621896897095</v>
      </c>
      <c r="AJ193" s="17">
        <f ca="1">IFERROR(__xludf.DUMMYFUNCTION("""COMPUTED_VALUE"""),0.530181657278088)</f>
        <v>0.53018165727808797</v>
      </c>
    </row>
    <row r="194" spans="2:36" ht="15.75" customHeight="1" x14ac:dyDescent="0.45">
      <c r="B194" s="10" t="str">
        <f ca="1">IFERROR(__xludf.DUMMYFUNCTION("""COMPUTED_VALUE"""),"DistalPhalanxTW")</f>
        <v>DistalPhalanxTW</v>
      </c>
      <c r="C194" s="10" t="str">
        <f ca="1">IFERROR(__xludf.DUMMYFUNCTION("""COMPUTED_VALUE"""),"mcar")</f>
        <v>mcar</v>
      </c>
      <c r="D194" s="10">
        <f ca="1">IFERROR(__xludf.DUMMYFUNCTION("""COMPUTED_VALUE"""),0.4)</f>
        <v>0.4</v>
      </c>
      <c r="E194" s="17">
        <f ca="1">IFERROR(__xludf.DUMMYFUNCTION("""COMPUTED_VALUE"""),0.992786805998053)</f>
        <v>0.99278680599805302</v>
      </c>
      <c r="F194" s="17">
        <f ca="1">IFERROR(__xludf.DUMMYFUNCTION("""COMPUTED_VALUE"""),0.141767430952072)</f>
        <v>0.141767430952072</v>
      </c>
      <c r="G194" s="17">
        <f ca="1">IFERROR(__xludf.DUMMYFUNCTION("""COMPUTED_VALUE"""),0.134067117083178)</f>
        <v>0.13406711708317801</v>
      </c>
      <c r="H194" s="17">
        <f ca="1">IFERROR(__xludf.DUMMYFUNCTION("""COMPUTED_VALUE"""),0.159585774590381)</f>
        <v>0.15958577459038101</v>
      </c>
      <c r="I194" s="17">
        <f ca="1">IFERROR(__xludf.DUMMYFUNCTION("""COMPUTED_VALUE"""),0.133202530512034)</f>
        <v>0.13320253051203401</v>
      </c>
      <c r="J194" s="17">
        <f ca="1">IFERROR(__xludf.DUMMYFUNCTION("""COMPUTED_VALUE"""),0.375270506544781)</f>
        <v>0.375270506544781</v>
      </c>
      <c r="K194" s="17" t="str">
        <f ca="1">IFERROR(__xludf.DUMMYFUNCTION("""COMPUTED_VALUE"""),"nan")</f>
        <v>nan</v>
      </c>
      <c r="L194" s="17">
        <f ca="1">IFERROR(__xludf.DUMMYFUNCTION("""COMPUTED_VALUE"""),0.161496420785357)</f>
        <v>0.161496420785357</v>
      </c>
      <c r="M194" s="17">
        <f ca="1">IFERROR(__xludf.DUMMYFUNCTION("""COMPUTED_VALUE"""),0.152108889629607)</f>
        <v>0.152108889629607</v>
      </c>
      <c r="N194" s="17">
        <f ca="1">IFERROR(__xludf.DUMMYFUNCTION("""COMPUTED_VALUE"""),0.195063846436571)</f>
        <v>0.19506384643657099</v>
      </c>
      <c r="O194" s="17">
        <f ca="1">IFERROR(__xludf.DUMMYFUNCTION("""COMPUTED_VALUE"""),0.143078798563549)</f>
        <v>0.14307879856354899</v>
      </c>
      <c r="P194" s="17">
        <f ca="1">IFERROR(__xludf.DUMMYFUNCTION("""COMPUTED_VALUE"""),0.679612054198816)</f>
        <v>0.67961205419881598</v>
      </c>
      <c r="Q194" s="17">
        <f ca="1">IFERROR(__xludf.DUMMYFUNCTION("""COMPUTED_VALUE"""),0.321133705692631)</f>
        <v>0.321133705692631</v>
      </c>
      <c r="R194" s="17">
        <f ca="1">IFERROR(__xludf.DUMMYFUNCTION("""COMPUTED_VALUE"""),0.157496605498339)</f>
        <v>0.15749660549833899</v>
      </c>
      <c r="S194" s="17">
        <f ca="1">IFERROR(__xludf.DUMMYFUNCTION("""COMPUTED_VALUE"""),0.973211388154126)</f>
        <v>0.973211388154126</v>
      </c>
      <c r="T194" s="17">
        <f ca="1">IFERROR(__xludf.DUMMYFUNCTION("""COMPUTED_VALUE"""),0.301778481723304)</f>
        <v>0.30177848172330402</v>
      </c>
      <c r="U194" s="17">
        <f ca="1">IFERROR(__xludf.DUMMYFUNCTION("""COMPUTED_VALUE"""),0.178557352530687)</f>
        <v>0.178557352530687</v>
      </c>
      <c r="V194" s="17">
        <f ca="1">IFERROR(__xludf.DUMMYFUNCTION("""COMPUTED_VALUE"""),0.169579552000761)</f>
        <v>0.169579552000761</v>
      </c>
      <c r="W194" s="17">
        <f ca="1">IFERROR(__xludf.DUMMYFUNCTION("""COMPUTED_VALUE"""),0.389359441034782)</f>
        <v>0.38935944103478198</v>
      </c>
      <c r="X194" s="17">
        <f ca="1">IFERROR(__xludf.DUMMYFUNCTION("""COMPUTED_VALUE"""),0.203362642208506)</f>
        <v>0.203362642208506</v>
      </c>
      <c r="Y194" s="17">
        <f ca="1">IFERROR(__xludf.DUMMYFUNCTION("""COMPUTED_VALUE"""),0.176744562364968)</f>
        <v>0.17674456236496799</v>
      </c>
      <c r="Z194" s="17">
        <f ca="1">IFERROR(__xludf.DUMMYFUNCTION("""COMPUTED_VALUE"""),0.551115467175132)</f>
        <v>0.55111546717513205</v>
      </c>
      <c r="AA194" s="17">
        <f ca="1">IFERROR(__xludf.DUMMYFUNCTION("""COMPUTED_VALUE"""),0.120796083714439)</f>
        <v>0.12079608371443901</v>
      </c>
      <c r="AB194" s="17">
        <f ca="1">IFERROR(__xludf.DUMMYFUNCTION("""COMPUTED_VALUE"""),0.262096703671901)</f>
        <v>0.26209670367190102</v>
      </c>
      <c r="AC194" s="17">
        <f ca="1">IFERROR(__xludf.DUMMYFUNCTION("""COMPUTED_VALUE"""),0.582664543781273)</f>
        <v>0.58266454378127297</v>
      </c>
      <c r="AD194" s="17">
        <f ca="1">IFERROR(__xludf.DUMMYFUNCTION("""COMPUTED_VALUE"""),0.334973023666492)</f>
        <v>0.33497302366649201</v>
      </c>
      <c r="AE194" s="17">
        <f ca="1">IFERROR(__xludf.DUMMYFUNCTION("""COMPUTED_VALUE"""),1.09274418325576)</f>
        <v>1.0927441832557601</v>
      </c>
      <c r="AF194" s="17">
        <f ca="1">IFERROR(__xludf.DUMMYFUNCTION("""COMPUTED_VALUE"""),0.355636850628886)</f>
        <v>0.355636850628886</v>
      </c>
      <c r="AG194" s="17">
        <f ca="1">IFERROR(__xludf.DUMMYFUNCTION("""COMPUTED_VALUE"""),0.998588677378924)</f>
        <v>0.99858867737892398</v>
      </c>
      <c r="AH194" s="17">
        <f ca="1">IFERROR(__xludf.DUMMYFUNCTION("""COMPUTED_VALUE"""),0.86562952198003)</f>
        <v>0.86562952198002996</v>
      </c>
      <c r="AI194" s="17">
        <f ca="1">IFERROR(__xludf.DUMMYFUNCTION("""COMPUTED_VALUE"""),1.07615738676398)</f>
        <v>1.07615738676398</v>
      </c>
      <c r="AJ194" s="17">
        <f ca="1">IFERROR(__xludf.DUMMYFUNCTION("""COMPUTED_VALUE"""),0.910699407237844)</f>
        <v>0.91069940723784404</v>
      </c>
    </row>
    <row r="195" spans="2:36" ht="15.75" customHeight="1" x14ac:dyDescent="0.45">
      <c r="B195" s="10" t="str">
        <f ca="1">IFERROR(__xludf.DUMMYFUNCTION("""COMPUTED_VALUE"""),"DistalPhalanxTW")</f>
        <v>DistalPhalanxTW</v>
      </c>
      <c r="C195" s="10" t="str">
        <f ca="1">IFERROR(__xludf.DUMMYFUNCTION("""COMPUTED_VALUE"""),"mcar")</f>
        <v>mcar</v>
      </c>
      <c r="D195" s="10">
        <f ca="1">IFERROR(__xludf.DUMMYFUNCTION("""COMPUTED_VALUE"""),0.6)</f>
        <v>0.6</v>
      </c>
      <c r="E195" s="17">
        <f ca="1">IFERROR(__xludf.DUMMYFUNCTION("""COMPUTED_VALUE"""),1.00933711911053)</f>
        <v>1.00933711911053</v>
      </c>
      <c r="F195" s="17">
        <f ca="1">IFERROR(__xludf.DUMMYFUNCTION("""COMPUTED_VALUE"""),0.147610870176804)</f>
        <v>0.14761087017680399</v>
      </c>
      <c r="G195" s="17">
        <f ca="1">IFERROR(__xludf.DUMMYFUNCTION("""COMPUTED_VALUE"""),0.163044049533257)</f>
        <v>0.16304404953325699</v>
      </c>
      <c r="H195" s="17">
        <f ca="1">IFERROR(__xludf.DUMMYFUNCTION("""COMPUTED_VALUE"""),0.160008959636746)</f>
        <v>0.160008959636746</v>
      </c>
      <c r="I195" s="17">
        <f ca="1">IFERROR(__xludf.DUMMYFUNCTION("""COMPUTED_VALUE"""),0.149107765900366)</f>
        <v>0.14910776590036601</v>
      </c>
      <c r="J195" s="17">
        <f ca="1">IFERROR(__xludf.DUMMYFUNCTION("""COMPUTED_VALUE"""),0.486563355132191)</f>
        <v>0.48656335513219101</v>
      </c>
      <c r="K195" s="17" t="str">
        <f ca="1">IFERROR(__xludf.DUMMYFUNCTION("""COMPUTED_VALUE"""),"nan")</f>
        <v>nan</v>
      </c>
      <c r="L195" s="17">
        <f ca="1">IFERROR(__xludf.DUMMYFUNCTION("""COMPUTED_VALUE"""),0.161415575072971)</f>
        <v>0.161415575072971</v>
      </c>
      <c r="M195" s="17">
        <f ca="1">IFERROR(__xludf.DUMMYFUNCTION("""COMPUTED_VALUE"""),0.162007711442304)</f>
        <v>0.162007711442304</v>
      </c>
      <c r="N195" s="17">
        <f ca="1">IFERROR(__xludf.DUMMYFUNCTION("""COMPUTED_VALUE"""),0.193179648544062)</f>
        <v>0.193179648544062</v>
      </c>
      <c r="O195" s="17">
        <f ca="1">IFERROR(__xludf.DUMMYFUNCTION("""COMPUTED_VALUE"""),0.163055609046045)</f>
        <v>0.16305560904604499</v>
      </c>
      <c r="P195" s="17">
        <f ca="1">IFERROR(__xludf.DUMMYFUNCTION("""COMPUTED_VALUE"""),0.717323606752312)</f>
        <v>0.71732360675231199</v>
      </c>
      <c r="Q195" s="17">
        <f ca="1">IFERROR(__xludf.DUMMYFUNCTION("""COMPUTED_VALUE"""),0.442739772467926)</f>
        <v>0.44273977246792601</v>
      </c>
      <c r="R195" s="17">
        <f ca="1">IFERROR(__xludf.DUMMYFUNCTION("""COMPUTED_VALUE"""),0.165144733592422)</f>
        <v>0.16514473359242199</v>
      </c>
      <c r="S195" s="17">
        <f ca="1">IFERROR(__xludf.DUMMYFUNCTION("""COMPUTED_VALUE"""),0.991217049096825)</f>
        <v>0.99121704909682495</v>
      </c>
      <c r="T195" s="17">
        <f ca="1">IFERROR(__xludf.DUMMYFUNCTION("""COMPUTED_VALUE"""),0.32882029227821)</f>
        <v>0.32882029227821002</v>
      </c>
      <c r="U195" s="17">
        <f ca="1">IFERROR(__xludf.DUMMYFUNCTION("""COMPUTED_VALUE"""),0.183255745732013)</f>
        <v>0.183255745732013</v>
      </c>
      <c r="V195" s="17">
        <f ca="1">IFERROR(__xludf.DUMMYFUNCTION("""COMPUTED_VALUE"""),0.197691494937979)</f>
        <v>0.197691494937979</v>
      </c>
      <c r="W195" s="17">
        <f ca="1">IFERROR(__xludf.DUMMYFUNCTION("""COMPUTED_VALUE"""),0.382013147141852)</f>
        <v>0.38201314714185203</v>
      </c>
      <c r="X195" s="17">
        <f ca="1">IFERROR(__xludf.DUMMYFUNCTION("""COMPUTED_VALUE"""),0.198852885289992)</f>
        <v>0.19885288528999201</v>
      </c>
      <c r="Y195" s="17">
        <f ca="1">IFERROR(__xludf.DUMMYFUNCTION("""COMPUTED_VALUE"""),0.177745824907834)</f>
        <v>0.177745824907834</v>
      </c>
      <c r="Z195" s="17">
        <f ca="1">IFERROR(__xludf.DUMMYFUNCTION("""COMPUTED_VALUE"""),0.655613276105882)</f>
        <v>0.65561327610588205</v>
      </c>
      <c r="AA195" s="17">
        <f ca="1">IFERROR(__xludf.DUMMYFUNCTION("""COMPUTED_VALUE"""),0.141255044046169)</f>
        <v>0.14125504404616901</v>
      </c>
      <c r="AB195" s="17">
        <f ca="1">IFERROR(__xludf.DUMMYFUNCTION("""COMPUTED_VALUE"""),0.290737696575892)</f>
        <v>0.29073769657589199</v>
      </c>
      <c r="AC195" s="17">
        <f ca="1">IFERROR(__xludf.DUMMYFUNCTION("""COMPUTED_VALUE"""),0.573755012591492)</f>
        <v>0.57375501259149198</v>
      </c>
      <c r="AD195" s="17">
        <f ca="1">IFERROR(__xludf.DUMMYFUNCTION("""COMPUTED_VALUE"""),0.487031879792964)</f>
        <v>0.48703187979296397</v>
      </c>
      <c r="AE195" s="17">
        <f ca="1">IFERROR(__xludf.DUMMYFUNCTION("""COMPUTED_VALUE"""),1.18578797442554)</f>
        <v>1.18578797442554</v>
      </c>
      <c r="AF195" s="17">
        <f ca="1">IFERROR(__xludf.DUMMYFUNCTION("""COMPUTED_VALUE"""),0.392758975454527)</f>
        <v>0.39275897545452698</v>
      </c>
      <c r="AG195" s="17">
        <f ca="1">IFERROR(__xludf.DUMMYFUNCTION("""COMPUTED_VALUE"""),0.966286536209624)</f>
        <v>0.96628653620962401</v>
      </c>
      <c r="AH195" s="17">
        <f ca="1">IFERROR(__xludf.DUMMYFUNCTION("""COMPUTED_VALUE"""),0.985820234206944)</f>
        <v>0.98582023420694398</v>
      </c>
      <c r="AI195" s="17">
        <f ca="1">IFERROR(__xludf.DUMMYFUNCTION("""COMPUTED_VALUE"""),1.05274962138767)</f>
        <v>1.0527496213876699</v>
      </c>
      <c r="AJ195" s="17">
        <f ca="1">IFERROR(__xludf.DUMMYFUNCTION("""COMPUTED_VALUE"""),1.11114597131748)</f>
        <v>1.1111459713174801</v>
      </c>
    </row>
    <row r="196" spans="2:36" ht="15.75" customHeight="1" x14ac:dyDescent="0.45">
      <c r="B196" s="10" t="str">
        <f ca="1">IFERROR(__xludf.DUMMYFUNCTION("""COMPUTED_VALUE"""),"DistalPhalanxTW")</f>
        <v>DistalPhalanxTW</v>
      </c>
      <c r="C196" s="10" t="str">
        <f ca="1">IFERROR(__xludf.DUMMYFUNCTION("""COMPUTED_VALUE"""),"mcar")</f>
        <v>mcar</v>
      </c>
      <c r="D196" s="10">
        <f ca="1">IFERROR(__xludf.DUMMYFUNCTION("""COMPUTED_VALUE"""),0.8)</f>
        <v>0.8</v>
      </c>
      <c r="E196" s="17">
        <f ca="1">IFERROR(__xludf.DUMMYFUNCTION("""COMPUTED_VALUE"""),1.023928436493)</f>
        <v>1.0239284364929999</v>
      </c>
      <c r="F196" s="17">
        <f ca="1">IFERROR(__xludf.DUMMYFUNCTION("""COMPUTED_VALUE"""),0.192246263159811)</f>
        <v>0.192246263159811</v>
      </c>
      <c r="G196" s="17">
        <f ca="1">IFERROR(__xludf.DUMMYFUNCTION("""COMPUTED_VALUE"""),0.256513858892845)</f>
        <v>0.256513858892845</v>
      </c>
      <c r="H196" s="17">
        <f ca="1">IFERROR(__xludf.DUMMYFUNCTION("""COMPUTED_VALUE"""),0.163743390109701)</f>
        <v>0.16374339010970099</v>
      </c>
      <c r="I196" s="17">
        <f ca="1">IFERROR(__xludf.DUMMYFUNCTION("""COMPUTED_VALUE"""),0.207345253952973)</f>
        <v>0.20734525395297301</v>
      </c>
      <c r="J196" s="17">
        <f ca="1">IFERROR(__xludf.DUMMYFUNCTION("""COMPUTED_VALUE"""),0.939069637542255)</f>
        <v>0.93906963754225503</v>
      </c>
      <c r="K196" s="17" t="str">
        <f ca="1">IFERROR(__xludf.DUMMYFUNCTION("""COMPUTED_VALUE"""),"nan")</f>
        <v>nan</v>
      </c>
      <c r="L196" s="17">
        <f ca="1">IFERROR(__xludf.DUMMYFUNCTION("""COMPUTED_VALUE"""),0.186436783755673)</f>
        <v>0.18643678375567299</v>
      </c>
      <c r="M196" s="17">
        <f ca="1">IFERROR(__xludf.DUMMYFUNCTION("""COMPUTED_VALUE"""),0.511863577540538)</f>
        <v>0.51186357754053802</v>
      </c>
      <c r="N196" s="17">
        <f ca="1">IFERROR(__xludf.DUMMYFUNCTION("""COMPUTED_VALUE"""),0.213590668390848)</f>
        <v>0.213590668390848</v>
      </c>
      <c r="O196" s="17">
        <f ca="1">IFERROR(__xludf.DUMMYFUNCTION("""COMPUTED_VALUE"""),0.258895898890652)</f>
        <v>0.25889589889065201</v>
      </c>
      <c r="P196" s="17">
        <f ca="1">IFERROR(__xludf.DUMMYFUNCTION("""COMPUTED_VALUE"""),0.858345182567054)</f>
        <v>0.85834518256705405</v>
      </c>
      <c r="Q196" s="17">
        <f ca="1">IFERROR(__xludf.DUMMYFUNCTION("""COMPUTED_VALUE"""),0.571386269508167)</f>
        <v>0.57138626950816696</v>
      </c>
      <c r="R196" s="17">
        <f ca="1">IFERROR(__xludf.DUMMYFUNCTION("""COMPUTED_VALUE"""),0.220434624069643)</f>
        <v>0.22043462406964301</v>
      </c>
      <c r="S196" s="17">
        <f ca="1">IFERROR(__xludf.DUMMYFUNCTION("""COMPUTED_VALUE"""),1.02484111117443)</f>
        <v>1.02484111117443</v>
      </c>
      <c r="T196" s="17">
        <f ca="1">IFERROR(__xludf.DUMMYFUNCTION("""COMPUTED_VALUE"""),0.572471480846754)</f>
        <v>0.57247148084675403</v>
      </c>
      <c r="U196" s="17">
        <f ca="1">IFERROR(__xludf.DUMMYFUNCTION("""COMPUTED_VALUE"""),0.269931417079492)</f>
        <v>0.26993141707949198</v>
      </c>
      <c r="V196" s="17">
        <f ca="1">IFERROR(__xludf.DUMMYFUNCTION("""COMPUTED_VALUE"""),0.293220386111973)</f>
        <v>0.29322038611197299</v>
      </c>
      <c r="W196" s="17">
        <f ca="1">IFERROR(__xludf.DUMMYFUNCTION("""COMPUTED_VALUE"""),0.391385575821005)</f>
        <v>0.39138557582100503</v>
      </c>
      <c r="X196" s="17">
        <f ca="1">IFERROR(__xludf.DUMMYFUNCTION("""COMPUTED_VALUE"""),0.191178432859857)</f>
        <v>0.191178432859857</v>
      </c>
      <c r="Y196" s="17">
        <f ca="1">IFERROR(__xludf.DUMMYFUNCTION("""COMPUTED_VALUE"""),0.243659352586859)</f>
        <v>0.243659352586859</v>
      </c>
      <c r="Z196" s="17">
        <f ca="1">IFERROR(__xludf.DUMMYFUNCTION("""COMPUTED_VALUE"""),0.814100039696099)</f>
        <v>0.81410003969609901</v>
      </c>
      <c r="AA196" s="17">
        <f ca="1">IFERROR(__xludf.DUMMYFUNCTION("""COMPUTED_VALUE"""),0.214156759891088)</f>
        <v>0.21415675989108801</v>
      </c>
      <c r="AB196" s="17">
        <f ca="1">IFERROR(__xludf.DUMMYFUNCTION("""COMPUTED_VALUE"""),0.568107506396237)</f>
        <v>0.56810750639623697</v>
      </c>
      <c r="AC196" s="17">
        <f ca="1">IFERROR(__xludf.DUMMYFUNCTION("""COMPUTED_VALUE"""),0.60006568855963)</f>
        <v>0.60006568855963005</v>
      </c>
      <c r="AD196" s="17">
        <f ca="1">IFERROR(__xludf.DUMMYFUNCTION("""COMPUTED_VALUE"""),0.334812785053701)</f>
        <v>0.33481278505370099</v>
      </c>
      <c r="AE196" s="17" t="str">
        <f ca="1">IFERROR(__xludf.DUMMYFUNCTION("""COMPUTED_VALUE"""),"nan")</f>
        <v>nan</v>
      </c>
      <c r="AF196" s="17">
        <f ca="1">IFERROR(__xludf.DUMMYFUNCTION("""COMPUTED_VALUE"""),0.614747958790343)</f>
        <v>0.61474795879034305</v>
      </c>
      <c r="AG196" s="17">
        <f ca="1">IFERROR(__xludf.DUMMYFUNCTION("""COMPUTED_VALUE"""),1.18327282819886)</f>
        <v>1.18327282819886</v>
      </c>
      <c r="AH196" s="17">
        <f ca="1">IFERROR(__xludf.DUMMYFUNCTION("""COMPUTED_VALUE"""),1.05908086651781)</f>
        <v>1.05908086651781</v>
      </c>
      <c r="AI196" s="17">
        <f ca="1">IFERROR(__xludf.DUMMYFUNCTION("""COMPUTED_VALUE"""),1.05760636230534)</f>
        <v>1.05760636230534</v>
      </c>
      <c r="AJ196" s="17">
        <f ca="1">IFERROR(__xludf.DUMMYFUNCTION("""COMPUTED_VALUE"""),1.16755055367705)</f>
        <v>1.1675505536770501</v>
      </c>
    </row>
    <row r="197" spans="2:36" ht="15.75" customHeight="1" x14ac:dyDescent="0.45">
      <c r="B197" s="10" t="str">
        <f ca="1">IFERROR(__xludf.DUMMYFUNCTION("""COMPUTED_VALUE"""),"ECGFiveDays")</f>
        <v>ECGFiveDays</v>
      </c>
      <c r="C197" s="10" t="str">
        <f ca="1">IFERROR(__xludf.DUMMYFUNCTION("""COMPUTED_VALUE"""),"aligned_series")</f>
        <v>aligned_series</v>
      </c>
      <c r="D197" s="10">
        <f ca="1">IFERROR(__xludf.DUMMYFUNCTION("""COMPUTED_VALUE"""),0.1)</f>
        <v>0.1</v>
      </c>
      <c r="E197" s="17">
        <f ca="1">IFERROR(__xludf.DUMMYFUNCTION("""COMPUTED_VALUE"""),0.16756503327182)</f>
        <v>0.16756503327182001</v>
      </c>
      <c r="F197" s="17">
        <f ca="1">IFERROR(__xludf.DUMMYFUNCTION("""COMPUTED_VALUE"""),0.203248421863863)</f>
        <v>0.20324842186386299</v>
      </c>
      <c r="G197" s="17">
        <f ca="1">IFERROR(__xludf.DUMMYFUNCTION("""COMPUTED_VALUE"""),0.205446520559282)</f>
        <v>0.205446520559282</v>
      </c>
      <c r="H197" s="17">
        <f ca="1">IFERROR(__xludf.DUMMYFUNCTION("""COMPUTED_VALUE"""),0.130514105433599)</f>
        <v>0.13051410543359901</v>
      </c>
      <c r="I197" s="17">
        <f ca="1">IFERROR(__xludf.DUMMYFUNCTION("""COMPUTED_VALUE"""),0.113831697450607)</f>
        <v>0.11383169745060701</v>
      </c>
      <c r="J197" s="17">
        <f ca="1">IFERROR(__xludf.DUMMYFUNCTION("""COMPUTED_VALUE"""),0.125387074015647)</f>
        <v>0.125387074015647</v>
      </c>
      <c r="K197" s="17" t="str">
        <f ca="1">IFERROR(__xludf.DUMMYFUNCTION("""COMPUTED_VALUE"""),"nan")</f>
        <v>nan</v>
      </c>
      <c r="L197" s="17">
        <f ca="1">IFERROR(__xludf.DUMMYFUNCTION("""COMPUTED_VALUE"""),0.32951252931868)</f>
        <v>0.32951252931868003</v>
      </c>
      <c r="M197" s="17">
        <f ca="1">IFERROR(__xludf.DUMMYFUNCTION("""COMPUTED_VALUE"""),0.0676739084239973)</f>
        <v>6.76739084239973E-2</v>
      </c>
      <c r="N197" s="17">
        <f ca="1">IFERROR(__xludf.DUMMYFUNCTION("""COMPUTED_VALUE"""),0.175019353793461)</f>
        <v>0.17501935379346101</v>
      </c>
      <c r="O197" s="17">
        <f ca="1">IFERROR(__xludf.DUMMYFUNCTION("""COMPUTED_VALUE"""),0.142180865035358)</f>
        <v>0.14218086503535801</v>
      </c>
      <c r="P197" s="17">
        <f ca="1">IFERROR(__xludf.DUMMYFUNCTION("""COMPUTED_VALUE"""),0.169397623737248)</f>
        <v>0.16939762373724801</v>
      </c>
      <c r="Q197" s="17">
        <f ca="1">IFERROR(__xludf.DUMMYFUNCTION("""COMPUTED_VALUE"""),0.313775712787449)</f>
        <v>0.31377571278744898</v>
      </c>
      <c r="R197" s="17">
        <f ca="1">IFERROR(__xludf.DUMMYFUNCTION("""COMPUTED_VALUE"""),0.106280061447066)</f>
        <v>0.106280061447066</v>
      </c>
      <c r="S197" s="17">
        <f ca="1">IFERROR(__xludf.DUMMYFUNCTION("""COMPUTED_VALUE"""),0.126403982597658)</f>
        <v>0.126403982597658</v>
      </c>
      <c r="T197" s="17">
        <f ca="1">IFERROR(__xludf.DUMMYFUNCTION("""COMPUTED_VALUE"""),0.295934485404293)</f>
        <v>0.29593448540429301</v>
      </c>
      <c r="U197" s="17">
        <f ca="1">IFERROR(__xludf.DUMMYFUNCTION("""COMPUTED_VALUE"""),0.101635251855071)</f>
        <v>0.101635251855071</v>
      </c>
      <c r="V197" s="17">
        <f ca="1">IFERROR(__xludf.DUMMYFUNCTION("""COMPUTED_VALUE"""),0.109289184291002)</f>
        <v>0.109289184291002</v>
      </c>
      <c r="W197" s="17">
        <f ca="1">IFERROR(__xludf.DUMMYFUNCTION("""COMPUTED_VALUE"""),0.108458086311391)</f>
        <v>0.10845808631139101</v>
      </c>
      <c r="X197" s="17">
        <f ca="1">IFERROR(__xludf.DUMMYFUNCTION("""COMPUTED_VALUE"""),0.16621719770055)</f>
        <v>0.16621719770054999</v>
      </c>
      <c r="Y197" s="17">
        <f ca="1">IFERROR(__xludf.DUMMYFUNCTION("""COMPUTED_VALUE"""),0.166605864071713)</f>
        <v>0.16660586407171299</v>
      </c>
      <c r="Z197" s="17">
        <f ca="1">IFERROR(__xludf.DUMMYFUNCTION("""COMPUTED_VALUE"""),0.103968909568551)</f>
        <v>0.103968909568551</v>
      </c>
      <c r="AA197" s="17">
        <f ca="1">IFERROR(__xludf.DUMMYFUNCTION("""COMPUTED_VALUE"""),0.0723207529886383)</f>
        <v>7.2320752988638298E-2</v>
      </c>
      <c r="AB197" s="17">
        <f ca="1">IFERROR(__xludf.DUMMYFUNCTION("""COMPUTED_VALUE"""),0.357279726233127)</f>
        <v>0.35727972623312698</v>
      </c>
      <c r="AC197" s="17">
        <f ca="1">IFERROR(__xludf.DUMMYFUNCTION("""COMPUTED_VALUE"""),0.202014031784349)</f>
        <v>0.20201403178434901</v>
      </c>
      <c r="AD197" s="17">
        <f ca="1">IFERROR(__xludf.DUMMYFUNCTION("""COMPUTED_VALUE"""),0.195909873914647)</f>
        <v>0.19590987391464701</v>
      </c>
      <c r="AE197" s="17">
        <f ca="1">IFERROR(__xludf.DUMMYFUNCTION("""COMPUTED_VALUE"""),0.411265563292362)</f>
        <v>0.41126556329236202</v>
      </c>
      <c r="AF197" s="17">
        <f ca="1">IFERROR(__xludf.DUMMYFUNCTION("""COMPUTED_VALUE"""),0.171690081977391)</f>
        <v>0.171690081977391</v>
      </c>
      <c r="AG197" s="17">
        <f ca="1">IFERROR(__xludf.DUMMYFUNCTION("""COMPUTED_VALUE"""),0.070885645712906)</f>
        <v>7.0885645712905995E-2</v>
      </c>
      <c r="AH197" s="17">
        <f ca="1">IFERROR(__xludf.DUMMYFUNCTION("""COMPUTED_VALUE"""),0.0924874323732027)</f>
        <v>9.2487432373202699E-2</v>
      </c>
      <c r="AI197" s="17">
        <f ca="1">IFERROR(__xludf.DUMMYFUNCTION("""COMPUTED_VALUE"""),0.0962598256691165)</f>
        <v>9.6259825669116506E-2</v>
      </c>
      <c r="AJ197" s="17">
        <f ca="1">IFERROR(__xludf.DUMMYFUNCTION("""COMPUTED_VALUE"""),0.054666457901979)</f>
        <v>5.4666457901979E-2</v>
      </c>
    </row>
    <row r="198" spans="2:36" ht="15.75" customHeight="1" x14ac:dyDescent="0.45">
      <c r="B198" s="10" t="str">
        <f ca="1">IFERROR(__xludf.DUMMYFUNCTION("""COMPUTED_VALUE"""),"ECGFiveDays")</f>
        <v>ECGFiveDays</v>
      </c>
      <c r="C198" s="10" t="str">
        <f ca="1">IFERROR(__xludf.DUMMYFUNCTION("""COMPUTED_VALUE"""),"aligned_series")</f>
        <v>aligned_series</v>
      </c>
      <c r="D198" s="10">
        <f ca="1">IFERROR(__xludf.DUMMYFUNCTION("""COMPUTED_VALUE"""),0.2)</f>
        <v>0.2</v>
      </c>
      <c r="E198" s="17">
        <f ca="1">IFERROR(__xludf.DUMMYFUNCTION("""COMPUTED_VALUE"""),0.185671381393933)</f>
        <v>0.18567138139393299</v>
      </c>
      <c r="F198" s="17">
        <f ca="1">IFERROR(__xludf.DUMMYFUNCTION("""COMPUTED_VALUE"""),0.251139437621773)</f>
        <v>0.25113943762177299</v>
      </c>
      <c r="G198" s="17">
        <f ca="1">IFERROR(__xludf.DUMMYFUNCTION("""COMPUTED_VALUE"""),0.253783922040968)</f>
        <v>0.253783922040968</v>
      </c>
      <c r="H198" s="17">
        <f ca="1">IFERROR(__xludf.DUMMYFUNCTION("""COMPUTED_VALUE"""),0.193395471016141)</f>
        <v>0.19339547101614099</v>
      </c>
      <c r="I198" s="17">
        <f ca="1">IFERROR(__xludf.DUMMYFUNCTION("""COMPUTED_VALUE"""),0.174548379341628)</f>
        <v>0.17454837934162801</v>
      </c>
      <c r="J198" s="17">
        <f ca="1">IFERROR(__xludf.DUMMYFUNCTION("""COMPUTED_VALUE"""),0.22087652470285)</f>
        <v>0.22087652470284999</v>
      </c>
      <c r="K198" s="17" t="str">
        <f ca="1">IFERROR(__xludf.DUMMYFUNCTION("""COMPUTED_VALUE"""),"nan")</f>
        <v>nan</v>
      </c>
      <c r="L198" s="17">
        <f ca="1">IFERROR(__xludf.DUMMYFUNCTION("""COMPUTED_VALUE"""),0.311970001792249)</f>
        <v>0.31197000179224899</v>
      </c>
      <c r="M198" s="17">
        <f ca="1">IFERROR(__xludf.DUMMYFUNCTION("""COMPUTED_VALUE"""),0.17759390964367)</f>
        <v>0.17759390964367</v>
      </c>
      <c r="N198" s="17">
        <f ca="1">IFERROR(__xludf.DUMMYFUNCTION("""COMPUTED_VALUE"""),0.194981505105784)</f>
        <v>0.19498150510578399</v>
      </c>
      <c r="O198" s="17">
        <f ca="1">IFERROR(__xludf.DUMMYFUNCTION("""COMPUTED_VALUE"""),0.206053681811116)</f>
        <v>0.206053681811116</v>
      </c>
      <c r="P198" s="17">
        <f ca="1">IFERROR(__xludf.DUMMYFUNCTION("""COMPUTED_VALUE"""),0.165934302458958)</f>
        <v>0.16593430245895799</v>
      </c>
      <c r="Q198" s="17">
        <f ca="1">IFERROR(__xludf.DUMMYFUNCTION("""COMPUTED_VALUE"""),0.36864969626917)</f>
        <v>0.36864969626916999</v>
      </c>
      <c r="R198" s="17">
        <f ca="1">IFERROR(__xludf.DUMMYFUNCTION("""COMPUTED_VALUE"""),0.191517723513028)</f>
        <v>0.19151772351302801</v>
      </c>
      <c r="S198" s="17">
        <f ca="1">IFERROR(__xludf.DUMMYFUNCTION("""COMPUTED_VALUE"""),0.164780184226779)</f>
        <v>0.16478018422677901</v>
      </c>
      <c r="T198" s="17">
        <f ca="1">IFERROR(__xludf.DUMMYFUNCTION("""COMPUTED_VALUE"""),0.292785534540788)</f>
        <v>0.29278553454078798</v>
      </c>
      <c r="U198" s="17">
        <f ca="1">IFERROR(__xludf.DUMMYFUNCTION("""COMPUTED_VALUE"""),0.163255120734874)</f>
        <v>0.163255120734874</v>
      </c>
      <c r="V198" s="17">
        <f ca="1">IFERROR(__xludf.DUMMYFUNCTION("""COMPUTED_VALUE"""),0.160122961322898)</f>
        <v>0.16012296132289799</v>
      </c>
      <c r="W198" s="17">
        <f ca="1">IFERROR(__xludf.DUMMYFUNCTION("""COMPUTED_VALUE"""),0.201042383306423)</f>
        <v>0.20104238330642299</v>
      </c>
      <c r="X198" s="17">
        <f ca="1">IFERROR(__xludf.DUMMYFUNCTION("""COMPUTED_VALUE"""),0.215991223093397)</f>
        <v>0.21599122309339699</v>
      </c>
      <c r="Y198" s="17">
        <f ca="1">IFERROR(__xludf.DUMMYFUNCTION("""COMPUTED_VALUE"""),0.2413729156115)</f>
        <v>0.24137291561150001</v>
      </c>
      <c r="Z198" s="17">
        <f ca="1">IFERROR(__xludf.DUMMYFUNCTION("""COMPUTED_VALUE"""),0.121087851032941)</f>
        <v>0.12108785103294099</v>
      </c>
      <c r="AA198" s="17">
        <f ca="1">IFERROR(__xludf.DUMMYFUNCTION("""COMPUTED_VALUE"""),0.0667814424776593)</f>
        <v>6.6781442477659297E-2</v>
      </c>
      <c r="AB198" s="17">
        <f ca="1">IFERROR(__xludf.DUMMYFUNCTION("""COMPUTED_VALUE"""),0.252129870665491)</f>
        <v>0.25212987066549097</v>
      </c>
      <c r="AC198" s="17">
        <f ca="1">IFERROR(__xludf.DUMMYFUNCTION("""COMPUTED_VALUE"""),0.26302133121993)</f>
        <v>0.26302133121992999</v>
      </c>
      <c r="AD198" s="17">
        <f ca="1">IFERROR(__xludf.DUMMYFUNCTION("""COMPUTED_VALUE"""),0.197837387487519)</f>
        <v>0.197837387487519</v>
      </c>
      <c r="AE198" s="17">
        <f ca="1">IFERROR(__xludf.DUMMYFUNCTION("""COMPUTED_VALUE"""),0.429079127499535)</f>
        <v>0.42907912749953497</v>
      </c>
      <c r="AF198" s="17">
        <f ca="1">IFERROR(__xludf.DUMMYFUNCTION("""COMPUTED_VALUE"""),0.329391671486881)</f>
        <v>0.32939167148688098</v>
      </c>
      <c r="AG198" s="17">
        <f ca="1">IFERROR(__xludf.DUMMYFUNCTION("""COMPUTED_VALUE"""),0.120788883527995)</f>
        <v>0.12078888352799499</v>
      </c>
      <c r="AH198" s="17">
        <f ca="1">IFERROR(__xludf.DUMMYFUNCTION("""COMPUTED_VALUE"""),0.133761949697853)</f>
        <v>0.13376194969785299</v>
      </c>
      <c r="AI198" s="17">
        <f ca="1">IFERROR(__xludf.DUMMYFUNCTION("""COMPUTED_VALUE"""),0.13489878359716)</f>
        <v>0.13489878359716001</v>
      </c>
      <c r="AJ198" s="17">
        <f ca="1">IFERROR(__xludf.DUMMYFUNCTION("""COMPUTED_VALUE"""),0.0921201819874086)</f>
        <v>9.2120181987408595E-2</v>
      </c>
    </row>
    <row r="199" spans="2:36" ht="15.75" customHeight="1" x14ac:dyDescent="0.45">
      <c r="B199" s="10" t="str">
        <f ca="1">IFERROR(__xludf.DUMMYFUNCTION("""COMPUTED_VALUE"""),"ECGFiveDays")</f>
        <v>ECGFiveDays</v>
      </c>
      <c r="C199" s="10" t="str">
        <f ca="1">IFERROR(__xludf.DUMMYFUNCTION("""COMPUTED_VALUE"""),"aligned_series")</f>
        <v>aligned_series</v>
      </c>
      <c r="D199" s="10">
        <f ca="1">IFERROR(__xludf.DUMMYFUNCTION("""COMPUTED_VALUE"""),0.4)</f>
        <v>0.4</v>
      </c>
      <c r="E199" s="17">
        <f ca="1">IFERROR(__xludf.DUMMYFUNCTION("""COMPUTED_VALUE"""),0.20482656308945)</f>
        <v>0.20482656308944999</v>
      </c>
      <c r="F199" s="17">
        <f ca="1">IFERROR(__xludf.DUMMYFUNCTION("""COMPUTED_VALUE"""),0.283706263041234)</f>
        <v>0.28370626304123397</v>
      </c>
      <c r="G199" s="17">
        <f ca="1">IFERROR(__xludf.DUMMYFUNCTION("""COMPUTED_VALUE"""),0.290609225978742)</f>
        <v>0.290609225978742</v>
      </c>
      <c r="H199" s="17">
        <f ca="1">IFERROR(__xludf.DUMMYFUNCTION("""COMPUTED_VALUE"""),0.26865896235575)</f>
        <v>0.26865896235574999</v>
      </c>
      <c r="I199" s="17">
        <f ca="1">IFERROR(__xludf.DUMMYFUNCTION("""COMPUTED_VALUE"""),0.220161646151501)</f>
        <v>0.22016164615150099</v>
      </c>
      <c r="J199" s="17">
        <f ca="1">IFERROR(__xludf.DUMMYFUNCTION("""COMPUTED_VALUE"""),0.235618709015286)</f>
        <v>0.235618709015286</v>
      </c>
      <c r="K199" s="17" t="str">
        <f ca="1">IFERROR(__xludf.DUMMYFUNCTION("""COMPUTED_VALUE"""),"nan")</f>
        <v>nan</v>
      </c>
      <c r="L199" s="17">
        <f ca="1">IFERROR(__xludf.DUMMYFUNCTION("""COMPUTED_VALUE"""),0.359116358708297)</f>
        <v>0.359116358708297</v>
      </c>
      <c r="M199" s="17">
        <f ca="1">IFERROR(__xludf.DUMMYFUNCTION("""COMPUTED_VALUE"""),0.240953170005981)</f>
        <v>0.24095317000598099</v>
      </c>
      <c r="N199" s="17">
        <f ca="1">IFERROR(__xludf.DUMMYFUNCTION("""COMPUTED_VALUE"""),0.219108694512619)</f>
        <v>0.219108694512619</v>
      </c>
      <c r="O199" s="17">
        <f ca="1">IFERROR(__xludf.DUMMYFUNCTION("""COMPUTED_VALUE"""),0.260637359677187)</f>
        <v>0.26063735967718699</v>
      </c>
      <c r="P199" s="17">
        <f ca="1">IFERROR(__xludf.DUMMYFUNCTION("""COMPUTED_VALUE"""),0.552819893975394)</f>
        <v>0.55281989397539399</v>
      </c>
      <c r="Q199" s="17">
        <f ca="1">IFERROR(__xludf.DUMMYFUNCTION("""COMPUTED_VALUE"""),0.263800014817449)</f>
        <v>0.26380001481744902</v>
      </c>
      <c r="R199" s="17">
        <f ca="1">IFERROR(__xludf.DUMMYFUNCTION("""COMPUTED_VALUE"""),0.245033015060647)</f>
        <v>0.24503301506064701</v>
      </c>
      <c r="S199" s="17">
        <f ca="1">IFERROR(__xludf.DUMMYFUNCTION("""COMPUTED_VALUE"""),0.210956259481524)</f>
        <v>0.21095625948152399</v>
      </c>
      <c r="T199" s="17">
        <f ca="1">IFERROR(__xludf.DUMMYFUNCTION("""COMPUTED_VALUE"""),0.220371972056445)</f>
        <v>0.22037197205644499</v>
      </c>
      <c r="U199" s="17">
        <f ca="1">IFERROR(__xludf.DUMMYFUNCTION("""COMPUTED_VALUE"""),0.293411128518057)</f>
        <v>0.29341112851805701</v>
      </c>
      <c r="V199" s="17">
        <f ca="1">IFERROR(__xludf.DUMMYFUNCTION("""COMPUTED_VALUE"""),0.0982528608492329)</f>
        <v>9.8252860849232904E-2</v>
      </c>
      <c r="W199" s="17">
        <f ca="1">IFERROR(__xludf.DUMMYFUNCTION("""COMPUTED_VALUE"""),0.266552586548584)</f>
        <v>0.26655258654858399</v>
      </c>
      <c r="X199" s="17">
        <f ca="1">IFERROR(__xludf.DUMMYFUNCTION("""COMPUTED_VALUE"""),0.232865858709911)</f>
        <v>0.232865858709911</v>
      </c>
      <c r="Y199" s="17">
        <f ca="1">IFERROR(__xludf.DUMMYFUNCTION("""COMPUTED_VALUE"""),0.24571364424661)</f>
        <v>0.24571364424660999</v>
      </c>
      <c r="Z199" s="17">
        <f ca="1">IFERROR(__xludf.DUMMYFUNCTION("""COMPUTED_VALUE"""),0.145200351669011)</f>
        <v>0.14520035166901099</v>
      </c>
      <c r="AA199" s="17">
        <f ca="1">IFERROR(__xludf.DUMMYFUNCTION("""COMPUTED_VALUE"""),0.0897953850971006)</f>
        <v>8.9795385097100597E-2</v>
      </c>
      <c r="AB199" s="17">
        <f ca="1">IFERROR(__xludf.DUMMYFUNCTION("""COMPUTED_VALUE"""),0.508666422540749)</f>
        <v>0.50866642254074901</v>
      </c>
      <c r="AC199" s="17">
        <f ca="1">IFERROR(__xludf.DUMMYFUNCTION("""COMPUTED_VALUE"""),0.303555394153893)</f>
        <v>0.30355539415389299</v>
      </c>
      <c r="AD199" s="17">
        <f ca="1">IFERROR(__xludf.DUMMYFUNCTION("""COMPUTED_VALUE"""),0.205248098305494)</f>
        <v>0.20524809830549401</v>
      </c>
      <c r="AE199" s="17">
        <f ca="1">IFERROR(__xludf.DUMMYFUNCTION("""COMPUTED_VALUE"""),0.461779348314417)</f>
        <v>0.46177934831441703</v>
      </c>
      <c r="AF199" s="17">
        <f ca="1">IFERROR(__xludf.DUMMYFUNCTION("""COMPUTED_VALUE"""),0.328127286043138)</f>
        <v>0.32812728604313801</v>
      </c>
      <c r="AG199" s="17">
        <f ca="1">IFERROR(__xludf.DUMMYFUNCTION("""COMPUTED_VALUE"""),0.12018822465404)</f>
        <v>0.12018822465404</v>
      </c>
      <c r="AH199" s="17">
        <f ca="1">IFERROR(__xludf.DUMMYFUNCTION("""COMPUTED_VALUE"""),0.126226961113054)</f>
        <v>0.12622696111305401</v>
      </c>
      <c r="AI199" s="17">
        <f ca="1">IFERROR(__xludf.DUMMYFUNCTION("""COMPUTED_VALUE"""),0.12547810513053)</f>
        <v>0.12547810513053001</v>
      </c>
      <c r="AJ199" s="17">
        <f ca="1">IFERROR(__xludf.DUMMYFUNCTION("""COMPUTED_VALUE"""),0.0708056355426314)</f>
        <v>7.0805635542631404E-2</v>
      </c>
    </row>
    <row r="200" spans="2:36" ht="15.75" customHeight="1" x14ac:dyDescent="0.45">
      <c r="B200" s="10" t="str">
        <f ca="1">IFERROR(__xludf.DUMMYFUNCTION("""COMPUTED_VALUE"""),"ECGFiveDays")</f>
        <v>ECGFiveDays</v>
      </c>
      <c r="C200" s="10" t="str">
        <f ca="1">IFERROR(__xludf.DUMMYFUNCTION("""COMPUTED_VALUE"""),"aligned_series")</f>
        <v>aligned_series</v>
      </c>
      <c r="D200" s="10">
        <f ca="1">IFERROR(__xludf.DUMMYFUNCTION("""COMPUTED_VALUE"""),0.6)</f>
        <v>0.6</v>
      </c>
      <c r="E200" s="17">
        <f ca="1">IFERROR(__xludf.DUMMYFUNCTION("""COMPUTED_VALUE"""),0.178569638431621)</f>
        <v>0.17856963843162099</v>
      </c>
      <c r="F200" s="17">
        <f ca="1">IFERROR(__xludf.DUMMYFUNCTION("""COMPUTED_VALUE"""),0.244220415011362)</f>
        <v>0.24422041501136199</v>
      </c>
      <c r="G200" s="17">
        <f ca="1">IFERROR(__xludf.DUMMYFUNCTION("""COMPUTED_VALUE"""),0.252522639837933)</f>
        <v>0.25252263983793299</v>
      </c>
      <c r="H200" s="17">
        <f ca="1">IFERROR(__xludf.DUMMYFUNCTION("""COMPUTED_VALUE"""),0.282102432698354)</f>
        <v>0.282102432698354</v>
      </c>
      <c r="I200" s="17">
        <f ca="1">IFERROR(__xludf.DUMMYFUNCTION("""COMPUTED_VALUE"""),0.197652121986204)</f>
        <v>0.19765212198620399</v>
      </c>
      <c r="J200" s="17">
        <f ca="1">IFERROR(__xludf.DUMMYFUNCTION("""COMPUTED_VALUE"""),0.201484647885295)</f>
        <v>0.20148464788529499</v>
      </c>
      <c r="K200" s="17" t="str">
        <f ca="1">IFERROR(__xludf.DUMMYFUNCTION("""COMPUTED_VALUE"""),"nan")</f>
        <v>nan</v>
      </c>
      <c r="L200" s="17">
        <f ca="1">IFERROR(__xludf.DUMMYFUNCTION("""COMPUTED_VALUE"""),0.39364681685703)</f>
        <v>0.39364681685703001</v>
      </c>
      <c r="M200" s="17">
        <f ca="1">IFERROR(__xludf.DUMMYFUNCTION("""COMPUTED_VALUE"""),0.229835930838905)</f>
        <v>0.22983593083890499</v>
      </c>
      <c r="N200" s="17">
        <f ca="1">IFERROR(__xludf.DUMMYFUNCTION("""COMPUTED_VALUE"""),0.200912618534903)</f>
        <v>0.200912618534903</v>
      </c>
      <c r="O200" s="17">
        <f ca="1">IFERROR(__xludf.DUMMYFUNCTION("""COMPUTED_VALUE"""),0.234132483838828)</f>
        <v>0.23413248383882801</v>
      </c>
      <c r="P200" s="17">
        <f ca="1">IFERROR(__xludf.DUMMYFUNCTION("""COMPUTED_VALUE"""),0.588869472147013)</f>
        <v>0.58886947214701302</v>
      </c>
      <c r="Q200" s="17">
        <f ca="1">IFERROR(__xludf.DUMMYFUNCTION("""COMPUTED_VALUE"""),0.269967217208319)</f>
        <v>0.26996721720831901</v>
      </c>
      <c r="R200" s="17">
        <f ca="1">IFERROR(__xludf.DUMMYFUNCTION("""COMPUTED_VALUE"""),0.219236713974931)</f>
        <v>0.219236713974931</v>
      </c>
      <c r="S200" s="17">
        <f ca="1">IFERROR(__xludf.DUMMYFUNCTION("""COMPUTED_VALUE"""),0.182065731272146)</f>
        <v>0.18206573127214601</v>
      </c>
      <c r="T200" s="17">
        <f ca="1">IFERROR(__xludf.DUMMYFUNCTION("""COMPUTED_VALUE"""),0.205317279307648)</f>
        <v>0.20531727930764801</v>
      </c>
      <c r="U200" s="17">
        <f ca="1">IFERROR(__xludf.DUMMYFUNCTION("""COMPUTED_VALUE"""),0.208926128435785)</f>
        <v>0.20892612843578501</v>
      </c>
      <c r="V200" s="17">
        <f ca="1">IFERROR(__xludf.DUMMYFUNCTION("""COMPUTED_VALUE"""),0.15756578963672)</f>
        <v>0.15756578963671999</v>
      </c>
      <c r="W200" s="17">
        <f ca="1">IFERROR(__xludf.DUMMYFUNCTION("""COMPUTED_VALUE"""),0.21379824256899)</f>
        <v>0.21379824256898999</v>
      </c>
      <c r="X200" s="17">
        <f ca="1">IFERROR(__xludf.DUMMYFUNCTION("""COMPUTED_VALUE"""),0.195186112243196)</f>
        <v>0.19518611224319601</v>
      </c>
      <c r="Y200" s="17">
        <f ca="1">IFERROR(__xludf.DUMMYFUNCTION("""COMPUTED_VALUE"""),0.219620711357685)</f>
        <v>0.21962071135768499</v>
      </c>
      <c r="Z200" s="17">
        <f ca="1">IFERROR(__xludf.DUMMYFUNCTION("""COMPUTED_VALUE"""),0.123688660261259)</f>
        <v>0.12368866026125901</v>
      </c>
      <c r="AA200" s="17">
        <f ca="1">IFERROR(__xludf.DUMMYFUNCTION("""COMPUTED_VALUE"""),0.0860192550548606)</f>
        <v>8.6019255054860605E-2</v>
      </c>
      <c r="AB200" s="17">
        <f ca="1">IFERROR(__xludf.DUMMYFUNCTION("""COMPUTED_VALUE"""),2.75613305853678)</f>
        <v>2.75613305853678</v>
      </c>
      <c r="AC200" s="17">
        <f ca="1">IFERROR(__xludf.DUMMYFUNCTION("""COMPUTED_VALUE"""),0.370083818882392)</f>
        <v>0.370083818882392</v>
      </c>
      <c r="AD200" s="17">
        <f ca="1">IFERROR(__xludf.DUMMYFUNCTION("""COMPUTED_VALUE"""),0.169804500420803)</f>
        <v>0.169804500420803</v>
      </c>
      <c r="AE200" s="17">
        <f ca="1">IFERROR(__xludf.DUMMYFUNCTION("""COMPUTED_VALUE"""),0.452735461682297)</f>
        <v>0.452735461682297</v>
      </c>
      <c r="AF200" s="17">
        <f ca="1">IFERROR(__xludf.DUMMYFUNCTION("""COMPUTED_VALUE"""),0.287841534030931)</f>
        <v>0.28784153403093099</v>
      </c>
      <c r="AG200" s="17">
        <f ca="1">IFERROR(__xludf.DUMMYFUNCTION("""COMPUTED_VALUE"""),0.14405827260911)</f>
        <v>0.14405827260911</v>
      </c>
      <c r="AH200" s="17">
        <f ca="1">IFERROR(__xludf.DUMMYFUNCTION("""COMPUTED_VALUE"""),0.12024082034611)</f>
        <v>0.12024082034611</v>
      </c>
      <c r="AI200" s="17">
        <f ca="1">IFERROR(__xludf.DUMMYFUNCTION("""COMPUTED_VALUE"""),0.131358777403457)</f>
        <v>0.131358777403457</v>
      </c>
      <c r="AJ200" s="17">
        <f ca="1">IFERROR(__xludf.DUMMYFUNCTION("""COMPUTED_VALUE"""),0.0984039794030812)</f>
        <v>9.8403979403081196E-2</v>
      </c>
    </row>
    <row r="201" spans="2:36" ht="15.75" customHeight="1" x14ac:dyDescent="0.45">
      <c r="B201" s="10" t="str">
        <f ca="1">IFERROR(__xludf.DUMMYFUNCTION("""COMPUTED_VALUE"""),"ECGFiveDays")</f>
        <v>ECGFiveDays</v>
      </c>
      <c r="C201" s="10" t="str">
        <f ca="1">IFERROR(__xludf.DUMMYFUNCTION("""COMPUTED_VALUE"""),"aligned_series")</f>
        <v>aligned_series</v>
      </c>
      <c r="D201" s="10">
        <f ca="1">IFERROR(__xludf.DUMMYFUNCTION("""COMPUTED_VALUE"""),0.8)</f>
        <v>0.8</v>
      </c>
      <c r="E201" s="17">
        <f ca="1">IFERROR(__xludf.DUMMYFUNCTION("""COMPUTED_VALUE"""),0.207293945915359)</f>
        <v>0.20729394591535899</v>
      </c>
      <c r="F201" s="17">
        <f ca="1">IFERROR(__xludf.DUMMYFUNCTION("""COMPUTED_VALUE"""),0.222648933919998)</f>
        <v>0.22264893391999799</v>
      </c>
      <c r="G201" s="17">
        <f ca="1">IFERROR(__xludf.DUMMYFUNCTION("""COMPUTED_VALUE"""),0.227777292017984)</f>
        <v>0.227777292017984</v>
      </c>
      <c r="H201" s="17">
        <f ca="1">IFERROR(__xludf.DUMMYFUNCTION("""COMPUTED_VALUE"""),0.221244140751275)</f>
        <v>0.22124414075127499</v>
      </c>
      <c r="I201" s="17">
        <f ca="1">IFERROR(__xludf.DUMMYFUNCTION("""COMPUTED_VALUE"""),0.213877725535488)</f>
        <v>0.21387772553548801</v>
      </c>
      <c r="J201" s="17">
        <f ca="1">IFERROR(__xludf.DUMMYFUNCTION("""COMPUTED_VALUE"""),0.205846520354931)</f>
        <v>0.20584652035493101</v>
      </c>
      <c r="K201" s="17" t="str">
        <f ca="1">IFERROR(__xludf.DUMMYFUNCTION("""COMPUTED_VALUE"""),"nan")</f>
        <v>nan</v>
      </c>
      <c r="L201" s="17">
        <f ca="1">IFERROR(__xludf.DUMMYFUNCTION("""COMPUTED_VALUE"""),0.552510682939425)</f>
        <v>0.55251068293942496</v>
      </c>
      <c r="M201" s="17">
        <f ca="1">IFERROR(__xludf.DUMMYFUNCTION("""COMPUTED_VALUE"""),0.216534852059253)</f>
        <v>0.21653485205925299</v>
      </c>
      <c r="N201" s="17">
        <f ca="1">IFERROR(__xludf.DUMMYFUNCTION("""COMPUTED_VALUE"""),0.201204709198758)</f>
        <v>0.20120470919875799</v>
      </c>
      <c r="O201" s="17">
        <f ca="1">IFERROR(__xludf.DUMMYFUNCTION("""COMPUTED_VALUE"""),0.213438810074702)</f>
        <v>0.213438810074702</v>
      </c>
      <c r="P201" s="17">
        <f ca="1">IFERROR(__xludf.DUMMYFUNCTION("""COMPUTED_VALUE"""),0.664699342846883)</f>
        <v>0.66469934284688303</v>
      </c>
      <c r="Q201" s="17">
        <f ca="1">IFERROR(__xludf.DUMMYFUNCTION("""COMPUTED_VALUE"""),0.204420424992035)</f>
        <v>0.204420424992035</v>
      </c>
      <c r="R201" s="17">
        <f ca="1">IFERROR(__xludf.DUMMYFUNCTION("""COMPUTED_VALUE"""),0.249218834857379)</f>
        <v>0.249218834857379</v>
      </c>
      <c r="S201" s="17">
        <f ca="1">IFERROR(__xludf.DUMMYFUNCTION("""COMPUTED_VALUE"""),0.269794841853147)</f>
        <v>0.269794841853147</v>
      </c>
      <c r="T201" s="17">
        <f ca="1">IFERROR(__xludf.DUMMYFUNCTION("""COMPUTED_VALUE"""),0.357712766653274)</f>
        <v>0.35771276665327401</v>
      </c>
      <c r="U201" s="17">
        <f ca="1">IFERROR(__xludf.DUMMYFUNCTION("""COMPUTED_VALUE"""),0.191276570105152)</f>
        <v>0.19127657010515201</v>
      </c>
      <c r="V201" s="17">
        <f ca="1">IFERROR(__xludf.DUMMYFUNCTION("""COMPUTED_VALUE"""),0.137798036956068)</f>
        <v>0.13779803695606799</v>
      </c>
      <c r="W201" s="17">
        <f ca="1">IFERROR(__xludf.DUMMYFUNCTION("""COMPUTED_VALUE"""),0.232568593435802)</f>
        <v>0.232568593435802</v>
      </c>
      <c r="X201" s="17">
        <f ca="1">IFERROR(__xludf.DUMMYFUNCTION("""COMPUTED_VALUE"""),0.20728914310651)</f>
        <v>0.20728914310651</v>
      </c>
      <c r="Y201" s="17">
        <f ca="1">IFERROR(__xludf.DUMMYFUNCTION("""COMPUTED_VALUE"""),0.21576077130222)</f>
        <v>0.21576077130221999</v>
      </c>
      <c r="Z201" s="17">
        <f ca="1">IFERROR(__xludf.DUMMYFUNCTION("""COMPUTED_VALUE"""),0.138861286185901)</f>
        <v>0.13886128618590099</v>
      </c>
      <c r="AA201" s="17">
        <f ca="1">IFERROR(__xludf.DUMMYFUNCTION("""COMPUTED_VALUE"""),0.0808228530509573)</f>
        <v>8.0822853050957294E-2</v>
      </c>
      <c r="AB201" s="17">
        <f ca="1">IFERROR(__xludf.DUMMYFUNCTION("""COMPUTED_VALUE"""),4.1871117650729)</f>
        <v>4.1871117650728999</v>
      </c>
      <c r="AC201" s="17">
        <f ca="1">IFERROR(__xludf.DUMMYFUNCTION("""COMPUTED_VALUE"""),0.414716720921878)</f>
        <v>0.414716720921878</v>
      </c>
      <c r="AD201" s="17">
        <f ca="1">IFERROR(__xludf.DUMMYFUNCTION("""COMPUTED_VALUE"""),0.181999044232392)</f>
        <v>0.18199904423239199</v>
      </c>
      <c r="AE201" s="17">
        <f ca="1">IFERROR(__xludf.DUMMYFUNCTION("""COMPUTED_VALUE"""),0.474266188734584)</f>
        <v>0.47426618873458398</v>
      </c>
      <c r="AF201" s="17">
        <f ca="1">IFERROR(__xludf.DUMMYFUNCTION("""COMPUTED_VALUE"""),0.273341752782718)</f>
        <v>0.27334175278271799</v>
      </c>
      <c r="AG201" s="17">
        <f ca="1">IFERROR(__xludf.DUMMYFUNCTION("""COMPUTED_VALUE"""),0.109631336889561)</f>
        <v>0.109631336889561</v>
      </c>
      <c r="AH201" s="17">
        <f ca="1">IFERROR(__xludf.DUMMYFUNCTION("""COMPUTED_VALUE"""),0.130437088280159)</f>
        <v>0.13043708828015901</v>
      </c>
      <c r="AI201" s="17">
        <f ca="1">IFERROR(__xludf.DUMMYFUNCTION("""COMPUTED_VALUE"""),0.141083974450132)</f>
        <v>0.14108397445013199</v>
      </c>
      <c r="AJ201" s="17">
        <f ca="1">IFERROR(__xludf.DUMMYFUNCTION("""COMPUTED_VALUE"""),0.0983550734536681)</f>
        <v>9.8355073453668104E-2</v>
      </c>
    </row>
    <row r="202" spans="2:36" ht="15.75" customHeight="1" x14ac:dyDescent="0.45">
      <c r="B202" s="10" t="str">
        <f ca="1">IFERROR(__xludf.DUMMYFUNCTION("""COMPUTED_VALUE"""),"ECGFiveDays")</f>
        <v>ECGFiveDays</v>
      </c>
      <c r="C202" s="10" t="str">
        <f ca="1">IFERROR(__xludf.DUMMYFUNCTION("""COMPUTED_VALUE"""),"aligned_timestamps")</f>
        <v>aligned_timestamps</v>
      </c>
      <c r="D202" s="10">
        <f ca="1">IFERROR(__xludf.DUMMYFUNCTION("""COMPUTED_VALUE"""),0.1)</f>
        <v>0.1</v>
      </c>
      <c r="E202" s="17">
        <f ca="1">IFERROR(__xludf.DUMMYFUNCTION("""COMPUTED_VALUE"""),0.222704978247993)</f>
        <v>0.22270497824799301</v>
      </c>
      <c r="F202" s="17">
        <f ca="1">IFERROR(__xludf.DUMMYFUNCTION("""COMPUTED_VALUE"""),0.301670879024671)</f>
        <v>0.30167087902467099</v>
      </c>
      <c r="G202" s="17">
        <f ca="1">IFERROR(__xludf.DUMMYFUNCTION("""COMPUTED_VALUE"""),0.304164043098234)</f>
        <v>0.30416404309823403</v>
      </c>
      <c r="H202" s="17">
        <f ca="1">IFERROR(__xludf.DUMMYFUNCTION("""COMPUTED_VALUE"""),0.238268289481897)</f>
        <v>0.23826828948189699</v>
      </c>
      <c r="I202" s="17">
        <f ca="1">IFERROR(__xludf.DUMMYFUNCTION("""COMPUTED_VALUE"""),0.21088122451366)</f>
        <v>0.21088122451366001</v>
      </c>
      <c r="J202" s="17">
        <f ca="1">IFERROR(__xludf.DUMMYFUNCTION("""COMPUTED_VALUE"""),0.264789584023767)</f>
        <v>0.26478958402376701</v>
      </c>
      <c r="K202" s="17" t="str">
        <f ca="1">IFERROR(__xludf.DUMMYFUNCTION("""COMPUTED_VALUE"""),"nan")</f>
        <v>nan</v>
      </c>
      <c r="L202" s="17">
        <f ca="1">IFERROR(__xludf.DUMMYFUNCTION("""COMPUTED_VALUE"""),0.348930582115188)</f>
        <v>0.34893058211518801</v>
      </c>
      <c r="M202" s="17">
        <f ca="1">IFERROR(__xludf.DUMMYFUNCTION("""COMPUTED_VALUE"""),0.219238974091228)</f>
        <v>0.219238974091228</v>
      </c>
      <c r="N202" s="17">
        <f ca="1">IFERROR(__xludf.DUMMYFUNCTION("""COMPUTED_VALUE"""),0.212297461786302)</f>
        <v>0.21229746178630199</v>
      </c>
      <c r="O202" s="17">
        <f ca="1">IFERROR(__xludf.DUMMYFUNCTION("""COMPUTED_VALUE"""),0.253636008560761)</f>
        <v>0.25363600856076102</v>
      </c>
      <c r="P202" s="17">
        <f ca="1">IFERROR(__xludf.DUMMYFUNCTION("""COMPUTED_VALUE"""),0.205434366284609)</f>
        <v>0.20543436628460901</v>
      </c>
      <c r="Q202" s="17">
        <f ca="1">IFERROR(__xludf.DUMMYFUNCTION("""COMPUTED_VALUE"""),0.417546783704507)</f>
        <v>0.41754678370450699</v>
      </c>
      <c r="R202" s="17">
        <f ca="1">IFERROR(__xludf.DUMMYFUNCTION("""COMPUTED_VALUE"""),0.203674716855879)</f>
        <v>0.20367471685587901</v>
      </c>
      <c r="S202" s="17">
        <f ca="1">IFERROR(__xludf.DUMMYFUNCTION("""COMPUTED_VALUE"""),0.152071788306543)</f>
        <v>0.152071788306543</v>
      </c>
      <c r="T202" s="17">
        <f ca="1">IFERROR(__xludf.DUMMYFUNCTION("""COMPUTED_VALUE"""),0.216636363688238)</f>
        <v>0.21663636368823799</v>
      </c>
      <c r="U202" s="17">
        <f ca="1">IFERROR(__xludf.DUMMYFUNCTION("""COMPUTED_VALUE"""),0.142494979711758)</f>
        <v>0.14249497971175801</v>
      </c>
      <c r="V202" s="17">
        <f ca="1">IFERROR(__xludf.DUMMYFUNCTION("""COMPUTED_VALUE"""),0.10644317898848)</f>
        <v>0.10644317898848001</v>
      </c>
      <c r="W202" s="17">
        <f ca="1">IFERROR(__xludf.DUMMYFUNCTION("""COMPUTED_VALUE"""),0.184420438407995)</f>
        <v>0.18442043840799499</v>
      </c>
      <c r="X202" s="17">
        <f ca="1">IFERROR(__xludf.DUMMYFUNCTION("""COMPUTED_VALUE"""),0.240829974865422)</f>
        <v>0.24082997486542199</v>
      </c>
      <c r="Y202" s="17">
        <f ca="1">IFERROR(__xludf.DUMMYFUNCTION("""COMPUTED_VALUE"""),0.280611767637497)</f>
        <v>0.28061176763749701</v>
      </c>
      <c r="Z202" s="17">
        <f ca="1">IFERROR(__xludf.DUMMYFUNCTION("""COMPUTED_VALUE"""),0.0612053228409015)</f>
        <v>6.1205322840901501E-2</v>
      </c>
      <c r="AA202" s="17">
        <f ca="1">IFERROR(__xludf.DUMMYFUNCTION("""COMPUTED_VALUE"""),0.085764659560818)</f>
        <v>8.5764659560817996E-2</v>
      </c>
      <c r="AB202" s="17">
        <f ca="1">IFERROR(__xludf.DUMMYFUNCTION("""COMPUTED_VALUE"""),0.340396351502952)</f>
        <v>0.340396351502952</v>
      </c>
      <c r="AC202" s="17">
        <f ca="1">IFERROR(__xludf.DUMMYFUNCTION("""COMPUTED_VALUE"""),0.28026473663763)</f>
        <v>0.28026473663763002</v>
      </c>
      <c r="AD202" s="17">
        <f ca="1">IFERROR(__xludf.DUMMYFUNCTION("""COMPUTED_VALUE"""),0.168702475198469)</f>
        <v>0.16870247519846901</v>
      </c>
      <c r="AE202" s="17">
        <f ca="1">IFERROR(__xludf.DUMMYFUNCTION("""COMPUTED_VALUE"""),0.298268893062714)</f>
        <v>0.29826889306271398</v>
      </c>
      <c r="AF202" s="17">
        <f ca="1">IFERROR(__xludf.DUMMYFUNCTION("""COMPUTED_VALUE"""),0.110135033597985)</f>
        <v>0.110135033597985</v>
      </c>
      <c r="AG202" s="17">
        <f ca="1">IFERROR(__xludf.DUMMYFUNCTION("""COMPUTED_VALUE"""),0.0374210010767919)</f>
        <v>3.7421001076791902E-2</v>
      </c>
      <c r="AH202" s="17">
        <f ca="1">IFERROR(__xludf.DUMMYFUNCTION("""COMPUTED_VALUE"""),0.0399471553739536)</f>
        <v>3.9947155373953602E-2</v>
      </c>
      <c r="AI202" s="17">
        <f ca="1">IFERROR(__xludf.DUMMYFUNCTION("""COMPUTED_VALUE"""),0.0536671479176095)</f>
        <v>5.3667147917609501E-2</v>
      </c>
      <c r="AJ202" s="17">
        <f ca="1">IFERROR(__xludf.DUMMYFUNCTION("""COMPUTED_VALUE"""),0.0431461684933862)</f>
        <v>4.3146168493386199E-2</v>
      </c>
    </row>
    <row r="203" spans="2:36" ht="15.75" customHeight="1" x14ac:dyDescent="0.45">
      <c r="B203" s="10" t="str">
        <f ca="1">IFERROR(__xludf.DUMMYFUNCTION("""COMPUTED_VALUE"""),"ECGFiveDays")</f>
        <v>ECGFiveDays</v>
      </c>
      <c r="C203" s="10" t="str">
        <f ca="1">IFERROR(__xludf.DUMMYFUNCTION("""COMPUTED_VALUE"""),"aligned_timestamps")</f>
        <v>aligned_timestamps</v>
      </c>
      <c r="D203" s="10">
        <f ca="1">IFERROR(__xludf.DUMMYFUNCTION("""COMPUTED_VALUE"""),0.2)</f>
        <v>0.2</v>
      </c>
      <c r="E203" s="17">
        <f ca="1">IFERROR(__xludf.DUMMYFUNCTION("""COMPUTED_VALUE"""),0.185671381393933)</f>
        <v>0.18567138139393299</v>
      </c>
      <c r="F203" s="17">
        <f ca="1">IFERROR(__xludf.DUMMYFUNCTION("""COMPUTED_VALUE"""),0.251139437621773)</f>
        <v>0.25113943762177299</v>
      </c>
      <c r="G203" s="17">
        <f ca="1">IFERROR(__xludf.DUMMYFUNCTION("""COMPUTED_VALUE"""),0.253783922040968)</f>
        <v>0.253783922040968</v>
      </c>
      <c r="H203" s="17">
        <f ca="1">IFERROR(__xludf.DUMMYFUNCTION("""COMPUTED_VALUE"""),0.193395471016141)</f>
        <v>0.19339547101614099</v>
      </c>
      <c r="I203" s="17">
        <f ca="1">IFERROR(__xludf.DUMMYFUNCTION("""COMPUTED_VALUE"""),0.174548379341628)</f>
        <v>0.17454837934162801</v>
      </c>
      <c r="J203" s="17">
        <f ca="1">IFERROR(__xludf.DUMMYFUNCTION("""COMPUTED_VALUE"""),0.22087652470285)</f>
        <v>0.22087652470284999</v>
      </c>
      <c r="K203" s="17" t="str">
        <f ca="1">IFERROR(__xludf.DUMMYFUNCTION("""COMPUTED_VALUE"""),"nan")</f>
        <v>nan</v>
      </c>
      <c r="L203" s="17">
        <f ca="1">IFERROR(__xludf.DUMMYFUNCTION("""COMPUTED_VALUE"""),0.311970001792249)</f>
        <v>0.31197000179224899</v>
      </c>
      <c r="M203" s="17">
        <f ca="1">IFERROR(__xludf.DUMMYFUNCTION("""COMPUTED_VALUE"""),0.17759390964367)</f>
        <v>0.17759390964367</v>
      </c>
      <c r="N203" s="17">
        <f ca="1">IFERROR(__xludf.DUMMYFUNCTION("""COMPUTED_VALUE"""),0.194981505105784)</f>
        <v>0.19498150510578399</v>
      </c>
      <c r="O203" s="17">
        <f ca="1">IFERROR(__xludf.DUMMYFUNCTION("""COMPUTED_VALUE"""),0.206053681811116)</f>
        <v>0.206053681811116</v>
      </c>
      <c r="P203" s="17">
        <f ca="1">IFERROR(__xludf.DUMMYFUNCTION("""COMPUTED_VALUE"""),0.165934302458958)</f>
        <v>0.16593430245895799</v>
      </c>
      <c r="Q203" s="17">
        <f ca="1">IFERROR(__xludf.DUMMYFUNCTION("""COMPUTED_VALUE"""),0.36864969626917)</f>
        <v>0.36864969626916999</v>
      </c>
      <c r="R203" s="17">
        <f ca="1">IFERROR(__xludf.DUMMYFUNCTION("""COMPUTED_VALUE"""),0.191517723513028)</f>
        <v>0.19151772351302801</v>
      </c>
      <c r="S203" s="17">
        <f ca="1">IFERROR(__xludf.DUMMYFUNCTION("""COMPUTED_VALUE"""),0.164780184226779)</f>
        <v>0.16478018422677901</v>
      </c>
      <c r="T203" s="17">
        <f ca="1">IFERROR(__xludf.DUMMYFUNCTION("""COMPUTED_VALUE"""),0.292785534540788)</f>
        <v>0.29278553454078798</v>
      </c>
      <c r="U203" s="17">
        <f ca="1">IFERROR(__xludf.DUMMYFUNCTION("""COMPUTED_VALUE"""),0.163255120734874)</f>
        <v>0.163255120734874</v>
      </c>
      <c r="V203" s="17">
        <f ca="1">IFERROR(__xludf.DUMMYFUNCTION("""COMPUTED_VALUE"""),0.160122961322898)</f>
        <v>0.16012296132289799</v>
      </c>
      <c r="W203" s="17">
        <f ca="1">IFERROR(__xludf.DUMMYFUNCTION("""COMPUTED_VALUE"""),0.300819752296028)</f>
        <v>0.30081975229602798</v>
      </c>
      <c r="X203" s="17">
        <f ca="1">IFERROR(__xludf.DUMMYFUNCTION("""COMPUTED_VALUE"""),0.207783554042678)</f>
        <v>0.20778355404267801</v>
      </c>
      <c r="Y203" s="17">
        <f ca="1">IFERROR(__xludf.DUMMYFUNCTION("""COMPUTED_VALUE"""),0.2413729156115)</f>
        <v>0.24137291561150001</v>
      </c>
      <c r="Z203" s="17">
        <f ca="1">IFERROR(__xludf.DUMMYFUNCTION("""COMPUTED_VALUE"""),0.121087851032941)</f>
        <v>0.12108785103294099</v>
      </c>
      <c r="AA203" s="17">
        <f ca="1">IFERROR(__xludf.DUMMYFUNCTION("""COMPUTED_VALUE"""),0.0667814424776593)</f>
        <v>6.6781442477659297E-2</v>
      </c>
      <c r="AB203" s="17">
        <f ca="1">IFERROR(__xludf.DUMMYFUNCTION("""COMPUTED_VALUE"""),0.494509521377896)</f>
        <v>0.494509521377896</v>
      </c>
      <c r="AC203" s="17">
        <f ca="1">IFERROR(__xludf.DUMMYFUNCTION("""COMPUTED_VALUE"""),0.26302133121993)</f>
        <v>0.26302133121992999</v>
      </c>
      <c r="AD203" s="17">
        <f ca="1">IFERROR(__xludf.DUMMYFUNCTION("""COMPUTED_VALUE"""),0.218386382909166)</f>
        <v>0.21838638290916601</v>
      </c>
      <c r="AE203" s="17">
        <f ca="1">IFERROR(__xludf.DUMMYFUNCTION("""COMPUTED_VALUE"""),0.415835146558579)</f>
        <v>0.41583514655857901</v>
      </c>
      <c r="AF203" s="17">
        <f ca="1">IFERROR(__xludf.DUMMYFUNCTION("""COMPUTED_VALUE"""),0.329391671486881)</f>
        <v>0.32939167148688098</v>
      </c>
      <c r="AG203" s="17">
        <f ca="1">IFERROR(__xludf.DUMMYFUNCTION("""COMPUTED_VALUE"""),0.112157151783307)</f>
        <v>0.112157151783307</v>
      </c>
      <c r="AH203" s="17">
        <f ca="1">IFERROR(__xludf.DUMMYFUNCTION("""COMPUTED_VALUE"""),0.133761949697853)</f>
        <v>0.13376194969785299</v>
      </c>
      <c r="AI203" s="17">
        <f ca="1">IFERROR(__xludf.DUMMYFUNCTION("""COMPUTED_VALUE"""),0.13489878359716)</f>
        <v>0.13489878359716001</v>
      </c>
      <c r="AJ203" s="17">
        <f ca="1">IFERROR(__xludf.DUMMYFUNCTION("""COMPUTED_VALUE"""),0.088154217563151)</f>
        <v>8.8154217563151005E-2</v>
      </c>
    </row>
    <row r="204" spans="2:36" ht="15.75" customHeight="1" x14ac:dyDescent="0.45">
      <c r="B204" s="10" t="str">
        <f ca="1">IFERROR(__xludf.DUMMYFUNCTION("""COMPUTED_VALUE"""),"ECGFiveDays")</f>
        <v>ECGFiveDays</v>
      </c>
      <c r="C204" s="10" t="str">
        <f ca="1">IFERROR(__xludf.DUMMYFUNCTION("""COMPUTED_VALUE"""),"aligned_timestamps")</f>
        <v>aligned_timestamps</v>
      </c>
      <c r="D204" s="10">
        <f ca="1">IFERROR(__xludf.DUMMYFUNCTION("""COMPUTED_VALUE"""),0.4)</f>
        <v>0.4</v>
      </c>
      <c r="E204" s="17">
        <f ca="1">IFERROR(__xludf.DUMMYFUNCTION("""COMPUTED_VALUE"""),1.37294360499855)</f>
        <v>1.3729436049985499</v>
      </c>
      <c r="F204" s="17">
        <f ca="1">IFERROR(__xludf.DUMMYFUNCTION("""COMPUTED_VALUE"""),0.877532460675153)</f>
        <v>0.877532460675153</v>
      </c>
      <c r="G204" s="17">
        <f ca="1">IFERROR(__xludf.DUMMYFUNCTION("""COMPUTED_VALUE"""),0.882375422334581)</f>
        <v>0.88237542233458099</v>
      </c>
      <c r="H204" s="17">
        <f ca="1">IFERROR(__xludf.DUMMYFUNCTION("""COMPUTED_VALUE"""),1.34117002732359)</f>
        <v>1.34117002732359</v>
      </c>
      <c r="I204" s="17">
        <f ca="1">IFERROR(__xludf.DUMMYFUNCTION("""COMPUTED_VALUE"""),1.0057308896325)</f>
        <v>1.0057308896324999</v>
      </c>
      <c r="J204" s="17">
        <f ca="1">IFERROR(__xludf.DUMMYFUNCTION("""COMPUTED_VALUE"""),1.21894369017268)</f>
        <v>1.21894369017268</v>
      </c>
      <c r="K204" s="17" t="str">
        <f ca="1">IFERROR(__xludf.DUMMYFUNCTION("""COMPUTED_VALUE"""),"nan")</f>
        <v>nan</v>
      </c>
      <c r="L204" s="17">
        <f ca="1">IFERROR(__xludf.DUMMYFUNCTION("""COMPUTED_VALUE"""),0.830464960432764)</f>
        <v>0.83046496043276397</v>
      </c>
      <c r="M204" s="17">
        <f ca="1">IFERROR(__xludf.DUMMYFUNCTION("""COMPUTED_VALUE"""),0.952098679342616)</f>
        <v>0.95209867934261605</v>
      </c>
      <c r="N204" s="17">
        <f ca="1">IFERROR(__xludf.DUMMYFUNCTION("""COMPUTED_VALUE"""),1.07519600578386)</f>
        <v>1.0751960057838601</v>
      </c>
      <c r="O204" s="17">
        <f ca="1">IFERROR(__xludf.DUMMYFUNCTION("""COMPUTED_VALUE"""),0.78592410681018)</f>
        <v>0.78592410681017999</v>
      </c>
      <c r="P204" s="17">
        <f ca="1">IFERROR(__xludf.DUMMYFUNCTION("""COMPUTED_VALUE"""),1.33298054792188)</f>
        <v>1.3329805479218799</v>
      </c>
      <c r="Q204" s="17">
        <f ca="1">IFERROR(__xludf.DUMMYFUNCTION("""COMPUTED_VALUE"""),1.48441295434965)</f>
        <v>1.48441295434965</v>
      </c>
      <c r="R204" s="17">
        <f ca="1">IFERROR(__xludf.DUMMYFUNCTION("""COMPUTED_VALUE"""),0.86143421536753)</f>
        <v>0.86143421536752995</v>
      </c>
      <c r="S204" s="17">
        <f ca="1">IFERROR(__xludf.DUMMYFUNCTION("""COMPUTED_VALUE"""),1.22686042056329)</f>
        <v>1.22686042056329</v>
      </c>
      <c r="T204" s="17">
        <f ca="1">IFERROR(__xludf.DUMMYFUNCTION("""COMPUTED_VALUE"""),1.31353731125704)</f>
        <v>1.3135373112570401</v>
      </c>
      <c r="U204" s="17">
        <f ca="1">IFERROR(__xludf.DUMMYFUNCTION("""COMPUTED_VALUE"""),1.00339004167914)</f>
        <v>1.0033900416791399</v>
      </c>
      <c r="V204" s="17">
        <f ca="1">IFERROR(__xludf.DUMMYFUNCTION("""COMPUTED_VALUE"""),1.21412476991323)</f>
        <v>1.21412476991323</v>
      </c>
      <c r="W204" s="17">
        <f ca="1">IFERROR(__xludf.DUMMYFUNCTION("""COMPUTED_VALUE"""),1.18468201584976)</f>
        <v>1.18468201584976</v>
      </c>
      <c r="X204" s="17">
        <f ca="1">IFERROR(__xludf.DUMMYFUNCTION("""COMPUTED_VALUE"""),1.11895194791018)</f>
        <v>1.1189519479101799</v>
      </c>
      <c r="Y204" s="17">
        <f ca="1">IFERROR(__xludf.DUMMYFUNCTION("""COMPUTED_VALUE"""),1.14895573692596)</f>
        <v>1.14895573692596</v>
      </c>
      <c r="Z204" s="17">
        <f ca="1">IFERROR(__xludf.DUMMYFUNCTION("""COMPUTED_VALUE"""),1.16979988470253)</f>
        <v>1.1697998847025299</v>
      </c>
      <c r="AA204" s="17">
        <f ca="1">IFERROR(__xludf.DUMMYFUNCTION("""COMPUTED_VALUE"""),0.834793995940048)</f>
        <v>0.83479399594004799</v>
      </c>
      <c r="AB204" s="17">
        <f ca="1">IFERROR(__xludf.DUMMYFUNCTION("""COMPUTED_VALUE"""),1.53994898338339)</f>
        <v>1.5399489833833899</v>
      </c>
      <c r="AC204" s="17">
        <f ca="1">IFERROR(__xludf.DUMMYFUNCTION("""COMPUTED_VALUE"""),1.25886915320026)</f>
        <v>1.25886915320026</v>
      </c>
      <c r="AD204" s="17">
        <f ca="1">IFERROR(__xludf.DUMMYFUNCTION("""COMPUTED_VALUE"""),1.15751991354676)</f>
        <v>1.15751991354676</v>
      </c>
      <c r="AE204" s="17">
        <f ca="1">IFERROR(__xludf.DUMMYFUNCTION("""COMPUTED_VALUE"""),1.43751711997385)</f>
        <v>1.4375171199738499</v>
      </c>
      <c r="AF204" s="17">
        <f ca="1">IFERROR(__xludf.DUMMYFUNCTION("""COMPUTED_VALUE"""),1.01665146991217)</f>
        <v>1.01665146991217</v>
      </c>
      <c r="AG204" s="17">
        <f ca="1">IFERROR(__xludf.DUMMYFUNCTION("""COMPUTED_VALUE"""),1.5766239630015)</f>
        <v>1.5766239630015</v>
      </c>
      <c r="AH204" s="17">
        <f ca="1">IFERROR(__xludf.DUMMYFUNCTION("""COMPUTED_VALUE"""),1.45437307764698)</f>
        <v>1.4543730776469801</v>
      </c>
      <c r="AI204" s="17">
        <f ca="1">IFERROR(__xludf.DUMMYFUNCTION("""COMPUTED_VALUE"""),1.51091826952594)</f>
        <v>1.51091826952594</v>
      </c>
      <c r="AJ204" s="17">
        <f ca="1">IFERROR(__xludf.DUMMYFUNCTION("""COMPUTED_VALUE"""),1.42495621787455)</f>
        <v>1.4249562178745501</v>
      </c>
    </row>
    <row r="205" spans="2:36" ht="15.75" customHeight="1" x14ac:dyDescent="0.45">
      <c r="B205" s="10" t="str">
        <f ca="1">IFERROR(__xludf.DUMMYFUNCTION("""COMPUTED_VALUE"""),"ECGFiveDays")</f>
        <v>ECGFiveDays</v>
      </c>
      <c r="C205" s="10" t="str">
        <f ca="1">IFERROR(__xludf.DUMMYFUNCTION("""COMPUTED_VALUE"""),"aligned_timestamps")</f>
        <v>aligned_timestamps</v>
      </c>
      <c r="D205" s="10">
        <f ca="1">IFERROR(__xludf.DUMMYFUNCTION("""COMPUTED_VALUE"""),0.6)</f>
        <v>0.6</v>
      </c>
      <c r="E205" s="17">
        <f ca="1">IFERROR(__xludf.DUMMYFUNCTION("""COMPUTED_VALUE"""),1.27431211435871)</f>
        <v>1.2743121143587099</v>
      </c>
      <c r="F205" s="17">
        <f ca="1">IFERROR(__xludf.DUMMYFUNCTION("""COMPUTED_VALUE"""),1.08772569867562)</f>
        <v>1.0877256986756201</v>
      </c>
      <c r="G205" s="17">
        <f ca="1">IFERROR(__xludf.DUMMYFUNCTION("""COMPUTED_VALUE"""),1.18901128032146)</f>
        <v>1.1890112803214601</v>
      </c>
      <c r="H205" s="17">
        <f ca="1">IFERROR(__xludf.DUMMYFUNCTION("""COMPUTED_VALUE"""),1.45278762058082)</f>
        <v>1.4527876205808199</v>
      </c>
      <c r="I205" s="17">
        <f ca="1">IFERROR(__xludf.DUMMYFUNCTION("""COMPUTED_VALUE"""),1.14945177234948)</f>
        <v>1.1494517723494799</v>
      </c>
      <c r="J205" s="17">
        <f ca="1">IFERROR(__xludf.DUMMYFUNCTION("""COMPUTED_VALUE"""),1.25323527638724)</f>
        <v>1.2532352763872401</v>
      </c>
      <c r="K205" s="17" t="str">
        <f ca="1">IFERROR(__xludf.DUMMYFUNCTION("""COMPUTED_VALUE"""),"nan")</f>
        <v>nan</v>
      </c>
      <c r="L205" s="17">
        <f ca="1">IFERROR(__xludf.DUMMYFUNCTION("""COMPUTED_VALUE"""),1.05863824778006)</f>
        <v>1.05863824778006</v>
      </c>
      <c r="M205" s="17">
        <f ca="1">IFERROR(__xludf.DUMMYFUNCTION("""COMPUTED_VALUE"""),1.25745587095414)</f>
        <v>1.2574558709541399</v>
      </c>
      <c r="N205" s="17">
        <f ca="1">IFERROR(__xludf.DUMMYFUNCTION("""COMPUTED_VALUE"""),0.985419076768041)</f>
        <v>0.98541907676804097</v>
      </c>
      <c r="O205" s="17">
        <f ca="1">IFERROR(__xludf.DUMMYFUNCTION("""COMPUTED_VALUE"""),1.01187385933413)</f>
        <v>1.0118738593341301</v>
      </c>
      <c r="P205" s="17">
        <f ca="1">IFERROR(__xludf.DUMMYFUNCTION("""COMPUTED_VALUE"""),1.23616919058982)</f>
        <v>1.23616919058982</v>
      </c>
      <c r="Q205" s="17">
        <f ca="1">IFERROR(__xludf.DUMMYFUNCTION("""COMPUTED_VALUE"""),1.26494461497852)</f>
        <v>1.26494461497852</v>
      </c>
      <c r="R205" s="17">
        <f ca="1">IFERROR(__xludf.DUMMYFUNCTION("""COMPUTED_VALUE"""),1.09048610822552)</f>
        <v>1.0904861082255199</v>
      </c>
      <c r="S205" s="17">
        <f ca="1">IFERROR(__xludf.DUMMYFUNCTION("""COMPUTED_VALUE"""),1.17089834011481)</f>
        <v>1.1708983401148101</v>
      </c>
      <c r="T205" s="17">
        <f ca="1">IFERROR(__xludf.DUMMYFUNCTION("""COMPUTED_VALUE"""),1.13833205518635)</f>
        <v>1.1383320551863501</v>
      </c>
      <c r="U205" s="17">
        <f ca="1">IFERROR(__xludf.DUMMYFUNCTION("""COMPUTED_VALUE"""),0.985976523084981)</f>
        <v>0.98597652308498096</v>
      </c>
      <c r="V205" s="17">
        <f ca="1">IFERROR(__xludf.DUMMYFUNCTION("""COMPUTED_VALUE"""),1.33981149087637)</f>
        <v>1.3398114908763701</v>
      </c>
      <c r="W205" s="17">
        <f ca="1">IFERROR(__xludf.DUMMYFUNCTION("""COMPUTED_VALUE"""),1.21037819600869)</f>
        <v>1.2103781960086899</v>
      </c>
      <c r="X205" s="17">
        <f ca="1">IFERROR(__xludf.DUMMYFUNCTION("""COMPUTED_VALUE"""),1.03276314685268)</f>
        <v>1.0327631468526799</v>
      </c>
      <c r="Y205" s="17">
        <f ca="1">IFERROR(__xludf.DUMMYFUNCTION("""COMPUTED_VALUE"""),1.10670361063147)</f>
        <v>1.10670361063147</v>
      </c>
      <c r="Z205" s="17">
        <f ca="1">IFERROR(__xludf.DUMMYFUNCTION("""COMPUTED_VALUE"""),1.20882512234117)</f>
        <v>1.2088251223411699</v>
      </c>
      <c r="AA205" s="17">
        <f ca="1">IFERROR(__xludf.DUMMYFUNCTION("""COMPUTED_VALUE"""),0.712872864921537)</f>
        <v>0.71287286492153701</v>
      </c>
      <c r="AB205" s="17">
        <f ca="1">IFERROR(__xludf.DUMMYFUNCTION("""COMPUTED_VALUE"""),1.23413774643574)</f>
        <v>1.2341377464357399</v>
      </c>
      <c r="AC205" s="17">
        <f ca="1">IFERROR(__xludf.DUMMYFUNCTION("""COMPUTED_VALUE"""),1.14979288858834)</f>
        <v>1.1497928885883399</v>
      </c>
      <c r="AD205" s="17">
        <f ca="1">IFERROR(__xludf.DUMMYFUNCTION("""COMPUTED_VALUE"""),1.05248380832157)</f>
        <v>1.05248380832157</v>
      </c>
      <c r="AE205" s="17">
        <f ca="1">IFERROR(__xludf.DUMMYFUNCTION("""COMPUTED_VALUE"""),1.53915390206802)</f>
        <v>1.5391539020680201</v>
      </c>
      <c r="AF205" s="17">
        <f ca="1">IFERROR(__xludf.DUMMYFUNCTION("""COMPUTED_VALUE"""),1.1612064307533)</f>
        <v>1.1612064307533001</v>
      </c>
      <c r="AG205" s="17">
        <f ca="1">IFERROR(__xludf.DUMMYFUNCTION("""COMPUTED_VALUE"""),1.41795702459777)</f>
        <v>1.41795702459777</v>
      </c>
      <c r="AH205" s="17">
        <f ca="1">IFERROR(__xludf.DUMMYFUNCTION("""COMPUTED_VALUE"""),1.39792127878094)</f>
        <v>1.3979212787809401</v>
      </c>
      <c r="AI205" s="17">
        <f ca="1">IFERROR(__xludf.DUMMYFUNCTION("""COMPUTED_VALUE"""),1.47328348901802)</f>
        <v>1.47328348901802</v>
      </c>
      <c r="AJ205" s="17">
        <f ca="1">IFERROR(__xludf.DUMMYFUNCTION("""COMPUTED_VALUE"""),1.56931653973286)</f>
        <v>1.5693165397328599</v>
      </c>
    </row>
    <row r="206" spans="2:36" ht="15.75" customHeight="1" x14ac:dyDescent="0.45">
      <c r="B206" s="10" t="str">
        <f ca="1">IFERROR(__xludf.DUMMYFUNCTION("""COMPUTED_VALUE"""),"ECGFiveDays")</f>
        <v>ECGFiveDays</v>
      </c>
      <c r="C206" s="10" t="str">
        <f ca="1">IFERROR(__xludf.DUMMYFUNCTION("""COMPUTED_VALUE"""),"aligned_timestamps")</f>
        <v>aligned_timestamps</v>
      </c>
      <c r="D206" s="10">
        <f ca="1">IFERROR(__xludf.DUMMYFUNCTION("""COMPUTED_VALUE"""),0.8)</f>
        <v>0.8</v>
      </c>
      <c r="E206" s="17">
        <f ca="1">IFERROR(__xludf.DUMMYFUNCTION("""COMPUTED_VALUE"""),1.1113736213592)</f>
        <v>1.1113736213592</v>
      </c>
      <c r="F206" s="17">
        <f ca="1">IFERROR(__xludf.DUMMYFUNCTION("""COMPUTED_VALUE"""),0.99861430135705)</f>
        <v>0.99861430135704998</v>
      </c>
      <c r="G206" s="17">
        <f ca="1">IFERROR(__xludf.DUMMYFUNCTION("""COMPUTED_VALUE"""),1.08726433330831)</f>
        <v>1.0872643333083101</v>
      </c>
      <c r="H206" s="17">
        <f ca="1">IFERROR(__xludf.DUMMYFUNCTION("""COMPUTED_VALUE"""),1.27289643074441)</f>
        <v>1.2728964307444099</v>
      </c>
      <c r="I206" s="17">
        <f ca="1">IFERROR(__xludf.DUMMYFUNCTION("""COMPUTED_VALUE"""),1.04094578785959)</f>
        <v>1.04094578785959</v>
      </c>
      <c r="J206" s="17">
        <f ca="1">IFERROR(__xludf.DUMMYFUNCTION("""COMPUTED_VALUE"""),1.08373840934529)</f>
        <v>1.08373840934529</v>
      </c>
      <c r="K206" s="17" t="str">
        <f ca="1">IFERROR(__xludf.DUMMYFUNCTION("""COMPUTED_VALUE"""),"nan")</f>
        <v>nan</v>
      </c>
      <c r="L206" s="17">
        <f ca="1">IFERROR(__xludf.DUMMYFUNCTION("""COMPUTED_VALUE"""),0.972957907860091)</f>
        <v>0.97295790786009095</v>
      </c>
      <c r="M206" s="17">
        <f ca="1">IFERROR(__xludf.DUMMYFUNCTION("""COMPUTED_VALUE"""),1.04199119614813)</f>
        <v>1.0419911961481301</v>
      </c>
      <c r="N206" s="17">
        <f ca="1">IFERROR(__xludf.DUMMYFUNCTION("""COMPUTED_VALUE"""),1.11751886787347)</f>
        <v>1.11751886787347</v>
      </c>
      <c r="O206" s="17">
        <f ca="1">IFERROR(__xludf.DUMMYFUNCTION("""COMPUTED_VALUE"""),0.943079104491839)</f>
        <v>0.94307910449183896</v>
      </c>
      <c r="P206" s="17">
        <f ca="1">IFERROR(__xludf.DUMMYFUNCTION("""COMPUTED_VALUE"""),1.1397716065731)</f>
        <v>1.1397716065731001</v>
      </c>
      <c r="Q206" s="17">
        <f ca="1">IFERROR(__xludf.DUMMYFUNCTION("""COMPUTED_VALUE"""),1.11263408729291)</f>
        <v>1.1126340872929099</v>
      </c>
      <c r="R206" s="17">
        <f ca="1">IFERROR(__xludf.DUMMYFUNCTION("""COMPUTED_VALUE"""),1.0663631570452)</f>
        <v>1.0663631570451999</v>
      </c>
      <c r="S206" s="17">
        <f ca="1">IFERROR(__xludf.DUMMYFUNCTION("""COMPUTED_VALUE"""),1.07459041096648)</f>
        <v>1.0745904109664799</v>
      </c>
      <c r="T206" s="17">
        <f ca="1">IFERROR(__xludf.DUMMYFUNCTION("""COMPUTED_VALUE"""),1.03742702717084)</f>
        <v>1.0374270271708399</v>
      </c>
      <c r="U206" s="17">
        <f ca="1">IFERROR(__xludf.DUMMYFUNCTION("""COMPUTED_VALUE"""),1.04113203314932)</f>
        <v>1.0411320331493199</v>
      </c>
      <c r="V206" s="17">
        <f ca="1">IFERROR(__xludf.DUMMYFUNCTION("""COMPUTED_VALUE"""),1.24448318591638)</f>
        <v>1.2444831859163801</v>
      </c>
      <c r="W206" s="17">
        <f ca="1">IFERROR(__xludf.DUMMYFUNCTION("""COMPUTED_VALUE"""),1.05816988900324)</f>
        <v>1.05816988900324</v>
      </c>
      <c r="X206" s="17">
        <f ca="1">IFERROR(__xludf.DUMMYFUNCTION("""COMPUTED_VALUE"""),1.88812916157887)</f>
        <v>1.88812916157887</v>
      </c>
      <c r="Y206" s="17">
        <f ca="1">IFERROR(__xludf.DUMMYFUNCTION("""COMPUTED_VALUE"""),0.932465939279754)</f>
        <v>0.93246593927975396</v>
      </c>
      <c r="Z206" s="17">
        <f ca="1">IFERROR(__xludf.DUMMYFUNCTION("""COMPUTED_VALUE"""),1.20296201276919)</f>
        <v>1.20296201276919</v>
      </c>
      <c r="AA206" s="17">
        <f ca="1">IFERROR(__xludf.DUMMYFUNCTION("""COMPUTED_VALUE"""),1.11053460996574)</f>
        <v>1.11053460996574</v>
      </c>
      <c r="AB206" s="17">
        <f ca="1">IFERROR(__xludf.DUMMYFUNCTION("""COMPUTED_VALUE"""),1.18598617090839)</f>
        <v>1.1859861709083901</v>
      </c>
      <c r="AC206" s="17">
        <f ca="1">IFERROR(__xludf.DUMMYFUNCTION("""COMPUTED_VALUE"""),1.06689932298609)</f>
        <v>1.0668993229860899</v>
      </c>
      <c r="AD206" s="17">
        <f ca="1">IFERROR(__xludf.DUMMYFUNCTION("""COMPUTED_VALUE"""),0.957281195189377)</f>
        <v>0.95728119518937704</v>
      </c>
      <c r="AE206" s="17">
        <f ca="1">IFERROR(__xludf.DUMMYFUNCTION("""COMPUTED_VALUE"""),2.10013760478074)</f>
        <v>2.1001376047807399</v>
      </c>
      <c r="AF206" s="17">
        <f ca="1">IFERROR(__xludf.DUMMYFUNCTION("""COMPUTED_VALUE"""),1.06934685024232)</f>
        <v>1.06934685024232</v>
      </c>
      <c r="AG206" s="17">
        <f ca="1">IFERROR(__xludf.DUMMYFUNCTION("""COMPUTED_VALUE"""),1.22930524437296)</f>
        <v>1.22930524437296</v>
      </c>
      <c r="AH206" s="17">
        <f ca="1">IFERROR(__xludf.DUMMYFUNCTION("""COMPUTED_VALUE"""),1.12829424305689)</f>
        <v>1.1282942430568901</v>
      </c>
      <c r="AI206" s="17">
        <f ca="1">IFERROR(__xludf.DUMMYFUNCTION("""COMPUTED_VALUE"""),1.13917044668795)</f>
        <v>1.13917044668795</v>
      </c>
      <c r="AJ206" s="17">
        <f ca="1">IFERROR(__xludf.DUMMYFUNCTION("""COMPUTED_VALUE"""),1.1586606104059)</f>
        <v>1.1586606104059001</v>
      </c>
    </row>
    <row r="207" spans="2:36" ht="15.75" customHeight="1" x14ac:dyDescent="0.45">
      <c r="B207" s="10" t="str">
        <f ca="1">IFERROR(__xludf.DUMMYFUNCTION("""COMPUTED_VALUE"""),"ECGFiveDays")</f>
        <v>ECGFiveDays</v>
      </c>
      <c r="C207" s="10" t="str">
        <f ca="1">IFERROR(__xludf.DUMMYFUNCTION("""COMPUTED_VALUE"""),"mcar")</f>
        <v>mcar</v>
      </c>
      <c r="D207" s="10">
        <f ca="1">IFERROR(__xludf.DUMMYFUNCTION("""COMPUTED_VALUE"""),0.1)</f>
        <v>0.1</v>
      </c>
      <c r="E207" s="17">
        <f ca="1">IFERROR(__xludf.DUMMYFUNCTION("""COMPUTED_VALUE"""),1.63020122803843)</f>
        <v>1.6302012280384299</v>
      </c>
      <c r="F207" s="17">
        <f ca="1">IFERROR(__xludf.DUMMYFUNCTION("""COMPUTED_VALUE"""),0.622759093543223)</f>
        <v>0.62275909354322301</v>
      </c>
      <c r="G207" s="17">
        <f ca="1">IFERROR(__xludf.DUMMYFUNCTION("""COMPUTED_VALUE"""),0.676925902527626)</f>
        <v>0.67692590252762597</v>
      </c>
      <c r="H207" s="17">
        <f ca="1">IFERROR(__xludf.DUMMYFUNCTION("""COMPUTED_VALUE"""),2.07316886692105)</f>
        <v>2.07316886692105</v>
      </c>
      <c r="I207" s="17">
        <f ca="1">IFERROR(__xludf.DUMMYFUNCTION("""COMPUTED_VALUE"""),1.04257533063653)</f>
        <v>1.04257533063653</v>
      </c>
      <c r="J207" s="17">
        <f ca="1">IFERROR(__xludf.DUMMYFUNCTION("""COMPUTED_VALUE"""),0.947193633279146)</f>
        <v>0.94719363327914596</v>
      </c>
      <c r="K207" s="17" t="str">
        <f ca="1">IFERROR(__xludf.DUMMYFUNCTION("""COMPUTED_VALUE"""),"nan")</f>
        <v>nan</v>
      </c>
      <c r="L207" s="17">
        <f ca="1">IFERROR(__xludf.DUMMYFUNCTION("""COMPUTED_VALUE"""),0.670856967570981)</f>
        <v>0.67085696757098101</v>
      </c>
      <c r="M207" s="17">
        <f ca="1">IFERROR(__xludf.DUMMYFUNCTION("""COMPUTED_VALUE"""),0.822910605121932)</f>
        <v>0.82291060512193204</v>
      </c>
      <c r="N207" s="17">
        <f ca="1">IFERROR(__xludf.DUMMYFUNCTION("""COMPUTED_VALUE"""),0.821654790351219)</f>
        <v>0.82165479035121902</v>
      </c>
      <c r="O207" s="17">
        <f ca="1">IFERROR(__xludf.DUMMYFUNCTION("""COMPUTED_VALUE"""),0.670014858084057)</f>
        <v>0.67001485808405703</v>
      </c>
      <c r="P207" s="17">
        <f ca="1">IFERROR(__xludf.DUMMYFUNCTION("""COMPUTED_VALUE"""),1.30583991751914)</f>
        <v>1.30583991751914</v>
      </c>
      <c r="Q207" s="17">
        <f ca="1">IFERROR(__xludf.DUMMYFUNCTION("""COMPUTED_VALUE"""),1.19894127865078)</f>
        <v>1.19894127865078</v>
      </c>
      <c r="R207" s="17">
        <f ca="1">IFERROR(__xludf.DUMMYFUNCTION("""COMPUTED_VALUE"""),0.448158153463786)</f>
        <v>0.44815815346378601</v>
      </c>
      <c r="S207" s="17">
        <f ca="1">IFERROR(__xludf.DUMMYFUNCTION("""COMPUTED_VALUE"""),1.32304147739578)</f>
        <v>1.3230414773957799</v>
      </c>
      <c r="T207" s="17">
        <f ca="1">IFERROR(__xludf.DUMMYFUNCTION("""COMPUTED_VALUE"""),1.06565480399994)</f>
        <v>1.0656548039999401</v>
      </c>
      <c r="U207" s="17">
        <f ca="1">IFERROR(__xludf.DUMMYFUNCTION("""COMPUTED_VALUE"""),1.1425923537347)</f>
        <v>1.1425923537347</v>
      </c>
      <c r="V207" s="17">
        <f ca="1">IFERROR(__xludf.DUMMYFUNCTION("""COMPUTED_VALUE"""),1.36709178219751)</f>
        <v>1.3670917821975099</v>
      </c>
      <c r="W207" s="17">
        <f ca="1">IFERROR(__xludf.DUMMYFUNCTION("""COMPUTED_VALUE"""),1.26139737768915)</f>
        <v>1.2613973776891501</v>
      </c>
      <c r="X207" s="17">
        <f ca="1">IFERROR(__xludf.DUMMYFUNCTION("""COMPUTED_VALUE"""),0.979759059273629)</f>
        <v>0.97975905927362905</v>
      </c>
      <c r="Y207" s="17">
        <f ca="1">IFERROR(__xludf.DUMMYFUNCTION("""COMPUTED_VALUE"""),1.34960548027346)</f>
        <v>1.3496054802734601</v>
      </c>
      <c r="Z207" s="17">
        <f ca="1">IFERROR(__xludf.DUMMYFUNCTION("""COMPUTED_VALUE"""),0.665863556326739)</f>
        <v>0.66586355632673899</v>
      </c>
      <c r="AA207" s="17">
        <f ca="1">IFERROR(__xludf.DUMMYFUNCTION("""COMPUTED_VALUE"""),1.19818308168545)</f>
        <v>1.19818308168545</v>
      </c>
      <c r="AB207" s="17">
        <f ca="1">IFERROR(__xludf.DUMMYFUNCTION("""COMPUTED_VALUE"""),1.4041670917362)</f>
        <v>1.4041670917361999</v>
      </c>
      <c r="AC207" s="17">
        <f ca="1">IFERROR(__xludf.DUMMYFUNCTION("""COMPUTED_VALUE"""),1.21798749675706)</f>
        <v>1.2179874967570601</v>
      </c>
      <c r="AD207" s="17">
        <f ca="1">IFERROR(__xludf.DUMMYFUNCTION("""COMPUTED_VALUE"""),1.30191943307051)</f>
        <v>1.3019194330705099</v>
      </c>
      <c r="AE207" s="17">
        <f ca="1">IFERROR(__xludf.DUMMYFUNCTION("""COMPUTED_VALUE"""),1.63844773749489)</f>
        <v>1.63844773749489</v>
      </c>
      <c r="AF207" s="17">
        <f ca="1">IFERROR(__xludf.DUMMYFUNCTION("""COMPUTED_VALUE"""),0.686897212825641)</f>
        <v>0.68689721282564098</v>
      </c>
      <c r="AG207" s="17">
        <f ca="1">IFERROR(__xludf.DUMMYFUNCTION("""COMPUTED_VALUE"""),1.3192144856455)</f>
        <v>1.3192144856454999</v>
      </c>
      <c r="AH207" s="17">
        <f ca="1">IFERROR(__xludf.DUMMYFUNCTION("""COMPUTED_VALUE"""),1.39992324870998)</f>
        <v>1.39992324870998</v>
      </c>
      <c r="AI207" s="17">
        <f ca="1">IFERROR(__xludf.DUMMYFUNCTION("""COMPUTED_VALUE"""),1.21186401050753)</f>
        <v>1.21186401050753</v>
      </c>
      <c r="AJ207" s="17">
        <f ca="1">IFERROR(__xludf.DUMMYFUNCTION("""COMPUTED_VALUE"""),0.955461646300679)</f>
        <v>0.95546164630067898</v>
      </c>
    </row>
    <row r="208" spans="2:36" ht="15.75" customHeight="1" x14ac:dyDescent="0.45">
      <c r="B208" s="10" t="str">
        <f ca="1">IFERROR(__xludf.DUMMYFUNCTION("""COMPUTED_VALUE"""),"ECGFiveDays")</f>
        <v>ECGFiveDays</v>
      </c>
      <c r="C208" s="10" t="str">
        <f ca="1">IFERROR(__xludf.DUMMYFUNCTION("""COMPUTED_VALUE"""),"mcar")</f>
        <v>mcar</v>
      </c>
      <c r="D208" s="10">
        <f ca="1">IFERROR(__xludf.DUMMYFUNCTION("""COMPUTED_VALUE"""),0.2)</f>
        <v>0.2</v>
      </c>
      <c r="E208" s="17">
        <f ca="1">IFERROR(__xludf.DUMMYFUNCTION("""COMPUTED_VALUE"""),1.46092468094856)</f>
        <v>1.4609246809485601</v>
      </c>
      <c r="F208" s="17">
        <f ca="1">IFERROR(__xludf.DUMMYFUNCTION("""COMPUTED_VALUE"""),0.515891285786364)</f>
        <v>0.51589128578636401</v>
      </c>
      <c r="G208" s="17">
        <f ca="1">IFERROR(__xludf.DUMMYFUNCTION("""COMPUTED_VALUE"""),0.576246618657494)</f>
        <v>0.57624661865749405</v>
      </c>
      <c r="H208" s="17">
        <f ca="1">IFERROR(__xludf.DUMMYFUNCTION("""COMPUTED_VALUE"""),1.52913087290071)</f>
        <v>1.52913087290071</v>
      </c>
      <c r="I208" s="17">
        <f ca="1">IFERROR(__xludf.DUMMYFUNCTION("""COMPUTED_VALUE"""),0.94351414909725)</f>
        <v>0.94351414909724995</v>
      </c>
      <c r="J208" s="17">
        <f ca="1">IFERROR(__xludf.DUMMYFUNCTION("""COMPUTED_VALUE"""),0.737883886359343)</f>
        <v>0.73788388635934299</v>
      </c>
      <c r="K208" s="17" t="str">
        <f ca="1">IFERROR(__xludf.DUMMYFUNCTION("""COMPUTED_VALUE"""),"nan")</f>
        <v>nan</v>
      </c>
      <c r="L208" s="17">
        <f ca="1">IFERROR(__xludf.DUMMYFUNCTION("""COMPUTED_VALUE"""),0.634368196906743)</f>
        <v>0.63436819690674295</v>
      </c>
      <c r="M208" s="17">
        <f ca="1">IFERROR(__xludf.DUMMYFUNCTION("""COMPUTED_VALUE"""),0.64449041102025)</f>
        <v>0.64449041102024995</v>
      </c>
      <c r="N208" s="17">
        <f ca="1">IFERROR(__xludf.DUMMYFUNCTION("""COMPUTED_VALUE"""),1.21742356458244)</f>
        <v>1.2174235645824401</v>
      </c>
      <c r="O208" s="17">
        <f ca="1">IFERROR(__xludf.DUMMYFUNCTION("""COMPUTED_VALUE"""),0.630664937777788)</f>
        <v>0.63066493777778798</v>
      </c>
      <c r="P208" s="17">
        <f ca="1">IFERROR(__xludf.DUMMYFUNCTION("""COMPUTED_VALUE"""),1.26086680139443)</f>
        <v>1.26086680139443</v>
      </c>
      <c r="Q208" s="17">
        <f ca="1">IFERROR(__xludf.DUMMYFUNCTION("""COMPUTED_VALUE"""),0.9039145235989)</f>
        <v>0.90391452359890001</v>
      </c>
      <c r="R208" s="17">
        <f ca="1">IFERROR(__xludf.DUMMYFUNCTION("""COMPUTED_VALUE"""),0.382236622169622)</f>
        <v>0.38223662216962201</v>
      </c>
      <c r="S208" s="17">
        <f ca="1">IFERROR(__xludf.DUMMYFUNCTION("""COMPUTED_VALUE"""),1.24301220481064)</f>
        <v>1.24301220481064</v>
      </c>
      <c r="T208" s="17">
        <f ca="1">IFERROR(__xludf.DUMMYFUNCTION("""COMPUTED_VALUE"""),0.984576713764454)</f>
        <v>0.98457671376445399</v>
      </c>
      <c r="U208" s="17">
        <f ca="1">IFERROR(__xludf.DUMMYFUNCTION("""COMPUTED_VALUE"""),0.891227333057299)</f>
        <v>0.89122733305729895</v>
      </c>
      <c r="V208" s="17">
        <f ca="1">IFERROR(__xludf.DUMMYFUNCTION("""COMPUTED_VALUE"""),0.921934775396979)</f>
        <v>0.92193477539697899</v>
      </c>
      <c r="W208" s="17">
        <f ca="1">IFERROR(__xludf.DUMMYFUNCTION("""COMPUTED_VALUE"""),1.18224294509037)</f>
        <v>1.18224294509037</v>
      </c>
      <c r="X208" s="17">
        <f ca="1">IFERROR(__xludf.DUMMYFUNCTION("""COMPUTED_VALUE"""),0.991353081307031)</f>
        <v>0.99135308130703104</v>
      </c>
      <c r="Y208" s="17">
        <f ca="1">IFERROR(__xludf.DUMMYFUNCTION("""COMPUTED_VALUE"""),1.37289581054353)</f>
        <v>1.37289581054353</v>
      </c>
      <c r="Z208" s="17">
        <f ca="1">IFERROR(__xludf.DUMMYFUNCTION("""COMPUTED_VALUE"""),0.787944968576675)</f>
        <v>0.78794496857667495</v>
      </c>
      <c r="AA208" s="17">
        <f ca="1">IFERROR(__xludf.DUMMYFUNCTION("""COMPUTED_VALUE"""),0.598106544277175)</f>
        <v>0.59810654427717502</v>
      </c>
      <c r="AB208" s="17">
        <f ca="1">IFERROR(__xludf.DUMMYFUNCTION("""COMPUTED_VALUE"""),1.39592243432702)</f>
        <v>1.39592243432702</v>
      </c>
      <c r="AC208" s="17">
        <f ca="1">IFERROR(__xludf.DUMMYFUNCTION("""COMPUTED_VALUE"""),1.3214785891678)</f>
        <v>1.3214785891678</v>
      </c>
      <c r="AD208" s="17">
        <f ca="1">IFERROR(__xludf.DUMMYFUNCTION("""COMPUTED_VALUE"""),1.2044449827816)</f>
        <v>1.2044449827815999</v>
      </c>
      <c r="AE208" s="17">
        <f ca="1">IFERROR(__xludf.DUMMYFUNCTION("""COMPUTED_VALUE"""),1.46114831892682)</f>
        <v>1.46114831892682</v>
      </c>
      <c r="AF208" s="17">
        <f ca="1">IFERROR(__xludf.DUMMYFUNCTION("""COMPUTED_VALUE"""),0.784990228803187)</f>
        <v>0.78499022880318703</v>
      </c>
      <c r="AG208" s="17">
        <f ca="1">IFERROR(__xludf.DUMMYFUNCTION("""COMPUTED_VALUE"""),1.48992467209087)</f>
        <v>1.4899246720908701</v>
      </c>
      <c r="AH208" s="17">
        <f ca="1">IFERROR(__xludf.DUMMYFUNCTION("""COMPUTED_VALUE"""),1.50210258565062)</f>
        <v>1.50210258565062</v>
      </c>
      <c r="AI208" s="17">
        <f ca="1">IFERROR(__xludf.DUMMYFUNCTION("""COMPUTED_VALUE"""),1.43063009766755)</f>
        <v>1.4306300976675499</v>
      </c>
      <c r="AJ208" s="17">
        <f ca="1">IFERROR(__xludf.DUMMYFUNCTION("""COMPUTED_VALUE"""),1.13453165350517)</f>
        <v>1.1345316535051699</v>
      </c>
    </row>
    <row r="209" spans="2:36" ht="15.75" customHeight="1" x14ac:dyDescent="0.45">
      <c r="B209" s="10" t="str">
        <f ca="1">IFERROR(__xludf.DUMMYFUNCTION("""COMPUTED_VALUE"""),"ECGFiveDays")</f>
        <v>ECGFiveDays</v>
      </c>
      <c r="C209" s="10" t="str">
        <f ca="1">IFERROR(__xludf.DUMMYFUNCTION("""COMPUTED_VALUE"""),"mcar")</f>
        <v>mcar</v>
      </c>
      <c r="D209" s="10">
        <f ca="1">IFERROR(__xludf.DUMMYFUNCTION("""COMPUTED_VALUE"""),0.4)</f>
        <v>0.4</v>
      </c>
      <c r="E209" s="17">
        <f ca="1">IFERROR(__xludf.DUMMYFUNCTION("""COMPUTED_VALUE"""),0.980359515266799)</f>
        <v>0.98035951526679899</v>
      </c>
      <c r="F209" s="17">
        <f ca="1">IFERROR(__xludf.DUMMYFUNCTION("""COMPUTED_VALUE"""),0.635990308193291)</f>
        <v>0.63599030819329105</v>
      </c>
      <c r="G209" s="17">
        <f ca="1">IFERROR(__xludf.DUMMYFUNCTION("""COMPUTED_VALUE"""),0.706623658904176)</f>
        <v>0.706623658904176</v>
      </c>
      <c r="H209" s="17">
        <f ca="1">IFERROR(__xludf.DUMMYFUNCTION("""COMPUTED_VALUE"""),1.13179102647765)</f>
        <v>1.1317910264776501</v>
      </c>
      <c r="I209" s="17">
        <f ca="1">IFERROR(__xludf.DUMMYFUNCTION("""COMPUTED_VALUE"""),0.712650660672502)</f>
        <v>0.71265066067250205</v>
      </c>
      <c r="J209" s="17">
        <f ca="1">IFERROR(__xludf.DUMMYFUNCTION("""COMPUTED_VALUE"""),1.25044661213725)</f>
        <v>1.2504466121372499</v>
      </c>
      <c r="K209" s="17" t="str">
        <f ca="1">IFERROR(__xludf.DUMMYFUNCTION("""COMPUTED_VALUE"""),"nan")</f>
        <v>nan</v>
      </c>
      <c r="L209" s="17">
        <f ca="1">IFERROR(__xludf.DUMMYFUNCTION("""COMPUTED_VALUE"""),0.518321963081836)</f>
        <v>0.51832196308183598</v>
      </c>
      <c r="M209" s="17">
        <f ca="1">IFERROR(__xludf.DUMMYFUNCTION("""COMPUTED_VALUE"""),0.588511509269928)</f>
        <v>0.58851150926992801</v>
      </c>
      <c r="N209" s="17">
        <f ca="1">IFERROR(__xludf.DUMMYFUNCTION("""COMPUTED_VALUE"""),0.914783250538862)</f>
        <v>0.914783250538862</v>
      </c>
      <c r="O209" s="17">
        <f ca="1">IFERROR(__xludf.DUMMYFUNCTION("""COMPUTED_VALUE"""),0.598465357437272)</f>
        <v>0.59846535743727203</v>
      </c>
      <c r="P209" s="17">
        <f ca="1">IFERROR(__xludf.DUMMYFUNCTION("""COMPUTED_VALUE"""),0.911642758492064)</f>
        <v>0.911642758492064</v>
      </c>
      <c r="Q209" s="17">
        <f ca="1">IFERROR(__xludf.DUMMYFUNCTION("""COMPUTED_VALUE"""),0.866816605718565)</f>
        <v>0.866816605718565</v>
      </c>
      <c r="R209" s="17">
        <f ca="1">IFERROR(__xludf.DUMMYFUNCTION("""COMPUTED_VALUE"""),0.285122918180396)</f>
        <v>0.28512291818039598</v>
      </c>
      <c r="S209" s="17">
        <f ca="1">IFERROR(__xludf.DUMMYFUNCTION("""COMPUTED_VALUE"""),0.907112674033731)</f>
        <v>0.90711267403373097</v>
      </c>
      <c r="T209" s="17">
        <f ca="1">IFERROR(__xludf.DUMMYFUNCTION("""COMPUTED_VALUE"""),0.69827912082089)</f>
        <v>0.69827912082089005</v>
      </c>
      <c r="U209" s="17">
        <f ca="1">IFERROR(__xludf.DUMMYFUNCTION("""COMPUTED_VALUE"""),0.783160947459905)</f>
        <v>0.78316094745990505</v>
      </c>
      <c r="V209" s="17">
        <f ca="1">IFERROR(__xludf.DUMMYFUNCTION("""COMPUTED_VALUE"""),0.789678536085665)</f>
        <v>0.78967853608566496</v>
      </c>
      <c r="W209" s="17">
        <f ca="1">IFERROR(__xludf.DUMMYFUNCTION("""COMPUTED_VALUE"""),0.844913489441955)</f>
        <v>0.84491348944195499</v>
      </c>
      <c r="X209" s="17">
        <f ca="1">IFERROR(__xludf.DUMMYFUNCTION("""COMPUTED_VALUE"""),0.689781974194229)</f>
        <v>0.68978197419422904</v>
      </c>
      <c r="Y209" s="17">
        <f ca="1">IFERROR(__xludf.DUMMYFUNCTION("""COMPUTED_VALUE"""),0.94765983127349)</f>
        <v>0.94765983127348996</v>
      </c>
      <c r="Z209" s="17">
        <f ca="1">IFERROR(__xludf.DUMMYFUNCTION("""COMPUTED_VALUE"""),0.93715670769293)</f>
        <v>0.93715670769293002</v>
      </c>
      <c r="AA209" s="17">
        <f ca="1">IFERROR(__xludf.DUMMYFUNCTION("""COMPUTED_VALUE"""),0.691606455385726)</f>
        <v>0.69160645538572596</v>
      </c>
      <c r="AB209" s="17">
        <f ca="1">IFERROR(__xludf.DUMMYFUNCTION("""COMPUTED_VALUE"""),1.00006673443352)</f>
        <v>1.0000667344335199</v>
      </c>
      <c r="AC209" s="17">
        <f ca="1">IFERROR(__xludf.DUMMYFUNCTION("""COMPUTED_VALUE"""),0.948641722342963)</f>
        <v>0.94864172234296296</v>
      </c>
      <c r="AD209" s="17">
        <f ca="1">IFERROR(__xludf.DUMMYFUNCTION("""COMPUTED_VALUE"""),0.885734232664045)</f>
        <v>0.88573423266404505</v>
      </c>
      <c r="AE209" s="17">
        <f ca="1">IFERROR(__xludf.DUMMYFUNCTION("""COMPUTED_VALUE"""),1.02689728764718)</f>
        <v>1.02689728764718</v>
      </c>
      <c r="AF209" s="17">
        <f ca="1">IFERROR(__xludf.DUMMYFUNCTION("""COMPUTED_VALUE"""),0.614780090712847)</f>
        <v>0.614780090712847</v>
      </c>
      <c r="AG209" s="17">
        <f ca="1">IFERROR(__xludf.DUMMYFUNCTION("""COMPUTED_VALUE"""),1.10659112927552)</f>
        <v>1.1065911292755199</v>
      </c>
      <c r="AH209" s="17">
        <f ca="1">IFERROR(__xludf.DUMMYFUNCTION("""COMPUTED_VALUE"""),1.11961466689748)</f>
        <v>1.11961466689748</v>
      </c>
      <c r="AI209" s="17">
        <f ca="1">IFERROR(__xludf.DUMMYFUNCTION("""COMPUTED_VALUE"""),1.07996801141139)</f>
        <v>1.0799680114113901</v>
      </c>
      <c r="AJ209" s="17">
        <f ca="1">IFERROR(__xludf.DUMMYFUNCTION("""COMPUTED_VALUE"""),1.10957976973578)</f>
        <v>1.1095797697357801</v>
      </c>
    </row>
    <row r="210" spans="2:36" ht="15.75" customHeight="1" x14ac:dyDescent="0.45">
      <c r="B210" s="10" t="str">
        <f ca="1">IFERROR(__xludf.DUMMYFUNCTION("""COMPUTED_VALUE"""),"ECGFiveDays")</f>
        <v>ECGFiveDays</v>
      </c>
      <c r="C210" s="10" t="str">
        <f ca="1">IFERROR(__xludf.DUMMYFUNCTION("""COMPUTED_VALUE"""),"mcar")</f>
        <v>mcar</v>
      </c>
      <c r="D210" s="10">
        <f ca="1">IFERROR(__xludf.DUMMYFUNCTION("""COMPUTED_VALUE"""),0.6)</f>
        <v>0.6</v>
      </c>
      <c r="E210" s="17">
        <f ca="1">IFERROR(__xludf.DUMMYFUNCTION("""COMPUTED_VALUE"""),1.00087895553199)</f>
        <v>1.0008789555319899</v>
      </c>
      <c r="F210" s="17">
        <f ca="1">IFERROR(__xludf.DUMMYFUNCTION("""COMPUTED_VALUE"""),0.799686808099876)</f>
        <v>0.79968680809987602</v>
      </c>
      <c r="G210" s="17">
        <f ca="1">IFERROR(__xludf.DUMMYFUNCTION("""COMPUTED_VALUE"""),0.922586363552511)</f>
        <v>0.922586363552511</v>
      </c>
      <c r="H210" s="17">
        <f ca="1">IFERROR(__xludf.DUMMYFUNCTION("""COMPUTED_VALUE"""),1.18123016277252)</f>
        <v>1.1812301627725199</v>
      </c>
      <c r="I210" s="17">
        <f ca="1">IFERROR(__xludf.DUMMYFUNCTION("""COMPUTED_VALUE"""),0.843991207558295)</f>
        <v>0.84399120755829504</v>
      </c>
      <c r="J210" s="17">
        <f ca="1">IFERROR(__xludf.DUMMYFUNCTION("""COMPUTED_VALUE"""),1.10049856359539)</f>
        <v>1.1004985635953899</v>
      </c>
      <c r="K210" s="17" t="str">
        <f ca="1">IFERROR(__xludf.DUMMYFUNCTION("""COMPUTED_VALUE"""),"nan")</f>
        <v>nan</v>
      </c>
      <c r="L210" s="17">
        <f ca="1">IFERROR(__xludf.DUMMYFUNCTION("""COMPUTED_VALUE"""),0.806827131361015)</f>
        <v>0.80682713136101503</v>
      </c>
      <c r="M210" s="17">
        <f ca="1">IFERROR(__xludf.DUMMYFUNCTION("""COMPUTED_VALUE"""),0.868977633684189)</f>
        <v>0.86897763368418901</v>
      </c>
      <c r="N210" s="17">
        <f ca="1">IFERROR(__xludf.DUMMYFUNCTION("""COMPUTED_VALUE"""),0.888239989595443)</f>
        <v>0.88823998959544304</v>
      </c>
      <c r="O210" s="17">
        <f ca="1">IFERROR(__xludf.DUMMYFUNCTION("""COMPUTED_VALUE"""),0.820424805565869)</f>
        <v>0.82042480556586905</v>
      </c>
      <c r="P210" s="17">
        <f ca="1">IFERROR(__xludf.DUMMYFUNCTION("""COMPUTED_VALUE"""),0.936614526606017)</f>
        <v>0.93661452660601696</v>
      </c>
      <c r="Q210" s="17">
        <f ca="1">IFERROR(__xludf.DUMMYFUNCTION("""COMPUTED_VALUE"""),1.05925763134503)</f>
        <v>1.0592576313450299</v>
      </c>
      <c r="R210" s="17">
        <f ca="1">IFERROR(__xludf.DUMMYFUNCTION("""COMPUTED_VALUE"""),0.491397713374678)</f>
        <v>0.49139771337467802</v>
      </c>
      <c r="S210" s="17">
        <f ca="1">IFERROR(__xludf.DUMMYFUNCTION("""COMPUTED_VALUE"""),0.996212786138606)</f>
        <v>0.99621278613860598</v>
      </c>
      <c r="T210" s="17">
        <f ca="1">IFERROR(__xludf.DUMMYFUNCTION("""COMPUTED_VALUE"""),0.832267402467389)</f>
        <v>0.83226740246738895</v>
      </c>
      <c r="U210" s="17">
        <f ca="1">IFERROR(__xludf.DUMMYFUNCTION("""COMPUTED_VALUE"""),0.914957562144981)</f>
        <v>0.91495756214498103</v>
      </c>
      <c r="V210" s="17">
        <f ca="1">IFERROR(__xludf.DUMMYFUNCTION("""COMPUTED_VALUE"""),0.85321214851106)</f>
        <v>0.85321214851105998</v>
      </c>
      <c r="W210" s="17">
        <f ca="1">IFERROR(__xludf.DUMMYFUNCTION("""COMPUTED_VALUE"""),0.89267530911111)</f>
        <v>0.89267530911111004</v>
      </c>
      <c r="X210" s="17">
        <f ca="1">IFERROR(__xludf.DUMMYFUNCTION("""COMPUTED_VALUE"""),0.77304344741951)</f>
        <v>0.77304344741951003</v>
      </c>
      <c r="Y210" s="17">
        <f ca="1">IFERROR(__xludf.DUMMYFUNCTION("""COMPUTED_VALUE"""),0.97455715510932)</f>
        <v>0.97455715510931995</v>
      </c>
      <c r="Z210" s="17">
        <f ca="1">IFERROR(__xludf.DUMMYFUNCTION("""COMPUTED_VALUE"""),0.845089911148506)</f>
        <v>0.84508991114850596</v>
      </c>
      <c r="AA210" s="17">
        <f ca="1">IFERROR(__xludf.DUMMYFUNCTION("""COMPUTED_VALUE"""),0.444844351911636)</f>
        <v>0.44484435191163602</v>
      </c>
      <c r="AB210" s="17">
        <f ca="1">IFERROR(__xludf.DUMMYFUNCTION("""COMPUTED_VALUE"""),1.14464201240212)</f>
        <v>1.1446420124021199</v>
      </c>
      <c r="AC210" s="17">
        <f ca="1">IFERROR(__xludf.DUMMYFUNCTION("""COMPUTED_VALUE"""),0.996523942304043)</f>
        <v>0.99652394230404295</v>
      </c>
      <c r="AD210" s="17">
        <f ca="1">IFERROR(__xludf.DUMMYFUNCTION("""COMPUTED_VALUE"""),0.943752469537384)</f>
        <v>0.94375246953738401</v>
      </c>
      <c r="AE210" s="17">
        <f ca="1">IFERROR(__xludf.DUMMYFUNCTION("""COMPUTED_VALUE"""),1.08111259449689)</f>
        <v>1.08111259449689</v>
      </c>
      <c r="AF210" s="17">
        <f ca="1">IFERROR(__xludf.DUMMYFUNCTION("""COMPUTED_VALUE"""),0.777242824338877)</f>
        <v>0.77724282433887704</v>
      </c>
      <c r="AG210" s="17">
        <f ca="1">IFERROR(__xludf.DUMMYFUNCTION("""COMPUTED_VALUE"""),1.3241850138952)</f>
        <v>1.3241850138952</v>
      </c>
      <c r="AH210" s="17">
        <f ca="1">IFERROR(__xludf.DUMMYFUNCTION("""COMPUTED_VALUE"""),1.19254248643189)</f>
        <v>1.1925424864318901</v>
      </c>
      <c r="AI210" s="17">
        <f ca="1">IFERROR(__xludf.DUMMYFUNCTION("""COMPUTED_VALUE"""),1.11989378716971)</f>
        <v>1.1198937871697101</v>
      </c>
      <c r="AJ210" s="17">
        <f ca="1">IFERROR(__xludf.DUMMYFUNCTION("""COMPUTED_VALUE"""),1.41674713815987)</f>
        <v>1.41674713815987</v>
      </c>
    </row>
    <row r="211" spans="2:36" ht="15.75" customHeight="1" x14ac:dyDescent="0.45">
      <c r="B211" s="10" t="str">
        <f ca="1">IFERROR(__xludf.DUMMYFUNCTION("""COMPUTED_VALUE"""),"ECGFiveDays")</f>
        <v>ECGFiveDays</v>
      </c>
      <c r="C211" s="10" t="str">
        <f ca="1">IFERROR(__xludf.DUMMYFUNCTION("""COMPUTED_VALUE"""),"mcar")</f>
        <v>mcar</v>
      </c>
      <c r="D211" s="10">
        <f ca="1">IFERROR(__xludf.DUMMYFUNCTION("""COMPUTED_VALUE"""),0.8)</f>
        <v>0.8</v>
      </c>
      <c r="E211" s="17">
        <f ca="1">IFERROR(__xludf.DUMMYFUNCTION("""COMPUTED_VALUE"""),0.903951966497649)</f>
        <v>0.90395196649764897</v>
      </c>
      <c r="F211" s="17">
        <f ca="1">IFERROR(__xludf.DUMMYFUNCTION("""COMPUTED_VALUE"""),0.834583628167692)</f>
        <v>0.83458362816769205</v>
      </c>
      <c r="G211" s="17">
        <f ca="1">IFERROR(__xludf.DUMMYFUNCTION("""COMPUTED_VALUE"""),1.03697639567466)</f>
        <v>1.03697639567466</v>
      </c>
      <c r="H211" s="17">
        <f ca="1">IFERROR(__xludf.DUMMYFUNCTION("""COMPUTED_VALUE"""),1.08009966790681)</f>
        <v>1.08009966790681</v>
      </c>
      <c r="I211" s="17">
        <f ca="1">IFERROR(__xludf.DUMMYFUNCTION("""COMPUTED_VALUE"""),0.773579722262017)</f>
        <v>0.77357972226201699</v>
      </c>
      <c r="J211" s="17">
        <f ca="1">IFERROR(__xludf.DUMMYFUNCTION("""COMPUTED_VALUE"""),1.00897209632157)</f>
        <v>1.00897209632157</v>
      </c>
      <c r="K211" s="17" t="str">
        <f ca="1">IFERROR(__xludf.DUMMYFUNCTION("""COMPUTED_VALUE"""),"nan")</f>
        <v>nan</v>
      </c>
      <c r="L211" s="17">
        <f ca="1">IFERROR(__xludf.DUMMYFUNCTION("""COMPUTED_VALUE"""),0.787497819723484)</f>
        <v>0.78749781972348398</v>
      </c>
      <c r="M211" s="17">
        <f ca="1">IFERROR(__xludf.DUMMYFUNCTION("""COMPUTED_VALUE"""),0.829524124751937)</f>
        <v>0.82952412475193704</v>
      </c>
      <c r="N211" s="17">
        <f ca="1">IFERROR(__xludf.DUMMYFUNCTION("""COMPUTED_VALUE"""),0.961402046744481)</f>
        <v>0.96140204674448104</v>
      </c>
      <c r="O211" s="17">
        <f ca="1">IFERROR(__xludf.DUMMYFUNCTION("""COMPUTED_VALUE"""),0.797793286106374)</f>
        <v>0.79779328610637401</v>
      </c>
      <c r="P211" s="17">
        <f ca="1">IFERROR(__xludf.DUMMYFUNCTION("""COMPUTED_VALUE"""),0.86669955250869)</f>
        <v>0.86669955250869002</v>
      </c>
      <c r="Q211" s="17">
        <f ca="1">IFERROR(__xludf.DUMMYFUNCTION("""COMPUTED_VALUE"""),0.964545062927219)</f>
        <v>0.96454506292721898</v>
      </c>
      <c r="R211" s="17">
        <f ca="1">IFERROR(__xludf.DUMMYFUNCTION("""COMPUTED_VALUE"""),0.498575847597472)</f>
        <v>0.49857584759747198</v>
      </c>
      <c r="S211" s="17">
        <f ca="1">IFERROR(__xludf.DUMMYFUNCTION("""COMPUTED_VALUE"""),0.900700198755098)</f>
        <v>0.90070019875509799</v>
      </c>
      <c r="T211" s="17">
        <f ca="1">IFERROR(__xludf.DUMMYFUNCTION("""COMPUTED_VALUE"""),0.799662566289234)</f>
        <v>0.79966256628923404</v>
      </c>
      <c r="U211" s="17">
        <f ca="1">IFERROR(__xludf.DUMMYFUNCTION("""COMPUTED_VALUE"""),1.03472278100078)</f>
        <v>1.03472278100078</v>
      </c>
      <c r="V211" s="17">
        <f ca="1">IFERROR(__xludf.DUMMYFUNCTION("""COMPUTED_VALUE"""),0.843023924274381)</f>
        <v>0.843023924274381</v>
      </c>
      <c r="W211" s="17">
        <f ca="1">IFERROR(__xludf.DUMMYFUNCTION("""COMPUTED_VALUE"""),0.848197226762421)</f>
        <v>0.84819722676242104</v>
      </c>
      <c r="X211" s="17">
        <f ca="1">IFERROR(__xludf.DUMMYFUNCTION("""COMPUTED_VALUE"""),0.696718023048489)</f>
        <v>0.69671802304848895</v>
      </c>
      <c r="Y211" s="17">
        <f ca="1">IFERROR(__xludf.DUMMYFUNCTION("""COMPUTED_VALUE"""),0.837228134698605)</f>
        <v>0.83722813469860502</v>
      </c>
      <c r="Z211" s="17">
        <f ca="1">IFERROR(__xludf.DUMMYFUNCTION("""COMPUTED_VALUE"""),0.743245438330973)</f>
        <v>0.74324543833097301</v>
      </c>
      <c r="AA211" s="17">
        <f ca="1">IFERROR(__xludf.DUMMYFUNCTION("""COMPUTED_VALUE"""),0.497222140578442)</f>
        <v>0.497222140578442</v>
      </c>
      <c r="AB211" s="17">
        <f ca="1">IFERROR(__xludf.DUMMYFUNCTION("""COMPUTED_VALUE"""),0.990166329695781)</f>
        <v>0.990166329695781</v>
      </c>
      <c r="AC211" s="17">
        <f ca="1">IFERROR(__xludf.DUMMYFUNCTION("""COMPUTED_VALUE"""),0.950376566838443)</f>
        <v>0.95037656683844296</v>
      </c>
      <c r="AD211" s="17">
        <f ca="1">IFERROR(__xludf.DUMMYFUNCTION("""COMPUTED_VALUE"""),0.802512979870126)</f>
        <v>0.80251297987012604</v>
      </c>
      <c r="AE211" s="17">
        <f ca="1">IFERROR(__xludf.DUMMYFUNCTION("""COMPUTED_VALUE"""),1.02696939066133)</f>
        <v>1.02696939066133</v>
      </c>
      <c r="AF211" s="17">
        <f ca="1">IFERROR(__xludf.DUMMYFUNCTION("""COMPUTED_VALUE"""),0.836391320356565)</f>
        <v>0.83639132035656505</v>
      </c>
      <c r="AG211" s="17">
        <f ca="1">IFERROR(__xludf.DUMMYFUNCTION("""COMPUTED_VALUE"""),1.04733731808703)</f>
        <v>1.04733731808703</v>
      </c>
      <c r="AH211" s="17">
        <f ca="1">IFERROR(__xludf.DUMMYFUNCTION("""COMPUTED_VALUE"""),1.00685944342492)</f>
        <v>1.0068594434249201</v>
      </c>
      <c r="AI211" s="17">
        <f ca="1">IFERROR(__xludf.DUMMYFUNCTION("""COMPUTED_VALUE"""),0.932720531954754)</f>
        <v>0.93272053195475402</v>
      </c>
      <c r="AJ211" s="17">
        <f ca="1">IFERROR(__xludf.DUMMYFUNCTION("""COMPUTED_VALUE"""),0.90977906477882)</f>
        <v>0.90977906477881998</v>
      </c>
    </row>
    <row r="212" spans="2:36" ht="15.75" customHeight="1" x14ac:dyDescent="0.45">
      <c r="B212" s="10" t="str">
        <f ca="1">IFERROR(__xludf.DUMMYFUNCTION("""COMPUTED_VALUE"""),"EOGHorizontalSignal")</f>
        <v>EOGHorizontalSignal</v>
      </c>
      <c r="C212" s="10" t="str">
        <f ca="1">IFERROR(__xludf.DUMMYFUNCTION("""COMPUTED_VALUE"""),"aligned_series")</f>
        <v>aligned_series</v>
      </c>
      <c r="D212" s="10">
        <f ca="1">IFERROR(__xludf.DUMMYFUNCTION("""COMPUTED_VALUE"""),0.1)</f>
        <v>0.1</v>
      </c>
      <c r="E212" s="17">
        <f ca="1">IFERROR(__xludf.DUMMYFUNCTION("""COMPUTED_VALUE"""),0.855655787093804)</f>
        <v>0.85565578709380397</v>
      </c>
      <c r="F212" s="17">
        <f ca="1">IFERROR(__xludf.DUMMYFUNCTION("""COMPUTED_VALUE"""),0.339392332108357)</f>
        <v>0.33939233210835701</v>
      </c>
      <c r="G212" s="17">
        <f ca="1">IFERROR(__xludf.DUMMYFUNCTION("""COMPUTED_VALUE"""),0.342614229527893)</f>
        <v>0.342614229527893</v>
      </c>
      <c r="H212" s="17">
        <f ca="1">IFERROR(__xludf.DUMMYFUNCTION("""COMPUTED_VALUE"""),0.361289702642121)</f>
        <v>0.36128970264212101</v>
      </c>
      <c r="I212" s="17">
        <f ca="1">IFERROR(__xludf.DUMMYFUNCTION("""COMPUTED_VALUE"""),0.386116790429248)</f>
        <v>0.38611679042924801</v>
      </c>
      <c r="J212" s="17">
        <f ca="1">IFERROR(__xludf.DUMMYFUNCTION("""COMPUTED_VALUE"""),0.180118975229888)</f>
        <v>0.18011897522988801</v>
      </c>
      <c r="K212" s="17" t="str">
        <f ca="1">IFERROR(__xludf.DUMMYFUNCTION("""COMPUTED_VALUE"""),"nan")</f>
        <v>nan</v>
      </c>
      <c r="L212" s="17">
        <f ca="1">IFERROR(__xludf.DUMMYFUNCTION("""COMPUTED_VALUE"""),0.297767113523096)</f>
        <v>0.29776711352309598</v>
      </c>
      <c r="M212" s="17">
        <f ca="1">IFERROR(__xludf.DUMMYFUNCTION("""COMPUTED_VALUE"""),0.243329995743539)</f>
        <v>0.243329995743539</v>
      </c>
      <c r="N212" s="17">
        <f ca="1">IFERROR(__xludf.DUMMYFUNCTION("""COMPUTED_VALUE"""),0.350884287087539)</f>
        <v>0.35088428708753899</v>
      </c>
      <c r="O212" s="17">
        <f ca="1">IFERROR(__xludf.DUMMYFUNCTION("""COMPUTED_VALUE"""),0.289067374587905)</f>
        <v>0.28906737458790499</v>
      </c>
      <c r="P212" s="17">
        <f ca="1">IFERROR(__xludf.DUMMYFUNCTION("""COMPUTED_VALUE"""),0.936924172738159)</f>
        <v>0.93692417273815898</v>
      </c>
      <c r="Q212" s="17">
        <f ca="1">IFERROR(__xludf.DUMMYFUNCTION("""COMPUTED_VALUE"""),0.28024880604476)</f>
        <v>0.28024880604475999</v>
      </c>
      <c r="R212" s="17">
        <f ca="1">IFERROR(__xludf.DUMMYFUNCTION("""COMPUTED_VALUE"""),0.587789623221797)</f>
        <v>0.58778962322179695</v>
      </c>
      <c r="S212" s="17">
        <f ca="1">IFERROR(__xludf.DUMMYFUNCTION("""COMPUTED_VALUE"""),0.0643658589805681)</f>
        <v>6.4365858980568097E-2</v>
      </c>
      <c r="T212" s="17">
        <f ca="1">IFERROR(__xludf.DUMMYFUNCTION("""COMPUTED_VALUE"""),0.210381857817633)</f>
        <v>0.21038185781763299</v>
      </c>
      <c r="U212" s="17">
        <f ca="1">IFERROR(__xludf.DUMMYFUNCTION("""COMPUTED_VALUE"""),0.207914020308462)</f>
        <v>0.20791402030846201</v>
      </c>
      <c r="V212" s="17">
        <f ca="1">IFERROR(__xludf.DUMMYFUNCTION("""COMPUTED_VALUE"""),0.116412562273695)</f>
        <v>0.11641256227369499</v>
      </c>
      <c r="W212" s="17">
        <f ca="1">IFERROR(__xludf.DUMMYFUNCTION("""COMPUTED_VALUE"""),0.67026439195145)</f>
        <v>0.67026439195145004</v>
      </c>
      <c r="X212" s="17">
        <f ca="1">IFERROR(__xludf.DUMMYFUNCTION("""COMPUTED_VALUE"""),0.298905939378846)</f>
        <v>0.29890593937884602</v>
      </c>
      <c r="Y212" s="17">
        <f ca="1">IFERROR(__xludf.DUMMYFUNCTION("""COMPUTED_VALUE"""),0.154667288240369)</f>
        <v>0.15466728824036899</v>
      </c>
      <c r="Z212" s="17">
        <f ca="1">IFERROR(__xludf.DUMMYFUNCTION("""COMPUTED_VALUE"""),0.106219819716937)</f>
        <v>0.106219819716937</v>
      </c>
      <c r="AA212" s="17">
        <f ca="1">IFERROR(__xludf.DUMMYFUNCTION("""COMPUTED_VALUE"""),0.120833224606146)</f>
        <v>0.120833224606146</v>
      </c>
      <c r="AB212" s="17">
        <f ca="1">IFERROR(__xludf.DUMMYFUNCTION("""COMPUTED_VALUE"""),0.24153427118668)</f>
        <v>0.24153427118668</v>
      </c>
      <c r="AC212" s="17">
        <f ca="1">IFERROR(__xludf.DUMMYFUNCTION("""COMPUTED_VALUE"""),0.634330204045696)</f>
        <v>0.63433020404569596</v>
      </c>
      <c r="AD212" s="17">
        <f ca="1">IFERROR(__xludf.DUMMYFUNCTION("""COMPUTED_VALUE"""),0.515661749830623)</f>
        <v>0.51566174983062296</v>
      </c>
      <c r="AE212" s="17">
        <f ca="1">IFERROR(__xludf.DUMMYFUNCTION("""COMPUTED_VALUE"""),1.13817108650321)</f>
        <v>1.13817108650321</v>
      </c>
      <c r="AF212" s="17">
        <f ca="1">IFERROR(__xludf.DUMMYFUNCTION("""COMPUTED_VALUE"""),0.375798078078566)</f>
        <v>0.37579807807856602</v>
      </c>
      <c r="AG212" s="17">
        <f ca="1">IFERROR(__xludf.DUMMYFUNCTION("""COMPUTED_VALUE"""),0.304749601796523)</f>
        <v>0.304749601796523</v>
      </c>
      <c r="AH212" s="17">
        <f ca="1">IFERROR(__xludf.DUMMYFUNCTION("""COMPUTED_VALUE"""),0.312161570209701)</f>
        <v>0.31216157020970098</v>
      </c>
      <c r="AI212" s="17" t="str">
        <f ca="1">IFERROR(__xludf.DUMMYFUNCTION("""COMPUTED_VALUE"""),"nan")</f>
        <v>nan</v>
      </c>
      <c r="AJ212" s="17">
        <f ca="1">IFERROR(__xludf.DUMMYFUNCTION("""COMPUTED_VALUE"""),0.312405118274009)</f>
        <v>0.31240511827400902</v>
      </c>
    </row>
    <row r="213" spans="2:36" ht="15.75" customHeight="1" x14ac:dyDescent="0.45">
      <c r="B213" s="10" t="str">
        <f ca="1">IFERROR(__xludf.DUMMYFUNCTION("""COMPUTED_VALUE"""),"EOGHorizontalSignal")</f>
        <v>EOGHorizontalSignal</v>
      </c>
      <c r="C213" s="10" t="str">
        <f ca="1">IFERROR(__xludf.DUMMYFUNCTION("""COMPUTED_VALUE"""),"aligned_series")</f>
        <v>aligned_series</v>
      </c>
      <c r="D213" s="10">
        <f ca="1">IFERROR(__xludf.DUMMYFUNCTION("""COMPUTED_VALUE"""),0.2)</f>
        <v>0.2</v>
      </c>
      <c r="E213" s="17">
        <f ca="1">IFERROR(__xludf.DUMMYFUNCTION("""COMPUTED_VALUE"""),0.856992755845265)</f>
        <v>0.85699275584526502</v>
      </c>
      <c r="F213" s="17">
        <f ca="1">IFERROR(__xludf.DUMMYFUNCTION("""COMPUTED_VALUE"""),0.38850737801851)</f>
        <v>0.38850737801850999</v>
      </c>
      <c r="G213" s="17">
        <f ca="1">IFERROR(__xludf.DUMMYFUNCTION("""COMPUTED_VALUE"""),0.394474871410238)</f>
        <v>0.39447487141023801</v>
      </c>
      <c r="H213" s="17">
        <f ca="1">IFERROR(__xludf.DUMMYFUNCTION("""COMPUTED_VALUE"""),0.388380059069203)</f>
        <v>0.38838005906920298</v>
      </c>
      <c r="I213" s="17">
        <f ca="1">IFERROR(__xludf.DUMMYFUNCTION("""COMPUTED_VALUE"""),0.422597784858536)</f>
        <v>0.422597784858536</v>
      </c>
      <c r="J213" s="17">
        <f ca="1">IFERROR(__xludf.DUMMYFUNCTION("""COMPUTED_VALUE"""),0.145261871464917)</f>
        <v>0.14526187146491701</v>
      </c>
      <c r="K213" s="17" t="str">
        <f ca="1">IFERROR(__xludf.DUMMYFUNCTION("""COMPUTED_VALUE"""),"nan")</f>
        <v>nan</v>
      </c>
      <c r="L213" s="17">
        <f ca="1">IFERROR(__xludf.DUMMYFUNCTION("""COMPUTED_VALUE"""),0.362803980398147)</f>
        <v>0.36280398039814699</v>
      </c>
      <c r="M213" s="17">
        <f ca="1">IFERROR(__xludf.DUMMYFUNCTION("""COMPUTED_VALUE"""),0.268312437047013)</f>
        <v>0.26831243704701302</v>
      </c>
      <c r="N213" s="17">
        <f ca="1">IFERROR(__xludf.DUMMYFUNCTION("""COMPUTED_VALUE"""),0.336293826718273)</f>
        <v>0.33629382671827301</v>
      </c>
      <c r="O213" s="17">
        <f ca="1">IFERROR(__xludf.DUMMYFUNCTION("""COMPUTED_VALUE"""),0.29552861658849)</f>
        <v>0.29552861658849</v>
      </c>
      <c r="P213" s="17">
        <f ca="1">IFERROR(__xludf.DUMMYFUNCTION("""COMPUTED_VALUE"""),0.879744335273642)</f>
        <v>0.87974433527364204</v>
      </c>
      <c r="Q213" s="17">
        <f ca="1">IFERROR(__xludf.DUMMYFUNCTION("""COMPUTED_VALUE"""),0.55239744365226)</f>
        <v>0.55239744365225996</v>
      </c>
      <c r="R213" s="17">
        <f ca="1">IFERROR(__xludf.DUMMYFUNCTION("""COMPUTED_VALUE"""),0.683215569631254)</f>
        <v>0.68321556963125396</v>
      </c>
      <c r="S213" s="17">
        <f ca="1">IFERROR(__xludf.DUMMYFUNCTION("""COMPUTED_VALUE"""),0.260998103331409)</f>
        <v>0.26099810333140899</v>
      </c>
      <c r="T213" s="17">
        <f ca="1">IFERROR(__xludf.DUMMYFUNCTION("""COMPUTED_VALUE"""),0.260526721623645)</f>
        <v>0.26052672162364499</v>
      </c>
      <c r="U213" s="17">
        <f ca="1">IFERROR(__xludf.DUMMYFUNCTION("""COMPUTED_VALUE"""),0.249739540326401)</f>
        <v>0.249739540326401</v>
      </c>
      <c r="V213" s="17">
        <f ca="1">IFERROR(__xludf.DUMMYFUNCTION("""COMPUTED_VALUE"""),0.137310967897966)</f>
        <v>0.13731096789796601</v>
      </c>
      <c r="W213" s="17">
        <f ca="1">IFERROR(__xludf.DUMMYFUNCTION("""COMPUTED_VALUE"""),0.584320353511102)</f>
        <v>0.58432035351110201</v>
      </c>
      <c r="X213" s="17">
        <f ca="1">IFERROR(__xludf.DUMMYFUNCTION("""COMPUTED_VALUE"""),0.280401220452649)</f>
        <v>0.28040122045264898</v>
      </c>
      <c r="Y213" s="17">
        <f ca="1">IFERROR(__xludf.DUMMYFUNCTION("""COMPUTED_VALUE"""),0.149762692942083)</f>
        <v>0.149762692942083</v>
      </c>
      <c r="Z213" s="17">
        <f ca="1">IFERROR(__xludf.DUMMYFUNCTION("""COMPUTED_VALUE"""),0.112445618551478)</f>
        <v>0.112445618551478</v>
      </c>
      <c r="AA213" s="17">
        <f ca="1">IFERROR(__xludf.DUMMYFUNCTION("""COMPUTED_VALUE"""),0.183784209113284)</f>
        <v>0.183784209113284</v>
      </c>
      <c r="AB213" s="17">
        <f ca="1">IFERROR(__xludf.DUMMYFUNCTION("""COMPUTED_VALUE"""),0.320640967142803)</f>
        <v>0.32064096714280299</v>
      </c>
      <c r="AC213" s="17">
        <f ca="1">IFERROR(__xludf.DUMMYFUNCTION("""COMPUTED_VALUE"""),0.575779004424333)</f>
        <v>0.57577900442433305</v>
      </c>
      <c r="AD213" s="17">
        <f ca="1">IFERROR(__xludf.DUMMYFUNCTION("""COMPUTED_VALUE"""),0.523141085097553)</f>
        <v>0.52314108509755297</v>
      </c>
      <c r="AE213" s="17">
        <f ca="1">IFERROR(__xludf.DUMMYFUNCTION("""COMPUTED_VALUE"""),1.09828868980482)</f>
        <v>1.0982886898048201</v>
      </c>
      <c r="AF213" s="17">
        <f ca="1">IFERROR(__xludf.DUMMYFUNCTION("""COMPUTED_VALUE"""),0.155698519707767)</f>
        <v>0.15569851970776699</v>
      </c>
      <c r="AG213" s="17">
        <f ca="1">IFERROR(__xludf.DUMMYFUNCTION("""COMPUTED_VALUE"""),0.324800414825695)</f>
        <v>0.32480041482569499</v>
      </c>
      <c r="AH213" s="17">
        <f ca="1">IFERROR(__xludf.DUMMYFUNCTION("""COMPUTED_VALUE"""),0.301260755207164)</f>
        <v>0.301260755207164</v>
      </c>
      <c r="AI213" s="17" t="str">
        <f ca="1">IFERROR(__xludf.DUMMYFUNCTION("""COMPUTED_VALUE"""),"nan")</f>
        <v>nan</v>
      </c>
      <c r="AJ213" s="17">
        <f ca="1">IFERROR(__xludf.DUMMYFUNCTION("""COMPUTED_VALUE"""),0.294408430984684)</f>
        <v>0.294408430984684</v>
      </c>
    </row>
    <row r="214" spans="2:36" ht="15.75" customHeight="1" x14ac:dyDescent="0.45">
      <c r="B214" s="10" t="str">
        <f ca="1">IFERROR(__xludf.DUMMYFUNCTION("""COMPUTED_VALUE"""),"EOGHorizontalSignal")</f>
        <v>EOGHorizontalSignal</v>
      </c>
      <c r="C214" s="10" t="str">
        <f ca="1">IFERROR(__xludf.DUMMYFUNCTION("""COMPUTED_VALUE"""),"aligned_series")</f>
        <v>aligned_series</v>
      </c>
      <c r="D214" s="10">
        <f ca="1">IFERROR(__xludf.DUMMYFUNCTION("""COMPUTED_VALUE"""),0.4)</f>
        <v>0.4</v>
      </c>
      <c r="E214" s="17">
        <f ca="1">IFERROR(__xludf.DUMMYFUNCTION("""COMPUTED_VALUE"""),0.881625411740079)</f>
        <v>0.88162541174007902</v>
      </c>
      <c r="F214" s="17">
        <f ca="1">IFERROR(__xludf.DUMMYFUNCTION("""COMPUTED_VALUE"""),0.471696027635223)</f>
        <v>0.471696027635223</v>
      </c>
      <c r="G214" s="17">
        <f ca="1">IFERROR(__xludf.DUMMYFUNCTION("""COMPUTED_VALUE"""),0.541404367403548)</f>
        <v>0.54140436740354803</v>
      </c>
      <c r="H214" s="17">
        <f ca="1">IFERROR(__xludf.DUMMYFUNCTION("""COMPUTED_VALUE"""),0.422354654779449)</f>
        <v>0.422354654779449</v>
      </c>
      <c r="I214" s="17">
        <f ca="1">IFERROR(__xludf.DUMMYFUNCTION("""COMPUTED_VALUE"""),0.504023477746176)</f>
        <v>0.50402347774617595</v>
      </c>
      <c r="J214" s="17">
        <f ca="1">IFERROR(__xludf.DUMMYFUNCTION("""COMPUTED_VALUE"""),0.148587173685733)</f>
        <v>0.14858717368573299</v>
      </c>
      <c r="K214" s="17" t="str">
        <f ca="1">IFERROR(__xludf.DUMMYFUNCTION("""COMPUTED_VALUE"""),"nan")</f>
        <v>nan</v>
      </c>
      <c r="L214" s="17">
        <f ca="1">IFERROR(__xludf.DUMMYFUNCTION("""COMPUTED_VALUE"""),0.422362908306011)</f>
        <v>0.42236290830601098</v>
      </c>
      <c r="M214" s="17">
        <f ca="1">IFERROR(__xludf.DUMMYFUNCTION("""COMPUTED_VALUE"""),0.324228817176141)</f>
        <v>0.32422881717614099</v>
      </c>
      <c r="N214" s="17">
        <f ca="1">IFERROR(__xludf.DUMMYFUNCTION("""COMPUTED_VALUE"""),0.429047069047382)</f>
        <v>0.42904706904738199</v>
      </c>
      <c r="O214" s="17">
        <f ca="1">IFERROR(__xludf.DUMMYFUNCTION("""COMPUTED_VALUE"""),0.495782311123706)</f>
        <v>0.49578231112370602</v>
      </c>
      <c r="P214" s="17">
        <f ca="1">IFERROR(__xludf.DUMMYFUNCTION("""COMPUTED_VALUE"""),0.910851891284221)</f>
        <v>0.91085189128422095</v>
      </c>
      <c r="Q214" s="17">
        <f ca="1">IFERROR(__xludf.DUMMYFUNCTION("""COMPUTED_VALUE"""),0.654965961256193)</f>
        <v>0.654965961256193</v>
      </c>
      <c r="R214" s="17">
        <f ca="1">IFERROR(__xludf.DUMMYFUNCTION("""COMPUTED_VALUE"""),0.960523457816089)</f>
        <v>0.96052345781608905</v>
      </c>
      <c r="S214" s="17">
        <f ca="1">IFERROR(__xludf.DUMMYFUNCTION("""COMPUTED_VALUE"""),0.45938193332932)</f>
        <v>0.45938193332931998</v>
      </c>
      <c r="T214" s="17">
        <f ca="1">IFERROR(__xludf.DUMMYFUNCTION("""COMPUTED_VALUE"""),0.391224941367049)</f>
        <v>0.391224941367049</v>
      </c>
      <c r="U214" s="17">
        <f ca="1">IFERROR(__xludf.DUMMYFUNCTION("""COMPUTED_VALUE"""),0.274039395734267)</f>
        <v>0.274039395734267</v>
      </c>
      <c r="V214" s="17">
        <f ca="1">IFERROR(__xludf.DUMMYFUNCTION("""COMPUTED_VALUE"""),0.210528305370299)</f>
        <v>0.21052830537029901</v>
      </c>
      <c r="W214" s="17">
        <f ca="1">IFERROR(__xludf.DUMMYFUNCTION("""COMPUTED_VALUE"""),0.569905023933859)</f>
        <v>0.569905023933859</v>
      </c>
      <c r="X214" s="17">
        <f ca="1">IFERROR(__xludf.DUMMYFUNCTION("""COMPUTED_VALUE"""),0.289273348528617)</f>
        <v>0.28927334852861702</v>
      </c>
      <c r="Y214" s="17">
        <f ca="1">IFERROR(__xludf.DUMMYFUNCTION("""COMPUTED_VALUE"""),0.203944382609243)</f>
        <v>0.203944382609243</v>
      </c>
      <c r="Z214" s="17">
        <f ca="1">IFERROR(__xludf.DUMMYFUNCTION("""COMPUTED_VALUE"""),0.152301587525508)</f>
        <v>0.15230158752550799</v>
      </c>
      <c r="AA214" s="17">
        <f ca="1">IFERROR(__xludf.DUMMYFUNCTION("""COMPUTED_VALUE"""),0.294302445577897)</f>
        <v>0.29430244557789698</v>
      </c>
      <c r="AB214" s="17">
        <f ca="1">IFERROR(__xludf.DUMMYFUNCTION("""COMPUTED_VALUE"""),1.83108080014606)</f>
        <v>1.8310808001460599</v>
      </c>
      <c r="AC214" s="17">
        <f ca="1">IFERROR(__xludf.DUMMYFUNCTION("""COMPUTED_VALUE"""),0.624372965552317)</f>
        <v>0.62437296555231703</v>
      </c>
      <c r="AD214" s="17">
        <f ca="1">IFERROR(__xludf.DUMMYFUNCTION("""COMPUTED_VALUE"""),0.538929092110969)</f>
        <v>0.53892909211096895</v>
      </c>
      <c r="AE214" s="17">
        <f ca="1">IFERROR(__xludf.DUMMYFUNCTION("""COMPUTED_VALUE"""),1.11143429010417)</f>
        <v>1.1114342901041701</v>
      </c>
      <c r="AF214" s="17">
        <f ca="1">IFERROR(__xludf.DUMMYFUNCTION("""COMPUTED_VALUE"""),0.261771049156638)</f>
        <v>0.26177104915663801</v>
      </c>
      <c r="AG214" s="17">
        <f ca="1">IFERROR(__xludf.DUMMYFUNCTION("""COMPUTED_VALUE"""),0.33264260353321)</f>
        <v>0.33264260353321001</v>
      </c>
      <c r="AH214" s="17">
        <f ca="1">IFERROR(__xludf.DUMMYFUNCTION("""COMPUTED_VALUE"""),0.312741801243654)</f>
        <v>0.31274180124365403</v>
      </c>
      <c r="AI214" s="17" t="str">
        <f ca="1">IFERROR(__xludf.DUMMYFUNCTION("""COMPUTED_VALUE"""),"nan")</f>
        <v>nan</v>
      </c>
      <c r="AJ214" s="17">
        <f ca="1">IFERROR(__xludf.DUMMYFUNCTION("""COMPUTED_VALUE"""),0.309541737985995)</f>
        <v>0.30954173798599499</v>
      </c>
    </row>
    <row r="215" spans="2:36" ht="15.75" customHeight="1" x14ac:dyDescent="0.45">
      <c r="B215" s="10" t="str">
        <f ca="1">IFERROR(__xludf.DUMMYFUNCTION("""COMPUTED_VALUE"""),"EOGHorizontalSignal")</f>
        <v>EOGHorizontalSignal</v>
      </c>
      <c r="C215" s="10" t="str">
        <f ca="1">IFERROR(__xludf.DUMMYFUNCTION("""COMPUTED_VALUE"""),"aligned_series")</f>
        <v>aligned_series</v>
      </c>
      <c r="D215" s="10">
        <f ca="1">IFERROR(__xludf.DUMMYFUNCTION("""COMPUTED_VALUE"""),0.6)</f>
        <v>0.6</v>
      </c>
      <c r="E215" s="17">
        <f ca="1">IFERROR(__xludf.DUMMYFUNCTION("""COMPUTED_VALUE"""),0.899036663701839)</f>
        <v>0.89903666370183899</v>
      </c>
      <c r="F215" s="17">
        <f ca="1">IFERROR(__xludf.DUMMYFUNCTION("""COMPUTED_VALUE"""),0.49917951026714)</f>
        <v>0.49917951026714003</v>
      </c>
      <c r="G215" s="17">
        <f ca="1">IFERROR(__xludf.DUMMYFUNCTION("""COMPUTED_VALUE"""),0.669317212677873)</f>
        <v>0.66931721267787303</v>
      </c>
      <c r="H215" s="17">
        <f ca="1">IFERROR(__xludf.DUMMYFUNCTION("""COMPUTED_VALUE"""),0.41916977248879)</f>
        <v>0.41916977248879</v>
      </c>
      <c r="I215" s="17">
        <f ca="1">IFERROR(__xludf.DUMMYFUNCTION("""COMPUTED_VALUE"""),0.552979074605951)</f>
        <v>0.55297907460595097</v>
      </c>
      <c r="J215" s="17">
        <f ca="1">IFERROR(__xludf.DUMMYFUNCTION("""COMPUTED_VALUE"""),0.153692587498595)</f>
        <v>0.15369258749859499</v>
      </c>
      <c r="K215" s="17" t="str">
        <f ca="1">IFERROR(__xludf.DUMMYFUNCTION("""COMPUTED_VALUE"""),"nan")</f>
        <v>nan</v>
      </c>
      <c r="L215" s="17">
        <f ca="1">IFERROR(__xludf.DUMMYFUNCTION("""COMPUTED_VALUE"""),0.449819069564934)</f>
        <v>0.449819069564934</v>
      </c>
      <c r="M215" s="17">
        <f ca="1">IFERROR(__xludf.DUMMYFUNCTION("""COMPUTED_VALUE"""),0.401354882477392)</f>
        <v>0.40135488247739198</v>
      </c>
      <c r="N215" s="17">
        <f ca="1">IFERROR(__xludf.DUMMYFUNCTION("""COMPUTED_VALUE"""),0.462918849671539)</f>
        <v>0.46291884967153901</v>
      </c>
      <c r="O215" s="17">
        <f ca="1">IFERROR(__xludf.DUMMYFUNCTION("""COMPUTED_VALUE"""),0.608448598056681)</f>
        <v>0.60844859805668094</v>
      </c>
      <c r="P215" s="17">
        <f ca="1">IFERROR(__xludf.DUMMYFUNCTION("""COMPUTED_VALUE"""),1.04946869700621)</f>
        <v>1.0494686970062099</v>
      </c>
      <c r="Q215" s="17">
        <f ca="1">IFERROR(__xludf.DUMMYFUNCTION("""COMPUTED_VALUE"""),0.946386401789873)</f>
        <v>0.94638640178987299</v>
      </c>
      <c r="R215" s="17">
        <f ca="1">IFERROR(__xludf.DUMMYFUNCTION("""COMPUTED_VALUE"""),0.98393914725534)</f>
        <v>0.98393914725534004</v>
      </c>
      <c r="S215" s="17">
        <f ca="1">IFERROR(__xludf.DUMMYFUNCTION("""COMPUTED_VALUE"""),0.612733420949395)</f>
        <v>0.61273342094939498</v>
      </c>
      <c r="T215" s="17">
        <f ca="1">IFERROR(__xludf.DUMMYFUNCTION("""COMPUTED_VALUE"""),0.415055411567299)</f>
        <v>0.41505541156729903</v>
      </c>
      <c r="U215" s="17">
        <f ca="1">IFERROR(__xludf.DUMMYFUNCTION("""COMPUTED_VALUE"""),0.319038955824429)</f>
        <v>0.31903895582442898</v>
      </c>
      <c r="V215" s="17">
        <f ca="1">IFERROR(__xludf.DUMMYFUNCTION("""COMPUTED_VALUE"""),0.371090759091545)</f>
        <v>0.37109075909154499</v>
      </c>
      <c r="W215" s="17">
        <f ca="1">IFERROR(__xludf.DUMMYFUNCTION("""COMPUTED_VALUE"""),0.477057269720918)</f>
        <v>0.477057269720918</v>
      </c>
      <c r="X215" s="17">
        <f ca="1">IFERROR(__xludf.DUMMYFUNCTION("""COMPUTED_VALUE"""),0.287885867878002)</f>
        <v>0.28788586787800202</v>
      </c>
      <c r="Y215" s="17">
        <f ca="1">IFERROR(__xludf.DUMMYFUNCTION("""COMPUTED_VALUE"""),0.319796725236719)</f>
        <v>0.31979672523671898</v>
      </c>
      <c r="Z215" s="17">
        <f ca="1">IFERROR(__xludf.DUMMYFUNCTION("""COMPUTED_VALUE"""),0.210840572752098)</f>
        <v>0.210840572752098</v>
      </c>
      <c r="AA215" s="17">
        <f ca="1">IFERROR(__xludf.DUMMYFUNCTION("""COMPUTED_VALUE"""),0.277810127136081)</f>
        <v>0.277810127136081</v>
      </c>
      <c r="AB215" s="17">
        <f ca="1">IFERROR(__xludf.DUMMYFUNCTION("""COMPUTED_VALUE"""),2.03282182501765)</f>
        <v>2.03282182501765</v>
      </c>
      <c r="AC215" s="17">
        <f ca="1">IFERROR(__xludf.DUMMYFUNCTION("""COMPUTED_VALUE"""),0.563292687787515)</f>
        <v>0.56329268778751496</v>
      </c>
      <c r="AD215" s="17">
        <f ca="1">IFERROR(__xludf.DUMMYFUNCTION("""COMPUTED_VALUE"""),0.561937971474163)</f>
        <v>0.56193797147416302</v>
      </c>
      <c r="AE215" s="17">
        <f ca="1">IFERROR(__xludf.DUMMYFUNCTION("""COMPUTED_VALUE"""),1.10612678313653)</f>
        <v>1.10612678313653</v>
      </c>
      <c r="AF215" s="17">
        <f ca="1">IFERROR(__xludf.DUMMYFUNCTION("""COMPUTED_VALUE"""),0.302334309829585)</f>
        <v>0.30233430982958498</v>
      </c>
      <c r="AG215" s="17">
        <f ca="1">IFERROR(__xludf.DUMMYFUNCTION("""COMPUTED_VALUE"""),0.342277739737693)</f>
        <v>0.34227773973769299</v>
      </c>
      <c r="AH215" s="17">
        <f ca="1">IFERROR(__xludf.DUMMYFUNCTION("""COMPUTED_VALUE"""),0.313968954414862)</f>
        <v>0.313968954414862</v>
      </c>
      <c r="AI215" s="17" t="str">
        <f ca="1">IFERROR(__xludf.DUMMYFUNCTION("""COMPUTED_VALUE"""),"nan")</f>
        <v>nan</v>
      </c>
      <c r="AJ215" s="17">
        <f ca="1">IFERROR(__xludf.DUMMYFUNCTION("""COMPUTED_VALUE"""),0.322760713437913)</f>
        <v>0.32276071343791302</v>
      </c>
    </row>
    <row r="216" spans="2:36" ht="15.75" customHeight="1" x14ac:dyDescent="0.45">
      <c r="B216" s="10" t="str">
        <f ca="1">IFERROR(__xludf.DUMMYFUNCTION("""COMPUTED_VALUE"""),"EOGHorizontalSignal")</f>
        <v>EOGHorizontalSignal</v>
      </c>
      <c r="C216" s="10" t="str">
        <f ca="1">IFERROR(__xludf.DUMMYFUNCTION("""COMPUTED_VALUE"""),"aligned_series")</f>
        <v>aligned_series</v>
      </c>
      <c r="D216" s="10">
        <f ca="1">IFERROR(__xludf.DUMMYFUNCTION("""COMPUTED_VALUE"""),0.8)</f>
        <v>0.8</v>
      </c>
      <c r="E216" s="17">
        <f ca="1">IFERROR(__xludf.DUMMYFUNCTION("""COMPUTED_VALUE"""),0.883377187874337)</f>
        <v>0.88337718787433706</v>
      </c>
      <c r="F216" s="17">
        <f ca="1">IFERROR(__xludf.DUMMYFUNCTION("""COMPUTED_VALUE"""),0.63106751554273)</f>
        <v>0.63106751554273</v>
      </c>
      <c r="G216" s="17">
        <f ca="1">IFERROR(__xludf.DUMMYFUNCTION("""COMPUTED_VALUE"""),1.00105603322776)</f>
        <v>1.00105603322776</v>
      </c>
      <c r="H216" s="17">
        <f ca="1">IFERROR(__xludf.DUMMYFUNCTION("""COMPUTED_VALUE"""),0.649994419184315)</f>
        <v>0.649994419184315</v>
      </c>
      <c r="I216" s="17">
        <f ca="1">IFERROR(__xludf.DUMMYFUNCTION("""COMPUTED_VALUE"""),0.663982261675018)</f>
        <v>0.66398226167501795</v>
      </c>
      <c r="J216" s="17">
        <f ca="1">IFERROR(__xludf.DUMMYFUNCTION("""COMPUTED_VALUE"""),0.167612104482824)</f>
        <v>0.16761210448282399</v>
      </c>
      <c r="K216" s="17" t="str">
        <f ca="1">IFERROR(__xludf.DUMMYFUNCTION("""COMPUTED_VALUE"""),"nan")</f>
        <v>nan</v>
      </c>
      <c r="L216" s="17">
        <f ca="1">IFERROR(__xludf.DUMMYFUNCTION("""COMPUTED_VALUE"""),0.734273038424524)</f>
        <v>0.73427303842452396</v>
      </c>
      <c r="M216" s="17">
        <f ca="1">IFERROR(__xludf.DUMMYFUNCTION("""COMPUTED_VALUE"""),0.67169639933297)</f>
        <v>0.67169639933296998</v>
      </c>
      <c r="N216" s="17">
        <f ca="1">IFERROR(__xludf.DUMMYFUNCTION("""COMPUTED_VALUE"""),0.575341066894862)</f>
        <v>0.57534106689486197</v>
      </c>
      <c r="O216" s="17">
        <f ca="1">IFERROR(__xludf.DUMMYFUNCTION("""COMPUTED_VALUE"""),0.749190140876682)</f>
        <v>0.74919014087668201</v>
      </c>
      <c r="P216" s="17">
        <f ca="1">IFERROR(__xludf.DUMMYFUNCTION("""COMPUTED_VALUE"""),1.02186970287476)</f>
        <v>1.0218697028747601</v>
      </c>
      <c r="Q216" s="17">
        <f ca="1">IFERROR(__xludf.DUMMYFUNCTION("""COMPUTED_VALUE"""),1.17156123491852)</f>
        <v>1.17156123491852</v>
      </c>
      <c r="R216" s="17">
        <f ca="1">IFERROR(__xludf.DUMMYFUNCTION("""COMPUTED_VALUE"""),0.970182994372944)</f>
        <v>0.97018299437294397</v>
      </c>
      <c r="S216" s="17">
        <f ca="1">IFERROR(__xludf.DUMMYFUNCTION("""COMPUTED_VALUE"""),0.833004044822267)</f>
        <v>0.83300404482226698</v>
      </c>
      <c r="T216" s="17">
        <f ca="1">IFERROR(__xludf.DUMMYFUNCTION("""COMPUTED_VALUE"""),0.391993633830704)</f>
        <v>0.39199363383070401</v>
      </c>
      <c r="U216" s="17">
        <f ca="1">IFERROR(__xludf.DUMMYFUNCTION("""COMPUTED_VALUE"""),0.362785906011455)</f>
        <v>0.36278590601145499</v>
      </c>
      <c r="V216" s="17">
        <f ca="1">IFERROR(__xludf.DUMMYFUNCTION("""COMPUTED_VALUE"""),0.488446975755504)</f>
        <v>0.488446975755504</v>
      </c>
      <c r="W216" s="17">
        <f ca="1">IFERROR(__xludf.DUMMYFUNCTION("""COMPUTED_VALUE"""),0.519845944676345)</f>
        <v>0.51984594467634504</v>
      </c>
      <c r="X216" s="17">
        <f ca="1">IFERROR(__xludf.DUMMYFUNCTION("""COMPUTED_VALUE"""),0.29778135615737)</f>
        <v>0.29778135615737</v>
      </c>
      <c r="Y216" s="17">
        <f ca="1">IFERROR(__xludf.DUMMYFUNCTION("""COMPUTED_VALUE"""),0.454761649783869)</f>
        <v>0.45476164978386902</v>
      </c>
      <c r="Z216" s="17">
        <f ca="1">IFERROR(__xludf.DUMMYFUNCTION("""COMPUTED_VALUE"""),0.293786342834923)</f>
        <v>0.293786342834923</v>
      </c>
      <c r="AA216" s="17">
        <f ca="1">IFERROR(__xludf.DUMMYFUNCTION("""COMPUTED_VALUE"""),0.428103484246299)</f>
        <v>0.42810348424629902</v>
      </c>
      <c r="AB216" s="17">
        <f ca="1">IFERROR(__xludf.DUMMYFUNCTION("""COMPUTED_VALUE"""),2.19983164090817)</f>
        <v>2.1998316409081702</v>
      </c>
      <c r="AC216" s="17">
        <f ca="1">IFERROR(__xludf.DUMMYFUNCTION("""COMPUTED_VALUE"""),0.606131768197977)</f>
        <v>0.60613176819797698</v>
      </c>
      <c r="AD216" s="17">
        <f ca="1">IFERROR(__xludf.DUMMYFUNCTION("""COMPUTED_VALUE"""),0.618420577275987)</f>
        <v>0.61842057727598698</v>
      </c>
      <c r="AE216" s="17">
        <f ca="1">IFERROR(__xludf.DUMMYFUNCTION("""COMPUTED_VALUE"""),1.08600816662843)</f>
        <v>1.08600816662843</v>
      </c>
      <c r="AF216" s="17">
        <f ca="1">IFERROR(__xludf.DUMMYFUNCTION("""COMPUTED_VALUE"""),0.375211068130853)</f>
        <v>0.37521106813085298</v>
      </c>
      <c r="AG216" s="17">
        <f ca="1">IFERROR(__xludf.DUMMYFUNCTION("""COMPUTED_VALUE"""),0.348274421356631)</f>
        <v>0.348274421356631</v>
      </c>
      <c r="AH216" s="17">
        <f ca="1">IFERROR(__xludf.DUMMYFUNCTION("""COMPUTED_VALUE"""),0.295568544110249)</f>
        <v>0.29556854411024902</v>
      </c>
      <c r="AI216" s="17" t="str">
        <f ca="1">IFERROR(__xludf.DUMMYFUNCTION("""COMPUTED_VALUE"""),"nan")</f>
        <v>nan</v>
      </c>
      <c r="AJ216" s="17">
        <f ca="1">IFERROR(__xludf.DUMMYFUNCTION("""COMPUTED_VALUE"""),0.307794678059498)</f>
        <v>0.30779467805949801</v>
      </c>
    </row>
    <row r="217" spans="2:36" ht="15.75" customHeight="1" x14ac:dyDescent="0.45">
      <c r="B217" s="10" t="str">
        <f ca="1">IFERROR(__xludf.DUMMYFUNCTION("""COMPUTED_VALUE"""),"EOGHorizontalSignal")</f>
        <v>EOGHorizontalSignal</v>
      </c>
      <c r="C217" s="10" t="str">
        <f ca="1">IFERROR(__xludf.DUMMYFUNCTION("""COMPUTED_VALUE"""),"aligned_timestamps")</f>
        <v>aligned_timestamps</v>
      </c>
      <c r="D217" s="10">
        <f ca="1">IFERROR(__xludf.DUMMYFUNCTION("""COMPUTED_VALUE"""),0.1)</f>
        <v>0.1</v>
      </c>
      <c r="E217" s="17">
        <f ca="1">IFERROR(__xludf.DUMMYFUNCTION("""COMPUTED_VALUE"""),0.842226192863183)</f>
        <v>0.84222619286318301</v>
      </c>
      <c r="F217" s="17">
        <f ca="1">IFERROR(__xludf.DUMMYFUNCTION("""COMPUTED_VALUE"""),0.29897293311492)</f>
        <v>0.29897293311492001</v>
      </c>
      <c r="G217" s="17">
        <f ca="1">IFERROR(__xludf.DUMMYFUNCTION("""COMPUTED_VALUE"""),0.298132233101448)</f>
        <v>0.29813223310144799</v>
      </c>
      <c r="H217" s="17">
        <f ca="1">IFERROR(__xludf.DUMMYFUNCTION("""COMPUTED_VALUE"""),0.344141218211784)</f>
        <v>0.34414121821178401</v>
      </c>
      <c r="I217" s="17">
        <f ca="1">IFERROR(__xludf.DUMMYFUNCTION("""COMPUTED_VALUE"""),0.444480246623623)</f>
        <v>0.44448024662362301</v>
      </c>
      <c r="J217" s="17">
        <f ca="1">IFERROR(__xludf.DUMMYFUNCTION("""COMPUTED_VALUE"""),0.142765834661214)</f>
        <v>0.14276583466121401</v>
      </c>
      <c r="K217" s="17" t="str">
        <f ca="1">IFERROR(__xludf.DUMMYFUNCTION("""COMPUTED_VALUE"""),"nan")</f>
        <v>nan</v>
      </c>
      <c r="L217" s="17">
        <f ca="1">IFERROR(__xludf.DUMMYFUNCTION("""COMPUTED_VALUE"""),0.251294775763133)</f>
        <v>0.25129477576313303</v>
      </c>
      <c r="M217" s="17">
        <f ca="1">IFERROR(__xludf.DUMMYFUNCTION("""COMPUTED_VALUE"""),0.217891647426466)</f>
        <v>0.217891647426466</v>
      </c>
      <c r="N217" s="17">
        <f ca="1">IFERROR(__xludf.DUMMYFUNCTION("""COMPUTED_VALUE"""),0.335070429285869)</f>
        <v>0.335070429285869</v>
      </c>
      <c r="O217" s="17">
        <f ca="1">IFERROR(__xludf.DUMMYFUNCTION("""COMPUTED_VALUE"""),0.245115507171691)</f>
        <v>0.245115507171691</v>
      </c>
      <c r="P217" s="17">
        <f ca="1">IFERROR(__xludf.DUMMYFUNCTION("""COMPUTED_VALUE"""),0.852062639147137)</f>
        <v>0.85206263914713698</v>
      </c>
      <c r="Q217" s="17">
        <f ca="1">IFERROR(__xludf.DUMMYFUNCTION("""COMPUTED_VALUE"""),0.53332350035996)</f>
        <v>0.53332350035996001</v>
      </c>
      <c r="R217" s="17">
        <f ca="1">IFERROR(__xludf.DUMMYFUNCTION("""COMPUTED_VALUE"""),0.598126408293519)</f>
        <v>0.59812640829351904</v>
      </c>
      <c r="S217" s="17">
        <f ca="1">IFERROR(__xludf.DUMMYFUNCTION("""COMPUTED_VALUE"""),0.259760779716351)</f>
        <v>0.25976077971635098</v>
      </c>
      <c r="T217" s="17">
        <f ca="1">IFERROR(__xludf.DUMMYFUNCTION("""COMPUTED_VALUE"""),0.214784674035564)</f>
        <v>0.214784674035564</v>
      </c>
      <c r="U217" s="17">
        <f ca="1">IFERROR(__xludf.DUMMYFUNCTION("""COMPUTED_VALUE"""),0.189999375617127)</f>
        <v>0.18999937561712699</v>
      </c>
      <c r="V217" s="17">
        <f ca="1">IFERROR(__xludf.DUMMYFUNCTION("""COMPUTED_VALUE"""),0.0990163402433788)</f>
        <v>9.9016340243378798E-2</v>
      </c>
      <c r="W217" s="17">
        <f ca="1">IFERROR(__xludf.DUMMYFUNCTION("""COMPUTED_VALUE"""),0.573623551954973)</f>
        <v>0.57362355195497305</v>
      </c>
      <c r="X217" s="17">
        <f ca="1">IFERROR(__xludf.DUMMYFUNCTION("""COMPUTED_VALUE"""),0.254222900752414)</f>
        <v>0.25422290075241399</v>
      </c>
      <c r="Y217" s="17">
        <f ca="1">IFERROR(__xludf.DUMMYFUNCTION("""COMPUTED_VALUE"""),0.0977947331728695)</f>
        <v>9.7794733172869505E-2</v>
      </c>
      <c r="Z217" s="17">
        <f ca="1">IFERROR(__xludf.DUMMYFUNCTION("""COMPUTED_VALUE"""),0.0783536776269471)</f>
        <v>7.8353677626947102E-2</v>
      </c>
      <c r="AA217" s="17">
        <f ca="1">IFERROR(__xludf.DUMMYFUNCTION("""COMPUTED_VALUE"""),0.184606826947123)</f>
        <v>0.18460682694712299</v>
      </c>
      <c r="AB217" s="17">
        <f ca="1">IFERROR(__xludf.DUMMYFUNCTION("""COMPUTED_VALUE"""),0.23709683603789)</f>
        <v>0.23709683603789</v>
      </c>
      <c r="AC217" s="17">
        <f ca="1">IFERROR(__xludf.DUMMYFUNCTION("""COMPUTED_VALUE"""),0.493912060178973)</f>
        <v>0.49391206017897299</v>
      </c>
      <c r="AD217" s="17">
        <f ca="1">IFERROR(__xludf.DUMMYFUNCTION("""COMPUTED_VALUE"""),0.404529752024336)</f>
        <v>0.404529752024336</v>
      </c>
      <c r="AE217" s="17">
        <f ca="1">IFERROR(__xludf.DUMMYFUNCTION("""COMPUTED_VALUE"""),1.07469820649679)</f>
        <v>1.07469820649679</v>
      </c>
      <c r="AF217" s="17">
        <f ca="1">IFERROR(__xludf.DUMMYFUNCTION("""COMPUTED_VALUE"""),0.055635357709801)</f>
        <v>5.5635357709800999E-2</v>
      </c>
      <c r="AG217" s="17">
        <f ca="1">IFERROR(__xludf.DUMMYFUNCTION("""COMPUTED_VALUE"""),0.11538048779136)</f>
        <v>0.11538048779136</v>
      </c>
      <c r="AH217" s="17">
        <f ca="1">IFERROR(__xludf.DUMMYFUNCTION("""COMPUTED_VALUE"""),0.115144191722396)</f>
        <v>0.115144191722396</v>
      </c>
      <c r="AI217" s="17">
        <f ca="1">IFERROR(__xludf.DUMMYFUNCTION("""COMPUTED_VALUE"""),0.113917860088387)</f>
        <v>0.113917860088387</v>
      </c>
      <c r="AJ217" s="17">
        <f ca="1">IFERROR(__xludf.DUMMYFUNCTION("""COMPUTED_VALUE"""),0.115606684484333)</f>
        <v>0.11560668448433301</v>
      </c>
    </row>
    <row r="218" spans="2:36" ht="15.75" customHeight="1" x14ac:dyDescent="0.45">
      <c r="B218" s="10" t="str">
        <f ca="1">IFERROR(__xludf.DUMMYFUNCTION("""COMPUTED_VALUE"""),"EOGHorizontalSignal")</f>
        <v>EOGHorizontalSignal</v>
      </c>
      <c r="C218" s="10" t="str">
        <f ca="1">IFERROR(__xludf.DUMMYFUNCTION("""COMPUTED_VALUE"""),"aligned_timestamps")</f>
        <v>aligned_timestamps</v>
      </c>
      <c r="D218" s="10">
        <f ca="1">IFERROR(__xludf.DUMMYFUNCTION("""COMPUTED_VALUE"""),0.2)</f>
        <v>0.2</v>
      </c>
      <c r="E218" s="17">
        <f ca="1">IFERROR(__xludf.DUMMYFUNCTION("""COMPUTED_VALUE"""),0.856992755845265)</f>
        <v>0.85699275584526502</v>
      </c>
      <c r="F218" s="17">
        <f ca="1">IFERROR(__xludf.DUMMYFUNCTION("""COMPUTED_VALUE"""),0.38850737801851)</f>
        <v>0.38850737801850999</v>
      </c>
      <c r="G218" s="17">
        <f ca="1">IFERROR(__xludf.DUMMYFUNCTION("""COMPUTED_VALUE"""),0.394474871410238)</f>
        <v>0.39447487141023801</v>
      </c>
      <c r="H218" s="17">
        <f ca="1">IFERROR(__xludf.DUMMYFUNCTION("""COMPUTED_VALUE"""),0.388380059069203)</f>
        <v>0.38838005906920298</v>
      </c>
      <c r="I218" s="17">
        <f ca="1">IFERROR(__xludf.DUMMYFUNCTION("""COMPUTED_VALUE"""),0.422597784858536)</f>
        <v>0.422597784858536</v>
      </c>
      <c r="J218" s="17">
        <f ca="1">IFERROR(__xludf.DUMMYFUNCTION("""COMPUTED_VALUE"""),0.145261871464917)</f>
        <v>0.14526187146491701</v>
      </c>
      <c r="K218" s="17" t="str">
        <f ca="1">IFERROR(__xludf.DUMMYFUNCTION("""COMPUTED_VALUE"""),"nan")</f>
        <v>nan</v>
      </c>
      <c r="L218" s="17">
        <f ca="1">IFERROR(__xludf.DUMMYFUNCTION("""COMPUTED_VALUE"""),0.362803980398147)</f>
        <v>0.36280398039814699</v>
      </c>
      <c r="M218" s="17">
        <f ca="1">IFERROR(__xludf.DUMMYFUNCTION("""COMPUTED_VALUE"""),0.268312437047013)</f>
        <v>0.26831243704701302</v>
      </c>
      <c r="N218" s="17">
        <f ca="1">IFERROR(__xludf.DUMMYFUNCTION("""COMPUTED_VALUE"""),0.336293826718273)</f>
        <v>0.33629382671827301</v>
      </c>
      <c r="O218" s="17">
        <f ca="1">IFERROR(__xludf.DUMMYFUNCTION("""COMPUTED_VALUE"""),0.29552861658849)</f>
        <v>0.29552861658849</v>
      </c>
      <c r="P218" s="17">
        <f ca="1">IFERROR(__xludf.DUMMYFUNCTION("""COMPUTED_VALUE"""),0.879744335273642)</f>
        <v>0.87974433527364204</v>
      </c>
      <c r="Q218" s="17">
        <f ca="1">IFERROR(__xludf.DUMMYFUNCTION("""COMPUTED_VALUE"""),0.55239744365226)</f>
        <v>0.55239744365225996</v>
      </c>
      <c r="R218" s="17">
        <f ca="1">IFERROR(__xludf.DUMMYFUNCTION("""COMPUTED_VALUE"""),0.683215569631254)</f>
        <v>0.68321556963125396</v>
      </c>
      <c r="S218" s="17">
        <f ca="1">IFERROR(__xludf.DUMMYFUNCTION("""COMPUTED_VALUE"""),0.260998103331409)</f>
        <v>0.26099810333140899</v>
      </c>
      <c r="T218" s="17">
        <f ca="1">IFERROR(__xludf.DUMMYFUNCTION("""COMPUTED_VALUE"""),0.260526721623645)</f>
        <v>0.26052672162364499</v>
      </c>
      <c r="U218" s="17">
        <f ca="1">IFERROR(__xludf.DUMMYFUNCTION("""COMPUTED_VALUE"""),0.249739540326401)</f>
        <v>0.249739540326401</v>
      </c>
      <c r="V218" s="17">
        <f ca="1">IFERROR(__xludf.DUMMYFUNCTION("""COMPUTED_VALUE"""),0.137310967897966)</f>
        <v>0.13731096789796601</v>
      </c>
      <c r="W218" s="17">
        <f ca="1">IFERROR(__xludf.DUMMYFUNCTION("""COMPUTED_VALUE"""),0.604912348884832)</f>
        <v>0.60491234888483203</v>
      </c>
      <c r="X218" s="17">
        <f ca="1">IFERROR(__xludf.DUMMYFUNCTION("""COMPUTED_VALUE"""),0.280453107569206)</f>
        <v>0.28045310756920599</v>
      </c>
      <c r="Y218" s="17">
        <f ca="1">IFERROR(__xludf.DUMMYFUNCTION("""COMPUTED_VALUE"""),0.149762692942083)</f>
        <v>0.149762692942083</v>
      </c>
      <c r="Z218" s="17">
        <f ca="1">IFERROR(__xludf.DUMMYFUNCTION("""COMPUTED_VALUE"""),0.112445618551478)</f>
        <v>0.112445618551478</v>
      </c>
      <c r="AA218" s="17">
        <f ca="1">IFERROR(__xludf.DUMMYFUNCTION("""COMPUTED_VALUE"""),0.183784209113284)</f>
        <v>0.183784209113284</v>
      </c>
      <c r="AB218" s="17">
        <f ca="1">IFERROR(__xludf.DUMMYFUNCTION("""COMPUTED_VALUE"""),0.385856807145762)</f>
        <v>0.38585680714576198</v>
      </c>
      <c r="AC218" s="17">
        <f ca="1">IFERROR(__xludf.DUMMYFUNCTION("""COMPUTED_VALUE"""),0.575779004424333)</f>
        <v>0.57577900442433305</v>
      </c>
      <c r="AD218" s="17">
        <f ca="1">IFERROR(__xludf.DUMMYFUNCTION("""COMPUTED_VALUE"""),0.554486070478863)</f>
        <v>0.554486070478863</v>
      </c>
      <c r="AE218" s="17">
        <f ca="1">IFERROR(__xludf.DUMMYFUNCTION("""COMPUTED_VALUE"""),1.10711370273343)</f>
        <v>1.1071137027334299</v>
      </c>
      <c r="AF218" s="17">
        <f ca="1">IFERROR(__xludf.DUMMYFUNCTION("""COMPUTED_VALUE"""),0.155698519707767)</f>
        <v>0.15569851970776699</v>
      </c>
      <c r="AG218" s="17">
        <f ca="1">IFERROR(__xludf.DUMMYFUNCTION("""COMPUTED_VALUE"""),0.323458587429152)</f>
        <v>0.32345858742915201</v>
      </c>
      <c r="AH218" s="17">
        <f ca="1">IFERROR(__xludf.DUMMYFUNCTION("""COMPUTED_VALUE"""),0.301260755207164)</f>
        <v>0.301260755207164</v>
      </c>
      <c r="AI218" s="17" t="str">
        <f ca="1">IFERROR(__xludf.DUMMYFUNCTION("""COMPUTED_VALUE"""),"nan")</f>
        <v>nan</v>
      </c>
      <c r="AJ218" s="17">
        <f ca="1">IFERROR(__xludf.DUMMYFUNCTION("""COMPUTED_VALUE"""),0.302725922386735)</f>
        <v>0.30272592238673501</v>
      </c>
    </row>
    <row r="219" spans="2:36" ht="15.75" customHeight="1" x14ac:dyDescent="0.45">
      <c r="B219" s="10" t="str">
        <f ca="1">IFERROR(__xludf.DUMMYFUNCTION("""COMPUTED_VALUE"""),"EOGHorizontalSignal")</f>
        <v>EOGHorizontalSignal</v>
      </c>
      <c r="C219" s="10" t="str">
        <f ca="1">IFERROR(__xludf.DUMMYFUNCTION("""COMPUTED_VALUE"""),"aligned_timestamps")</f>
        <v>aligned_timestamps</v>
      </c>
      <c r="D219" s="10">
        <f ca="1">IFERROR(__xludf.DUMMYFUNCTION("""COMPUTED_VALUE"""),0.4)</f>
        <v>0.4</v>
      </c>
      <c r="E219" s="17">
        <f ca="1">IFERROR(__xludf.DUMMYFUNCTION("""COMPUTED_VALUE"""),1.31721780704096)</f>
        <v>1.3172178070409599</v>
      </c>
      <c r="F219" s="17">
        <f ca="1">IFERROR(__xludf.DUMMYFUNCTION("""COMPUTED_VALUE"""),1.30603333323011)</f>
        <v>1.3060333332301099</v>
      </c>
      <c r="G219" s="17">
        <f ca="1">IFERROR(__xludf.DUMMYFUNCTION("""COMPUTED_VALUE"""),1.62873539651614)</f>
        <v>1.62873539651614</v>
      </c>
      <c r="H219" s="17">
        <f ca="1">IFERROR(__xludf.DUMMYFUNCTION("""COMPUTED_VALUE"""),1.14407256742712)</f>
        <v>1.1440725674271199</v>
      </c>
      <c r="I219" s="17">
        <f ca="1">IFERROR(__xludf.DUMMYFUNCTION("""COMPUTED_VALUE"""),0.930439171225917)</f>
        <v>0.93043917122591702</v>
      </c>
      <c r="J219" s="17">
        <f ca="1">IFERROR(__xludf.DUMMYFUNCTION("""COMPUTED_VALUE"""),0.881604311052831)</f>
        <v>0.88160431105283099</v>
      </c>
      <c r="K219" s="17" t="str">
        <f ca="1">IFERROR(__xludf.DUMMYFUNCTION("""COMPUTED_VALUE"""),"nan")</f>
        <v>nan</v>
      </c>
      <c r="L219" s="17">
        <f ca="1">IFERROR(__xludf.DUMMYFUNCTION("""COMPUTED_VALUE"""),1.03789525584399)</f>
        <v>1.03789525584399</v>
      </c>
      <c r="M219" s="17">
        <f ca="1">IFERROR(__xludf.DUMMYFUNCTION("""COMPUTED_VALUE"""),0.985192937795797)</f>
        <v>0.98519293779579697</v>
      </c>
      <c r="N219" s="17">
        <f ca="1">IFERROR(__xludf.DUMMYFUNCTION("""COMPUTED_VALUE"""),0.865444662357271)</f>
        <v>0.86544466235727102</v>
      </c>
      <c r="O219" s="17">
        <f ca="1">IFERROR(__xludf.DUMMYFUNCTION("""COMPUTED_VALUE"""),1.02392254587726)</f>
        <v>1.0239225458772601</v>
      </c>
      <c r="P219" s="17">
        <f ca="1">IFERROR(__xludf.DUMMYFUNCTION("""COMPUTED_VALUE"""),1.39918744338087)</f>
        <v>1.39918744338087</v>
      </c>
      <c r="Q219" s="17">
        <f ca="1">IFERROR(__xludf.DUMMYFUNCTION("""COMPUTED_VALUE"""),1.20273689479436)</f>
        <v>1.20273689479436</v>
      </c>
      <c r="R219" s="17">
        <f ca="1">IFERROR(__xludf.DUMMYFUNCTION("""COMPUTED_VALUE"""),1.11640043302272)</f>
        <v>1.11640043302272</v>
      </c>
      <c r="S219" s="17">
        <f ca="1">IFERROR(__xludf.DUMMYFUNCTION("""COMPUTED_VALUE"""),1.01444573433845)</f>
        <v>1.0144457343384501</v>
      </c>
      <c r="T219" s="17">
        <f ca="1">IFERROR(__xludf.DUMMYFUNCTION("""COMPUTED_VALUE"""),1.04846065815981)</f>
        <v>1.0484606581598099</v>
      </c>
      <c r="U219" s="17">
        <f ca="1">IFERROR(__xludf.DUMMYFUNCTION("""COMPUTED_VALUE"""),0.964815657566567)</f>
        <v>0.96481565756656695</v>
      </c>
      <c r="V219" s="17">
        <f ca="1">IFERROR(__xludf.DUMMYFUNCTION("""COMPUTED_VALUE"""),1.02587043204219)</f>
        <v>1.0258704320421901</v>
      </c>
      <c r="W219" s="17">
        <f ca="1">IFERROR(__xludf.DUMMYFUNCTION("""COMPUTED_VALUE"""),1.24504415049284)</f>
        <v>1.24504415049284</v>
      </c>
      <c r="X219" s="17">
        <f ca="1">IFERROR(__xludf.DUMMYFUNCTION("""COMPUTED_VALUE"""),0.89353941158309)</f>
        <v>0.89353941158309003</v>
      </c>
      <c r="Y219" s="17">
        <f ca="1">IFERROR(__xludf.DUMMYFUNCTION("""COMPUTED_VALUE"""),0.906447269758698)</f>
        <v>0.90644726975869805</v>
      </c>
      <c r="Z219" s="17">
        <f ca="1">IFERROR(__xludf.DUMMYFUNCTION("""COMPUTED_VALUE"""),1.13304884642469)</f>
        <v>1.1330488464246899</v>
      </c>
      <c r="AA219" s="17">
        <f ca="1">IFERROR(__xludf.DUMMYFUNCTION("""COMPUTED_VALUE"""),0.984199075767926)</f>
        <v>0.98419907576792598</v>
      </c>
      <c r="AB219" s="17">
        <f ca="1">IFERROR(__xludf.DUMMYFUNCTION("""COMPUTED_VALUE"""),1.13767794637977)</f>
        <v>1.1376779463797699</v>
      </c>
      <c r="AC219" s="17">
        <f ca="1">IFERROR(__xludf.DUMMYFUNCTION("""COMPUTED_VALUE"""),1.18996885164386)</f>
        <v>1.18996885164386</v>
      </c>
      <c r="AD219" s="17">
        <f ca="1">IFERROR(__xludf.DUMMYFUNCTION("""COMPUTED_VALUE"""),1.17511960625861)</f>
        <v>1.17511960625861</v>
      </c>
      <c r="AE219" s="17" t="str">
        <f ca="1">IFERROR(__xludf.DUMMYFUNCTION("""COMPUTED_VALUE"""),"nan")</f>
        <v>nan</v>
      </c>
      <c r="AF219" s="17">
        <f ca="1">IFERROR(__xludf.DUMMYFUNCTION("""COMPUTED_VALUE"""),1.38470430733975)</f>
        <v>1.38470430733975</v>
      </c>
      <c r="AG219" s="17">
        <f ca="1">IFERROR(__xludf.DUMMYFUNCTION("""COMPUTED_VALUE"""),1.34083856923109)</f>
        <v>1.34083856923109</v>
      </c>
      <c r="AH219" s="17">
        <f ca="1">IFERROR(__xludf.DUMMYFUNCTION("""COMPUTED_VALUE"""),1.32028568920453)</f>
        <v>1.32028568920453</v>
      </c>
      <c r="AI219" s="17" t="str">
        <f ca="1">IFERROR(__xludf.DUMMYFUNCTION("""COMPUTED_VALUE"""),"nan")</f>
        <v>nan</v>
      </c>
      <c r="AJ219" s="17">
        <f ca="1">IFERROR(__xludf.DUMMYFUNCTION("""COMPUTED_VALUE"""),1.44903869842564)</f>
        <v>1.44903869842564</v>
      </c>
    </row>
    <row r="220" spans="2:36" ht="15.75" customHeight="1" x14ac:dyDescent="0.45">
      <c r="B220" s="10" t="str">
        <f ca="1">IFERROR(__xludf.DUMMYFUNCTION("""COMPUTED_VALUE"""),"EOGHorizontalSignal")</f>
        <v>EOGHorizontalSignal</v>
      </c>
      <c r="C220" s="10" t="str">
        <f ca="1">IFERROR(__xludf.DUMMYFUNCTION("""COMPUTED_VALUE"""),"aligned_timestamps")</f>
        <v>aligned_timestamps</v>
      </c>
      <c r="D220" s="10">
        <f ca="1">IFERROR(__xludf.DUMMYFUNCTION("""COMPUTED_VALUE"""),0.6)</f>
        <v>0.6</v>
      </c>
      <c r="E220" s="17">
        <f ca="1">IFERROR(__xludf.DUMMYFUNCTION("""COMPUTED_VALUE"""),1.15494630046024)</f>
        <v>1.15494630046024</v>
      </c>
      <c r="F220" s="17">
        <f ca="1">IFERROR(__xludf.DUMMYFUNCTION("""COMPUTED_VALUE"""),0.893143695451381)</f>
        <v>0.89314369545138095</v>
      </c>
      <c r="G220" s="17">
        <f ca="1">IFERROR(__xludf.DUMMYFUNCTION("""COMPUTED_VALUE"""),0.977952685351981)</f>
        <v>0.97795268535198099</v>
      </c>
      <c r="H220" s="17">
        <f ca="1">IFERROR(__xludf.DUMMYFUNCTION("""COMPUTED_VALUE"""),1.19051890565655)</f>
        <v>1.1905189056565499</v>
      </c>
      <c r="I220" s="17">
        <f ca="1">IFERROR(__xludf.DUMMYFUNCTION("""COMPUTED_VALUE"""),0.985750877411121)</f>
        <v>0.985750877411121</v>
      </c>
      <c r="J220" s="17">
        <f ca="1">IFERROR(__xludf.DUMMYFUNCTION("""COMPUTED_VALUE"""),0.94665533571984)</f>
        <v>0.94665533571983995</v>
      </c>
      <c r="K220" s="17" t="str">
        <f ca="1">IFERROR(__xludf.DUMMYFUNCTION("""COMPUTED_VALUE"""),"nan")</f>
        <v>nan</v>
      </c>
      <c r="L220" s="17">
        <f ca="1">IFERROR(__xludf.DUMMYFUNCTION("""COMPUTED_VALUE"""),0.907722631254044)</f>
        <v>0.90772263125404395</v>
      </c>
      <c r="M220" s="17">
        <f ca="1">IFERROR(__xludf.DUMMYFUNCTION("""COMPUTED_VALUE"""),0.880930489634088)</f>
        <v>0.88093048963408804</v>
      </c>
      <c r="N220" s="17">
        <f ca="1">IFERROR(__xludf.DUMMYFUNCTION("""COMPUTED_VALUE"""),0.760345002517232)</f>
        <v>0.76034500251723203</v>
      </c>
      <c r="O220" s="17">
        <f ca="1">IFERROR(__xludf.DUMMYFUNCTION("""COMPUTED_VALUE"""),0.864747968755043)</f>
        <v>0.86474796875504301</v>
      </c>
      <c r="P220" s="17">
        <f ca="1">IFERROR(__xludf.DUMMYFUNCTION("""COMPUTED_VALUE"""),1.34270835793937)</f>
        <v>1.3427083579393699</v>
      </c>
      <c r="Q220" s="17">
        <f ca="1">IFERROR(__xludf.DUMMYFUNCTION("""COMPUTED_VALUE"""),1.04195762087041)</f>
        <v>1.04195762087041</v>
      </c>
      <c r="R220" s="17">
        <f ca="1">IFERROR(__xludf.DUMMYFUNCTION("""COMPUTED_VALUE"""),1.11815298867159)</f>
        <v>1.11815298867159</v>
      </c>
      <c r="S220" s="17">
        <f ca="1">IFERROR(__xludf.DUMMYFUNCTION("""COMPUTED_VALUE"""),0.955408761723416)</f>
        <v>0.95540876172341604</v>
      </c>
      <c r="T220" s="17">
        <f ca="1">IFERROR(__xludf.DUMMYFUNCTION("""COMPUTED_VALUE"""),0.953899359964273)</f>
        <v>0.953899359964273</v>
      </c>
      <c r="U220" s="17">
        <f ca="1">IFERROR(__xludf.DUMMYFUNCTION("""COMPUTED_VALUE"""),0.927322094784308)</f>
        <v>0.92732209478430805</v>
      </c>
      <c r="V220" s="17">
        <f ca="1">IFERROR(__xludf.DUMMYFUNCTION("""COMPUTED_VALUE"""),0.970781878083183)</f>
        <v>0.97078187808318295</v>
      </c>
      <c r="W220" s="17">
        <f ca="1">IFERROR(__xludf.DUMMYFUNCTION("""COMPUTED_VALUE"""),1.08567809510111)</f>
        <v>1.08567809510111</v>
      </c>
      <c r="X220" s="17">
        <f ca="1">IFERROR(__xludf.DUMMYFUNCTION("""COMPUTED_VALUE"""),0.860976178033021)</f>
        <v>0.86097617803302096</v>
      </c>
      <c r="Y220" s="17">
        <f ca="1">IFERROR(__xludf.DUMMYFUNCTION("""COMPUTED_VALUE"""),0.968681957686373)</f>
        <v>0.968681957686373</v>
      </c>
      <c r="Z220" s="17">
        <f ca="1">IFERROR(__xludf.DUMMYFUNCTION("""COMPUTED_VALUE"""),1.05061416081838)</f>
        <v>1.0506141608183801</v>
      </c>
      <c r="AA220" s="17">
        <f ca="1">IFERROR(__xludf.DUMMYFUNCTION("""COMPUTED_VALUE"""),0.840037896510122)</f>
        <v>0.84003789651012195</v>
      </c>
      <c r="AB220" s="17">
        <f ca="1">IFERROR(__xludf.DUMMYFUNCTION("""COMPUTED_VALUE"""),1.08811102731909)</f>
        <v>1.0881110273190899</v>
      </c>
      <c r="AC220" s="17">
        <f ca="1">IFERROR(__xludf.DUMMYFUNCTION("""COMPUTED_VALUE"""),1.13165773637169)</f>
        <v>1.13165773637169</v>
      </c>
      <c r="AD220" s="17">
        <f ca="1">IFERROR(__xludf.DUMMYFUNCTION("""COMPUTED_VALUE"""),1.04867894923711)</f>
        <v>1.04867894923711</v>
      </c>
      <c r="AE220" s="17" t="str">
        <f ca="1">IFERROR(__xludf.DUMMYFUNCTION("""COMPUTED_VALUE"""),"nan")</f>
        <v>nan</v>
      </c>
      <c r="AF220" s="17">
        <f ca="1">IFERROR(__xludf.DUMMYFUNCTION("""COMPUTED_VALUE"""),1.27668717455473)</f>
        <v>1.2766871745547299</v>
      </c>
      <c r="AG220" s="17">
        <f ca="1">IFERROR(__xludf.DUMMYFUNCTION("""COMPUTED_VALUE"""),1.13746842421087)</f>
        <v>1.1374684242108699</v>
      </c>
      <c r="AH220" s="17">
        <f ca="1">IFERROR(__xludf.DUMMYFUNCTION("""COMPUTED_VALUE"""),1.09076475100677)</f>
        <v>1.09076475100677</v>
      </c>
      <c r="AI220" s="17" t="str">
        <f ca="1">IFERROR(__xludf.DUMMYFUNCTION("""COMPUTED_VALUE"""),"nan")</f>
        <v>nan</v>
      </c>
      <c r="AJ220" s="17">
        <f ca="1">IFERROR(__xludf.DUMMYFUNCTION("""COMPUTED_VALUE"""),1.13281723705679)</f>
        <v>1.1328172370567899</v>
      </c>
    </row>
    <row r="221" spans="2:36" ht="15.75" customHeight="1" x14ac:dyDescent="0.45">
      <c r="B221" s="10" t="str">
        <f ca="1">IFERROR(__xludf.DUMMYFUNCTION("""COMPUTED_VALUE"""),"EOGHorizontalSignal")</f>
        <v>EOGHorizontalSignal</v>
      </c>
      <c r="C221" s="10" t="str">
        <f ca="1">IFERROR(__xludf.DUMMYFUNCTION("""COMPUTED_VALUE"""),"aligned_timestamps")</f>
        <v>aligned_timestamps</v>
      </c>
      <c r="D221" s="10">
        <f ca="1">IFERROR(__xludf.DUMMYFUNCTION("""COMPUTED_VALUE"""),0.8)</f>
        <v>0.8</v>
      </c>
      <c r="E221" s="17">
        <f ca="1">IFERROR(__xludf.DUMMYFUNCTION("""COMPUTED_VALUE"""),1.04680643318199)</f>
        <v>1.04680643318199</v>
      </c>
      <c r="F221" s="17">
        <f ca="1">IFERROR(__xludf.DUMMYFUNCTION("""COMPUTED_VALUE"""),0.776379453394359)</f>
        <v>0.77637945339435899</v>
      </c>
      <c r="G221" s="17">
        <f ca="1">IFERROR(__xludf.DUMMYFUNCTION("""COMPUTED_VALUE"""),0.786523599629668)</f>
        <v>0.786523599629668</v>
      </c>
      <c r="H221" s="17">
        <f ca="1">IFERROR(__xludf.DUMMYFUNCTION("""COMPUTED_VALUE"""),1.06950385669345)</f>
        <v>1.0695038566934501</v>
      </c>
      <c r="I221" s="17">
        <f ca="1">IFERROR(__xludf.DUMMYFUNCTION("""COMPUTED_VALUE"""),0.908487078473674)</f>
        <v>0.90848707847367405</v>
      </c>
      <c r="J221" s="17">
        <f ca="1">IFERROR(__xludf.DUMMYFUNCTION("""COMPUTED_VALUE"""),1.09314859376264)</f>
        <v>1.09314859376264</v>
      </c>
      <c r="K221" s="17" t="str">
        <f ca="1">IFERROR(__xludf.DUMMYFUNCTION("""COMPUTED_VALUE"""),"nan")</f>
        <v>nan</v>
      </c>
      <c r="L221" s="17">
        <f ca="1">IFERROR(__xludf.DUMMYFUNCTION("""COMPUTED_VALUE"""),0.786317200578762)</f>
        <v>0.78631720057876198</v>
      </c>
      <c r="M221" s="17">
        <f ca="1">IFERROR(__xludf.DUMMYFUNCTION("""COMPUTED_VALUE"""),0.773057931996637)</f>
        <v>0.77305793199663697</v>
      </c>
      <c r="N221" s="17">
        <f ca="1">IFERROR(__xludf.DUMMYFUNCTION("""COMPUTED_VALUE"""),0.674625395394132)</f>
        <v>0.67462539539413202</v>
      </c>
      <c r="O221" s="17">
        <f ca="1">IFERROR(__xludf.DUMMYFUNCTION("""COMPUTED_VALUE"""),0.792717724111876)</f>
        <v>0.79271772411187602</v>
      </c>
      <c r="P221" s="17">
        <f ca="1">IFERROR(__xludf.DUMMYFUNCTION("""COMPUTED_VALUE"""),1.17209844743779)</f>
        <v>1.17209844743779</v>
      </c>
      <c r="Q221" s="17">
        <f ca="1">IFERROR(__xludf.DUMMYFUNCTION("""COMPUTED_VALUE"""),0.9284687047065)</f>
        <v>0.9284687047065</v>
      </c>
      <c r="R221" s="17">
        <f ca="1">IFERROR(__xludf.DUMMYFUNCTION("""COMPUTED_VALUE"""),1.05288811260366)</f>
        <v>1.05288811260366</v>
      </c>
      <c r="S221" s="17">
        <f ca="1">IFERROR(__xludf.DUMMYFUNCTION("""COMPUTED_VALUE"""),0.89821566123723)</f>
        <v>0.89821566123722996</v>
      </c>
      <c r="T221" s="17">
        <f ca="1">IFERROR(__xludf.DUMMYFUNCTION("""COMPUTED_VALUE"""),0.83345491405171)</f>
        <v>0.83345491405171002</v>
      </c>
      <c r="U221" s="17">
        <f ca="1">IFERROR(__xludf.DUMMYFUNCTION("""COMPUTED_VALUE"""),0.889033014538044)</f>
        <v>0.88903301453804395</v>
      </c>
      <c r="V221" s="17">
        <f ca="1">IFERROR(__xludf.DUMMYFUNCTION("""COMPUTED_VALUE"""),1.06766237366568)</f>
        <v>1.0676623736656801</v>
      </c>
      <c r="W221" s="17">
        <f ca="1">IFERROR(__xludf.DUMMYFUNCTION("""COMPUTED_VALUE"""),1.05055486624187)</f>
        <v>1.05055486624187</v>
      </c>
      <c r="X221" s="17">
        <f ca="1">IFERROR(__xludf.DUMMYFUNCTION("""COMPUTED_VALUE"""),0.758451200606384)</f>
        <v>0.75845120060638405</v>
      </c>
      <c r="Y221" s="17">
        <f ca="1">IFERROR(__xludf.DUMMYFUNCTION("""COMPUTED_VALUE"""),0.940106967894631)</f>
        <v>0.940106967894631</v>
      </c>
      <c r="Z221" s="17">
        <f ca="1">IFERROR(__xludf.DUMMYFUNCTION("""COMPUTED_VALUE"""),0.992471345814462)</f>
        <v>0.99247134581446195</v>
      </c>
      <c r="AA221" s="17">
        <f ca="1">IFERROR(__xludf.DUMMYFUNCTION("""COMPUTED_VALUE"""),0.807495542882668)</f>
        <v>0.807495542882668</v>
      </c>
      <c r="AB221" s="17">
        <f ca="1">IFERROR(__xludf.DUMMYFUNCTION("""COMPUTED_VALUE"""),0.931175572897146)</f>
        <v>0.93117557289714603</v>
      </c>
      <c r="AC221" s="17">
        <f ca="1">IFERROR(__xludf.DUMMYFUNCTION("""COMPUTED_VALUE"""),1.17982140692664)</f>
        <v>1.1798214069266399</v>
      </c>
      <c r="AD221" s="17">
        <f ca="1">IFERROR(__xludf.DUMMYFUNCTION("""COMPUTED_VALUE"""),1.01140073910142)</f>
        <v>1.0114007391014199</v>
      </c>
      <c r="AE221" s="17" t="str">
        <f ca="1">IFERROR(__xludf.DUMMYFUNCTION("""COMPUTED_VALUE"""),"nan")</f>
        <v>nan</v>
      </c>
      <c r="AF221" s="17">
        <f ca="1">IFERROR(__xludf.DUMMYFUNCTION("""COMPUTED_VALUE"""),1.05440950382208)</f>
        <v>1.05440950382208</v>
      </c>
      <c r="AG221" s="17">
        <f ca="1">IFERROR(__xludf.DUMMYFUNCTION("""COMPUTED_VALUE"""),1.06462368241111)</f>
        <v>1.0646236824111099</v>
      </c>
      <c r="AH221" s="17">
        <f ca="1">IFERROR(__xludf.DUMMYFUNCTION("""COMPUTED_VALUE"""),1.01447984689802)</f>
        <v>1.0144798468980201</v>
      </c>
      <c r="AI221" s="17" t="str">
        <f ca="1">IFERROR(__xludf.DUMMYFUNCTION("""COMPUTED_VALUE"""),"nan")</f>
        <v>nan</v>
      </c>
      <c r="AJ221" s="17">
        <f ca="1">IFERROR(__xludf.DUMMYFUNCTION("""COMPUTED_VALUE"""),0.993796005042995)</f>
        <v>0.99379600504299503</v>
      </c>
    </row>
    <row r="222" spans="2:36" ht="15.75" customHeight="1" x14ac:dyDescent="0.45">
      <c r="B222" s="10" t="str">
        <f ca="1">IFERROR(__xludf.DUMMYFUNCTION("""COMPUTED_VALUE"""),"EOGHorizontalSignal")</f>
        <v>EOGHorizontalSignal</v>
      </c>
      <c r="C222" s="10" t="str">
        <f ca="1">IFERROR(__xludf.DUMMYFUNCTION("""COMPUTED_VALUE"""),"mcar")</f>
        <v>mcar</v>
      </c>
      <c r="D222" s="10">
        <f ca="1">IFERROR(__xludf.DUMMYFUNCTION("""COMPUTED_VALUE"""),0.1)</f>
        <v>0.1</v>
      </c>
      <c r="E222" s="17">
        <f ca="1">IFERROR(__xludf.DUMMYFUNCTION("""COMPUTED_VALUE"""),1.02856432340183)</f>
        <v>1.02856432340183</v>
      </c>
      <c r="F222" s="17">
        <f ca="1">IFERROR(__xludf.DUMMYFUNCTION("""COMPUTED_VALUE"""),0.537880932785528)</f>
        <v>0.53788093278552795</v>
      </c>
      <c r="G222" s="17">
        <f ca="1">IFERROR(__xludf.DUMMYFUNCTION("""COMPUTED_VALUE"""),0.5410012327689)</f>
        <v>0.5410012327689</v>
      </c>
      <c r="H222" s="17">
        <f ca="1">IFERROR(__xludf.DUMMYFUNCTION("""COMPUTED_VALUE"""),0.65005631008738)</f>
        <v>0.65005631008737996</v>
      </c>
      <c r="I222" s="17">
        <f ca="1">IFERROR(__xludf.DUMMYFUNCTION("""COMPUTED_VALUE"""),0.644589735506565)</f>
        <v>0.64458973550656495</v>
      </c>
      <c r="J222" s="17">
        <f ca="1">IFERROR(__xludf.DUMMYFUNCTION("""COMPUTED_VALUE"""),0.45908248601677)</f>
        <v>0.45908248601676999</v>
      </c>
      <c r="K222" s="17" t="str">
        <f ca="1">IFERROR(__xludf.DUMMYFUNCTION("""COMPUTED_VALUE"""),"nan")</f>
        <v>nan</v>
      </c>
      <c r="L222" s="17">
        <f ca="1">IFERROR(__xludf.DUMMYFUNCTION("""COMPUTED_VALUE"""),0.412942307377687)</f>
        <v>0.412942307377687</v>
      </c>
      <c r="M222" s="17">
        <f ca="1">IFERROR(__xludf.DUMMYFUNCTION("""COMPUTED_VALUE"""),0.587199620146884)</f>
        <v>0.58719962014688398</v>
      </c>
      <c r="N222" s="17">
        <f ca="1">IFERROR(__xludf.DUMMYFUNCTION("""COMPUTED_VALUE"""),0.299880884089316)</f>
        <v>0.29988088408931601</v>
      </c>
      <c r="O222" s="17">
        <f ca="1">IFERROR(__xludf.DUMMYFUNCTION("""COMPUTED_VALUE"""),0.432164847681795)</f>
        <v>0.43216484768179497</v>
      </c>
      <c r="P222" s="17">
        <f ca="1">IFERROR(__xludf.DUMMYFUNCTION("""COMPUTED_VALUE"""),0.54395490126376)</f>
        <v>0.54395490126376</v>
      </c>
      <c r="Q222" s="17">
        <f ca="1">IFERROR(__xludf.DUMMYFUNCTION("""COMPUTED_VALUE"""),1.02922085674879)</f>
        <v>1.0292208567487899</v>
      </c>
      <c r="R222" s="17">
        <f ca="1">IFERROR(__xludf.DUMMYFUNCTION("""COMPUTED_VALUE"""),0.21702083786469)</f>
        <v>0.21702083786469001</v>
      </c>
      <c r="S222" s="17">
        <f ca="1">IFERROR(__xludf.DUMMYFUNCTION("""COMPUTED_VALUE"""),0.288021474792491)</f>
        <v>0.28802147479249102</v>
      </c>
      <c r="T222" s="17">
        <f ca="1">IFERROR(__xludf.DUMMYFUNCTION("""COMPUTED_VALUE"""),0.208502756698334)</f>
        <v>0.20850275669833401</v>
      </c>
      <c r="U222" s="17">
        <f ca="1">IFERROR(__xludf.DUMMYFUNCTION("""COMPUTED_VALUE"""),0.327010546124378)</f>
        <v>0.32701054612437802</v>
      </c>
      <c r="V222" s="17">
        <f ca="1">IFERROR(__xludf.DUMMYFUNCTION("""COMPUTED_VALUE"""),0.286496851526133)</f>
        <v>0.28649685152613302</v>
      </c>
      <c r="W222" s="17">
        <f ca="1">IFERROR(__xludf.DUMMYFUNCTION("""COMPUTED_VALUE"""),0.220993550204422)</f>
        <v>0.22099355020442199</v>
      </c>
      <c r="X222" s="17">
        <f ca="1">IFERROR(__xludf.DUMMYFUNCTION("""COMPUTED_VALUE"""),0.274509381026735)</f>
        <v>0.274509381026735</v>
      </c>
      <c r="Y222" s="17">
        <f ca="1">IFERROR(__xludf.DUMMYFUNCTION("""COMPUTED_VALUE"""),0.137780776332601)</f>
        <v>0.137780776332601</v>
      </c>
      <c r="Z222" s="17">
        <f ca="1">IFERROR(__xludf.DUMMYFUNCTION("""COMPUTED_VALUE"""),0.309454560807508)</f>
        <v>0.30945456080750799</v>
      </c>
      <c r="AA222" s="17">
        <f ca="1">IFERROR(__xludf.DUMMYFUNCTION("""COMPUTED_VALUE"""),0.15030903989778)</f>
        <v>0.15030903989777999</v>
      </c>
      <c r="AB222" s="17">
        <f ca="1">IFERROR(__xludf.DUMMYFUNCTION("""COMPUTED_VALUE"""),0.246432400519089)</f>
        <v>0.24643240051908899</v>
      </c>
      <c r="AC222" s="17">
        <f ca="1">IFERROR(__xludf.DUMMYFUNCTION("""COMPUTED_VALUE"""),0.200382015690099)</f>
        <v>0.200382015690099</v>
      </c>
      <c r="AD222" s="17">
        <f ca="1">IFERROR(__xludf.DUMMYFUNCTION("""COMPUTED_VALUE"""),0.108171386254442)</f>
        <v>0.108171386254442</v>
      </c>
      <c r="AE222" s="17">
        <f ca="1">IFERROR(__xludf.DUMMYFUNCTION("""COMPUTED_VALUE"""),1.20565711446409)</f>
        <v>1.20565711446409</v>
      </c>
      <c r="AF222" s="17">
        <f ca="1">IFERROR(__xludf.DUMMYFUNCTION("""COMPUTED_VALUE"""),0.173581070970957)</f>
        <v>0.17358107097095701</v>
      </c>
      <c r="AG222" s="17">
        <f ca="1">IFERROR(__xludf.DUMMYFUNCTION("""COMPUTED_VALUE"""),0.238094333520582)</f>
        <v>0.23809433352058201</v>
      </c>
      <c r="AH222" s="17">
        <f ca="1">IFERROR(__xludf.DUMMYFUNCTION("""COMPUTED_VALUE"""),0.146261906398104)</f>
        <v>0.14626190639810399</v>
      </c>
      <c r="AI222" s="17">
        <f ca="1">IFERROR(__xludf.DUMMYFUNCTION("""COMPUTED_VALUE"""),0.507879404194959)</f>
        <v>0.50787940419495903</v>
      </c>
      <c r="AJ222" s="17">
        <f ca="1">IFERROR(__xludf.DUMMYFUNCTION("""COMPUTED_VALUE"""),0.160202685052262)</f>
        <v>0.16020268505226201</v>
      </c>
    </row>
    <row r="223" spans="2:36" ht="15.75" customHeight="1" x14ac:dyDescent="0.45">
      <c r="B223" s="10" t="str">
        <f ca="1">IFERROR(__xludf.DUMMYFUNCTION("""COMPUTED_VALUE"""),"EOGHorizontalSignal")</f>
        <v>EOGHorizontalSignal</v>
      </c>
      <c r="C223" s="10" t="str">
        <f ca="1">IFERROR(__xludf.DUMMYFUNCTION("""COMPUTED_VALUE"""),"mcar")</f>
        <v>mcar</v>
      </c>
      <c r="D223" s="10">
        <f ca="1">IFERROR(__xludf.DUMMYFUNCTION("""COMPUTED_VALUE"""),0.2)</f>
        <v>0.2</v>
      </c>
      <c r="E223" s="17">
        <f ca="1">IFERROR(__xludf.DUMMYFUNCTION("""COMPUTED_VALUE"""),1.02804926712883)</f>
        <v>1.0280492671288299</v>
      </c>
      <c r="F223" s="17">
        <f ca="1">IFERROR(__xludf.DUMMYFUNCTION("""COMPUTED_VALUE"""),0.528647286655595)</f>
        <v>0.52864728665559502</v>
      </c>
      <c r="G223" s="17">
        <f ca="1">IFERROR(__xludf.DUMMYFUNCTION("""COMPUTED_VALUE"""),0.53148569228344)</f>
        <v>0.53148569228344</v>
      </c>
      <c r="H223" s="17">
        <f ca="1">IFERROR(__xludf.DUMMYFUNCTION("""COMPUTED_VALUE"""),0.668387944355088)</f>
        <v>0.66838794435508797</v>
      </c>
      <c r="I223" s="17">
        <f ca="1">IFERROR(__xludf.DUMMYFUNCTION("""COMPUTED_VALUE"""),0.640140589879979)</f>
        <v>0.64014058987997902</v>
      </c>
      <c r="J223" s="17">
        <f ca="1">IFERROR(__xludf.DUMMYFUNCTION("""COMPUTED_VALUE"""),0.489467935887229)</f>
        <v>0.48946793588722898</v>
      </c>
      <c r="K223" s="17" t="str">
        <f ca="1">IFERROR(__xludf.DUMMYFUNCTION("""COMPUTED_VALUE"""),"nan")</f>
        <v>nan</v>
      </c>
      <c r="L223" s="17">
        <f ca="1">IFERROR(__xludf.DUMMYFUNCTION("""COMPUTED_VALUE"""),0.421338436727937)</f>
        <v>0.42133843672793703</v>
      </c>
      <c r="M223" s="17">
        <f ca="1">IFERROR(__xludf.DUMMYFUNCTION("""COMPUTED_VALUE"""),0.596494023768642)</f>
        <v>0.59649402376864202</v>
      </c>
      <c r="N223" s="17">
        <f ca="1">IFERROR(__xludf.DUMMYFUNCTION("""COMPUTED_VALUE"""),0.35819843783607)</f>
        <v>0.35819843783607003</v>
      </c>
      <c r="O223" s="17">
        <f ca="1">IFERROR(__xludf.DUMMYFUNCTION("""COMPUTED_VALUE"""),0.442692343797924)</f>
        <v>0.44269234379792399</v>
      </c>
      <c r="P223" s="17">
        <f ca="1">IFERROR(__xludf.DUMMYFUNCTION("""COMPUTED_VALUE"""),0.560090168024423)</f>
        <v>0.56009016802442302</v>
      </c>
      <c r="Q223" s="17">
        <f ca="1">IFERROR(__xludf.DUMMYFUNCTION("""COMPUTED_VALUE"""),0.95461792146007)</f>
        <v>0.95461792146006996</v>
      </c>
      <c r="R223" s="17">
        <f ca="1">IFERROR(__xludf.DUMMYFUNCTION("""COMPUTED_VALUE"""),0.296772609320387)</f>
        <v>0.29677260932038702</v>
      </c>
      <c r="S223" s="17">
        <f ca="1">IFERROR(__xludf.DUMMYFUNCTION("""COMPUTED_VALUE"""),0.458472138117126)</f>
        <v>0.458472138117126</v>
      </c>
      <c r="T223" s="17">
        <f ca="1">IFERROR(__xludf.DUMMYFUNCTION("""COMPUTED_VALUE"""),0.236203800905974)</f>
        <v>0.23620380090597401</v>
      </c>
      <c r="U223" s="17">
        <f ca="1">IFERROR(__xludf.DUMMYFUNCTION("""COMPUTED_VALUE"""),0.361131599986096)</f>
        <v>0.36113159998609601</v>
      </c>
      <c r="V223" s="17">
        <f ca="1">IFERROR(__xludf.DUMMYFUNCTION("""COMPUTED_VALUE"""),0.338299954759693)</f>
        <v>0.33829995475969299</v>
      </c>
      <c r="W223" s="17">
        <f ca="1">IFERROR(__xludf.DUMMYFUNCTION("""COMPUTED_VALUE"""),0.28436656165956)</f>
        <v>0.28436656165955998</v>
      </c>
      <c r="X223" s="17">
        <f ca="1">IFERROR(__xludf.DUMMYFUNCTION("""COMPUTED_VALUE"""),0.291818992788156)</f>
        <v>0.29181899278815598</v>
      </c>
      <c r="Y223" s="17">
        <f ca="1">IFERROR(__xludf.DUMMYFUNCTION("""COMPUTED_VALUE"""),0.17641819476828)</f>
        <v>0.17641819476828</v>
      </c>
      <c r="Z223" s="17">
        <f ca="1">IFERROR(__xludf.DUMMYFUNCTION("""COMPUTED_VALUE"""),0.310319739654124)</f>
        <v>0.31031973965412402</v>
      </c>
      <c r="AA223" s="17">
        <f ca="1">IFERROR(__xludf.DUMMYFUNCTION("""COMPUTED_VALUE"""),0.224802303421292)</f>
        <v>0.22480230342129201</v>
      </c>
      <c r="AB223" s="17">
        <f ca="1">IFERROR(__xludf.DUMMYFUNCTION("""COMPUTED_VALUE"""),0.254921262134065)</f>
        <v>0.25492126213406502</v>
      </c>
      <c r="AC223" s="17">
        <f ca="1">IFERROR(__xludf.DUMMYFUNCTION("""COMPUTED_VALUE"""),0.238305380202503)</f>
        <v>0.238305380202503</v>
      </c>
      <c r="AD223" s="17">
        <f ca="1">IFERROR(__xludf.DUMMYFUNCTION("""COMPUTED_VALUE"""),0.184994559628694)</f>
        <v>0.18499455962869399</v>
      </c>
      <c r="AE223" s="17">
        <f ca="1">IFERROR(__xludf.DUMMYFUNCTION("""COMPUTED_VALUE"""),1.17096799544236)</f>
        <v>1.17096799544236</v>
      </c>
      <c r="AF223" s="17">
        <f ca="1">IFERROR(__xludf.DUMMYFUNCTION("""COMPUTED_VALUE"""),0.301186534812919)</f>
        <v>0.30118653481291902</v>
      </c>
      <c r="AG223" s="17">
        <f ca="1">IFERROR(__xludf.DUMMYFUNCTION("""COMPUTED_VALUE"""),0.44733939410195)</f>
        <v>0.44733939410195001</v>
      </c>
      <c r="AH223" s="17">
        <f ca="1">IFERROR(__xludf.DUMMYFUNCTION("""COMPUTED_VALUE"""),0.279238207254242)</f>
        <v>0.27923820725424198</v>
      </c>
      <c r="AI223" s="17" t="str">
        <f ca="1">IFERROR(__xludf.DUMMYFUNCTION("""COMPUTED_VALUE"""),"nan")</f>
        <v>nan</v>
      </c>
      <c r="AJ223" s="17">
        <f ca="1">IFERROR(__xludf.DUMMYFUNCTION("""COMPUTED_VALUE"""),0.254723257276553)</f>
        <v>0.25472325727655298</v>
      </c>
    </row>
    <row r="224" spans="2:36" ht="15.75" customHeight="1" x14ac:dyDescent="0.45">
      <c r="B224" s="10" t="str">
        <f ca="1">IFERROR(__xludf.DUMMYFUNCTION("""COMPUTED_VALUE"""),"EOGHorizontalSignal")</f>
        <v>EOGHorizontalSignal</v>
      </c>
      <c r="C224" s="10" t="str">
        <f ca="1">IFERROR(__xludf.DUMMYFUNCTION("""COMPUTED_VALUE"""),"mcar")</f>
        <v>mcar</v>
      </c>
      <c r="D224" s="10">
        <f ca="1">IFERROR(__xludf.DUMMYFUNCTION("""COMPUTED_VALUE"""),0.4)</f>
        <v>0.4</v>
      </c>
      <c r="E224" s="17">
        <f ca="1">IFERROR(__xludf.DUMMYFUNCTION("""COMPUTED_VALUE"""),0.992982624670173)</f>
        <v>0.99298262467017295</v>
      </c>
      <c r="F224" s="17">
        <f ca="1">IFERROR(__xludf.DUMMYFUNCTION("""COMPUTED_VALUE"""),0.531312316335582)</f>
        <v>0.53131231633558196</v>
      </c>
      <c r="G224" s="17">
        <f ca="1">IFERROR(__xludf.DUMMYFUNCTION("""COMPUTED_VALUE"""),0.535133825028865)</f>
        <v>0.53513382502886497</v>
      </c>
      <c r="H224" s="17">
        <f ca="1">IFERROR(__xludf.DUMMYFUNCTION("""COMPUTED_VALUE"""),0.679479461952297)</f>
        <v>0.67947946195229703</v>
      </c>
      <c r="I224" s="17">
        <f ca="1">IFERROR(__xludf.DUMMYFUNCTION("""COMPUTED_VALUE"""),0.610616341067748)</f>
        <v>0.61061634106774798</v>
      </c>
      <c r="J224" s="17">
        <f ca="1">IFERROR(__xludf.DUMMYFUNCTION("""COMPUTED_VALUE"""),0.470314452588895)</f>
        <v>0.47031445258889498</v>
      </c>
      <c r="K224" s="17" t="str">
        <f ca="1">IFERROR(__xludf.DUMMYFUNCTION("""COMPUTED_VALUE"""),"nan")</f>
        <v>nan</v>
      </c>
      <c r="L224" s="17">
        <f ca="1">IFERROR(__xludf.DUMMYFUNCTION("""COMPUTED_VALUE"""),0.455756850857225)</f>
        <v>0.455756850857225</v>
      </c>
      <c r="M224" s="17">
        <f ca="1">IFERROR(__xludf.DUMMYFUNCTION("""COMPUTED_VALUE"""),0.567704217531862)</f>
        <v>0.56770421753186195</v>
      </c>
      <c r="N224" s="17">
        <f ca="1">IFERROR(__xludf.DUMMYFUNCTION("""COMPUTED_VALUE"""),0.438055975704174)</f>
        <v>0.43805597570417398</v>
      </c>
      <c r="O224" s="17">
        <f ca="1">IFERROR(__xludf.DUMMYFUNCTION("""COMPUTED_VALUE"""),0.471954896373125)</f>
        <v>0.47195489637312499</v>
      </c>
      <c r="P224" s="17">
        <f ca="1">IFERROR(__xludf.DUMMYFUNCTION("""COMPUTED_VALUE"""),0.581417116876434)</f>
        <v>0.58141711687643405</v>
      </c>
      <c r="Q224" s="17">
        <f ca="1">IFERROR(__xludf.DUMMYFUNCTION("""COMPUTED_VALUE"""),0.950117852867378)</f>
        <v>0.95011785286737804</v>
      </c>
      <c r="R224" s="17">
        <f ca="1">IFERROR(__xludf.DUMMYFUNCTION("""COMPUTED_VALUE"""),0.337473671210925)</f>
        <v>0.33747367121092497</v>
      </c>
      <c r="S224" s="17">
        <f ca="1">IFERROR(__xludf.DUMMYFUNCTION("""COMPUTED_VALUE"""),0.610279625292142)</f>
        <v>0.61027962529214197</v>
      </c>
      <c r="T224" s="17">
        <f ca="1">IFERROR(__xludf.DUMMYFUNCTION("""COMPUTED_VALUE"""),0.307052154305608)</f>
        <v>0.307052154305608</v>
      </c>
      <c r="U224" s="17">
        <f ca="1">IFERROR(__xludf.DUMMYFUNCTION("""COMPUTED_VALUE"""),0.412750333753054)</f>
        <v>0.41275033375305398</v>
      </c>
      <c r="V224" s="17">
        <f ca="1">IFERROR(__xludf.DUMMYFUNCTION("""COMPUTED_VALUE"""),0.413035073867909)</f>
        <v>0.413035073867909</v>
      </c>
      <c r="W224" s="17">
        <f ca="1">IFERROR(__xludf.DUMMYFUNCTION("""COMPUTED_VALUE"""),0.4562397928281)</f>
        <v>0.45623979282810001</v>
      </c>
      <c r="X224" s="17">
        <f ca="1">IFERROR(__xludf.DUMMYFUNCTION("""COMPUTED_VALUE"""),0.328304870651498)</f>
        <v>0.32830487065149799</v>
      </c>
      <c r="Y224" s="17">
        <f ca="1">IFERROR(__xludf.DUMMYFUNCTION("""COMPUTED_VALUE"""),0.32023206789019)</f>
        <v>0.32023206789018999</v>
      </c>
      <c r="Z224" s="17">
        <f ca="1">IFERROR(__xludf.DUMMYFUNCTION("""COMPUTED_VALUE"""),0.348774284552154)</f>
        <v>0.34877428455215398</v>
      </c>
      <c r="AA224" s="17">
        <f ca="1">IFERROR(__xludf.DUMMYFUNCTION("""COMPUTED_VALUE"""),0.302924909892277)</f>
        <v>0.30292490989227699</v>
      </c>
      <c r="AB224" s="17">
        <f ca="1">IFERROR(__xludf.DUMMYFUNCTION("""COMPUTED_VALUE"""),0.39148136922962)</f>
        <v>0.39148136922962001</v>
      </c>
      <c r="AC224" s="17">
        <f ca="1">IFERROR(__xludf.DUMMYFUNCTION("""COMPUTED_VALUE"""),0.518593988686228)</f>
        <v>0.51859398868622797</v>
      </c>
      <c r="AD224" s="17">
        <f ca="1">IFERROR(__xludf.DUMMYFUNCTION("""COMPUTED_VALUE"""),0.424069244158806)</f>
        <v>0.42406924415880598</v>
      </c>
      <c r="AE224" s="17">
        <f ca="1">IFERROR(__xludf.DUMMYFUNCTION("""COMPUTED_VALUE"""),1.13927588077605)</f>
        <v>1.1392758807760499</v>
      </c>
      <c r="AF224" s="17">
        <f ca="1">IFERROR(__xludf.DUMMYFUNCTION("""COMPUTED_VALUE"""),0.536810127625141)</f>
        <v>0.53681012762514102</v>
      </c>
      <c r="AG224" s="17">
        <f ca="1">IFERROR(__xludf.DUMMYFUNCTION("""COMPUTED_VALUE"""),0.666861437229887)</f>
        <v>0.666861437229887</v>
      </c>
      <c r="AH224" s="17">
        <f ca="1">IFERROR(__xludf.DUMMYFUNCTION("""COMPUTED_VALUE"""),0.430270765831276)</f>
        <v>0.43027076583127599</v>
      </c>
      <c r="AI224" s="17" t="str">
        <f ca="1">IFERROR(__xludf.DUMMYFUNCTION("""COMPUTED_VALUE"""),"nan")</f>
        <v>nan</v>
      </c>
      <c r="AJ224" s="17">
        <f ca="1">IFERROR(__xludf.DUMMYFUNCTION("""COMPUTED_VALUE"""),0.47638788866916)</f>
        <v>0.47638788866915999</v>
      </c>
    </row>
    <row r="225" spans="2:36" ht="15.75" customHeight="1" x14ac:dyDescent="0.45">
      <c r="B225" s="10" t="str">
        <f ca="1">IFERROR(__xludf.DUMMYFUNCTION("""COMPUTED_VALUE"""),"EOGHorizontalSignal")</f>
        <v>EOGHorizontalSignal</v>
      </c>
      <c r="C225" s="10" t="str">
        <f ca="1">IFERROR(__xludf.DUMMYFUNCTION("""COMPUTED_VALUE"""),"mcar")</f>
        <v>mcar</v>
      </c>
      <c r="D225" s="10">
        <f ca="1">IFERROR(__xludf.DUMMYFUNCTION("""COMPUTED_VALUE"""),0.6)</f>
        <v>0.6</v>
      </c>
      <c r="E225" s="17">
        <f ca="1">IFERROR(__xludf.DUMMYFUNCTION("""COMPUTED_VALUE"""),1.00887812304119)</f>
        <v>1.0088781230411901</v>
      </c>
      <c r="F225" s="17">
        <f ca="1">IFERROR(__xludf.DUMMYFUNCTION("""COMPUTED_VALUE"""),0.597972356954923)</f>
        <v>0.59797235695492301</v>
      </c>
      <c r="G225" s="17">
        <f ca="1">IFERROR(__xludf.DUMMYFUNCTION("""COMPUTED_VALUE"""),0.614762366526803)</f>
        <v>0.61476236652680305</v>
      </c>
      <c r="H225" s="17">
        <f ca="1">IFERROR(__xludf.DUMMYFUNCTION("""COMPUTED_VALUE"""),0.78546564771894)</f>
        <v>0.78546564771894001</v>
      </c>
      <c r="I225" s="17">
        <f ca="1">IFERROR(__xludf.DUMMYFUNCTION("""COMPUTED_VALUE"""),0.62323310442401)</f>
        <v>0.62323310442401003</v>
      </c>
      <c r="J225" s="17">
        <f ca="1">IFERROR(__xludf.DUMMYFUNCTION("""COMPUTED_VALUE"""),0.536111971121112)</f>
        <v>0.53611197112111197</v>
      </c>
      <c r="K225" s="17" t="str">
        <f ca="1">IFERROR(__xludf.DUMMYFUNCTION("""COMPUTED_VALUE"""),"nan")</f>
        <v>nan</v>
      </c>
      <c r="L225" s="17">
        <f ca="1">IFERROR(__xludf.DUMMYFUNCTION("""COMPUTED_VALUE"""),0.516179826265825)</f>
        <v>0.51617982626582504</v>
      </c>
      <c r="M225" s="17">
        <f ca="1">IFERROR(__xludf.DUMMYFUNCTION("""COMPUTED_VALUE"""),0.614431781581595)</f>
        <v>0.61443178158159495</v>
      </c>
      <c r="N225" s="17">
        <f ca="1">IFERROR(__xludf.DUMMYFUNCTION("""COMPUTED_VALUE"""),0.51154255624061)</f>
        <v>0.51154255624060996</v>
      </c>
      <c r="O225" s="17">
        <f ca="1">IFERROR(__xludf.DUMMYFUNCTION("""COMPUTED_VALUE"""),0.537324033532427)</f>
        <v>0.53732403353242697</v>
      </c>
      <c r="P225" s="17">
        <f ca="1">IFERROR(__xludf.DUMMYFUNCTION("""COMPUTED_VALUE"""),0.663604534853169)</f>
        <v>0.66360453485316895</v>
      </c>
      <c r="Q225" s="17">
        <f ca="1">IFERROR(__xludf.DUMMYFUNCTION("""COMPUTED_VALUE"""),0.984534687445902)</f>
        <v>0.984534687445902</v>
      </c>
      <c r="R225" s="17">
        <f ca="1">IFERROR(__xludf.DUMMYFUNCTION("""COMPUTED_VALUE"""),0.599059460093393)</f>
        <v>0.59905946009339295</v>
      </c>
      <c r="S225" s="17">
        <f ca="1">IFERROR(__xludf.DUMMYFUNCTION("""COMPUTED_VALUE"""),0.905033291412141)</f>
        <v>0.90503329141214095</v>
      </c>
      <c r="T225" s="17">
        <f ca="1">IFERROR(__xludf.DUMMYFUNCTION("""COMPUTED_VALUE"""),0.411261198125572)</f>
        <v>0.41126119812557199</v>
      </c>
      <c r="U225" s="17">
        <f ca="1">IFERROR(__xludf.DUMMYFUNCTION("""COMPUTED_VALUE"""),0.535399808725128)</f>
        <v>0.53539980872512805</v>
      </c>
      <c r="V225" s="17">
        <f ca="1">IFERROR(__xludf.DUMMYFUNCTION("""COMPUTED_VALUE"""),0.523514701380555)</f>
        <v>0.523514701380555</v>
      </c>
      <c r="W225" s="17">
        <f ca="1">IFERROR(__xludf.DUMMYFUNCTION("""COMPUTED_VALUE"""),0.592775380394058)</f>
        <v>0.59277538039405797</v>
      </c>
      <c r="X225" s="17">
        <f ca="1">IFERROR(__xludf.DUMMYFUNCTION("""COMPUTED_VALUE"""),0.394066085723091)</f>
        <v>0.39406608572309099</v>
      </c>
      <c r="Y225" s="17">
        <f ca="1">IFERROR(__xludf.DUMMYFUNCTION("""COMPUTED_VALUE"""),0.463410556745271)</f>
        <v>0.46341055674527099</v>
      </c>
      <c r="Z225" s="17">
        <f ca="1">IFERROR(__xludf.DUMMYFUNCTION("""COMPUTED_VALUE"""),0.531600003754455)</f>
        <v>0.53160000375445504</v>
      </c>
      <c r="AA225" s="17">
        <f ca="1">IFERROR(__xludf.DUMMYFUNCTION("""COMPUTED_VALUE"""),0.552731565582185)</f>
        <v>0.55273156558218495</v>
      </c>
      <c r="AB225" s="17">
        <f ca="1">IFERROR(__xludf.DUMMYFUNCTION("""COMPUTED_VALUE"""),0.660048661587781)</f>
        <v>0.66004866158778097</v>
      </c>
      <c r="AC225" s="17">
        <f ca="1">IFERROR(__xludf.DUMMYFUNCTION("""COMPUTED_VALUE"""),0.798840879316693)</f>
        <v>0.79884087931669301</v>
      </c>
      <c r="AD225" s="17">
        <f ca="1">IFERROR(__xludf.DUMMYFUNCTION("""COMPUTED_VALUE"""),0.62938068304992)</f>
        <v>0.62938068304992001</v>
      </c>
      <c r="AE225" s="17">
        <f ca="1">IFERROR(__xludf.DUMMYFUNCTION("""COMPUTED_VALUE"""),1.1799880631237)</f>
        <v>1.1799880631237001</v>
      </c>
      <c r="AF225" s="17">
        <f ca="1">IFERROR(__xludf.DUMMYFUNCTION("""COMPUTED_VALUE"""),0.596339646347036)</f>
        <v>0.59633964634703596</v>
      </c>
      <c r="AG225" s="17">
        <f ca="1">IFERROR(__xludf.DUMMYFUNCTION("""COMPUTED_VALUE"""),1.04152784178237)</f>
        <v>1.0415278417823699</v>
      </c>
      <c r="AH225" s="17">
        <f ca="1">IFERROR(__xludf.DUMMYFUNCTION("""COMPUTED_VALUE"""),0.613966272234398)</f>
        <v>0.61396627223439804</v>
      </c>
      <c r="AI225" s="17" t="str">
        <f ca="1">IFERROR(__xludf.DUMMYFUNCTION("""COMPUTED_VALUE"""),"nan")</f>
        <v>nan</v>
      </c>
      <c r="AJ225" s="17">
        <f ca="1">IFERROR(__xludf.DUMMYFUNCTION("""COMPUTED_VALUE"""),0.842888459237866)</f>
        <v>0.84288845923786604</v>
      </c>
    </row>
    <row r="226" spans="2:36" ht="15.75" customHeight="1" x14ac:dyDescent="0.45">
      <c r="B226" s="10" t="str">
        <f ca="1">IFERROR(__xludf.DUMMYFUNCTION("""COMPUTED_VALUE"""),"EOGHorizontalSignal")</f>
        <v>EOGHorizontalSignal</v>
      </c>
      <c r="C226" s="10" t="str">
        <f ca="1">IFERROR(__xludf.DUMMYFUNCTION("""COMPUTED_VALUE"""),"mcar")</f>
        <v>mcar</v>
      </c>
      <c r="D226" s="10">
        <f ca="1">IFERROR(__xludf.DUMMYFUNCTION("""COMPUTED_VALUE"""),0.8)</f>
        <v>0.8</v>
      </c>
      <c r="E226" s="17">
        <f ca="1">IFERROR(__xludf.DUMMYFUNCTION("""COMPUTED_VALUE"""),1.00288017639805)</f>
        <v>1.0028801763980499</v>
      </c>
      <c r="F226" s="17">
        <f ca="1">IFERROR(__xludf.DUMMYFUNCTION("""COMPUTED_VALUE"""),0.666531838520141)</f>
        <v>0.66653183852014097</v>
      </c>
      <c r="G226" s="17">
        <f ca="1">IFERROR(__xludf.DUMMYFUNCTION("""COMPUTED_VALUE"""),0.739223107864398)</f>
        <v>0.73922310786439804</v>
      </c>
      <c r="H226" s="17">
        <f ca="1">IFERROR(__xludf.DUMMYFUNCTION("""COMPUTED_VALUE"""),0.861950183699823)</f>
        <v>0.86195018369982301</v>
      </c>
      <c r="I226" s="17">
        <f ca="1">IFERROR(__xludf.DUMMYFUNCTION("""COMPUTED_VALUE"""),0.705118627318444)</f>
        <v>0.70511862731844399</v>
      </c>
      <c r="J226" s="17">
        <f ca="1">IFERROR(__xludf.DUMMYFUNCTION("""COMPUTED_VALUE"""),0.854345124164792)</f>
        <v>0.85434512416479202</v>
      </c>
      <c r="K226" s="17" t="str">
        <f ca="1">IFERROR(__xludf.DUMMYFUNCTION("""COMPUTED_VALUE"""),"nan")</f>
        <v>nan</v>
      </c>
      <c r="L226" s="17">
        <f ca="1">IFERROR(__xludf.DUMMYFUNCTION("""COMPUTED_VALUE"""),0.599743134572206)</f>
        <v>0.59974313457220596</v>
      </c>
      <c r="M226" s="17">
        <f ca="1">IFERROR(__xludf.DUMMYFUNCTION("""COMPUTED_VALUE"""),0.761139366605693)</f>
        <v>0.76113936660569304</v>
      </c>
      <c r="N226" s="17">
        <f ca="1">IFERROR(__xludf.DUMMYFUNCTION("""COMPUTED_VALUE"""),0.571965873937038)</f>
        <v>0.57196587393703802</v>
      </c>
      <c r="O226" s="17">
        <f ca="1">IFERROR(__xludf.DUMMYFUNCTION("""COMPUTED_VALUE"""),0.610526245934361)</f>
        <v>0.610526245934361</v>
      </c>
      <c r="P226" s="17">
        <f ca="1">IFERROR(__xludf.DUMMYFUNCTION("""COMPUTED_VALUE"""),0.866151341680528)</f>
        <v>0.86615134168052799</v>
      </c>
      <c r="Q226" s="17">
        <f ca="1">IFERROR(__xludf.DUMMYFUNCTION("""COMPUTED_VALUE"""),1.00714480420084)</f>
        <v>1.00714480420084</v>
      </c>
      <c r="R226" s="17">
        <f ca="1">IFERROR(__xludf.DUMMYFUNCTION("""COMPUTED_VALUE"""),1.06363892754391)</f>
        <v>1.06363892754391</v>
      </c>
      <c r="S226" s="17">
        <f ca="1">IFERROR(__xludf.DUMMYFUNCTION("""COMPUTED_VALUE"""),1.26599844890955)</f>
        <v>1.2659984489095499</v>
      </c>
      <c r="T226" s="17">
        <f ca="1">IFERROR(__xludf.DUMMYFUNCTION("""COMPUTED_VALUE"""),0.618819349224152)</f>
        <v>0.61881934922415205</v>
      </c>
      <c r="U226" s="17">
        <f ca="1">IFERROR(__xludf.DUMMYFUNCTION("""COMPUTED_VALUE"""),0.644288278816343)</f>
        <v>0.64428827881634299</v>
      </c>
      <c r="V226" s="17">
        <f ca="1">IFERROR(__xludf.DUMMYFUNCTION("""COMPUTED_VALUE"""),0.829233739022043)</f>
        <v>0.829233739022043</v>
      </c>
      <c r="W226" s="17">
        <f ca="1">IFERROR(__xludf.DUMMYFUNCTION("""COMPUTED_VALUE"""),0.767102915413864)</f>
        <v>0.76710291541386399</v>
      </c>
      <c r="X226" s="17">
        <f ca="1">IFERROR(__xludf.DUMMYFUNCTION("""COMPUTED_VALUE"""),0.501172935597167)</f>
        <v>0.50117293559716702</v>
      </c>
      <c r="Y226" s="17">
        <f ca="1">IFERROR(__xludf.DUMMYFUNCTION("""COMPUTED_VALUE"""),0.777021597099482)</f>
        <v>0.77702159709948204</v>
      </c>
      <c r="Z226" s="17">
        <f ca="1">IFERROR(__xludf.DUMMYFUNCTION("""COMPUTED_VALUE"""),0.696312754083817)</f>
        <v>0.69631275408381699</v>
      </c>
      <c r="AA226" s="17">
        <f ca="1">IFERROR(__xludf.DUMMYFUNCTION("""COMPUTED_VALUE"""),0.760685560976969)</f>
        <v>0.76068556097696904</v>
      </c>
      <c r="AB226" s="17">
        <f ca="1">IFERROR(__xludf.DUMMYFUNCTION("""COMPUTED_VALUE"""),1.03086206534221)</f>
        <v>1.03086206534221</v>
      </c>
      <c r="AC226" s="17">
        <f ca="1">IFERROR(__xludf.DUMMYFUNCTION("""COMPUTED_VALUE"""),1.2138847586142)</f>
        <v>1.2138847586142001</v>
      </c>
      <c r="AD226" s="17">
        <f ca="1">IFERROR(__xludf.DUMMYFUNCTION("""COMPUTED_VALUE"""),0.873371193583052)</f>
        <v>0.87337119358305204</v>
      </c>
      <c r="AE226" s="17" t="str">
        <f ca="1">IFERROR(__xludf.DUMMYFUNCTION("""COMPUTED_VALUE"""),"nan")</f>
        <v>nan</v>
      </c>
      <c r="AF226" s="17">
        <f ca="1">IFERROR(__xludf.DUMMYFUNCTION("""COMPUTED_VALUE"""),0.808567777413271)</f>
        <v>0.80856777741327102</v>
      </c>
      <c r="AG226" s="17">
        <f ca="1">IFERROR(__xludf.DUMMYFUNCTION("""COMPUTED_VALUE"""),1.08166805407667)</f>
        <v>1.0816680540766701</v>
      </c>
      <c r="AH226" s="17">
        <f ca="1">IFERROR(__xludf.DUMMYFUNCTION("""COMPUTED_VALUE"""),0.921145624225136)</f>
        <v>0.92114562422513602</v>
      </c>
      <c r="AI226" s="17" t="str">
        <f ca="1">IFERROR(__xludf.DUMMYFUNCTION("""COMPUTED_VALUE"""),"nan")</f>
        <v>nan</v>
      </c>
      <c r="AJ226" s="17">
        <f ca="1">IFERROR(__xludf.DUMMYFUNCTION("""COMPUTED_VALUE"""),0.886238499943177)</f>
        <v>0.88623849994317705</v>
      </c>
    </row>
    <row r="227" spans="2:36" ht="15.75" customHeight="1" x14ac:dyDescent="0.45">
      <c r="B227" s="10" t="str">
        <f ca="1">IFERROR(__xludf.DUMMYFUNCTION("""COMPUTED_VALUE"""),"EOGVerticalSignal")</f>
        <v>EOGVerticalSignal</v>
      </c>
      <c r="C227" s="10" t="str">
        <f ca="1">IFERROR(__xludf.DUMMYFUNCTION("""COMPUTED_VALUE"""),"aligned_series")</f>
        <v>aligned_series</v>
      </c>
      <c r="D227" s="10">
        <f ca="1">IFERROR(__xludf.DUMMYFUNCTION("""COMPUTED_VALUE"""),0.1)</f>
        <v>0.1</v>
      </c>
      <c r="E227" s="17">
        <f ca="1">IFERROR(__xludf.DUMMYFUNCTION("""COMPUTED_VALUE"""),0.654380534194644)</f>
        <v>0.65438053419464404</v>
      </c>
      <c r="F227" s="17">
        <f ca="1">IFERROR(__xludf.DUMMYFUNCTION("""COMPUTED_VALUE"""),0.41929914847073)</f>
        <v>0.41929914847073002</v>
      </c>
      <c r="G227" s="17">
        <f ca="1">IFERROR(__xludf.DUMMYFUNCTION("""COMPUTED_VALUE"""),0.430468313346927)</f>
        <v>0.43046831334692698</v>
      </c>
      <c r="H227" s="17">
        <f ca="1">IFERROR(__xludf.DUMMYFUNCTION("""COMPUTED_VALUE"""),0.328379768767117)</f>
        <v>0.328379768767117</v>
      </c>
      <c r="I227" s="17">
        <f ca="1">IFERROR(__xludf.DUMMYFUNCTION("""COMPUTED_VALUE"""),0.346493130120726)</f>
        <v>0.34649313012072602</v>
      </c>
      <c r="J227" s="17">
        <f ca="1">IFERROR(__xludf.DUMMYFUNCTION("""COMPUTED_VALUE"""),0.171713655077006)</f>
        <v>0.17171365507700601</v>
      </c>
      <c r="K227" s="17" t="str">
        <f ca="1">IFERROR(__xludf.DUMMYFUNCTION("""COMPUTED_VALUE"""),"nan")</f>
        <v>nan</v>
      </c>
      <c r="L227" s="17">
        <f ca="1">IFERROR(__xludf.DUMMYFUNCTION("""COMPUTED_VALUE"""),0.261521228100641)</f>
        <v>0.26152122810064099</v>
      </c>
      <c r="M227" s="17">
        <f ca="1">IFERROR(__xludf.DUMMYFUNCTION("""COMPUTED_VALUE"""),0.279825787895703)</f>
        <v>0.279825787895703</v>
      </c>
      <c r="N227" s="17">
        <f ca="1">IFERROR(__xludf.DUMMYFUNCTION("""COMPUTED_VALUE"""),0.45390511112304)</f>
        <v>0.45390511112303999</v>
      </c>
      <c r="O227" s="17">
        <f ca="1">IFERROR(__xludf.DUMMYFUNCTION("""COMPUTED_VALUE"""),0.354180030355862)</f>
        <v>0.35418003035586199</v>
      </c>
      <c r="P227" s="17">
        <f ca="1">IFERROR(__xludf.DUMMYFUNCTION("""COMPUTED_VALUE"""),0.596481824108755)</f>
        <v>0.59648182410875505</v>
      </c>
      <c r="Q227" s="17">
        <f ca="1">IFERROR(__xludf.DUMMYFUNCTION("""COMPUTED_VALUE"""),0.591803738150208)</f>
        <v>0.59180373815020804</v>
      </c>
      <c r="R227" s="17">
        <f ca="1">IFERROR(__xludf.DUMMYFUNCTION("""COMPUTED_VALUE"""),0.554413142393053)</f>
        <v>0.55441314239305295</v>
      </c>
      <c r="S227" s="17">
        <f ca="1">IFERROR(__xludf.DUMMYFUNCTION("""COMPUTED_VALUE"""),0.124863513120301)</f>
        <v>0.124863513120301</v>
      </c>
      <c r="T227" s="17">
        <f ca="1">IFERROR(__xludf.DUMMYFUNCTION("""COMPUTED_VALUE"""),0.247203973809421)</f>
        <v>0.247203973809421</v>
      </c>
      <c r="U227" s="17">
        <f ca="1">IFERROR(__xludf.DUMMYFUNCTION("""COMPUTED_VALUE"""),0.252942818002215)</f>
        <v>0.25294281800221502</v>
      </c>
      <c r="V227" s="17">
        <f ca="1">IFERROR(__xludf.DUMMYFUNCTION("""COMPUTED_VALUE"""),0.134896402130296)</f>
        <v>0.13489640213029599</v>
      </c>
      <c r="W227" s="17">
        <f ca="1">IFERROR(__xludf.DUMMYFUNCTION("""COMPUTED_VALUE"""),0.524583084908029)</f>
        <v>0.52458308490802896</v>
      </c>
      <c r="X227" s="17">
        <f ca="1">IFERROR(__xludf.DUMMYFUNCTION("""COMPUTED_VALUE"""),0.232527416550553)</f>
        <v>0.23252741655055301</v>
      </c>
      <c r="Y227" s="17">
        <f ca="1">IFERROR(__xludf.DUMMYFUNCTION("""COMPUTED_VALUE"""),0.206516260846724)</f>
        <v>0.206516260846724</v>
      </c>
      <c r="Z227" s="17">
        <f ca="1">IFERROR(__xludf.DUMMYFUNCTION("""COMPUTED_VALUE"""),0.138913185618238)</f>
        <v>0.13891318561823801</v>
      </c>
      <c r="AA227" s="17">
        <f ca="1">IFERROR(__xludf.DUMMYFUNCTION("""COMPUTED_VALUE"""),0.499735325168734)</f>
        <v>0.49973532516873398</v>
      </c>
      <c r="AB227" s="17">
        <f ca="1">IFERROR(__xludf.DUMMYFUNCTION("""COMPUTED_VALUE"""),0.234010140503855)</f>
        <v>0.23401014050385499</v>
      </c>
      <c r="AC227" s="17">
        <f ca="1">IFERROR(__xludf.DUMMYFUNCTION("""COMPUTED_VALUE"""),0.500231449715901)</f>
        <v>0.50023144971590106</v>
      </c>
      <c r="AD227" s="17">
        <f ca="1">IFERROR(__xludf.DUMMYFUNCTION("""COMPUTED_VALUE"""),0.502180217181243)</f>
        <v>0.50218021718124295</v>
      </c>
      <c r="AE227" s="17">
        <f ca="1">IFERROR(__xludf.DUMMYFUNCTION("""COMPUTED_VALUE"""),0.950757517232257)</f>
        <v>0.95075751723225699</v>
      </c>
      <c r="AF227" s="17">
        <f ca="1">IFERROR(__xludf.DUMMYFUNCTION("""COMPUTED_VALUE"""),0.170864804227385)</f>
        <v>0.17086480422738501</v>
      </c>
      <c r="AG227" s="17">
        <f ca="1">IFERROR(__xludf.DUMMYFUNCTION("""COMPUTED_VALUE"""),0.290342258954621)</f>
        <v>0.29034225895462101</v>
      </c>
      <c r="AH227" s="17">
        <f ca="1">IFERROR(__xludf.DUMMYFUNCTION("""COMPUTED_VALUE"""),0.288422803480741)</f>
        <v>0.28842280348074101</v>
      </c>
      <c r="AI227" s="17" t="str">
        <f ca="1">IFERROR(__xludf.DUMMYFUNCTION("""COMPUTED_VALUE"""),"nan")</f>
        <v>nan</v>
      </c>
      <c r="AJ227" s="17">
        <f ca="1">IFERROR(__xludf.DUMMYFUNCTION("""COMPUTED_VALUE"""),0.258841387086558)</f>
        <v>0.25884138708655802</v>
      </c>
    </row>
    <row r="228" spans="2:36" ht="15.75" customHeight="1" x14ac:dyDescent="0.45">
      <c r="B228" s="10" t="str">
        <f ca="1">IFERROR(__xludf.DUMMYFUNCTION("""COMPUTED_VALUE"""),"EOGVerticalSignal")</f>
        <v>EOGVerticalSignal</v>
      </c>
      <c r="C228" s="10" t="str">
        <f ca="1">IFERROR(__xludf.DUMMYFUNCTION("""COMPUTED_VALUE"""),"aligned_series")</f>
        <v>aligned_series</v>
      </c>
      <c r="D228" s="10">
        <f ca="1">IFERROR(__xludf.DUMMYFUNCTION("""COMPUTED_VALUE"""),0.2)</f>
        <v>0.2</v>
      </c>
      <c r="E228" s="17">
        <f ca="1">IFERROR(__xludf.DUMMYFUNCTION("""COMPUTED_VALUE"""),0.690116126173072)</f>
        <v>0.69011612617307205</v>
      </c>
      <c r="F228" s="17">
        <f ca="1">IFERROR(__xludf.DUMMYFUNCTION("""COMPUTED_VALUE"""),0.423066286254676)</f>
        <v>0.42306628625467602</v>
      </c>
      <c r="G228" s="17">
        <f ca="1">IFERROR(__xludf.DUMMYFUNCTION("""COMPUTED_VALUE"""),0.432360338088853)</f>
        <v>0.43236033808885299</v>
      </c>
      <c r="H228" s="17">
        <f ca="1">IFERROR(__xludf.DUMMYFUNCTION("""COMPUTED_VALUE"""),0.372379951011063)</f>
        <v>0.37237995101106303</v>
      </c>
      <c r="I228" s="17">
        <f ca="1">IFERROR(__xludf.DUMMYFUNCTION("""COMPUTED_VALUE"""),0.368993831525783)</f>
        <v>0.36899383152578302</v>
      </c>
      <c r="J228" s="17">
        <f ca="1">IFERROR(__xludf.DUMMYFUNCTION("""COMPUTED_VALUE"""),0.177802159093239)</f>
        <v>0.17780215909323899</v>
      </c>
      <c r="K228" s="17" t="str">
        <f ca="1">IFERROR(__xludf.DUMMYFUNCTION("""COMPUTED_VALUE"""),"nan")</f>
        <v>nan</v>
      </c>
      <c r="L228" s="17">
        <f ca="1">IFERROR(__xludf.DUMMYFUNCTION("""COMPUTED_VALUE"""),0.262817747411286)</f>
        <v>0.262817747411286</v>
      </c>
      <c r="M228" s="17">
        <f ca="1">IFERROR(__xludf.DUMMYFUNCTION("""COMPUTED_VALUE"""),0.310780482891125)</f>
        <v>0.31078048289112498</v>
      </c>
      <c r="N228" s="17">
        <f ca="1">IFERROR(__xludf.DUMMYFUNCTION("""COMPUTED_VALUE"""),0.576885334913458)</f>
        <v>0.57688533491345795</v>
      </c>
      <c r="O228" s="17">
        <f ca="1">IFERROR(__xludf.DUMMYFUNCTION("""COMPUTED_VALUE"""),0.332102816188359)</f>
        <v>0.33210281618835902</v>
      </c>
      <c r="P228" s="17">
        <f ca="1">IFERROR(__xludf.DUMMYFUNCTION("""COMPUTED_VALUE"""),0.723693565374853)</f>
        <v>0.72369356537485297</v>
      </c>
      <c r="Q228" s="17">
        <f ca="1">IFERROR(__xludf.DUMMYFUNCTION("""COMPUTED_VALUE"""),0.734008439526756)</f>
        <v>0.73400843952675598</v>
      </c>
      <c r="R228" s="17">
        <f ca="1">IFERROR(__xludf.DUMMYFUNCTION("""COMPUTED_VALUE"""),0.783911159249733)</f>
        <v>0.78391115924973298</v>
      </c>
      <c r="S228" s="17">
        <f ca="1">IFERROR(__xludf.DUMMYFUNCTION("""COMPUTED_VALUE"""),0.15714847230493)</f>
        <v>0.15714847230493001</v>
      </c>
      <c r="T228" s="17">
        <f ca="1">IFERROR(__xludf.DUMMYFUNCTION("""COMPUTED_VALUE"""),0.307360558312638)</f>
        <v>0.30736055831263798</v>
      </c>
      <c r="U228" s="17">
        <f ca="1">IFERROR(__xludf.DUMMYFUNCTION("""COMPUTED_VALUE"""),0.30106914261701)</f>
        <v>0.30106914261701001</v>
      </c>
      <c r="V228" s="17">
        <f ca="1">IFERROR(__xludf.DUMMYFUNCTION("""COMPUTED_VALUE"""),0.167697289958594)</f>
        <v>0.16769728995859401</v>
      </c>
      <c r="W228" s="17">
        <f ca="1">IFERROR(__xludf.DUMMYFUNCTION("""COMPUTED_VALUE"""),0.541255987518358)</f>
        <v>0.54125598751835802</v>
      </c>
      <c r="X228" s="17">
        <f ca="1">IFERROR(__xludf.DUMMYFUNCTION("""COMPUTED_VALUE"""),0.218778880649192)</f>
        <v>0.21877888064919199</v>
      </c>
      <c r="Y228" s="17">
        <f ca="1">IFERROR(__xludf.DUMMYFUNCTION("""COMPUTED_VALUE"""),0.238678387003696)</f>
        <v>0.23867838700369601</v>
      </c>
      <c r="Z228" s="17">
        <f ca="1">IFERROR(__xludf.DUMMYFUNCTION("""COMPUTED_VALUE"""),0.171721242671547)</f>
        <v>0.17172124267154701</v>
      </c>
      <c r="AA228" s="17">
        <f ca="1">IFERROR(__xludf.DUMMYFUNCTION("""COMPUTED_VALUE"""),0.384323400059575)</f>
        <v>0.38432340005957499</v>
      </c>
      <c r="AB228" s="17">
        <f ca="1">IFERROR(__xludf.DUMMYFUNCTION("""COMPUTED_VALUE"""),0.897359752124346)</f>
        <v>0.89735975212434604</v>
      </c>
      <c r="AC228" s="17">
        <f ca="1">IFERROR(__xludf.DUMMYFUNCTION("""COMPUTED_VALUE"""),0.521102006995807)</f>
        <v>0.521102006995807</v>
      </c>
      <c r="AD228" s="17">
        <f ca="1">IFERROR(__xludf.DUMMYFUNCTION("""COMPUTED_VALUE"""),0.491175354158121)</f>
        <v>0.49117535415812102</v>
      </c>
      <c r="AE228" s="17">
        <f ca="1">IFERROR(__xludf.DUMMYFUNCTION("""COMPUTED_VALUE"""),0.95607693115858)</f>
        <v>0.95607693115857995</v>
      </c>
      <c r="AF228" s="17">
        <f ca="1">IFERROR(__xludf.DUMMYFUNCTION("""COMPUTED_VALUE"""),0.178065016968973)</f>
        <v>0.17806501696897301</v>
      </c>
      <c r="AG228" s="17">
        <f ca="1">IFERROR(__xludf.DUMMYFUNCTION("""COMPUTED_VALUE"""),0.288101243442132)</f>
        <v>0.288101243442132</v>
      </c>
      <c r="AH228" s="17">
        <f ca="1">IFERROR(__xludf.DUMMYFUNCTION("""COMPUTED_VALUE"""),0.288018160613662)</f>
        <v>0.28801816061366198</v>
      </c>
      <c r="AI228" s="17" t="str">
        <f ca="1">IFERROR(__xludf.DUMMYFUNCTION("""COMPUTED_VALUE"""),"nan")</f>
        <v>nan</v>
      </c>
      <c r="AJ228" s="17">
        <f ca="1">IFERROR(__xludf.DUMMYFUNCTION("""COMPUTED_VALUE"""),0.27592414901084)</f>
        <v>0.27592414901084</v>
      </c>
    </row>
    <row r="229" spans="2:36" ht="15.75" customHeight="1" x14ac:dyDescent="0.45">
      <c r="B229" s="10" t="str">
        <f ca="1">IFERROR(__xludf.DUMMYFUNCTION("""COMPUTED_VALUE"""),"EOGVerticalSignal")</f>
        <v>EOGVerticalSignal</v>
      </c>
      <c r="C229" s="10" t="str">
        <f ca="1">IFERROR(__xludf.DUMMYFUNCTION("""COMPUTED_VALUE"""),"aligned_series")</f>
        <v>aligned_series</v>
      </c>
      <c r="D229" s="10">
        <f ca="1">IFERROR(__xludf.DUMMYFUNCTION("""COMPUTED_VALUE"""),0.4)</f>
        <v>0.4</v>
      </c>
      <c r="E229" s="17">
        <f ca="1">IFERROR(__xludf.DUMMYFUNCTION("""COMPUTED_VALUE"""),0.729591783646946)</f>
        <v>0.72959178364694599</v>
      </c>
      <c r="F229" s="17">
        <f ca="1">IFERROR(__xludf.DUMMYFUNCTION("""COMPUTED_VALUE"""),0.43933325355746)</f>
        <v>0.43933325355746</v>
      </c>
      <c r="G229" s="17">
        <f ca="1">IFERROR(__xludf.DUMMYFUNCTION("""COMPUTED_VALUE"""),0.453879986912938)</f>
        <v>0.45387998691293802</v>
      </c>
      <c r="H229" s="17">
        <f ca="1">IFERROR(__xludf.DUMMYFUNCTION("""COMPUTED_VALUE"""),0.417636413101565)</f>
        <v>0.41763641310156502</v>
      </c>
      <c r="I229" s="17">
        <f ca="1">IFERROR(__xludf.DUMMYFUNCTION("""COMPUTED_VALUE"""),0.415945597268883)</f>
        <v>0.41594559726888303</v>
      </c>
      <c r="J229" s="17">
        <f ca="1">IFERROR(__xludf.DUMMYFUNCTION("""COMPUTED_VALUE"""),0.172015863866287)</f>
        <v>0.17201586386628701</v>
      </c>
      <c r="K229" s="17" t="str">
        <f ca="1">IFERROR(__xludf.DUMMYFUNCTION("""COMPUTED_VALUE"""),"nan")</f>
        <v>nan</v>
      </c>
      <c r="L229" s="17">
        <f ca="1">IFERROR(__xludf.DUMMYFUNCTION("""COMPUTED_VALUE"""),0.333360079116193)</f>
        <v>0.33336007911619298</v>
      </c>
      <c r="M229" s="17">
        <f ca="1">IFERROR(__xludf.DUMMYFUNCTION("""COMPUTED_VALUE"""),0.337187371164124)</f>
        <v>0.33718737116412401</v>
      </c>
      <c r="N229" s="17">
        <f ca="1">IFERROR(__xludf.DUMMYFUNCTION("""COMPUTED_VALUE"""),0.485069927225844)</f>
        <v>0.48506992722584402</v>
      </c>
      <c r="O229" s="17">
        <f ca="1">IFERROR(__xludf.DUMMYFUNCTION("""COMPUTED_VALUE"""),0.543097161434828)</f>
        <v>0.543097161434828</v>
      </c>
      <c r="P229" s="17">
        <f ca="1">IFERROR(__xludf.DUMMYFUNCTION("""COMPUTED_VALUE"""),0.883742586044654)</f>
        <v>0.88374258604465405</v>
      </c>
      <c r="Q229" s="17">
        <f ca="1">IFERROR(__xludf.DUMMYFUNCTION("""COMPUTED_VALUE"""),0.850648313026569)</f>
        <v>0.85064831302656896</v>
      </c>
      <c r="R229" s="17">
        <f ca="1">IFERROR(__xludf.DUMMYFUNCTION("""COMPUTED_VALUE"""),1.02202498593661)</f>
        <v>1.02202498593661</v>
      </c>
      <c r="S229" s="17">
        <f ca="1">IFERROR(__xludf.DUMMYFUNCTION("""COMPUTED_VALUE"""),0.193658071715494)</f>
        <v>0.19365807171549401</v>
      </c>
      <c r="T229" s="17">
        <f ca="1">IFERROR(__xludf.DUMMYFUNCTION("""COMPUTED_VALUE"""),0.282195930704892)</f>
        <v>0.28219593070489202</v>
      </c>
      <c r="U229" s="17">
        <f ca="1">IFERROR(__xludf.DUMMYFUNCTION("""COMPUTED_VALUE"""),0.344068531121613)</f>
        <v>0.34406853112161301</v>
      </c>
      <c r="V229" s="17">
        <f ca="1">IFERROR(__xludf.DUMMYFUNCTION("""COMPUTED_VALUE"""),0.193804289929597)</f>
        <v>0.193804289929597</v>
      </c>
      <c r="W229" s="17">
        <f ca="1">IFERROR(__xludf.DUMMYFUNCTION("""COMPUTED_VALUE"""),0.510300861975646)</f>
        <v>0.51030086197564595</v>
      </c>
      <c r="X229" s="17">
        <f ca="1">IFERROR(__xludf.DUMMYFUNCTION("""COMPUTED_VALUE"""),0.236675622934231)</f>
        <v>0.236675622934231</v>
      </c>
      <c r="Y229" s="17">
        <f ca="1">IFERROR(__xludf.DUMMYFUNCTION("""COMPUTED_VALUE"""),0.28916936099894)</f>
        <v>0.28916936099893997</v>
      </c>
      <c r="Z229" s="17">
        <f ca="1">IFERROR(__xludf.DUMMYFUNCTION("""COMPUTED_VALUE"""),0.165665670317551)</f>
        <v>0.165665670317551</v>
      </c>
      <c r="AA229" s="17">
        <f ca="1">IFERROR(__xludf.DUMMYFUNCTION("""COMPUTED_VALUE"""),0.495787075400494)</f>
        <v>0.49578707540049399</v>
      </c>
      <c r="AB229" s="17">
        <f ca="1">IFERROR(__xludf.DUMMYFUNCTION("""COMPUTED_VALUE"""),1.63045639737013)</f>
        <v>1.63045639737013</v>
      </c>
      <c r="AC229" s="17">
        <f ca="1">IFERROR(__xludf.DUMMYFUNCTION("""COMPUTED_VALUE"""),0.5838863199643)</f>
        <v>0.58388631996429996</v>
      </c>
      <c r="AD229" s="17">
        <f ca="1">IFERROR(__xludf.DUMMYFUNCTION("""COMPUTED_VALUE"""),0.523060950930056)</f>
        <v>0.523060950930056</v>
      </c>
      <c r="AE229" s="17">
        <f ca="1">IFERROR(__xludf.DUMMYFUNCTION("""COMPUTED_VALUE"""),0.936080481886344)</f>
        <v>0.93608048188634396</v>
      </c>
      <c r="AF229" s="17">
        <f ca="1">IFERROR(__xludf.DUMMYFUNCTION("""COMPUTED_VALUE"""),0.153813399719275)</f>
        <v>0.15381339971927499</v>
      </c>
      <c r="AG229" s="17">
        <f ca="1">IFERROR(__xludf.DUMMYFUNCTION("""COMPUTED_VALUE"""),0.296197746558262)</f>
        <v>0.29619774655826198</v>
      </c>
      <c r="AH229" s="17">
        <f ca="1">IFERROR(__xludf.DUMMYFUNCTION("""COMPUTED_VALUE"""),0.282451095244385)</f>
        <v>0.282451095244385</v>
      </c>
      <c r="AI229" s="17" t="str">
        <f ca="1">IFERROR(__xludf.DUMMYFUNCTION("""COMPUTED_VALUE"""),"nan")</f>
        <v>nan</v>
      </c>
      <c r="AJ229" s="17">
        <f ca="1">IFERROR(__xludf.DUMMYFUNCTION("""COMPUTED_VALUE"""),0.277082832661945)</f>
        <v>0.277082832661945</v>
      </c>
    </row>
    <row r="230" spans="2:36" ht="15.75" customHeight="1" x14ac:dyDescent="0.45">
      <c r="B230" s="10" t="str">
        <f ca="1">IFERROR(__xludf.DUMMYFUNCTION("""COMPUTED_VALUE"""),"EOGVerticalSignal")</f>
        <v>EOGVerticalSignal</v>
      </c>
      <c r="C230" s="10" t="str">
        <f ca="1">IFERROR(__xludf.DUMMYFUNCTION("""COMPUTED_VALUE"""),"aligned_series")</f>
        <v>aligned_series</v>
      </c>
      <c r="D230" s="10">
        <f ca="1">IFERROR(__xludf.DUMMYFUNCTION("""COMPUTED_VALUE"""),0.6)</f>
        <v>0.6</v>
      </c>
      <c r="E230" s="17">
        <f ca="1">IFERROR(__xludf.DUMMYFUNCTION("""COMPUTED_VALUE"""),0.768102239085913)</f>
        <v>0.76810223908591302</v>
      </c>
      <c r="F230" s="17">
        <f ca="1">IFERROR(__xludf.DUMMYFUNCTION("""COMPUTED_VALUE"""),0.478660697827737)</f>
        <v>0.47866069782773701</v>
      </c>
      <c r="G230" s="17">
        <f ca="1">IFERROR(__xludf.DUMMYFUNCTION("""COMPUTED_VALUE"""),0.578719863089581)</f>
        <v>0.57871986308958101</v>
      </c>
      <c r="H230" s="17">
        <f ca="1">IFERROR(__xludf.DUMMYFUNCTION("""COMPUTED_VALUE"""),0.484366574193906)</f>
        <v>0.484366574193906</v>
      </c>
      <c r="I230" s="17">
        <f ca="1">IFERROR(__xludf.DUMMYFUNCTION("""COMPUTED_VALUE"""),0.498227307588482)</f>
        <v>0.49822730758848199</v>
      </c>
      <c r="J230" s="17">
        <f ca="1">IFERROR(__xludf.DUMMYFUNCTION("""COMPUTED_VALUE"""),0.189240378665218)</f>
        <v>0.18924037866521801</v>
      </c>
      <c r="K230" s="17" t="str">
        <f ca="1">IFERROR(__xludf.DUMMYFUNCTION("""COMPUTED_VALUE"""),"nan")</f>
        <v>nan</v>
      </c>
      <c r="L230" s="17">
        <f ca="1">IFERROR(__xludf.DUMMYFUNCTION("""COMPUTED_VALUE"""),0.4152572922348)</f>
        <v>0.41525729223480001</v>
      </c>
      <c r="M230" s="17">
        <f ca="1">IFERROR(__xludf.DUMMYFUNCTION("""COMPUTED_VALUE"""),0.446291611511372)</f>
        <v>0.44629161151137198</v>
      </c>
      <c r="N230" s="17">
        <f ca="1">IFERROR(__xludf.DUMMYFUNCTION("""COMPUTED_VALUE"""),0.654667066638754)</f>
        <v>0.65466706663875396</v>
      </c>
      <c r="O230" s="17">
        <f ca="1">IFERROR(__xludf.DUMMYFUNCTION("""COMPUTED_VALUE"""),0.54211056942721)</f>
        <v>0.54211056942721003</v>
      </c>
      <c r="P230" s="17">
        <f ca="1">IFERROR(__xludf.DUMMYFUNCTION("""COMPUTED_VALUE"""),0.956818414803805)</f>
        <v>0.95681841480380503</v>
      </c>
      <c r="Q230" s="17">
        <f ca="1">IFERROR(__xludf.DUMMYFUNCTION("""COMPUTED_VALUE"""),1.03687796199256)</f>
        <v>1.0368779619925601</v>
      </c>
      <c r="R230" s="17">
        <f ca="1">IFERROR(__xludf.DUMMYFUNCTION("""COMPUTED_VALUE"""),1.1006438038257)</f>
        <v>1.1006438038257</v>
      </c>
      <c r="S230" s="17">
        <f ca="1">IFERROR(__xludf.DUMMYFUNCTION("""COMPUTED_VALUE"""),0.220206010029115)</f>
        <v>0.220206010029115</v>
      </c>
      <c r="T230" s="17">
        <f ca="1">IFERROR(__xludf.DUMMYFUNCTION("""COMPUTED_VALUE"""),0.335100064964505)</f>
        <v>0.33510006496450501</v>
      </c>
      <c r="U230" s="17">
        <f ca="1">IFERROR(__xludf.DUMMYFUNCTION("""COMPUTED_VALUE"""),0.329198624201039)</f>
        <v>0.32919862420103901</v>
      </c>
      <c r="V230" s="17">
        <f ca="1">IFERROR(__xludf.DUMMYFUNCTION("""COMPUTED_VALUE"""),0.257618326173762)</f>
        <v>0.25761832617376201</v>
      </c>
      <c r="W230" s="17">
        <f ca="1">IFERROR(__xludf.DUMMYFUNCTION("""COMPUTED_VALUE"""),0.505205512028936)</f>
        <v>0.50520551202893604</v>
      </c>
      <c r="X230" s="17">
        <f ca="1">IFERROR(__xludf.DUMMYFUNCTION("""COMPUTED_VALUE"""),0.233600640798607)</f>
        <v>0.23360064079860701</v>
      </c>
      <c r="Y230" s="17">
        <f ca="1">IFERROR(__xludf.DUMMYFUNCTION("""COMPUTED_VALUE"""),0.339122905529714)</f>
        <v>0.33912290552971402</v>
      </c>
      <c r="Z230" s="17">
        <f ca="1">IFERROR(__xludf.DUMMYFUNCTION("""COMPUTED_VALUE"""),0.19761260814844)</f>
        <v>0.19761260814844001</v>
      </c>
      <c r="AA230" s="17">
        <f ca="1">IFERROR(__xludf.DUMMYFUNCTION("""COMPUTED_VALUE"""),0.570067271610502)</f>
        <v>0.57006727161050197</v>
      </c>
      <c r="AB230" s="17">
        <f ca="1">IFERROR(__xludf.DUMMYFUNCTION("""COMPUTED_VALUE"""),2.25053709984165)</f>
        <v>2.2505370998416501</v>
      </c>
      <c r="AC230" s="17">
        <f ca="1">IFERROR(__xludf.DUMMYFUNCTION("""COMPUTED_VALUE"""),0.522285882338698)</f>
        <v>0.52228588233869799</v>
      </c>
      <c r="AD230" s="17">
        <f ca="1">IFERROR(__xludf.DUMMYFUNCTION("""COMPUTED_VALUE"""),0.531707315240701)</f>
        <v>0.53170731524070103</v>
      </c>
      <c r="AE230" s="17">
        <f ca="1">IFERROR(__xludf.DUMMYFUNCTION("""COMPUTED_VALUE"""),0.92117301606172)</f>
        <v>0.92117301606171997</v>
      </c>
      <c r="AF230" s="17">
        <f ca="1">IFERROR(__xludf.DUMMYFUNCTION("""COMPUTED_VALUE"""),0.178094849351103)</f>
        <v>0.17809484935110301</v>
      </c>
      <c r="AG230" s="17">
        <f ca="1">IFERROR(__xludf.DUMMYFUNCTION("""COMPUTED_VALUE"""),0.306355593475372)</f>
        <v>0.306355593475372</v>
      </c>
      <c r="AH230" s="17">
        <f ca="1">IFERROR(__xludf.DUMMYFUNCTION("""COMPUTED_VALUE"""),0.295938761076824)</f>
        <v>0.29593876107682399</v>
      </c>
      <c r="AI230" s="17" t="str">
        <f ca="1">IFERROR(__xludf.DUMMYFUNCTION("""COMPUTED_VALUE"""),"nan")</f>
        <v>nan</v>
      </c>
      <c r="AJ230" s="17">
        <f ca="1">IFERROR(__xludf.DUMMYFUNCTION("""COMPUTED_VALUE"""),0.309776773863011)</f>
        <v>0.309776773863011</v>
      </c>
    </row>
    <row r="231" spans="2:36" ht="15.75" customHeight="1" x14ac:dyDescent="0.45">
      <c r="B231" s="10" t="str">
        <f ca="1">IFERROR(__xludf.DUMMYFUNCTION("""COMPUTED_VALUE"""),"EOGVerticalSignal")</f>
        <v>EOGVerticalSignal</v>
      </c>
      <c r="C231" s="10" t="str">
        <f ca="1">IFERROR(__xludf.DUMMYFUNCTION("""COMPUTED_VALUE"""),"aligned_series")</f>
        <v>aligned_series</v>
      </c>
      <c r="D231" s="10">
        <f ca="1">IFERROR(__xludf.DUMMYFUNCTION("""COMPUTED_VALUE"""),0.8)</f>
        <v>0.8</v>
      </c>
      <c r="E231" s="17">
        <f ca="1">IFERROR(__xludf.DUMMYFUNCTION("""COMPUTED_VALUE"""),0.774139341108922)</f>
        <v>0.77413934110892202</v>
      </c>
      <c r="F231" s="17">
        <f ca="1">IFERROR(__xludf.DUMMYFUNCTION("""COMPUTED_VALUE"""),0.581938992002195)</f>
        <v>0.58193899200219501</v>
      </c>
      <c r="G231" s="17">
        <f ca="1">IFERROR(__xludf.DUMMYFUNCTION("""COMPUTED_VALUE"""),0.828450140200919)</f>
        <v>0.82845014020091901</v>
      </c>
      <c r="H231" s="17">
        <f ca="1">IFERROR(__xludf.DUMMYFUNCTION("""COMPUTED_VALUE"""),0.817166378347156)</f>
        <v>0.817166378347156</v>
      </c>
      <c r="I231" s="17">
        <f ca="1">IFERROR(__xludf.DUMMYFUNCTION("""COMPUTED_VALUE"""),0.588014434456047)</f>
        <v>0.58801443445604695</v>
      </c>
      <c r="J231" s="17">
        <f ca="1">IFERROR(__xludf.DUMMYFUNCTION("""COMPUTED_VALUE"""),0.220169523812375)</f>
        <v>0.22016952381237501</v>
      </c>
      <c r="K231" s="17" t="str">
        <f ca="1">IFERROR(__xludf.DUMMYFUNCTION("""COMPUTED_VALUE"""),"nan")</f>
        <v>nan</v>
      </c>
      <c r="L231" s="17">
        <f ca="1">IFERROR(__xludf.DUMMYFUNCTION("""COMPUTED_VALUE"""),0.676435698153406)</f>
        <v>0.67643569815340598</v>
      </c>
      <c r="M231" s="17">
        <f ca="1">IFERROR(__xludf.DUMMYFUNCTION("""COMPUTED_VALUE"""),0.56673826280136)</f>
        <v>0.56673826280135997</v>
      </c>
      <c r="N231" s="17">
        <f ca="1">IFERROR(__xludf.DUMMYFUNCTION("""COMPUTED_VALUE"""),0.851134078496646)</f>
        <v>0.85113407849664602</v>
      </c>
      <c r="O231" s="17">
        <f ca="1">IFERROR(__xludf.DUMMYFUNCTION("""COMPUTED_VALUE"""),0.479335484348137)</f>
        <v>0.479335484348137</v>
      </c>
      <c r="P231" s="17">
        <f ca="1">IFERROR(__xludf.DUMMYFUNCTION("""COMPUTED_VALUE"""),1.00741954152079)</f>
        <v>1.0074195415207901</v>
      </c>
      <c r="Q231" s="17">
        <f ca="1">IFERROR(__xludf.DUMMYFUNCTION("""COMPUTED_VALUE"""),1.06050617396319)</f>
        <v>1.06050617396319</v>
      </c>
      <c r="R231" s="17">
        <f ca="1">IFERROR(__xludf.DUMMYFUNCTION("""COMPUTED_VALUE"""),1.25650525305137)</f>
        <v>1.2565052530513701</v>
      </c>
      <c r="S231" s="17">
        <f ca="1">IFERROR(__xludf.DUMMYFUNCTION("""COMPUTED_VALUE"""),0.698933062397722)</f>
        <v>0.69893306239772202</v>
      </c>
      <c r="T231" s="17">
        <f ca="1">IFERROR(__xludf.DUMMYFUNCTION("""COMPUTED_VALUE"""),0.321826607489592)</f>
        <v>0.32182660748959202</v>
      </c>
      <c r="U231" s="17">
        <f ca="1">IFERROR(__xludf.DUMMYFUNCTION("""COMPUTED_VALUE"""),0.368380910742166)</f>
        <v>0.368380910742166</v>
      </c>
      <c r="V231" s="17">
        <f ca="1">IFERROR(__xludf.DUMMYFUNCTION("""COMPUTED_VALUE"""),0.280758399704805)</f>
        <v>0.28075839970480498</v>
      </c>
      <c r="W231" s="17">
        <f ca="1">IFERROR(__xludf.DUMMYFUNCTION("""COMPUTED_VALUE"""),0.535987529738363)</f>
        <v>0.53598752973836306</v>
      </c>
      <c r="X231" s="17">
        <f ca="1">IFERROR(__xludf.DUMMYFUNCTION("""COMPUTED_VALUE"""),0.268691689701189)</f>
        <v>0.26869168970118901</v>
      </c>
      <c r="Y231" s="17">
        <f ca="1">IFERROR(__xludf.DUMMYFUNCTION("""COMPUTED_VALUE"""),0.409929574478512)</f>
        <v>0.40992957447851203</v>
      </c>
      <c r="Z231" s="17">
        <f ca="1">IFERROR(__xludf.DUMMYFUNCTION("""COMPUTED_VALUE"""),0.28263210449517)</f>
        <v>0.28263210449517001</v>
      </c>
      <c r="AA231" s="17">
        <f ca="1">IFERROR(__xludf.DUMMYFUNCTION("""COMPUTED_VALUE"""),0.476904183111605)</f>
        <v>0.47690418311160498</v>
      </c>
      <c r="AB231" s="17">
        <f ca="1">IFERROR(__xludf.DUMMYFUNCTION("""COMPUTED_VALUE"""),2.24885410053836)</f>
        <v>2.24885410053836</v>
      </c>
      <c r="AC231" s="17">
        <f ca="1">IFERROR(__xludf.DUMMYFUNCTION("""COMPUTED_VALUE"""),0.618629241033831)</f>
        <v>0.61862924103383099</v>
      </c>
      <c r="AD231" s="17">
        <f ca="1">IFERROR(__xludf.DUMMYFUNCTION("""COMPUTED_VALUE"""),0.583117205706744)</f>
        <v>0.58311720570674397</v>
      </c>
      <c r="AE231" s="17">
        <f ca="1">IFERROR(__xludf.DUMMYFUNCTION("""COMPUTED_VALUE"""),0.960902933904768)</f>
        <v>0.960902933904768</v>
      </c>
      <c r="AF231" s="17">
        <f ca="1">IFERROR(__xludf.DUMMYFUNCTION("""COMPUTED_VALUE"""),0.305008053160764)</f>
        <v>0.30500805316076401</v>
      </c>
      <c r="AG231" s="17">
        <f ca="1">IFERROR(__xludf.DUMMYFUNCTION("""COMPUTED_VALUE"""),0.309118527898417)</f>
        <v>0.30911852789841698</v>
      </c>
      <c r="AH231" s="17">
        <f ca="1">IFERROR(__xludf.DUMMYFUNCTION("""COMPUTED_VALUE"""),0.288807020275522)</f>
        <v>0.28880702027552202</v>
      </c>
      <c r="AI231" s="17" t="str">
        <f ca="1">IFERROR(__xludf.DUMMYFUNCTION("""COMPUTED_VALUE"""),"nan")</f>
        <v>nan</v>
      </c>
      <c r="AJ231" s="17">
        <f ca="1">IFERROR(__xludf.DUMMYFUNCTION("""COMPUTED_VALUE"""),0.304919642349535)</f>
        <v>0.304919642349535</v>
      </c>
    </row>
    <row r="232" spans="2:36" ht="15.75" customHeight="1" x14ac:dyDescent="0.45">
      <c r="B232" s="10" t="str">
        <f ca="1">IFERROR(__xludf.DUMMYFUNCTION("""COMPUTED_VALUE"""),"EOGVerticalSignal")</f>
        <v>EOGVerticalSignal</v>
      </c>
      <c r="C232" s="10" t="str">
        <f ca="1">IFERROR(__xludf.DUMMYFUNCTION("""COMPUTED_VALUE"""),"aligned_timestamps")</f>
        <v>aligned_timestamps</v>
      </c>
      <c r="D232" s="10">
        <f ca="1">IFERROR(__xludf.DUMMYFUNCTION("""COMPUTED_VALUE"""),0.1)</f>
        <v>0.1</v>
      </c>
      <c r="E232" s="17">
        <f ca="1">IFERROR(__xludf.DUMMYFUNCTION("""COMPUTED_VALUE"""),0.682375053857756)</f>
        <v>0.68237505385775599</v>
      </c>
      <c r="F232" s="17">
        <f ca="1">IFERROR(__xludf.DUMMYFUNCTION("""COMPUTED_VALUE"""),0.411946693071944)</f>
        <v>0.41194669307194398</v>
      </c>
      <c r="G232" s="17">
        <f ca="1">IFERROR(__xludf.DUMMYFUNCTION("""COMPUTED_VALUE"""),0.419161266627354)</f>
        <v>0.41916126662735398</v>
      </c>
      <c r="H232" s="17">
        <f ca="1">IFERROR(__xludf.DUMMYFUNCTION("""COMPUTED_VALUE"""),0.37098407442984)</f>
        <v>0.37098407442983999</v>
      </c>
      <c r="I232" s="17">
        <f ca="1">IFERROR(__xludf.DUMMYFUNCTION("""COMPUTED_VALUE"""),0.376285222968473)</f>
        <v>0.376285222968473</v>
      </c>
      <c r="J232" s="17">
        <f ca="1">IFERROR(__xludf.DUMMYFUNCTION("""COMPUTED_VALUE"""),0.187545924860731)</f>
        <v>0.18754592486073099</v>
      </c>
      <c r="K232" s="17" t="str">
        <f ca="1">IFERROR(__xludf.DUMMYFUNCTION("""COMPUTED_VALUE"""),"nan")</f>
        <v>nan</v>
      </c>
      <c r="L232" s="17">
        <f ca="1">IFERROR(__xludf.DUMMYFUNCTION("""COMPUTED_VALUE"""),0.280490945273731)</f>
        <v>0.28049094527373097</v>
      </c>
      <c r="M232" s="17">
        <f ca="1">IFERROR(__xludf.DUMMYFUNCTION("""COMPUTED_VALUE"""),0.269710991128995)</f>
        <v>0.26971099112899499</v>
      </c>
      <c r="N232" s="17">
        <f ca="1">IFERROR(__xludf.DUMMYFUNCTION("""COMPUTED_VALUE"""),0.564265548713388)</f>
        <v>0.56426554871338797</v>
      </c>
      <c r="O232" s="17">
        <f ca="1">IFERROR(__xludf.DUMMYFUNCTION("""COMPUTED_VALUE"""),0.32426312030357)</f>
        <v>0.32426312030357002</v>
      </c>
      <c r="P232" s="17">
        <f ca="1">IFERROR(__xludf.DUMMYFUNCTION("""COMPUTED_VALUE"""),0.633777510715758)</f>
        <v>0.63377751071575805</v>
      </c>
      <c r="Q232" s="17">
        <f ca="1">IFERROR(__xludf.DUMMYFUNCTION("""COMPUTED_VALUE"""),0.744274257375634)</f>
        <v>0.74427425737563402</v>
      </c>
      <c r="R232" s="17">
        <f ca="1">IFERROR(__xludf.DUMMYFUNCTION("""COMPUTED_VALUE"""),0.542445154587268)</f>
        <v>0.54244515458726805</v>
      </c>
      <c r="S232" s="17">
        <f ca="1">IFERROR(__xludf.DUMMYFUNCTION("""COMPUTED_VALUE"""),0.154105634957412)</f>
        <v>0.154105634957412</v>
      </c>
      <c r="T232" s="17">
        <f ca="1">IFERROR(__xludf.DUMMYFUNCTION("""COMPUTED_VALUE"""),0.175062838375327)</f>
        <v>0.17506283837532699</v>
      </c>
      <c r="U232" s="17">
        <f ca="1">IFERROR(__xludf.DUMMYFUNCTION("""COMPUTED_VALUE"""),0.187821631233874)</f>
        <v>0.18782163123387399</v>
      </c>
      <c r="V232" s="17">
        <f ca="1">IFERROR(__xludf.DUMMYFUNCTION("""COMPUTED_VALUE"""),0.118599403917335)</f>
        <v>0.11859940391733501</v>
      </c>
      <c r="W232" s="17">
        <f ca="1">IFERROR(__xludf.DUMMYFUNCTION("""COMPUTED_VALUE"""),0.520018244622765)</f>
        <v>0.52001824462276502</v>
      </c>
      <c r="X232" s="17">
        <f ca="1">IFERROR(__xludf.DUMMYFUNCTION("""COMPUTED_VALUE"""),0.277912303065799)</f>
        <v>0.277912303065799</v>
      </c>
      <c r="Y232" s="17">
        <f ca="1">IFERROR(__xludf.DUMMYFUNCTION("""COMPUTED_VALUE"""),0.176939480982463)</f>
        <v>0.17693948098246301</v>
      </c>
      <c r="Z232" s="17">
        <f ca="1">IFERROR(__xludf.DUMMYFUNCTION("""COMPUTED_VALUE"""),0.137022162657195)</f>
        <v>0.137022162657195</v>
      </c>
      <c r="AA232" s="17">
        <f ca="1">IFERROR(__xludf.DUMMYFUNCTION("""COMPUTED_VALUE"""),0.424455133088913)</f>
        <v>0.42445513308891297</v>
      </c>
      <c r="AB232" s="17">
        <f ca="1">IFERROR(__xludf.DUMMYFUNCTION("""COMPUTED_VALUE"""),0.427074158399825)</f>
        <v>0.42707415839982499</v>
      </c>
      <c r="AC232" s="17">
        <f ca="1">IFERROR(__xludf.DUMMYFUNCTION("""COMPUTED_VALUE"""),0.490374105138589)</f>
        <v>0.49037410513858898</v>
      </c>
      <c r="AD232" s="17">
        <f ca="1">IFERROR(__xludf.DUMMYFUNCTION("""COMPUTED_VALUE"""),0.443771059514512)</f>
        <v>0.44377105951451201</v>
      </c>
      <c r="AE232" s="17">
        <f ca="1">IFERROR(__xludf.DUMMYFUNCTION("""COMPUTED_VALUE"""),0.912536039775109)</f>
        <v>0.912536039775109</v>
      </c>
      <c r="AF232" s="17">
        <f ca="1">IFERROR(__xludf.DUMMYFUNCTION("""COMPUTED_VALUE"""),0.103498673669372)</f>
        <v>0.103498673669372</v>
      </c>
      <c r="AG232" s="17">
        <f ca="1">IFERROR(__xludf.DUMMYFUNCTION("""COMPUTED_VALUE"""),0.120193448532908)</f>
        <v>0.120193448532908</v>
      </c>
      <c r="AH232" s="17">
        <f ca="1">IFERROR(__xludf.DUMMYFUNCTION("""COMPUTED_VALUE"""),0.112284499508801)</f>
        <v>0.112284499508801</v>
      </c>
      <c r="AI232" s="17">
        <f ca="1">IFERROR(__xludf.DUMMYFUNCTION("""COMPUTED_VALUE"""),0.11450774863024)</f>
        <v>0.11450774863024001</v>
      </c>
      <c r="AJ232" s="17">
        <f ca="1">IFERROR(__xludf.DUMMYFUNCTION("""COMPUTED_VALUE"""),0.117438888391105)</f>
        <v>0.117438888391105</v>
      </c>
    </row>
    <row r="233" spans="2:36" ht="15.75" customHeight="1" x14ac:dyDescent="0.45">
      <c r="B233" s="10" t="str">
        <f ca="1">IFERROR(__xludf.DUMMYFUNCTION("""COMPUTED_VALUE"""),"EOGVerticalSignal")</f>
        <v>EOGVerticalSignal</v>
      </c>
      <c r="C233" s="10" t="str">
        <f ca="1">IFERROR(__xludf.DUMMYFUNCTION("""COMPUTED_VALUE"""),"aligned_timestamps")</f>
        <v>aligned_timestamps</v>
      </c>
      <c r="D233" s="10">
        <f ca="1">IFERROR(__xludf.DUMMYFUNCTION("""COMPUTED_VALUE"""),0.2)</f>
        <v>0.2</v>
      </c>
      <c r="E233" s="17">
        <f ca="1">IFERROR(__xludf.DUMMYFUNCTION("""COMPUTED_VALUE"""),0.690116126173072)</f>
        <v>0.69011612617307205</v>
      </c>
      <c r="F233" s="17">
        <f ca="1">IFERROR(__xludf.DUMMYFUNCTION("""COMPUTED_VALUE"""),0.423066286254676)</f>
        <v>0.42306628625467602</v>
      </c>
      <c r="G233" s="17">
        <f ca="1">IFERROR(__xludf.DUMMYFUNCTION("""COMPUTED_VALUE"""),0.432360338088853)</f>
        <v>0.43236033808885299</v>
      </c>
      <c r="H233" s="17">
        <f ca="1">IFERROR(__xludf.DUMMYFUNCTION("""COMPUTED_VALUE"""),0.372379951011063)</f>
        <v>0.37237995101106303</v>
      </c>
      <c r="I233" s="17">
        <f ca="1">IFERROR(__xludf.DUMMYFUNCTION("""COMPUTED_VALUE"""),0.368993831525783)</f>
        <v>0.36899383152578302</v>
      </c>
      <c r="J233" s="17">
        <f ca="1">IFERROR(__xludf.DUMMYFUNCTION("""COMPUTED_VALUE"""),0.177802159093239)</f>
        <v>0.17780215909323899</v>
      </c>
      <c r="K233" s="17" t="str">
        <f ca="1">IFERROR(__xludf.DUMMYFUNCTION("""COMPUTED_VALUE"""),"nan")</f>
        <v>nan</v>
      </c>
      <c r="L233" s="17">
        <f ca="1">IFERROR(__xludf.DUMMYFUNCTION("""COMPUTED_VALUE"""),0.262817747411286)</f>
        <v>0.262817747411286</v>
      </c>
      <c r="M233" s="17">
        <f ca="1">IFERROR(__xludf.DUMMYFUNCTION("""COMPUTED_VALUE"""),0.310780482891125)</f>
        <v>0.31078048289112498</v>
      </c>
      <c r="N233" s="17">
        <f ca="1">IFERROR(__xludf.DUMMYFUNCTION("""COMPUTED_VALUE"""),0.576885334913458)</f>
        <v>0.57688533491345795</v>
      </c>
      <c r="O233" s="17">
        <f ca="1">IFERROR(__xludf.DUMMYFUNCTION("""COMPUTED_VALUE"""),0.331758142609735)</f>
        <v>0.33175814260973502</v>
      </c>
      <c r="P233" s="17">
        <f ca="1">IFERROR(__xludf.DUMMYFUNCTION("""COMPUTED_VALUE"""),0.723693565374853)</f>
        <v>0.72369356537485297</v>
      </c>
      <c r="Q233" s="17">
        <f ca="1">IFERROR(__xludf.DUMMYFUNCTION("""COMPUTED_VALUE"""),0.734008439526756)</f>
        <v>0.73400843952675598</v>
      </c>
      <c r="R233" s="17">
        <f ca="1">IFERROR(__xludf.DUMMYFUNCTION("""COMPUTED_VALUE"""),0.783911159249733)</f>
        <v>0.78391115924973298</v>
      </c>
      <c r="S233" s="17">
        <f ca="1">IFERROR(__xludf.DUMMYFUNCTION("""COMPUTED_VALUE"""),0.15714847230493)</f>
        <v>0.15714847230493001</v>
      </c>
      <c r="T233" s="17">
        <f ca="1">IFERROR(__xludf.DUMMYFUNCTION("""COMPUTED_VALUE"""),0.307360558312638)</f>
        <v>0.30736055831263798</v>
      </c>
      <c r="U233" s="17">
        <f ca="1">IFERROR(__xludf.DUMMYFUNCTION("""COMPUTED_VALUE"""),0.30106914261701)</f>
        <v>0.30106914261701001</v>
      </c>
      <c r="V233" s="17">
        <f ca="1">IFERROR(__xludf.DUMMYFUNCTION("""COMPUTED_VALUE"""),0.167697289958594)</f>
        <v>0.16769728995859401</v>
      </c>
      <c r="W233" s="17">
        <f ca="1">IFERROR(__xludf.DUMMYFUNCTION("""COMPUTED_VALUE"""),0.554938798414427)</f>
        <v>0.55493879841442695</v>
      </c>
      <c r="X233" s="17">
        <f ca="1">IFERROR(__xludf.DUMMYFUNCTION("""COMPUTED_VALUE"""),0.263345325548926)</f>
        <v>0.26334532554892598</v>
      </c>
      <c r="Y233" s="17">
        <f ca="1">IFERROR(__xludf.DUMMYFUNCTION("""COMPUTED_VALUE"""),0.238678387003696)</f>
        <v>0.23867838700369601</v>
      </c>
      <c r="Z233" s="17">
        <f ca="1">IFERROR(__xludf.DUMMYFUNCTION("""COMPUTED_VALUE"""),0.171721242671547)</f>
        <v>0.17172124267154701</v>
      </c>
      <c r="AA233" s="17">
        <f ca="1">IFERROR(__xludf.DUMMYFUNCTION("""COMPUTED_VALUE"""),0.384323400059575)</f>
        <v>0.38432340005957499</v>
      </c>
      <c r="AB233" s="17">
        <f ca="1">IFERROR(__xludf.DUMMYFUNCTION("""COMPUTED_VALUE"""),0.661499796621091)</f>
        <v>0.66149979662109104</v>
      </c>
      <c r="AC233" s="17">
        <f ca="1">IFERROR(__xludf.DUMMYFUNCTION("""COMPUTED_VALUE"""),0.521102006995807)</f>
        <v>0.521102006995807</v>
      </c>
      <c r="AD233" s="17">
        <f ca="1">IFERROR(__xludf.DUMMYFUNCTION("""COMPUTED_VALUE"""),0.477423450991342)</f>
        <v>0.47742345099134198</v>
      </c>
      <c r="AE233" s="17">
        <f ca="1">IFERROR(__xludf.DUMMYFUNCTION("""COMPUTED_VALUE"""),0.959349999617141)</f>
        <v>0.95934999961714096</v>
      </c>
      <c r="AF233" s="17">
        <f ca="1">IFERROR(__xludf.DUMMYFUNCTION("""COMPUTED_VALUE"""),0.235854630940854)</f>
        <v>0.23585463094085399</v>
      </c>
      <c r="AG233" s="17">
        <f ca="1">IFERROR(__xludf.DUMMYFUNCTION("""COMPUTED_VALUE"""),0.299011302436309)</f>
        <v>0.29901130243630902</v>
      </c>
      <c r="AH233" s="17">
        <f ca="1">IFERROR(__xludf.DUMMYFUNCTION("""COMPUTED_VALUE"""),0.288018160613662)</f>
        <v>0.28801816061366198</v>
      </c>
      <c r="AI233" s="17" t="str">
        <f ca="1">IFERROR(__xludf.DUMMYFUNCTION("""COMPUTED_VALUE"""),"nan")</f>
        <v>nan</v>
      </c>
      <c r="AJ233" s="17">
        <f ca="1">IFERROR(__xludf.DUMMYFUNCTION("""COMPUTED_VALUE"""),0.270345114627034)</f>
        <v>0.27034511462703398</v>
      </c>
    </row>
    <row r="234" spans="2:36" ht="15.75" customHeight="1" x14ac:dyDescent="0.45">
      <c r="B234" s="10" t="str">
        <f ca="1">IFERROR(__xludf.DUMMYFUNCTION("""COMPUTED_VALUE"""),"EOGVerticalSignal")</f>
        <v>EOGVerticalSignal</v>
      </c>
      <c r="C234" s="10" t="str">
        <f ca="1">IFERROR(__xludf.DUMMYFUNCTION("""COMPUTED_VALUE"""),"aligned_timestamps")</f>
        <v>aligned_timestamps</v>
      </c>
      <c r="D234" s="10">
        <f ca="1">IFERROR(__xludf.DUMMYFUNCTION("""COMPUTED_VALUE"""),0.4)</f>
        <v>0.4</v>
      </c>
      <c r="E234" s="17">
        <f ca="1">IFERROR(__xludf.DUMMYFUNCTION("""COMPUTED_VALUE"""),1.27143818762392)</f>
        <v>1.27143818762392</v>
      </c>
      <c r="F234" s="17">
        <f ca="1">IFERROR(__xludf.DUMMYFUNCTION("""COMPUTED_VALUE"""),0.922148178203026)</f>
        <v>0.92214817820302597</v>
      </c>
      <c r="G234" s="17">
        <f ca="1">IFERROR(__xludf.DUMMYFUNCTION("""COMPUTED_VALUE"""),1.03672398166633)</f>
        <v>1.0367239816663301</v>
      </c>
      <c r="H234" s="17">
        <f ca="1">IFERROR(__xludf.DUMMYFUNCTION("""COMPUTED_VALUE"""),1.11458516270036)</f>
        <v>1.11458516270036</v>
      </c>
      <c r="I234" s="17">
        <f ca="1">IFERROR(__xludf.DUMMYFUNCTION("""COMPUTED_VALUE"""),0.906247182097595)</f>
        <v>0.90624718209759503</v>
      </c>
      <c r="J234" s="17">
        <f ca="1">IFERROR(__xludf.DUMMYFUNCTION("""COMPUTED_VALUE"""),0.83970231229232)</f>
        <v>0.83970231229231995</v>
      </c>
      <c r="K234" s="17" t="str">
        <f ca="1">IFERROR(__xludf.DUMMYFUNCTION("""COMPUTED_VALUE"""),"nan")</f>
        <v>nan</v>
      </c>
      <c r="L234" s="17">
        <f ca="1">IFERROR(__xludf.DUMMYFUNCTION("""COMPUTED_VALUE"""),0.881495074392378)</f>
        <v>0.88149507439237795</v>
      </c>
      <c r="M234" s="17">
        <f ca="1">IFERROR(__xludf.DUMMYFUNCTION("""COMPUTED_VALUE"""),0.950148640883822)</f>
        <v>0.950148640883822</v>
      </c>
      <c r="N234" s="17">
        <f ca="1">IFERROR(__xludf.DUMMYFUNCTION("""COMPUTED_VALUE"""),0.909909349170014)</f>
        <v>0.90990934917001398</v>
      </c>
      <c r="O234" s="17">
        <f ca="1">IFERROR(__xludf.DUMMYFUNCTION("""COMPUTED_VALUE"""),0.914101536613852)</f>
        <v>0.91410153661385196</v>
      </c>
      <c r="P234" s="17">
        <f ca="1">IFERROR(__xludf.DUMMYFUNCTION("""COMPUTED_VALUE"""),1.34019668042669)</f>
        <v>1.34019668042669</v>
      </c>
      <c r="Q234" s="17">
        <f ca="1">IFERROR(__xludf.DUMMYFUNCTION("""COMPUTED_VALUE"""),1.19597929919023)</f>
        <v>1.19597929919023</v>
      </c>
      <c r="R234" s="17">
        <f ca="1">IFERROR(__xludf.DUMMYFUNCTION("""COMPUTED_VALUE"""),1.34682297103403)</f>
        <v>1.34682297103403</v>
      </c>
      <c r="S234" s="17">
        <f ca="1">IFERROR(__xludf.DUMMYFUNCTION("""COMPUTED_VALUE"""),1.02247972241107)</f>
        <v>1.02247972241107</v>
      </c>
      <c r="T234" s="17">
        <f ca="1">IFERROR(__xludf.DUMMYFUNCTION("""COMPUTED_VALUE"""),0.985071598861497)</f>
        <v>0.98507159886149698</v>
      </c>
      <c r="U234" s="17">
        <f ca="1">IFERROR(__xludf.DUMMYFUNCTION("""COMPUTED_VALUE"""),0.955674241025894)</f>
        <v>0.95567424102589404</v>
      </c>
      <c r="V234" s="17">
        <f ca="1">IFERROR(__xludf.DUMMYFUNCTION("""COMPUTED_VALUE"""),1.10028148465147)</f>
        <v>1.1002814846514699</v>
      </c>
      <c r="W234" s="17">
        <f ca="1">IFERROR(__xludf.DUMMYFUNCTION("""COMPUTED_VALUE"""),1.23020047445274)</f>
        <v>1.2302004744527399</v>
      </c>
      <c r="X234" s="17">
        <f ca="1">IFERROR(__xludf.DUMMYFUNCTION("""COMPUTED_VALUE"""),0.81628203769787)</f>
        <v>0.81628203769787</v>
      </c>
      <c r="Y234" s="17">
        <f ca="1">IFERROR(__xludf.DUMMYFUNCTION("""COMPUTED_VALUE"""),0.854382476289091)</f>
        <v>0.85438247628909103</v>
      </c>
      <c r="Z234" s="17">
        <f ca="1">IFERROR(__xludf.DUMMYFUNCTION("""COMPUTED_VALUE"""),1.09598892308633)</f>
        <v>1.09598892308633</v>
      </c>
      <c r="AA234" s="17">
        <f ca="1">IFERROR(__xludf.DUMMYFUNCTION("""COMPUTED_VALUE"""),1.15969190590335)</f>
        <v>1.1596919059033499</v>
      </c>
      <c r="AB234" s="17">
        <f ca="1">IFERROR(__xludf.DUMMYFUNCTION("""COMPUTED_VALUE"""),1.1339852128561)</f>
        <v>1.1339852128561001</v>
      </c>
      <c r="AC234" s="17">
        <f ca="1">IFERROR(__xludf.DUMMYFUNCTION("""COMPUTED_VALUE"""),1.17078999177762)</f>
        <v>1.1707899917776201</v>
      </c>
      <c r="AD234" s="17">
        <f ca="1">IFERROR(__xludf.DUMMYFUNCTION("""COMPUTED_VALUE"""),1.17460233966599)</f>
        <v>1.1746023396659899</v>
      </c>
      <c r="AE234" s="17" t="str">
        <f ca="1">IFERROR(__xludf.DUMMYFUNCTION("""COMPUTED_VALUE"""),"nan")</f>
        <v>nan</v>
      </c>
      <c r="AF234" s="17">
        <f ca="1">IFERROR(__xludf.DUMMYFUNCTION("""COMPUTED_VALUE"""),1.45932346320228)</f>
        <v>1.45932346320228</v>
      </c>
      <c r="AG234" s="17">
        <f ca="1">IFERROR(__xludf.DUMMYFUNCTION("""COMPUTED_VALUE"""),1.45515342948408)</f>
        <v>1.45515342948408</v>
      </c>
      <c r="AH234" s="17">
        <f ca="1">IFERROR(__xludf.DUMMYFUNCTION("""COMPUTED_VALUE"""),1.38549656182659)</f>
        <v>1.38549656182659</v>
      </c>
      <c r="AI234" s="17" t="str">
        <f ca="1">IFERROR(__xludf.DUMMYFUNCTION("""COMPUTED_VALUE"""),"nan")</f>
        <v>nan</v>
      </c>
      <c r="AJ234" s="17">
        <f ca="1">IFERROR(__xludf.DUMMYFUNCTION("""COMPUTED_VALUE"""),1.4506515835686)</f>
        <v>1.4506515835686</v>
      </c>
    </row>
    <row r="235" spans="2:36" ht="15.75" customHeight="1" x14ac:dyDescent="0.45">
      <c r="B235" s="10" t="str">
        <f ca="1">IFERROR(__xludf.DUMMYFUNCTION("""COMPUTED_VALUE"""),"EOGVerticalSignal")</f>
        <v>EOGVerticalSignal</v>
      </c>
      <c r="C235" s="10" t="str">
        <f ca="1">IFERROR(__xludf.DUMMYFUNCTION("""COMPUTED_VALUE"""),"aligned_timestamps")</f>
        <v>aligned_timestamps</v>
      </c>
      <c r="D235" s="10">
        <f ca="1">IFERROR(__xludf.DUMMYFUNCTION("""COMPUTED_VALUE"""),0.6)</f>
        <v>0.6</v>
      </c>
      <c r="E235" s="17">
        <f ca="1">IFERROR(__xludf.DUMMYFUNCTION("""COMPUTED_VALUE"""),1.16083403701674)</f>
        <v>1.16083403701674</v>
      </c>
      <c r="F235" s="17">
        <f ca="1">IFERROR(__xludf.DUMMYFUNCTION("""COMPUTED_VALUE"""),1.02314034413588)</f>
        <v>1.02314034413588</v>
      </c>
      <c r="G235" s="17">
        <f ca="1">IFERROR(__xludf.DUMMYFUNCTION("""COMPUTED_VALUE"""),1.13386612126266)</f>
        <v>1.13386612126266</v>
      </c>
      <c r="H235" s="17">
        <f ca="1">IFERROR(__xludf.DUMMYFUNCTION("""COMPUTED_VALUE"""),1.19703693381322)</f>
        <v>1.1970369338132201</v>
      </c>
      <c r="I235" s="17">
        <f ca="1">IFERROR(__xludf.DUMMYFUNCTION("""COMPUTED_VALUE"""),1.00545695934468)</f>
        <v>1.00545695934468</v>
      </c>
      <c r="J235" s="17">
        <f ca="1">IFERROR(__xludf.DUMMYFUNCTION("""COMPUTED_VALUE"""),1.04465858281239)</f>
        <v>1.04465858281239</v>
      </c>
      <c r="K235" s="17" t="str">
        <f ca="1">IFERROR(__xludf.DUMMYFUNCTION("""COMPUTED_VALUE"""),"nan")</f>
        <v>nan</v>
      </c>
      <c r="L235" s="17">
        <f ca="1">IFERROR(__xludf.DUMMYFUNCTION("""COMPUTED_VALUE"""),0.868669198256115)</f>
        <v>0.86866919825611499</v>
      </c>
      <c r="M235" s="17">
        <f ca="1">IFERROR(__xludf.DUMMYFUNCTION("""COMPUTED_VALUE"""),1.02115609780844)</f>
        <v>1.02115609780844</v>
      </c>
      <c r="N235" s="17">
        <f ca="1">IFERROR(__xludf.DUMMYFUNCTION("""COMPUTED_VALUE"""),0.852973685987205)</f>
        <v>0.85297368598720502</v>
      </c>
      <c r="O235" s="17">
        <f ca="1">IFERROR(__xludf.DUMMYFUNCTION("""COMPUTED_VALUE"""),0.866057065537512)</f>
        <v>0.86605706553751205</v>
      </c>
      <c r="P235" s="17">
        <f ca="1">IFERROR(__xludf.DUMMYFUNCTION("""COMPUTED_VALUE"""),1.36932217796429)</f>
        <v>1.3693221779642899</v>
      </c>
      <c r="Q235" s="17">
        <f ca="1">IFERROR(__xludf.DUMMYFUNCTION("""COMPUTED_VALUE"""),1.08986799484672)</f>
        <v>1.08986799484672</v>
      </c>
      <c r="R235" s="17">
        <f ca="1">IFERROR(__xludf.DUMMYFUNCTION("""COMPUTED_VALUE"""),1.32660100299597)</f>
        <v>1.3266010029959701</v>
      </c>
      <c r="S235" s="17">
        <f ca="1">IFERROR(__xludf.DUMMYFUNCTION("""COMPUTED_VALUE"""),0.985855329207059)</f>
        <v>0.98585532920705898</v>
      </c>
      <c r="T235" s="17">
        <f ca="1">IFERROR(__xludf.DUMMYFUNCTION("""COMPUTED_VALUE"""),0.948868920929787)</f>
        <v>0.94886892092978703</v>
      </c>
      <c r="U235" s="17">
        <f ca="1">IFERROR(__xludf.DUMMYFUNCTION("""COMPUTED_VALUE"""),0.987136811732954)</f>
        <v>0.98713681173295398</v>
      </c>
      <c r="V235" s="17">
        <f ca="1">IFERROR(__xludf.DUMMYFUNCTION("""COMPUTED_VALUE"""),1.14383734149485)</f>
        <v>1.1438373414948499</v>
      </c>
      <c r="W235" s="17">
        <f ca="1">IFERROR(__xludf.DUMMYFUNCTION("""COMPUTED_VALUE"""),1.08373327688611)</f>
        <v>1.0837332768861101</v>
      </c>
      <c r="X235" s="17">
        <f ca="1">IFERROR(__xludf.DUMMYFUNCTION("""COMPUTED_VALUE"""),0.827569676658095)</f>
        <v>0.827569676658095</v>
      </c>
      <c r="Y235" s="17">
        <f ca="1">IFERROR(__xludf.DUMMYFUNCTION("""COMPUTED_VALUE"""),0.934984360066836)</f>
        <v>0.93498436006683605</v>
      </c>
      <c r="Z235" s="17">
        <f ca="1">IFERROR(__xludf.DUMMYFUNCTION("""COMPUTED_VALUE"""),1.0841583536633)</f>
        <v>1.0841583536632999</v>
      </c>
      <c r="AA235" s="17">
        <f ca="1">IFERROR(__xludf.DUMMYFUNCTION("""COMPUTED_VALUE"""),1.01432576363552)</f>
        <v>1.0143257636355201</v>
      </c>
      <c r="AB235" s="17">
        <f ca="1">IFERROR(__xludf.DUMMYFUNCTION("""COMPUTED_VALUE"""),1.04746053982457)</f>
        <v>1.04746053982457</v>
      </c>
      <c r="AC235" s="17">
        <f ca="1">IFERROR(__xludf.DUMMYFUNCTION("""COMPUTED_VALUE"""),1.15572655657065)</f>
        <v>1.15572655657065</v>
      </c>
      <c r="AD235" s="17">
        <f ca="1">IFERROR(__xludf.DUMMYFUNCTION("""COMPUTED_VALUE"""),1.10928161483321)</f>
        <v>1.1092816148332101</v>
      </c>
      <c r="AE235" s="17" t="str">
        <f ca="1">IFERROR(__xludf.DUMMYFUNCTION("""COMPUTED_VALUE"""),"nan")</f>
        <v>nan</v>
      </c>
      <c r="AF235" s="17">
        <f ca="1">IFERROR(__xludf.DUMMYFUNCTION("""COMPUTED_VALUE"""),1.24446322059734)</f>
        <v>1.24446322059734</v>
      </c>
      <c r="AG235" s="17">
        <f ca="1">IFERROR(__xludf.DUMMYFUNCTION("""COMPUTED_VALUE"""),1.24651196169556)</f>
        <v>1.24651196169556</v>
      </c>
      <c r="AH235" s="17">
        <f ca="1">IFERROR(__xludf.DUMMYFUNCTION("""COMPUTED_VALUE"""),1.18224376143034)</f>
        <v>1.18224376143034</v>
      </c>
      <c r="AI235" s="17" t="str">
        <f ca="1">IFERROR(__xludf.DUMMYFUNCTION("""COMPUTED_VALUE"""),"nan")</f>
        <v>nan</v>
      </c>
      <c r="AJ235" s="17">
        <f ca="1">IFERROR(__xludf.DUMMYFUNCTION("""COMPUTED_VALUE"""),1.30563126902421)</f>
        <v>1.30563126902421</v>
      </c>
    </row>
    <row r="236" spans="2:36" ht="15.75" customHeight="1" x14ac:dyDescent="0.45">
      <c r="B236" s="10" t="str">
        <f ca="1">IFERROR(__xludf.DUMMYFUNCTION("""COMPUTED_VALUE"""),"EOGVerticalSignal")</f>
        <v>EOGVerticalSignal</v>
      </c>
      <c r="C236" s="10" t="str">
        <f ca="1">IFERROR(__xludf.DUMMYFUNCTION("""COMPUTED_VALUE"""),"aligned_timestamps")</f>
        <v>aligned_timestamps</v>
      </c>
      <c r="D236" s="10">
        <f ca="1">IFERROR(__xludf.DUMMYFUNCTION("""COMPUTED_VALUE"""),0.8)</f>
        <v>0.8</v>
      </c>
      <c r="E236" s="17">
        <f ca="1">IFERROR(__xludf.DUMMYFUNCTION("""COMPUTED_VALUE"""),1.04890122501283)</f>
        <v>1.04890122501283</v>
      </c>
      <c r="F236" s="17">
        <f ca="1">IFERROR(__xludf.DUMMYFUNCTION("""COMPUTED_VALUE"""),0.909654362021124)</f>
        <v>0.90965436202112404</v>
      </c>
      <c r="G236" s="17">
        <f ca="1">IFERROR(__xludf.DUMMYFUNCTION("""COMPUTED_VALUE"""),0.98201204492705)</f>
        <v>0.98201204492704997</v>
      </c>
      <c r="H236" s="17">
        <f ca="1">IFERROR(__xludf.DUMMYFUNCTION("""COMPUTED_VALUE"""),1.15666908050718)</f>
        <v>1.15666908050718</v>
      </c>
      <c r="I236" s="17">
        <f ca="1">IFERROR(__xludf.DUMMYFUNCTION("""COMPUTED_VALUE"""),0.935107156233552)</f>
        <v>0.93510715623355201</v>
      </c>
      <c r="J236" s="17">
        <f ca="1">IFERROR(__xludf.DUMMYFUNCTION("""COMPUTED_VALUE"""),1.01444016008227)</f>
        <v>1.0144401600822699</v>
      </c>
      <c r="K236" s="17" t="str">
        <f ca="1">IFERROR(__xludf.DUMMYFUNCTION("""COMPUTED_VALUE"""),"nan")</f>
        <v>nan</v>
      </c>
      <c r="L236" s="17">
        <f ca="1">IFERROR(__xludf.DUMMYFUNCTION("""COMPUTED_VALUE"""),0.828282802205843)</f>
        <v>0.82828280220584305</v>
      </c>
      <c r="M236" s="17">
        <f ca="1">IFERROR(__xludf.DUMMYFUNCTION("""COMPUTED_VALUE"""),0.868493807770414)</f>
        <v>0.86849380777041396</v>
      </c>
      <c r="N236" s="17">
        <f ca="1">IFERROR(__xludf.DUMMYFUNCTION("""COMPUTED_VALUE"""),0.774446987170915)</f>
        <v>0.77444698717091498</v>
      </c>
      <c r="O236" s="17">
        <f ca="1">IFERROR(__xludf.DUMMYFUNCTION("""COMPUTED_VALUE"""),0.854975764605877)</f>
        <v>0.85497576460587699</v>
      </c>
      <c r="P236" s="17">
        <f ca="1">IFERROR(__xludf.DUMMYFUNCTION("""COMPUTED_VALUE"""),1.23050275093333)</f>
        <v>1.2305027509333299</v>
      </c>
      <c r="Q236" s="17">
        <f ca="1">IFERROR(__xludf.DUMMYFUNCTION("""COMPUTED_VALUE"""),0.986698988495007)</f>
        <v>0.98669898849500703</v>
      </c>
      <c r="R236" s="17">
        <f ca="1">IFERROR(__xludf.DUMMYFUNCTION("""COMPUTED_VALUE"""),1.48124142407273)</f>
        <v>1.4812414240727301</v>
      </c>
      <c r="S236" s="17">
        <f ca="1">IFERROR(__xludf.DUMMYFUNCTION("""COMPUTED_VALUE"""),0.91884817862689)</f>
        <v>0.91884817862689006</v>
      </c>
      <c r="T236" s="17">
        <f ca="1">IFERROR(__xludf.DUMMYFUNCTION("""COMPUTED_VALUE"""),0.876983465090417)</f>
        <v>0.87698346509041702</v>
      </c>
      <c r="U236" s="17">
        <f ca="1">IFERROR(__xludf.DUMMYFUNCTION("""COMPUTED_VALUE"""),0.966326875127771)</f>
        <v>0.96632687512777105</v>
      </c>
      <c r="V236" s="17">
        <f ca="1">IFERROR(__xludf.DUMMYFUNCTION("""COMPUTED_VALUE"""),1.17384217293426)</f>
        <v>1.1738421729342601</v>
      </c>
      <c r="W236" s="17">
        <f ca="1">IFERROR(__xludf.DUMMYFUNCTION("""COMPUTED_VALUE"""),1.05535918864648)</f>
        <v>1.0553591886464799</v>
      </c>
      <c r="X236" s="17">
        <f ca="1">IFERROR(__xludf.DUMMYFUNCTION("""COMPUTED_VALUE"""),0.845897177902333)</f>
        <v>0.84589717790233299</v>
      </c>
      <c r="Y236" s="17">
        <f ca="1">IFERROR(__xludf.DUMMYFUNCTION("""COMPUTED_VALUE"""),0.936782633992636)</f>
        <v>0.93678263399263595</v>
      </c>
      <c r="Z236" s="17">
        <f ca="1">IFERROR(__xludf.DUMMYFUNCTION("""COMPUTED_VALUE"""),1.01332227644721)</f>
        <v>1.0133222764472101</v>
      </c>
      <c r="AA236" s="17">
        <f ca="1">IFERROR(__xludf.DUMMYFUNCTION("""COMPUTED_VALUE"""),0.919700914909486)</f>
        <v>0.91970091490948602</v>
      </c>
      <c r="AB236" s="17">
        <f ca="1">IFERROR(__xludf.DUMMYFUNCTION("""COMPUTED_VALUE"""),0.976767669742217)</f>
        <v>0.97676766974221696</v>
      </c>
      <c r="AC236" s="17">
        <f ca="1">IFERROR(__xludf.DUMMYFUNCTION("""COMPUTED_VALUE"""),1.1624536761083)</f>
        <v>1.1624536761083</v>
      </c>
      <c r="AD236" s="17">
        <f ca="1">IFERROR(__xludf.DUMMYFUNCTION("""COMPUTED_VALUE"""),1.010626424509)</f>
        <v>1.010626424509</v>
      </c>
      <c r="AE236" s="17" t="str">
        <f ca="1">IFERROR(__xludf.DUMMYFUNCTION("""COMPUTED_VALUE"""),"nan")</f>
        <v>nan</v>
      </c>
      <c r="AF236" s="17">
        <f ca="1">IFERROR(__xludf.DUMMYFUNCTION("""COMPUTED_VALUE"""),1.06554517469381)</f>
        <v>1.06554517469381</v>
      </c>
      <c r="AG236" s="17">
        <f ca="1">IFERROR(__xludf.DUMMYFUNCTION("""COMPUTED_VALUE"""),1.08141311129837)</f>
        <v>1.08141311129837</v>
      </c>
      <c r="AH236" s="17">
        <f ca="1">IFERROR(__xludf.DUMMYFUNCTION("""COMPUTED_VALUE"""),1.04090422552365)</f>
        <v>1.04090422552365</v>
      </c>
      <c r="AI236" s="17" t="str">
        <f ca="1">IFERROR(__xludf.DUMMYFUNCTION("""COMPUTED_VALUE"""),"nan")</f>
        <v>nan</v>
      </c>
      <c r="AJ236" s="17">
        <f ca="1">IFERROR(__xludf.DUMMYFUNCTION("""COMPUTED_VALUE"""),1.06231542910918)</f>
        <v>1.0623154291091801</v>
      </c>
    </row>
    <row r="237" spans="2:36" ht="15.75" customHeight="1" x14ac:dyDescent="0.45">
      <c r="B237" s="10" t="str">
        <f ca="1">IFERROR(__xludf.DUMMYFUNCTION("""COMPUTED_VALUE"""),"EOGVerticalSignal")</f>
        <v>EOGVerticalSignal</v>
      </c>
      <c r="C237" s="10" t="str">
        <f ca="1">IFERROR(__xludf.DUMMYFUNCTION("""COMPUTED_VALUE"""),"mcar")</f>
        <v>mcar</v>
      </c>
      <c r="D237" s="10">
        <f ca="1">IFERROR(__xludf.DUMMYFUNCTION("""COMPUTED_VALUE"""),0.1)</f>
        <v>0.1</v>
      </c>
      <c r="E237" s="17">
        <f ca="1">IFERROR(__xludf.DUMMYFUNCTION("""COMPUTED_VALUE"""),1.05811567476519)</f>
        <v>1.0581156747651901</v>
      </c>
      <c r="F237" s="17">
        <f ca="1">IFERROR(__xludf.DUMMYFUNCTION("""COMPUTED_VALUE"""),0.611956944836128)</f>
        <v>0.61195694483612795</v>
      </c>
      <c r="G237" s="17">
        <f ca="1">IFERROR(__xludf.DUMMYFUNCTION("""COMPUTED_VALUE"""),0.616432538632933)</f>
        <v>0.61643253863293301</v>
      </c>
      <c r="H237" s="17">
        <f ca="1">IFERROR(__xludf.DUMMYFUNCTION("""COMPUTED_VALUE"""),0.690705304566745)</f>
        <v>0.69070530456674495</v>
      </c>
      <c r="I237" s="17">
        <f ca="1">IFERROR(__xludf.DUMMYFUNCTION("""COMPUTED_VALUE"""),0.621128110751105)</f>
        <v>0.62112811075110497</v>
      </c>
      <c r="J237" s="17">
        <f ca="1">IFERROR(__xludf.DUMMYFUNCTION("""COMPUTED_VALUE"""),0.600569645998817)</f>
        <v>0.60056964599881701</v>
      </c>
      <c r="K237" s="17" t="str">
        <f ca="1">IFERROR(__xludf.DUMMYFUNCTION("""COMPUTED_VALUE"""),"nan")</f>
        <v>nan</v>
      </c>
      <c r="L237" s="17">
        <f ca="1">IFERROR(__xludf.DUMMYFUNCTION("""COMPUTED_VALUE"""),0.507960626017321)</f>
        <v>0.50796062601732095</v>
      </c>
      <c r="M237" s="17">
        <f ca="1">IFERROR(__xludf.DUMMYFUNCTION("""COMPUTED_VALUE"""),0.634115742010994)</f>
        <v>0.63411574201099397</v>
      </c>
      <c r="N237" s="17">
        <f ca="1">IFERROR(__xludf.DUMMYFUNCTION("""COMPUTED_VALUE"""),0.342329317922204)</f>
        <v>0.342329317922204</v>
      </c>
      <c r="O237" s="17">
        <f ca="1">IFERROR(__xludf.DUMMYFUNCTION("""COMPUTED_VALUE"""),0.516689820038074)</f>
        <v>0.51668982003807395</v>
      </c>
      <c r="P237" s="17">
        <f ca="1">IFERROR(__xludf.DUMMYFUNCTION("""COMPUTED_VALUE"""),0.581859259118612)</f>
        <v>0.58185925911861203</v>
      </c>
      <c r="Q237" s="17">
        <f ca="1">IFERROR(__xludf.DUMMYFUNCTION("""COMPUTED_VALUE"""),1.08781306920082)</f>
        <v>1.0878130692008201</v>
      </c>
      <c r="R237" s="17">
        <f ca="1">IFERROR(__xludf.DUMMYFUNCTION("""COMPUTED_VALUE"""),0.320016579800743)</f>
        <v>0.320016579800743</v>
      </c>
      <c r="S237" s="17">
        <f ca="1">IFERROR(__xludf.DUMMYFUNCTION("""COMPUTED_VALUE"""),0.405464295541017)</f>
        <v>0.40546429554101698</v>
      </c>
      <c r="T237" s="17">
        <f ca="1">IFERROR(__xludf.DUMMYFUNCTION("""COMPUTED_VALUE"""),0.316843146938332)</f>
        <v>0.31684314693833199</v>
      </c>
      <c r="U237" s="17">
        <f ca="1">IFERROR(__xludf.DUMMYFUNCTION("""COMPUTED_VALUE"""),0.40619278834986)</f>
        <v>0.40619278834986</v>
      </c>
      <c r="V237" s="17">
        <f ca="1">IFERROR(__xludf.DUMMYFUNCTION("""COMPUTED_VALUE"""),0.337426642843502)</f>
        <v>0.33742664284350199</v>
      </c>
      <c r="W237" s="17">
        <f ca="1">IFERROR(__xludf.DUMMYFUNCTION("""COMPUTED_VALUE"""),0.243911934961632)</f>
        <v>0.24391193496163199</v>
      </c>
      <c r="X237" s="17">
        <f ca="1">IFERROR(__xludf.DUMMYFUNCTION("""COMPUTED_VALUE"""),0.376103478889686)</f>
        <v>0.37610347888968598</v>
      </c>
      <c r="Y237" s="17">
        <f ca="1">IFERROR(__xludf.DUMMYFUNCTION("""COMPUTED_VALUE"""),0.196470783720177)</f>
        <v>0.19647078372017701</v>
      </c>
      <c r="Z237" s="17">
        <f ca="1">IFERROR(__xludf.DUMMYFUNCTION("""COMPUTED_VALUE"""),0.400342940229367)</f>
        <v>0.40034294022936701</v>
      </c>
      <c r="AA237" s="17">
        <f ca="1">IFERROR(__xludf.DUMMYFUNCTION("""COMPUTED_VALUE"""),0.210259544991535)</f>
        <v>0.21025954499153501</v>
      </c>
      <c r="AB237" s="17">
        <f ca="1">IFERROR(__xludf.DUMMYFUNCTION("""COMPUTED_VALUE"""),0.430296934743712)</f>
        <v>0.430296934743712</v>
      </c>
      <c r="AC237" s="17">
        <f ca="1">IFERROR(__xludf.DUMMYFUNCTION("""COMPUTED_VALUE"""),0.236156166126125)</f>
        <v>0.236156166126125</v>
      </c>
      <c r="AD237" s="17">
        <f ca="1">IFERROR(__xludf.DUMMYFUNCTION("""COMPUTED_VALUE"""),0.162460333763034)</f>
        <v>0.16246033376303401</v>
      </c>
      <c r="AE237" s="17">
        <f ca="1">IFERROR(__xludf.DUMMYFUNCTION("""COMPUTED_VALUE"""),1.19435893836632)</f>
        <v>1.19435893836632</v>
      </c>
      <c r="AF237" s="17">
        <f ca="1">IFERROR(__xludf.DUMMYFUNCTION("""COMPUTED_VALUE"""),0.262510257531871)</f>
        <v>0.26251025753187102</v>
      </c>
      <c r="AG237" s="17">
        <f ca="1">IFERROR(__xludf.DUMMYFUNCTION("""COMPUTED_VALUE"""),0.361657407217513)</f>
        <v>0.36165740721751299</v>
      </c>
      <c r="AH237" s="17">
        <f ca="1">IFERROR(__xludf.DUMMYFUNCTION("""COMPUTED_VALUE"""),0.250098843394543)</f>
        <v>0.25009884339454302</v>
      </c>
      <c r="AI237" s="17">
        <f ca="1">IFERROR(__xludf.DUMMYFUNCTION("""COMPUTED_VALUE"""),0.572725228641102)</f>
        <v>0.57272522864110198</v>
      </c>
      <c r="AJ237" s="17">
        <f ca="1">IFERROR(__xludf.DUMMYFUNCTION("""COMPUTED_VALUE"""),0.268220888366357)</f>
        <v>0.26822088836635699</v>
      </c>
    </row>
    <row r="238" spans="2:36" ht="15.75" customHeight="1" x14ac:dyDescent="0.45">
      <c r="B238" s="10" t="str">
        <f ca="1">IFERROR(__xludf.DUMMYFUNCTION("""COMPUTED_VALUE"""),"EOGVerticalSignal")</f>
        <v>EOGVerticalSignal</v>
      </c>
      <c r="C238" s="10" t="str">
        <f ca="1">IFERROR(__xludf.DUMMYFUNCTION("""COMPUTED_VALUE"""),"mcar")</f>
        <v>mcar</v>
      </c>
      <c r="D238" s="10">
        <f ca="1">IFERROR(__xludf.DUMMYFUNCTION("""COMPUTED_VALUE"""),0.2)</f>
        <v>0.2</v>
      </c>
      <c r="E238" s="17">
        <f ca="1">IFERROR(__xludf.DUMMYFUNCTION("""COMPUTED_VALUE"""),1.08076515644989)</f>
        <v>1.0807651564498899</v>
      </c>
      <c r="F238" s="17">
        <f ca="1">IFERROR(__xludf.DUMMYFUNCTION("""COMPUTED_VALUE"""),0.666109002859496)</f>
        <v>0.66610900285949604</v>
      </c>
      <c r="G238" s="17">
        <f ca="1">IFERROR(__xludf.DUMMYFUNCTION("""COMPUTED_VALUE"""),0.679972408940374)</f>
        <v>0.67997240894037403</v>
      </c>
      <c r="H238" s="17">
        <f ca="1">IFERROR(__xludf.DUMMYFUNCTION("""COMPUTED_VALUE"""),0.740044804911447)</f>
        <v>0.74004480491144697</v>
      </c>
      <c r="I238" s="17">
        <f ca="1">IFERROR(__xludf.DUMMYFUNCTION("""COMPUTED_VALUE"""),0.669711679186873)</f>
        <v>0.66971167918687302</v>
      </c>
      <c r="J238" s="17">
        <f ca="1">IFERROR(__xludf.DUMMYFUNCTION("""COMPUTED_VALUE"""),0.624236991054873)</f>
        <v>0.62423699105487296</v>
      </c>
      <c r="K238" s="17" t="str">
        <f ca="1">IFERROR(__xludf.DUMMYFUNCTION("""COMPUTED_VALUE"""),"nan")</f>
        <v>nan</v>
      </c>
      <c r="L238" s="17">
        <f ca="1">IFERROR(__xludf.DUMMYFUNCTION("""COMPUTED_VALUE"""),0.538166009279724)</f>
        <v>0.53816600927972402</v>
      </c>
      <c r="M238" s="17">
        <f ca="1">IFERROR(__xludf.DUMMYFUNCTION("""COMPUTED_VALUE"""),0.675579486162158)</f>
        <v>0.67557948616215802</v>
      </c>
      <c r="N238" s="17">
        <f ca="1">IFERROR(__xludf.DUMMYFUNCTION("""COMPUTED_VALUE"""),0.465713951771084)</f>
        <v>0.46571395177108399</v>
      </c>
      <c r="O238" s="17">
        <f ca="1">IFERROR(__xludf.DUMMYFUNCTION("""COMPUTED_VALUE"""),0.568497983685525)</f>
        <v>0.56849798368552495</v>
      </c>
      <c r="P238" s="17">
        <f ca="1">IFERROR(__xludf.DUMMYFUNCTION("""COMPUTED_VALUE"""),0.636014167197143)</f>
        <v>0.63601416719714299</v>
      </c>
      <c r="Q238" s="17">
        <f ca="1">IFERROR(__xludf.DUMMYFUNCTION("""COMPUTED_VALUE"""),1.05912451419202)</f>
        <v>1.05912451419202</v>
      </c>
      <c r="R238" s="17">
        <f ca="1">IFERROR(__xludf.DUMMYFUNCTION("""COMPUTED_VALUE"""),0.393630650312158)</f>
        <v>0.39363065031215799</v>
      </c>
      <c r="S238" s="17">
        <f ca="1">IFERROR(__xludf.DUMMYFUNCTION("""COMPUTED_VALUE"""),0.576862472819692)</f>
        <v>0.57686247281969205</v>
      </c>
      <c r="T238" s="17">
        <f ca="1">IFERROR(__xludf.DUMMYFUNCTION("""COMPUTED_VALUE"""),0.387934716648394)</f>
        <v>0.38793471664839402</v>
      </c>
      <c r="U238" s="17">
        <f ca="1">IFERROR(__xludf.DUMMYFUNCTION("""COMPUTED_VALUE"""),0.507137338400648)</f>
        <v>0.50713733840064801</v>
      </c>
      <c r="V238" s="17">
        <f ca="1">IFERROR(__xludf.DUMMYFUNCTION("""COMPUTED_VALUE"""),0.401283907485561)</f>
        <v>0.40128390748556098</v>
      </c>
      <c r="W238" s="17">
        <f ca="1">IFERROR(__xludf.DUMMYFUNCTION("""COMPUTED_VALUE"""),0.420215208535928)</f>
        <v>0.42021520853592798</v>
      </c>
      <c r="X238" s="17">
        <f ca="1">IFERROR(__xludf.DUMMYFUNCTION("""COMPUTED_VALUE"""),0.406479962184597)</f>
        <v>0.40647996218459698</v>
      </c>
      <c r="Y238" s="17">
        <f ca="1">IFERROR(__xludf.DUMMYFUNCTION("""COMPUTED_VALUE"""),0.333445419237744)</f>
        <v>0.33344541923774401</v>
      </c>
      <c r="Z238" s="17">
        <f ca="1">IFERROR(__xludf.DUMMYFUNCTION("""COMPUTED_VALUE"""),0.486368326554417)</f>
        <v>0.48636832655441697</v>
      </c>
      <c r="AA238" s="17">
        <f ca="1">IFERROR(__xludf.DUMMYFUNCTION("""COMPUTED_VALUE"""),0.350891617541569)</f>
        <v>0.350891617541569</v>
      </c>
      <c r="AB238" s="17">
        <f ca="1">IFERROR(__xludf.DUMMYFUNCTION("""COMPUTED_VALUE"""),0.410447302356429)</f>
        <v>0.41044730235642901</v>
      </c>
      <c r="AC238" s="17">
        <f ca="1">IFERROR(__xludf.DUMMYFUNCTION("""COMPUTED_VALUE"""),0.359781533869485)</f>
        <v>0.35978153386948503</v>
      </c>
      <c r="AD238" s="17">
        <f ca="1">IFERROR(__xludf.DUMMYFUNCTION("""COMPUTED_VALUE"""),0.333516384578686)</f>
        <v>0.33351638457868599</v>
      </c>
      <c r="AE238" s="17">
        <f ca="1">IFERROR(__xludf.DUMMYFUNCTION("""COMPUTED_VALUE"""),1.20552118008341)</f>
        <v>1.20552118008341</v>
      </c>
      <c r="AF238" s="17">
        <f ca="1">IFERROR(__xludf.DUMMYFUNCTION("""COMPUTED_VALUE"""),0.472857742726281)</f>
        <v>0.47285774272628101</v>
      </c>
      <c r="AG238" s="17">
        <f ca="1">IFERROR(__xludf.DUMMYFUNCTION("""COMPUTED_VALUE"""),0.592485645049987)</f>
        <v>0.59248564504998702</v>
      </c>
      <c r="AH238" s="17">
        <f ca="1">IFERROR(__xludf.DUMMYFUNCTION("""COMPUTED_VALUE"""),0.426937150374459)</f>
        <v>0.42693715037445901</v>
      </c>
      <c r="AI238" s="17" t="str">
        <f ca="1">IFERROR(__xludf.DUMMYFUNCTION("""COMPUTED_VALUE"""),"nan")</f>
        <v>nan</v>
      </c>
      <c r="AJ238" s="17">
        <f ca="1">IFERROR(__xludf.DUMMYFUNCTION("""COMPUTED_VALUE"""),0.368965448181295)</f>
        <v>0.36896544818129501</v>
      </c>
    </row>
    <row r="239" spans="2:36" ht="15.75" customHeight="1" x14ac:dyDescent="0.45">
      <c r="B239" s="10" t="str">
        <f ca="1">IFERROR(__xludf.DUMMYFUNCTION("""COMPUTED_VALUE"""),"EOGVerticalSignal")</f>
        <v>EOGVerticalSignal</v>
      </c>
      <c r="C239" s="10" t="str">
        <f ca="1">IFERROR(__xludf.DUMMYFUNCTION("""COMPUTED_VALUE"""),"mcar")</f>
        <v>mcar</v>
      </c>
      <c r="D239" s="10">
        <f ca="1">IFERROR(__xludf.DUMMYFUNCTION("""COMPUTED_VALUE"""),0.4)</f>
        <v>0.4</v>
      </c>
      <c r="E239" s="17">
        <f ca="1">IFERROR(__xludf.DUMMYFUNCTION("""COMPUTED_VALUE"""),1.02738194609433)</f>
        <v>1.0273819460943301</v>
      </c>
      <c r="F239" s="17">
        <f ca="1">IFERROR(__xludf.DUMMYFUNCTION("""COMPUTED_VALUE"""),0.632847853841867)</f>
        <v>0.63284785384186704</v>
      </c>
      <c r="G239" s="17">
        <f ca="1">IFERROR(__xludf.DUMMYFUNCTION("""COMPUTED_VALUE"""),0.648073482499731)</f>
        <v>0.64807348249973096</v>
      </c>
      <c r="H239" s="17">
        <f ca="1">IFERROR(__xludf.DUMMYFUNCTION("""COMPUTED_VALUE"""),0.714596639695018)</f>
        <v>0.71459663969501797</v>
      </c>
      <c r="I239" s="17">
        <f ca="1">IFERROR(__xludf.DUMMYFUNCTION("""COMPUTED_VALUE"""),0.638433444067589)</f>
        <v>0.63843344406758895</v>
      </c>
      <c r="J239" s="17">
        <f ca="1">IFERROR(__xludf.DUMMYFUNCTION("""COMPUTED_VALUE"""),0.597084950485511)</f>
        <v>0.59708495048551102</v>
      </c>
      <c r="K239" s="17" t="str">
        <f ca="1">IFERROR(__xludf.DUMMYFUNCTION("""COMPUTED_VALUE"""),"nan")</f>
        <v>nan</v>
      </c>
      <c r="L239" s="17">
        <f ca="1">IFERROR(__xludf.DUMMYFUNCTION("""COMPUTED_VALUE"""),0.52004687934145)</f>
        <v>0.52004687934145</v>
      </c>
      <c r="M239" s="17">
        <f ca="1">IFERROR(__xludf.DUMMYFUNCTION("""COMPUTED_VALUE"""),0.648367129528549)</f>
        <v>0.64836712952854902</v>
      </c>
      <c r="N239" s="17">
        <f ca="1">IFERROR(__xludf.DUMMYFUNCTION("""COMPUTED_VALUE"""),0.524691074842497)</f>
        <v>0.524691074842497</v>
      </c>
      <c r="O239" s="17">
        <f ca="1">IFERROR(__xludf.DUMMYFUNCTION("""COMPUTED_VALUE"""),0.54538022111839)</f>
        <v>0.54538022111839002</v>
      </c>
      <c r="P239" s="17">
        <f ca="1">IFERROR(__xludf.DUMMYFUNCTION("""COMPUTED_VALUE"""),0.680701467225545)</f>
        <v>0.68070146722554503</v>
      </c>
      <c r="Q239" s="17">
        <f ca="1">IFERROR(__xludf.DUMMYFUNCTION("""COMPUTED_VALUE"""),0.996986111663782)</f>
        <v>0.99698611166378204</v>
      </c>
      <c r="R239" s="17">
        <f ca="1">IFERROR(__xludf.DUMMYFUNCTION("""COMPUTED_VALUE"""),0.460368291496262)</f>
        <v>0.46036829149626202</v>
      </c>
      <c r="S239" s="17">
        <f ca="1">IFERROR(__xludf.DUMMYFUNCTION("""COMPUTED_VALUE"""),0.721684362329496)</f>
        <v>0.72168436232949595</v>
      </c>
      <c r="T239" s="17">
        <f ca="1">IFERROR(__xludf.DUMMYFUNCTION("""COMPUTED_VALUE"""),0.430578614543888)</f>
        <v>0.43057861454388802</v>
      </c>
      <c r="U239" s="17">
        <f ca="1">IFERROR(__xludf.DUMMYFUNCTION("""COMPUTED_VALUE"""),0.528133190571445)</f>
        <v>0.52813319057144503</v>
      </c>
      <c r="V239" s="17">
        <f ca="1">IFERROR(__xludf.DUMMYFUNCTION("""COMPUTED_VALUE"""),0.481393065192841)</f>
        <v>0.48139306519284097</v>
      </c>
      <c r="W239" s="17">
        <f ca="1">IFERROR(__xludf.DUMMYFUNCTION("""COMPUTED_VALUE"""),0.556141014705071)</f>
        <v>0.55614101470507105</v>
      </c>
      <c r="X239" s="17">
        <f ca="1">IFERROR(__xludf.DUMMYFUNCTION("""COMPUTED_VALUE"""),0.408494609968112)</f>
        <v>0.40849460996811199</v>
      </c>
      <c r="Y239" s="17">
        <f ca="1">IFERROR(__xludf.DUMMYFUNCTION("""COMPUTED_VALUE"""),0.407078243710724)</f>
        <v>0.40707824371072399</v>
      </c>
      <c r="Z239" s="17">
        <f ca="1">IFERROR(__xludf.DUMMYFUNCTION("""COMPUTED_VALUE"""),0.49790051848973)</f>
        <v>0.49790051848972999</v>
      </c>
      <c r="AA239" s="17">
        <f ca="1">IFERROR(__xludf.DUMMYFUNCTION("""COMPUTED_VALUE"""),0.443047045778682)</f>
        <v>0.44304704577868198</v>
      </c>
      <c r="AB239" s="17">
        <f ca="1">IFERROR(__xludf.DUMMYFUNCTION("""COMPUTED_VALUE"""),0.531566909232206)</f>
        <v>0.53156690923220595</v>
      </c>
      <c r="AC239" s="17">
        <f ca="1">IFERROR(__xludf.DUMMYFUNCTION("""COMPUTED_VALUE"""),0.517903128319179)</f>
        <v>0.51790312831917895</v>
      </c>
      <c r="AD239" s="17">
        <f ca="1">IFERROR(__xludf.DUMMYFUNCTION("""COMPUTED_VALUE"""),0.52325649727049)</f>
        <v>0.52325649727048995</v>
      </c>
      <c r="AE239" s="17">
        <f ca="1">IFERROR(__xludf.DUMMYFUNCTION("""COMPUTED_VALUE"""),1.16149041302139)</f>
        <v>1.1614904130213899</v>
      </c>
      <c r="AF239" s="17">
        <f ca="1">IFERROR(__xludf.DUMMYFUNCTION("""COMPUTED_VALUE"""),0.627052133372671)</f>
        <v>0.62705213337267096</v>
      </c>
      <c r="AG239" s="17">
        <f ca="1">IFERROR(__xludf.DUMMYFUNCTION("""COMPUTED_VALUE"""),0.783154452136653)</f>
        <v>0.78315445213665302</v>
      </c>
      <c r="AH239" s="17">
        <f ca="1">IFERROR(__xludf.DUMMYFUNCTION("""COMPUTED_VALUE"""),0.527607198806228)</f>
        <v>0.52760719880622797</v>
      </c>
      <c r="AI239" s="17" t="str">
        <f ca="1">IFERROR(__xludf.DUMMYFUNCTION("""COMPUTED_VALUE"""),"nan")</f>
        <v>nan</v>
      </c>
      <c r="AJ239" s="17">
        <f ca="1">IFERROR(__xludf.DUMMYFUNCTION("""COMPUTED_VALUE"""),0.611701340955186)</f>
        <v>0.61170134095518602</v>
      </c>
    </row>
    <row r="240" spans="2:36" ht="15.75" customHeight="1" x14ac:dyDescent="0.45">
      <c r="B240" s="10" t="str">
        <f ca="1">IFERROR(__xludf.DUMMYFUNCTION("""COMPUTED_VALUE"""),"EOGVerticalSignal")</f>
        <v>EOGVerticalSignal</v>
      </c>
      <c r="C240" s="10" t="str">
        <f ca="1">IFERROR(__xludf.DUMMYFUNCTION("""COMPUTED_VALUE"""),"mcar")</f>
        <v>mcar</v>
      </c>
      <c r="D240" s="10">
        <f ca="1">IFERROR(__xludf.DUMMYFUNCTION("""COMPUTED_VALUE"""),0.6)</f>
        <v>0.6</v>
      </c>
      <c r="E240" s="17">
        <f ca="1">IFERROR(__xludf.DUMMYFUNCTION("""COMPUTED_VALUE"""),1.02154321605812)</f>
        <v>1.0215432160581199</v>
      </c>
      <c r="F240" s="17">
        <f ca="1">IFERROR(__xludf.DUMMYFUNCTION("""COMPUTED_VALUE"""),0.636420642169519)</f>
        <v>0.63642064216951899</v>
      </c>
      <c r="G240" s="17">
        <f ca="1">IFERROR(__xludf.DUMMYFUNCTION("""COMPUTED_VALUE"""),0.690612174012067)</f>
        <v>0.69061217401206698</v>
      </c>
      <c r="H240" s="17">
        <f ca="1">IFERROR(__xludf.DUMMYFUNCTION("""COMPUTED_VALUE"""),0.771018980287421)</f>
        <v>0.771018980287421</v>
      </c>
      <c r="I240" s="17">
        <f ca="1">IFERROR(__xludf.DUMMYFUNCTION("""COMPUTED_VALUE"""),0.621532967143793)</f>
        <v>0.62153296714379302</v>
      </c>
      <c r="J240" s="17">
        <f ca="1">IFERROR(__xludf.DUMMYFUNCTION("""COMPUTED_VALUE"""),0.613886777840719)</f>
        <v>0.61388677784071899</v>
      </c>
      <c r="K240" s="17" t="str">
        <f ca="1">IFERROR(__xludf.DUMMYFUNCTION("""COMPUTED_VALUE"""),"nan")</f>
        <v>nan</v>
      </c>
      <c r="L240" s="17">
        <f ca="1">IFERROR(__xludf.DUMMYFUNCTION("""COMPUTED_VALUE"""),0.593840620868813)</f>
        <v>0.59384062086881295</v>
      </c>
      <c r="M240" s="17">
        <f ca="1">IFERROR(__xludf.DUMMYFUNCTION("""COMPUTED_VALUE"""),0.666547038987563)</f>
        <v>0.66654703898756296</v>
      </c>
      <c r="N240" s="17">
        <f ca="1">IFERROR(__xludf.DUMMYFUNCTION("""COMPUTED_VALUE"""),0.558877669179939)</f>
        <v>0.55887766917993897</v>
      </c>
      <c r="O240" s="17">
        <f ca="1">IFERROR(__xludf.DUMMYFUNCTION("""COMPUTED_VALUE"""),0.611906873126951)</f>
        <v>0.61190687312695102</v>
      </c>
      <c r="P240" s="17">
        <f ca="1">IFERROR(__xludf.DUMMYFUNCTION("""COMPUTED_VALUE"""),0.730685453709348)</f>
        <v>0.73068545370934801</v>
      </c>
      <c r="Q240" s="17">
        <f ca="1">IFERROR(__xludf.DUMMYFUNCTION("""COMPUTED_VALUE"""),0.993797551494065)</f>
        <v>0.99379755149406501</v>
      </c>
      <c r="R240" s="17">
        <f ca="1">IFERROR(__xludf.DUMMYFUNCTION("""COMPUTED_VALUE"""),0.721712934732648)</f>
        <v>0.72171293473264797</v>
      </c>
      <c r="S240" s="17">
        <f ca="1">IFERROR(__xludf.DUMMYFUNCTION("""COMPUTED_VALUE"""),0.97215716335662)</f>
        <v>0.97215716335661995</v>
      </c>
      <c r="T240" s="17">
        <f ca="1">IFERROR(__xludf.DUMMYFUNCTION("""COMPUTED_VALUE"""),0.487563277760941)</f>
        <v>0.48756327776094099</v>
      </c>
      <c r="U240" s="17">
        <f ca="1">IFERROR(__xludf.DUMMYFUNCTION("""COMPUTED_VALUE"""),0.570099922651188)</f>
        <v>0.57009992265118803</v>
      </c>
      <c r="V240" s="17">
        <f ca="1">IFERROR(__xludf.DUMMYFUNCTION("""COMPUTED_VALUE"""),0.580490704649847)</f>
        <v>0.58049070464984698</v>
      </c>
      <c r="W240" s="17">
        <f ca="1">IFERROR(__xludf.DUMMYFUNCTION("""COMPUTED_VALUE"""),0.630187404152737)</f>
        <v>0.630187404152737</v>
      </c>
      <c r="X240" s="17">
        <f ca="1">IFERROR(__xludf.DUMMYFUNCTION("""COMPUTED_VALUE"""),0.450222717421413)</f>
        <v>0.45022271742141301</v>
      </c>
      <c r="Y240" s="17">
        <f ca="1">IFERROR(__xludf.DUMMYFUNCTION("""COMPUTED_VALUE"""),0.442347976192627)</f>
        <v>0.442347976192627</v>
      </c>
      <c r="Z240" s="17">
        <f ca="1">IFERROR(__xludf.DUMMYFUNCTION("""COMPUTED_VALUE"""),0.578320821600546)</f>
        <v>0.57832082160054599</v>
      </c>
      <c r="AA240" s="17">
        <f ca="1">IFERROR(__xludf.DUMMYFUNCTION("""COMPUTED_VALUE"""),0.629541105216976)</f>
        <v>0.62954110521697604</v>
      </c>
      <c r="AB240" s="17">
        <f ca="1">IFERROR(__xludf.DUMMYFUNCTION("""COMPUTED_VALUE"""),0.698310841968459)</f>
        <v>0.69831084196845905</v>
      </c>
      <c r="AC240" s="17">
        <f ca="1">IFERROR(__xludf.DUMMYFUNCTION("""COMPUTED_VALUE"""),0.740746337636589)</f>
        <v>0.74074633763658904</v>
      </c>
      <c r="AD240" s="17">
        <f ca="1">IFERROR(__xludf.DUMMYFUNCTION("""COMPUTED_VALUE"""),0.664492378108095)</f>
        <v>0.66449237810809503</v>
      </c>
      <c r="AE240" s="17">
        <f ca="1">IFERROR(__xludf.DUMMYFUNCTION("""COMPUTED_VALUE"""),1.16682923631816)</f>
        <v>1.16682923631816</v>
      </c>
      <c r="AF240" s="17">
        <f ca="1">IFERROR(__xludf.DUMMYFUNCTION("""COMPUTED_VALUE"""),0.652602659765276)</f>
        <v>0.65260265976527598</v>
      </c>
      <c r="AG240" s="17">
        <f ca="1">IFERROR(__xludf.DUMMYFUNCTION("""COMPUTED_VALUE"""),1.07073935894942)</f>
        <v>1.0707393589494201</v>
      </c>
      <c r="AH240" s="17">
        <f ca="1">IFERROR(__xludf.DUMMYFUNCTION("""COMPUTED_VALUE"""),0.667814236131663)</f>
        <v>0.66781423613166302</v>
      </c>
      <c r="AI240" s="17" t="str">
        <f ca="1">IFERROR(__xludf.DUMMYFUNCTION("""COMPUTED_VALUE"""),"nan")</f>
        <v>nan</v>
      </c>
      <c r="AJ240" s="17">
        <f ca="1">IFERROR(__xludf.DUMMYFUNCTION("""COMPUTED_VALUE"""),0.871027092901828)</f>
        <v>0.871027092901828</v>
      </c>
    </row>
    <row r="241" spans="2:36" ht="15.75" customHeight="1" x14ac:dyDescent="0.45">
      <c r="B241" s="10" t="str">
        <f ca="1">IFERROR(__xludf.DUMMYFUNCTION("""COMPUTED_VALUE"""),"EOGVerticalSignal")</f>
        <v>EOGVerticalSignal</v>
      </c>
      <c r="C241" s="10" t="str">
        <f ca="1">IFERROR(__xludf.DUMMYFUNCTION("""COMPUTED_VALUE"""),"mcar")</f>
        <v>mcar</v>
      </c>
      <c r="D241" s="10">
        <f ca="1">IFERROR(__xludf.DUMMYFUNCTION("""COMPUTED_VALUE"""),0.8)</f>
        <v>0.8</v>
      </c>
      <c r="E241" s="17">
        <f ca="1">IFERROR(__xludf.DUMMYFUNCTION("""COMPUTED_VALUE"""),1.00459420587537)</f>
        <v>1.0045942058753701</v>
      </c>
      <c r="F241" s="17">
        <f ca="1">IFERROR(__xludf.DUMMYFUNCTION("""COMPUTED_VALUE"""),0.665765840528071)</f>
        <v>0.66576584052807097</v>
      </c>
      <c r="G241" s="17">
        <f ca="1">IFERROR(__xludf.DUMMYFUNCTION("""COMPUTED_VALUE"""),0.745334828994748)</f>
        <v>0.74533482899474801</v>
      </c>
      <c r="H241" s="17">
        <f ca="1">IFERROR(__xludf.DUMMYFUNCTION("""COMPUTED_VALUE"""),0.856815924942556)</f>
        <v>0.85681592494255598</v>
      </c>
      <c r="I241" s="17">
        <f ca="1">IFERROR(__xludf.DUMMYFUNCTION("""COMPUTED_VALUE"""),0.68160049170369)</f>
        <v>0.68160049170368997</v>
      </c>
      <c r="J241" s="17">
        <f ca="1">IFERROR(__xludf.DUMMYFUNCTION("""COMPUTED_VALUE"""),0.866595283664626)</f>
        <v>0.86659528366462601</v>
      </c>
      <c r="K241" s="17" t="str">
        <f ca="1">IFERROR(__xludf.DUMMYFUNCTION("""COMPUTED_VALUE"""),"nan")</f>
        <v>nan</v>
      </c>
      <c r="L241" s="17">
        <f ca="1">IFERROR(__xludf.DUMMYFUNCTION("""COMPUTED_VALUE"""),0.620431166969547)</f>
        <v>0.62043116696954703</v>
      </c>
      <c r="M241" s="17">
        <f ca="1">IFERROR(__xludf.DUMMYFUNCTION("""COMPUTED_VALUE"""),0.721917377153896)</f>
        <v>0.72191737715389603</v>
      </c>
      <c r="N241" s="17">
        <f ca="1">IFERROR(__xludf.DUMMYFUNCTION("""COMPUTED_VALUE"""),0.613005037779081)</f>
        <v>0.613005037779081</v>
      </c>
      <c r="O241" s="17">
        <f ca="1">IFERROR(__xludf.DUMMYFUNCTION("""COMPUTED_VALUE"""),0.643161017383564)</f>
        <v>0.64316101738356402</v>
      </c>
      <c r="P241" s="17">
        <f ca="1">IFERROR(__xludf.DUMMYFUNCTION("""COMPUTED_VALUE"""),0.908883447284248)</f>
        <v>0.90888344728424797</v>
      </c>
      <c r="Q241" s="17">
        <f ca="1">IFERROR(__xludf.DUMMYFUNCTION("""COMPUTED_VALUE"""),1.02371994037349)</f>
        <v>1.02371994037349</v>
      </c>
      <c r="R241" s="17">
        <f ca="1">IFERROR(__xludf.DUMMYFUNCTION("""COMPUTED_VALUE"""),1.00349155052321)</f>
        <v>1.00349155052321</v>
      </c>
      <c r="S241" s="17">
        <f ca="1">IFERROR(__xludf.DUMMYFUNCTION("""COMPUTED_VALUE"""),1.2030441521837)</f>
        <v>1.2030441521837001</v>
      </c>
      <c r="T241" s="17">
        <f ca="1">IFERROR(__xludf.DUMMYFUNCTION("""COMPUTED_VALUE"""),0.65644532611181)</f>
        <v>0.65644532611180995</v>
      </c>
      <c r="U241" s="17">
        <f ca="1">IFERROR(__xludf.DUMMYFUNCTION("""COMPUTED_VALUE"""),0.616004328756795)</f>
        <v>0.61600432875679501</v>
      </c>
      <c r="V241" s="17">
        <f ca="1">IFERROR(__xludf.DUMMYFUNCTION("""COMPUTED_VALUE"""),0.794218175154212)</f>
        <v>0.794218175154212</v>
      </c>
      <c r="W241" s="17">
        <f ca="1">IFERROR(__xludf.DUMMYFUNCTION("""COMPUTED_VALUE"""),0.815754511090616)</f>
        <v>0.81575451109061603</v>
      </c>
      <c r="X241" s="17">
        <f ca="1">IFERROR(__xludf.DUMMYFUNCTION("""COMPUTED_VALUE"""),0.548156380711537)</f>
        <v>0.54815638071153705</v>
      </c>
      <c r="Y241" s="17">
        <f ca="1">IFERROR(__xludf.DUMMYFUNCTION("""COMPUTED_VALUE"""),0.644889961023219)</f>
        <v>0.64488996102321905</v>
      </c>
      <c r="Z241" s="17">
        <f ca="1">IFERROR(__xludf.DUMMYFUNCTION("""COMPUTED_VALUE"""),0.714399215881168)</f>
        <v>0.71439921588116795</v>
      </c>
      <c r="AA241" s="17">
        <f ca="1">IFERROR(__xludf.DUMMYFUNCTION("""COMPUTED_VALUE"""),0.992085619261891)</f>
        <v>0.99208561926189098</v>
      </c>
      <c r="AB241" s="17">
        <f ca="1">IFERROR(__xludf.DUMMYFUNCTION("""COMPUTED_VALUE"""),1.00822354483164)</f>
        <v>1.0082235448316399</v>
      </c>
      <c r="AC241" s="17">
        <f ca="1">IFERROR(__xludf.DUMMYFUNCTION("""COMPUTED_VALUE"""),1.08227320904429)</f>
        <v>1.0822732090442899</v>
      </c>
      <c r="AD241" s="17">
        <f ca="1">IFERROR(__xludf.DUMMYFUNCTION("""COMPUTED_VALUE"""),0.858489881222054)</f>
        <v>0.85848988122205405</v>
      </c>
      <c r="AE241" s="17" t="str">
        <f ca="1">IFERROR(__xludf.DUMMYFUNCTION("""COMPUTED_VALUE"""),"nan")</f>
        <v>nan</v>
      </c>
      <c r="AF241" s="17">
        <f ca="1">IFERROR(__xludf.DUMMYFUNCTION("""COMPUTED_VALUE"""),0.865865293111722)</f>
        <v>0.865865293111722</v>
      </c>
      <c r="AG241" s="17">
        <f ca="1">IFERROR(__xludf.DUMMYFUNCTION("""COMPUTED_VALUE"""),1.12719156577569)</f>
        <v>1.1271915657756899</v>
      </c>
      <c r="AH241" s="17">
        <f ca="1">IFERROR(__xludf.DUMMYFUNCTION("""COMPUTED_VALUE"""),0.94626747799276)</f>
        <v>0.94626747799276001</v>
      </c>
      <c r="AI241" s="17" t="str">
        <f ca="1">IFERROR(__xludf.DUMMYFUNCTION("""COMPUTED_VALUE"""),"nan")</f>
        <v>nan</v>
      </c>
      <c r="AJ241" s="17">
        <f ca="1">IFERROR(__xludf.DUMMYFUNCTION("""COMPUTED_VALUE"""),0.845256705927713)</f>
        <v>0.84525670592771296</v>
      </c>
    </row>
    <row r="242" spans="2:36" ht="15.75" customHeight="1" x14ac:dyDescent="0.45">
      <c r="B242" s="10" t="str">
        <f ca="1">IFERROR(__xludf.DUMMYFUNCTION("""COMPUTED_VALUE"""),"Earthquakes")</f>
        <v>Earthquakes</v>
      </c>
      <c r="C242" s="10" t="str">
        <f ca="1">IFERROR(__xludf.DUMMYFUNCTION("""COMPUTED_VALUE"""),"aligned_series")</f>
        <v>aligned_series</v>
      </c>
      <c r="D242" s="10">
        <f ca="1">IFERROR(__xludf.DUMMYFUNCTION("""COMPUTED_VALUE"""),0.1)</f>
        <v>0.1</v>
      </c>
      <c r="E242" s="17">
        <f ca="1">IFERROR(__xludf.DUMMYFUNCTION("""COMPUTED_VALUE"""),1.01223466963523)</f>
        <v>1.01223466963523</v>
      </c>
      <c r="F242" s="17">
        <f ca="1">IFERROR(__xludf.DUMMYFUNCTION("""COMPUTED_VALUE"""),1.03488711394745)</f>
        <v>1.03488711394745</v>
      </c>
      <c r="G242" s="17">
        <f ca="1">IFERROR(__xludf.DUMMYFUNCTION("""COMPUTED_VALUE"""),1.03841155327897)</f>
        <v>1.0384115532789699</v>
      </c>
      <c r="H242" s="17">
        <f ca="1">IFERROR(__xludf.DUMMYFUNCTION("""COMPUTED_VALUE"""),1.01650934656766)</f>
        <v>1.01650934656766</v>
      </c>
      <c r="I242" s="17">
        <f ca="1">IFERROR(__xludf.DUMMYFUNCTION("""COMPUTED_VALUE"""),1.0712116529504)</f>
        <v>1.0712116529504001</v>
      </c>
      <c r="J242" s="17">
        <f ca="1">IFERROR(__xludf.DUMMYFUNCTION("""COMPUTED_VALUE"""),1.10396923044258)</f>
        <v>1.1039692304425801</v>
      </c>
      <c r="K242" s="17" t="str">
        <f ca="1">IFERROR(__xludf.DUMMYFUNCTION("""COMPUTED_VALUE"""),"nan")</f>
        <v>nan</v>
      </c>
      <c r="L242" s="17">
        <f ca="1">IFERROR(__xludf.DUMMYFUNCTION("""COMPUTED_VALUE"""),1.04681000966493)</f>
        <v>1.04681000966493</v>
      </c>
      <c r="M242" s="17">
        <f ca="1">IFERROR(__xludf.DUMMYFUNCTION("""COMPUTED_VALUE"""),1.03244068780179)</f>
        <v>1.03244068780179</v>
      </c>
      <c r="N242" s="17">
        <f ca="1">IFERROR(__xludf.DUMMYFUNCTION("""COMPUTED_VALUE"""),1.19367479615742)</f>
        <v>1.1936747961574199</v>
      </c>
      <c r="O242" s="17">
        <f ca="1">IFERROR(__xludf.DUMMYFUNCTION("""COMPUTED_VALUE"""),1.01268577406716)</f>
        <v>1.01268577406716</v>
      </c>
      <c r="P242" s="17">
        <f ca="1">IFERROR(__xludf.DUMMYFUNCTION("""COMPUTED_VALUE"""),1.11343922451552)</f>
        <v>1.11343922451552</v>
      </c>
      <c r="Q242" s="17">
        <f ca="1">IFERROR(__xludf.DUMMYFUNCTION("""COMPUTED_VALUE"""),1.44900330814917)</f>
        <v>1.44900330814917</v>
      </c>
      <c r="R242" s="17">
        <f ca="1">IFERROR(__xludf.DUMMYFUNCTION("""COMPUTED_VALUE"""),1.01839376006296)</f>
        <v>1.01839376006296</v>
      </c>
      <c r="S242" s="17">
        <f ca="1">IFERROR(__xludf.DUMMYFUNCTION("""COMPUTED_VALUE"""),1.13357874254053)</f>
        <v>1.1335787425405299</v>
      </c>
      <c r="T242" s="17">
        <f ca="1">IFERROR(__xludf.DUMMYFUNCTION("""COMPUTED_VALUE"""),1.09898135342037)</f>
        <v>1.0989813534203701</v>
      </c>
      <c r="U242" s="17">
        <f ca="1">IFERROR(__xludf.DUMMYFUNCTION("""COMPUTED_VALUE"""),1.14328385175778)</f>
        <v>1.1432838517577799</v>
      </c>
      <c r="V242" s="17">
        <f ca="1">IFERROR(__xludf.DUMMYFUNCTION("""COMPUTED_VALUE"""),1.09799094116013)</f>
        <v>1.0979909411601301</v>
      </c>
      <c r="W242" s="17">
        <f ca="1">IFERROR(__xludf.DUMMYFUNCTION("""COMPUTED_VALUE"""),1.10336229654796)</f>
        <v>1.1033622965479599</v>
      </c>
      <c r="X242" s="17">
        <f ca="1">IFERROR(__xludf.DUMMYFUNCTION("""COMPUTED_VALUE"""),1.0131253695857)</f>
        <v>1.0131253695857001</v>
      </c>
      <c r="Y242" s="17">
        <f ca="1">IFERROR(__xludf.DUMMYFUNCTION("""COMPUTED_VALUE"""),1.1071186447126)</f>
        <v>1.1071186447126</v>
      </c>
      <c r="Z242" s="17">
        <f ca="1">IFERROR(__xludf.DUMMYFUNCTION("""COMPUTED_VALUE"""),1.05735549051433)</f>
        <v>1.0573554905143301</v>
      </c>
      <c r="AA242" s="17">
        <f ca="1">IFERROR(__xludf.DUMMYFUNCTION("""COMPUTED_VALUE"""),1.07962795112045)</f>
        <v>1.0796279511204501</v>
      </c>
      <c r="AB242" s="17">
        <f ca="1">IFERROR(__xludf.DUMMYFUNCTION("""COMPUTED_VALUE"""),1.13527621693948)</f>
        <v>1.1352762169394801</v>
      </c>
      <c r="AC242" s="17">
        <f ca="1">IFERROR(__xludf.DUMMYFUNCTION("""COMPUTED_VALUE"""),1.03324362045447)</f>
        <v>1.0332436204544699</v>
      </c>
      <c r="AD242" s="17">
        <f ca="1">IFERROR(__xludf.DUMMYFUNCTION("""COMPUTED_VALUE"""),1.02728382167414)</f>
        <v>1.02728382167414</v>
      </c>
      <c r="AE242" s="17">
        <f ca="1">IFERROR(__xludf.DUMMYFUNCTION("""COMPUTED_VALUE"""),1.06765399647553)</f>
        <v>1.0676539964755301</v>
      </c>
      <c r="AF242" s="17">
        <f ca="1">IFERROR(__xludf.DUMMYFUNCTION("""COMPUTED_VALUE"""),1.10753157798001)</f>
        <v>1.1075315779800099</v>
      </c>
      <c r="AG242" s="17">
        <f ca="1">IFERROR(__xludf.DUMMYFUNCTION("""COMPUTED_VALUE"""),1.02354074489461)</f>
        <v>1.0235407448946101</v>
      </c>
      <c r="AH242" s="17">
        <f ca="1">IFERROR(__xludf.DUMMYFUNCTION("""COMPUTED_VALUE"""),1.02342403261094)</f>
        <v>1.0234240326109401</v>
      </c>
      <c r="AI242" s="17" t="str">
        <f ca="1">IFERROR(__xludf.DUMMYFUNCTION("""COMPUTED_VALUE"""),"nan")</f>
        <v>nan</v>
      </c>
      <c r="AJ242" s="17">
        <f ca="1">IFERROR(__xludf.DUMMYFUNCTION("""COMPUTED_VALUE"""),1.16253188265668)</f>
        <v>1.1625318826566799</v>
      </c>
    </row>
    <row r="243" spans="2:36" ht="15.75" customHeight="1" x14ac:dyDescent="0.45">
      <c r="B243" s="10" t="str">
        <f ca="1">IFERROR(__xludf.DUMMYFUNCTION("""COMPUTED_VALUE"""),"Earthquakes")</f>
        <v>Earthquakes</v>
      </c>
      <c r="C243" s="10" t="str">
        <f ca="1">IFERROR(__xludf.DUMMYFUNCTION("""COMPUTED_VALUE"""),"aligned_series")</f>
        <v>aligned_series</v>
      </c>
      <c r="D243" s="10">
        <f ca="1">IFERROR(__xludf.DUMMYFUNCTION("""COMPUTED_VALUE"""),0.2)</f>
        <v>0.2</v>
      </c>
      <c r="E243" s="17">
        <f ca="1">IFERROR(__xludf.DUMMYFUNCTION("""COMPUTED_VALUE"""),0.995457462933741)</f>
        <v>0.99545746293374104</v>
      </c>
      <c r="F243" s="17">
        <f ca="1">IFERROR(__xludf.DUMMYFUNCTION("""COMPUTED_VALUE"""),1.02609524529445)</f>
        <v>1.0260952452944501</v>
      </c>
      <c r="G243" s="17">
        <f ca="1">IFERROR(__xludf.DUMMYFUNCTION("""COMPUTED_VALUE"""),1.03315245162236)</f>
        <v>1.03315245162236</v>
      </c>
      <c r="H243" s="17">
        <f ca="1">IFERROR(__xludf.DUMMYFUNCTION("""COMPUTED_VALUE"""),1.00278748987733)</f>
        <v>1.0027874898773299</v>
      </c>
      <c r="I243" s="17">
        <f ca="1">IFERROR(__xludf.DUMMYFUNCTION("""COMPUTED_VALUE"""),1.05069097354717)</f>
        <v>1.0506909735471699</v>
      </c>
      <c r="J243" s="17">
        <f ca="1">IFERROR(__xludf.DUMMYFUNCTION("""COMPUTED_VALUE"""),1.09098205810502)</f>
        <v>1.09098205810502</v>
      </c>
      <c r="K243" s="17" t="str">
        <f ca="1">IFERROR(__xludf.DUMMYFUNCTION("""COMPUTED_VALUE"""),"nan")</f>
        <v>nan</v>
      </c>
      <c r="L243" s="17">
        <f ca="1">IFERROR(__xludf.DUMMYFUNCTION("""COMPUTED_VALUE"""),1.03872629634771)</f>
        <v>1.03872629634771</v>
      </c>
      <c r="M243" s="17">
        <f ca="1">IFERROR(__xludf.DUMMYFUNCTION("""COMPUTED_VALUE"""),1.00957899067147)</f>
        <v>1.0095789906714701</v>
      </c>
      <c r="N243" s="17">
        <f ca="1">IFERROR(__xludf.DUMMYFUNCTION("""COMPUTED_VALUE"""),1.23398392606821)</f>
        <v>1.2339839260682099</v>
      </c>
      <c r="O243" s="17">
        <f ca="1">IFERROR(__xludf.DUMMYFUNCTION("""COMPUTED_VALUE"""),0.996155847924931)</f>
        <v>0.99615584792493095</v>
      </c>
      <c r="P243" s="17">
        <f ca="1">IFERROR(__xludf.DUMMYFUNCTION("""COMPUTED_VALUE"""),1.13029450017615)</f>
        <v>1.13029450017615</v>
      </c>
      <c r="Q243" s="17">
        <f ca="1">IFERROR(__xludf.DUMMYFUNCTION("""COMPUTED_VALUE"""),1.39244091439129)</f>
        <v>1.3924409143912899</v>
      </c>
      <c r="R243" s="17">
        <f ca="1">IFERROR(__xludf.DUMMYFUNCTION("""COMPUTED_VALUE"""),1.00126563453159)</f>
        <v>1.00126563453159</v>
      </c>
      <c r="S243" s="17">
        <f ca="1">IFERROR(__xludf.DUMMYFUNCTION("""COMPUTED_VALUE"""),1.12442464422311)</f>
        <v>1.1244246442231101</v>
      </c>
      <c r="T243" s="17">
        <f ca="1">IFERROR(__xludf.DUMMYFUNCTION("""COMPUTED_VALUE"""),1.08573152651691)</f>
        <v>1.0857315265169101</v>
      </c>
      <c r="U243" s="17">
        <f ca="1">IFERROR(__xludf.DUMMYFUNCTION("""COMPUTED_VALUE"""),1.11787213856513)</f>
        <v>1.11787213856513</v>
      </c>
      <c r="V243" s="17">
        <f ca="1">IFERROR(__xludf.DUMMYFUNCTION("""COMPUTED_VALUE"""),1.0780589671119)</f>
        <v>1.0780589671119001</v>
      </c>
      <c r="W243" s="17">
        <f ca="1">IFERROR(__xludf.DUMMYFUNCTION("""COMPUTED_VALUE"""),1.09352897728258)</f>
        <v>1.09352897728258</v>
      </c>
      <c r="X243" s="17">
        <f ca="1">IFERROR(__xludf.DUMMYFUNCTION("""COMPUTED_VALUE"""),0.996368060668558)</f>
        <v>0.99636806066855799</v>
      </c>
      <c r="Y243" s="17">
        <f ca="1">IFERROR(__xludf.DUMMYFUNCTION("""COMPUTED_VALUE"""),1.09250613773812)</f>
        <v>1.09250613773812</v>
      </c>
      <c r="Z243" s="17">
        <f ca="1">IFERROR(__xludf.DUMMYFUNCTION("""COMPUTED_VALUE"""),1.04459004777098)</f>
        <v>1.04459004777098</v>
      </c>
      <c r="AA243" s="17">
        <f ca="1">IFERROR(__xludf.DUMMYFUNCTION("""COMPUTED_VALUE"""),1.0511839222771)</f>
        <v>1.0511839222771</v>
      </c>
      <c r="AB243" s="17">
        <f ca="1">IFERROR(__xludf.DUMMYFUNCTION("""COMPUTED_VALUE"""),1.11826363921247)</f>
        <v>1.1182636392124701</v>
      </c>
      <c r="AC243" s="17">
        <f ca="1">IFERROR(__xludf.DUMMYFUNCTION("""COMPUTED_VALUE"""),1.006742426516)</f>
        <v>1.0067424265160001</v>
      </c>
      <c r="AD243" s="17">
        <f ca="1">IFERROR(__xludf.DUMMYFUNCTION("""COMPUTED_VALUE"""),1.00948222656177)</f>
        <v>1.00948222656177</v>
      </c>
      <c r="AE243" s="17">
        <f ca="1">IFERROR(__xludf.DUMMYFUNCTION("""COMPUTED_VALUE"""),1.05441464821875)</f>
        <v>1.05441464821875</v>
      </c>
      <c r="AF243" s="17">
        <f ca="1">IFERROR(__xludf.DUMMYFUNCTION("""COMPUTED_VALUE"""),1.09139492229676)</f>
        <v>1.0913949222967601</v>
      </c>
      <c r="AG243" s="17">
        <f ca="1">IFERROR(__xludf.DUMMYFUNCTION("""COMPUTED_VALUE"""),1.00829857117413)</f>
        <v>1.0082985711741299</v>
      </c>
      <c r="AH243" s="17">
        <f ca="1">IFERROR(__xludf.DUMMYFUNCTION("""COMPUTED_VALUE"""),1.00862768782324)</f>
        <v>1.0086276878232401</v>
      </c>
      <c r="AI243" s="17" t="str">
        <f ca="1">IFERROR(__xludf.DUMMYFUNCTION("""COMPUTED_VALUE"""),"nan")</f>
        <v>nan</v>
      </c>
      <c r="AJ243" s="17">
        <f ca="1">IFERROR(__xludf.DUMMYFUNCTION("""COMPUTED_VALUE"""),1.14528239992858)</f>
        <v>1.1452823999285799</v>
      </c>
    </row>
    <row r="244" spans="2:36" ht="15.75" customHeight="1" x14ac:dyDescent="0.45">
      <c r="B244" s="10" t="str">
        <f ca="1">IFERROR(__xludf.DUMMYFUNCTION("""COMPUTED_VALUE"""),"Earthquakes")</f>
        <v>Earthquakes</v>
      </c>
      <c r="C244" s="10" t="str">
        <f ca="1">IFERROR(__xludf.DUMMYFUNCTION("""COMPUTED_VALUE"""),"aligned_series")</f>
        <v>aligned_series</v>
      </c>
      <c r="D244" s="10">
        <f ca="1">IFERROR(__xludf.DUMMYFUNCTION("""COMPUTED_VALUE"""),0.4)</f>
        <v>0.4</v>
      </c>
      <c r="E244" s="17">
        <f ca="1">IFERROR(__xludf.DUMMYFUNCTION("""COMPUTED_VALUE"""),1.01794495731174)</f>
        <v>1.0179449573117401</v>
      </c>
      <c r="F244" s="17">
        <f ca="1">IFERROR(__xludf.DUMMYFUNCTION("""COMPUTED_VALUE"""),1.04672997546899)</f>
        <v>1.04672997546899</v>
      </c>
      <c r="G244" s="17">
        <f ca="1">IFERROR(__xludf.DUMMYFUNCTION("""COMPUTED_VALUE"""),1.06423709806855)</f>
        <v>1.06423709806855</v>
      </c>
      <c r="H244" s="17">
        <f ca="1">IFERROR(__xludf.DUMMYFUNCTION("""COMPUTED_VALUE"""),1.03460467139611)</f>
        <v>1.0346046713961099</v>
      </c>
      <c r="I244" s="17">
        <f ca="1">IFERROR(__xludf.DUMMYFUNCTION("""COMPUTED_VALUE"""),1.05766943766389)</f>
        <v>1.05766943766389</v>
      </c>
      <c r="J244" s="17">
        <f ca="1">IFERROR(__xludf.DUMMYFUNCTION("""COMPUTED_VALUE"""),1.14932376647595)</f>
        <v>1.1493237664759499</v>
      </c>
      <c r="K244" s="17" t="str">
        <f ca="1">IFERROR(__xludf.DUMMYFUNCTION("""COMPUTED_VALUE"""),"nan")</f>
        <v>nan</v>
      </c>
      <c r="L244" s="17">
        <f ca="1">IFERROR(__xludf.DUMMYFUNCTION("""COMPUTED_VALUE"""),1.05847997791077)</f>
        <v>1.0584799779107701</v>
      </c>
      <c r="M244" s="17">
        <f ca="1">IFERROR(__xludf.DUMMYFUNCTION("""COMPUTED_VALUE"""),1.04026045721789)</f>
        <v>1.04026045721789</v>
      </c>
      <c r="N244" s="17">
        <f ca="1">IFERROR(__xludf.DUMMYFUNCTION("""COMPUTED_VALUE"""),1.20206605181933)</f>
        <v>1.20206605181933</v>
      </c>
      <c r="O244" s="17">
        <f ca="1">IFERROR(__xludf.DUMMYFUNCTION("""COMPUTED_VALUE"""),1.01990356995344)</f>
        <v>1.01990356995344</v>
      </c>
      <c r="P244" s="17">
        <f ca="1">IFERROR(__xludf.DUMMYFUNCTION("""COMPUTED_VALUE"""),1.18470264974509)</f>
        <v>1.1847026497450901</v>
      </c>
      <c r="Q244" s="17">
        <f ca="1">IFERROR(__xludf.DUMMYFUNCTION("""COMPUTED_VALUE"""),1.4117016386905)</f>
        <v>1.4117016386904999</v>
      </c>
      <c r="R244" s="17">
        <f ca="1">IFERROR(__xludf.DUMMYFUNCTION("""COMPUTED_VALUE"""),1.02218687485754)</f>
        <v>1.02218687485754</v>
      </c>
      <c r="S244" s="17">
        <f ca="1">IFERROR(__xludf.DUMMYFUNCTION("""COMPUTED_VALUE"""),1.16414891423105)</f>
        <v>1.1641489142310499</v>
      </c>
      <c r="T244" s="17">
        <f ca="1">IFERROR(__xludf.DUMMYFUNCTION("""COMPUTED_VALUE"""),1.11915710703521)</f>
        <v>1.11915710703521</v>
      </c>
      <c r="U244" s="17">
        <f ca="1">IFERROR(__xludf.DUMMYFUNCTION("""COMPUTED_VALUE"""),1.13534544244426)</f>
        <v>1.1353454424442599</v>
      </c>
      <c r="V244" s="17">
        <f ca="1">IFERROR(__xludf.DUMMYFUNCTION("""COMPUTED_VALUE"""),1.11286778847236)</f>
        <v>1.1128677884723599</v>
      </c>
      <c r="W244" s="17">
        <f ca="1">IFERROR(__xludf.DUMMYFUNCTION("""COMPUTED_VALUE"""),1.13063995084825)</f>
        <v>1.1306399508482501</v>
      </c>
      <c r="X244" s="17">
        <f ca="1">IFERROR(__xludf.DUMMYFUNCTION("""COMPUTED_VALUE"""),1.01773606231182)</f>
        <v>1.0177360623118199</v>
      </c>
      <c r="Y244" s="17">
        <f ca="1">IFERROR(__xludf.DUMMYFUNCTION("""COMPUTED_VALUE"""),1.12637042739735)</f>
        <v>1.12637042739735</v>
      </c>
      <c r="Z244" s="17">
        <f ca="1">IFERROR(__xludf.DUMMYFUNCTION("""COMPUTED_VALUE"""),1.07327602087295)</f>
        <v>1.0732760208729499</v>
      </c>
      <c r="AA244" s="17">
        <f ca="1">IFERROR(__xludf.DUMMYFUNCTION("""COMPUTED_VALUE"""),1.05794168639434)</f>
        <v>1.0579416863943401</v>
      </c>
      <c r="AB244" s="17">
        <f ca="1">IFERROR(__xludf.DUMMYFUNCTION("""COMPUTED_VALUE"""),1.30700216539922)</f>
        <v>1.3070021653992201</v>
      </c>
      <c r="AC244" s="17">
        <f ca="1">IFERROR(__xludf.DUMMYFUNCTION("""COMPUTED_VALUE"""),1.03119912976036)</f>
        <v>1.03119912976036</v>
      </c>
      <c r="AD244" s="17">
        <f ca="1">IFERROR(__xludf.DUMMYFUNCTION("""COMPUTED_VALUE"""),1.03222014283107)</f>
        <v>1.03222014283107</v>
      </c>
      <c r="AE244" s="17">
        <f ca="1">IFERROR(__xludf.DUMMYFUNCTION("""COMPUTED_VALUE"""),1.07498825449093)</f>
        <v>1.0749882544909299</v>
      </c>
      <c r="AF244" s="17">
        <f ca="1">IFERROR(__xludf.DUMMYFUNCTION("""COMPUTED_VALUE"""),1.12603513713371)</f>
        <v>1.1260351371337101</v>
      </c>
      <c r="AG244" s="17">
        <f ca="1">IFERROR(__xludf.DUMMYFUNCTION("""COMPUTED_VALUE"""),1.03337880288876)</f>
        <v>1.0333788028887601</v>
      </c>
      <c r="AH244" s="17">
        <f ca="1">IFERROR(__xludf.DUMMYFUNCTION("""COMPUTED_VALUE"""),1.02923010673945)</f>
        <v>1.02923010673945</v>
      </c>
      <c r="AI244" s="17" t="str">
        <f ca="1">IFERROR(__xludf.DUMMYFUNCTION("""COMPUTED_VALUE"""),"nan")</f>
        <v>nan</v>
      </c>
      <c r="AJ244" s="17">
        <f ca="1">IFERROR(__xludf.DUMMYFUNCTION("""COMPUTED_VALUE"""),1.16034615094006)</f>
        <v>1.1603461509400601</v>
      </c>
    </row>
    <row r="245" spans="2:36" ht="15.75" customHeight="1" x14ac:dyDescent="0.45">
      <c r="B245" s="10" t="str">
        <f ca="1">IFERROR(__xludf.DUMMYFUNCTION("""COMPUTED_VALUE"""),"Earthquakes")</f>
        <v>Earthquakes</v>
      </c>
      <c r="C245" s="10" t="str">
        <f ca="1">IFERROR(__xludf.DUMMYFUNCTION("""COMPUTED_VALUE"""),"aligned_series")</f>
        <v>aligned_series</v>
      </c>
      <c r="D245" s="10">
        <f ca="1">IFERROR(__xludf.DUMMYFUNCTION("""COMPUTED_VALUE"""),0.6)</f>
        <v>0.6</v>
      </c>
      <c r="E245" s="17">
        <f ca="1">IFERROR(__xludf.DUMMYFUNCTION("""COMPUTED_VALUE"""),1.01395087205927)</f>
        <v>1.01395087205927</v>
      </c>
      <c r="F245" s="17">
        <f ca="1">IFERROR(__xludf.DUMMYFUNCTION("""COMPUTED_VALUE"""),1.04306744194434)</f>
        <v>1.04306744194434</v>
      </c>
      <c r="G245" s="17">
        <f ca="1">IFERROR(__xludf.DUMMYFUNCTION("""COMPUTED_VALUE"""),1.05841759305147)</f>
        <v>1.0584175930514701</v>
      </c>
      <c r="H245" s="17">
        <f ca="1">IFERROR(__xludf.DUMMYFUNCTION("""COMPUTED_VALUE"""),1.03688297627136)</f>
        <v>1.0368829762713601</v>
      </c>
      <c r="I245" s="17">
        <f ca="1">IFERROR(__xludf.DUMMYFUNCTION("""COMPUTED_VALUE"""),1.0421927901062)</f>
        <v>1.0421927901062</v>
      </c>
      <c r="J245" s="17">
        <f ca="1">IFERROR(__xludf.DUMMYFUNCTION("""COMPUTED_VALUE"""),1.28093577602352)</f>
        <v>1.28093577602352</v>
      </c>
      <c r="K245" s="17" t="str">
        <f ca="1">IFERROR(__xludf.DUMMYFUNCTION("""COMPUTED_VALUE"""),"nan")</f>
        <v>nan</v>
      </c>
      <c r="L245" s="17">
        <f ca="1">IFERROR(__xludf.DUMMYFUNCTION("""COMPUTED_VALUE"""),1.05371831970729)</f>
        <v>1.0537183197072899</v>
      </c>
      <c r="M245" s="17">
        <f ca="1">IFERROR(__xludf.DUMMYFUNCTION("""COMPUTED_VALUE"""),1.03870621566988)</f>
        <v>1.0387062156698801</v>
      </c>
      <c r="N245" s="17">
        <f ca="1">IFERROR(__xludf.DUMMYFUNCTION("""COMPUTED_VALUE"""),1.19187116097057)</f>
        <v>1.1918711609705701</v>
      </c>
      <c r="O245" s="17">
        <f ca="1">IFERROR(__xludf.DUMMYFUNCTION("""COMPUTED_VALUE"""),1.01846594123152)</f>
        <v>1.01846594123152</v>
      </c>
      <c r="P245" s="17">
        <f ca="1">IFERROR(__xludf.DUMMYFUNCTION("""COMPUTED_VALUE"""),1.21428324856932)</f>
        <v>1.21428324856932</v>
      </c>
      <c r="Q245" s="17">
        <f ca="1">IFERROR(__xludf.DUMMYFUNCTION("""COMPUTED_VALUE"""),1.32193768118888)</f>
        <v>1.3219376811888801</v>
      </c>
      <c r="R245" s="17">
        <f ca="1">IFERROR(__xludf.DUMMYFUNCTION("""COMPUTED_VALUE"""),1.01790743112573)</f>
        <v>1.0179074311257299</v>
      </c>
      <c r="S245" s="17">
        <f ca="1">IFERROR(__xludf.DUMMYFUNCTION("""COMPUTED_VALUE"""),1.17242761332152)</f>
        <v>1.1724276133215199</v>
      </c>
      <c r="T245" s="17">
        <f ca="1">IFERROR(__xludf.DUMMYFUNCTION("""COMPUTED_VALUE"""),1.11368101552377)</f>
        <v>1.11368101552377</v>
      </c>
      <c r="U245" s="17">
        <f ca="1">IFERROR(__xludf.DUMMYFUNCTION("""COMPUTED_VALUE"""),1.10419159345445)</f>
        <v>1.1041915934544499</v>
      </c>
      <c r="V245" s="17">
        <f ca="1">IFERROR(__xludf.DUMMYFUNCTION("""COMPUTED_VALUE"""),1.10489721611982)</f>
        <v>1.1048972161198201</v>
      </c>
      <c r="W245" s="17">
        <f ca="1">IFERROR(__xludf.DUMMYFUNCTION("""COMPUTED_VALUE"""),1.12609732414479)</f>
        <v>1.12609732414479</v>
      </c>
      <c r="X245" s="17">
        <f ca="1">IFERROR(__xludf.DUMMYFUNCTION("""COMPUTED_VALUE"""),1.01441498803583)</f>
        <v>1.01441498803583</v>
      </c>
      <c r="Y245" s="17">
        <f ca="1">IFERROR(__xludf.DUMMYFUNCTION("""COMPUTED_VALUE"""),1.11911630195374)</f>
        <v>1.11911630195374</v>
      </c>
      <c r="Z245" s="17">
        <f ca="1">IFERROR(__xludf.DUMMYFUNCTION("""COMPUTED_VALUE"""),1.07786376502286)</f>
        <v>1.07786376502286</v>
      </c>
      <c r="AA245" s="17">
        <f ca="1">IFERROR(__xludf.DUMMYFUNCTION("""COMPUTED_VALUE"""),1.04487409803929)</f>
        <v>1.0448740980392901</v>
      </c>
      <c r="AB245" s="17">
        <f ca="1">IFERROR(__xludf.DUMMYFUNCTION("""COMPUTED_VALUE"""),1.31131768134076)</f>
        <v>1.3113176813407601</v>
      </c>
      <c r="AC245" s="17">
        <f ca="1">IFERROR(__xludf.DUMMYFUNCTION("""COMPUTED_VALUE"""),1.02885541094863)</f>
        <v>1.0288554109486301</v>
      </c>
      <c r="AD245" s="17">
        <f ca="1">IFERROR(__xludf.DUMMYFUNCTION("""COMPUTED_VALUE"""),1.0267443584033)</f>
        <v>1.0267443584033</v>
      </c>
      <c r="AE245" s="17">
        <f ca="1">IFERROR(__xludf.DUMMYFUNCTION("""COMPUTED_VALUE"""),1.07296909495034)</f>
        <v>1.0729690949503401</v>
      </c>
      <c r="AF245" s="17">
        <f ca="1">IFERROR(__xludf.DUMMYFUNCTION("""COMPUTED_VALUE"""),1.12312802265089)</f>
        <v>1.12312802265089</v>
      </c>
      <c r="AG245" s="17">
        <f ca="1">IFERROR(__xludf.DUMMYFUNCTION("""COMPUTED_VALUE"""),1.03006077836116)</f>
        <v>1.0300607783611599</v>
      </c>
      <c r="AH245" s="17">
        <f ca="1">IFERROR(__xludf.DUMMYFUNCTION("""COMPUTED_VALUE"""),1.02708458072279)</f>
        <v>1.02708458072279</v>
      </c>
      <c r="AI245" s="17" t="str">
        <f ca="1">IFERROR(__xludf.DUMMYFUNCTION("""COMPUTED_VALUE"""),"nan")</f>
        <v>nan</v>
      </c>
      <c r="AJ245" s="17">
        <f ca="1">IFERROR(__xludf.DUMMYFUNCTION("""COMPUTED_VALUE"""),1.15325032605159)</f>
        <v>1.1532503260515901</v>
      </c>
    </row>
    <row r="246" spans="2:36" ht="15.75" customHeight="1" x14ac:dyDescent="0.45">
      <c r="B246" s="10" t="str">
        <f ca="1">IFERROR(__xludf.DUMMYFUNCTION("""COMPUTED_VALUE"""),"Earthquakes")</f>
        <v>Earthquakes</v>
      </c>
      <c r="C246" s="10" t="str">
        <f ca="1">IFERROR(__xludf.DUMMYFUNCTION("""COMPUTED_VALUE"""),"aligned_series")</f>
        <v>aligned_series</v>
      </c>
      <c r="D246" s="10">
        <f ca="1">IFERROR(__xludf.DUMMYFUNCTION("""COMPUTED_VALUE"""),0.8)</f>
        <v>0.8</v>
      </c>
      <c r="E246" s="17">
        <f ca="1">IFERROR(__xludf.DUMMYFUNCTION("""COMPUTED_VALUE"""),1.00762261602984)</f>
        <v>1.00762261602984</v>
      </c>
      <c r="F246" s="17">
        <f ca="1">IFERROR(__xludf.DUMMYFUNCTION("""COMPUTED_VALUE"""),1.05386415919016)</f>
        <v>1.0538641591901601</v>
      </c>
      <c r="G246" s="17">
        <f ca="1">IFERROR(__xludf.DUMMYFUNCTION("""COMPUTED_VALUE"""),1.09555431808375)</f>
        <v>1.0955543180837499</v>
      </c>
      <c r="H246" s="17">
        <f ca="1">IFERROR(__xludf.DUMMYFUNCTION("""COMPUTED_VALUE"""),1.04183002505311)</f>
        <v>1.0418300250531101</v>
      </c>
      <c r="I246" s="17">
        <f ca="1">IFERROR(__xludf.DUMMYFUNCTION("""COMPUTED_VALUE"""),1.02200711738371)</f>
        <v>1.02200711738371</v>
      </c>
      <c r="J246" s="17">
        <f ca="1">IFERROR(__xludf.DUMMYFUNCTION("""COMPUTED_VALUE"""),1.3084297935065)</f>
        <v>1.3084297935064999</v>
      </c>
      <c r="K246" s="17" t="str">
        <f ca="1">IFERROR(__xludf.DUMMYFUNCTION("""COMPUTED_VALUE"""),"nan")</f>
        <v>nan</v>
      </c>
      <c r="L246" s="17">
        <f ca="1">IFERROR(__xludf.DUMMYFUNCTION("""COMPUTED_VALUE"""),1.0554755180378)</f>
        <v>1.0554755180377999</v>
      </c>
      <c r="M246" s="17">
        <f ca="1">IFERROR(__xludf.DUMMYFUNCTION("""COMPUTED_VALUE"""),1.06175848315744)</f>
        <v>1.06175848315744</v>
      </c>
      <c r="N246" s="17">
        <f ca="1">IFERROR(__xludf.DUMMYFUNCTION("""COMPUTED_VALUE"""),1.26649982742489)</f>
        <v>1.26649982742489</v>
      </c>
      <c r="O246" s="17">
        <f ca="1">IFERROR(__xludf.DUMMYFUNCTION("""COMPUTED_VALUE"""),1.01017100139606)</f>
        <v>1.0101710013960601</v>
      </c>
      <c r="P246" s="17">
        <f ca="1">IFERROR(__xludf.DUMMYFUNCTION("""COMPUTED_VALUE"""),1.26380912938932)</f>
        <v>1.2638091293893201</v>
      </c>
      <c r="Q246" s="17">
        <f ca="1">IFERROR(__xludf.DUMMYFUNCTION("""COMPUTED_VALUE"""),1.184995509878)</f>
        <v>1.1849955098780001</v>
      </c>
      <c r="R246" s="17">
        <f ca="1">IFERROR(__xludf.DUMMYFUNCTION("""COMPUTED_VALUE"""),1.01161146156763)</f>
        <v>1.0116114615676299</v>
      </c>
      <c r="S246" s="17">
        <f ca="1">IFERROR(__xludf.DUMMYFUNCTION("""COMPUTED_VALUE"""),1.15735801736625)</f>
        <v>1.1573580173662501</v>
      </c>
      <c r="T246" s="17">
        <f ca="1">IFERROR(__xludf.DUMMYFUNCTION("""COMPUTED_VALUE"""),1.10490662648954)</f>
        <v>1.10490662648954</v>
      </c>
      <c r="U246" s="17">
        <f ca="1">IFERROR(__xludf.DUMMYFUNCTION("""COMPUTED_VALUE"""),1.07117225054225)</f>
        <v>1.0711722505422501</v>
      </c>
      <c r="V246" s="17">
        <f ca="1">IFERROR(__xludf.DUMMYFUNCTION("""COMPUTED_VALUE"""),1.08789137308122)</f>
        <v>1.0878913730812201</v>
      </c>
      <c r="W246" s="17">
        <f ca="1">IFERROR(__xludf.DUMMYFUNCTION("""COMPUTED_VALUE"""),1.1188017681677)</f>
        <v>1.1188017681677001</v>
      </c>
      <c r="X246" s="17">
        <f ca="1">IFERROR(__xludf.DUMMYFUNCTION("""COMPUTED_VALUE"""),1.00846937545183)</f>
        <v>1.0084693754518299</v>
      </c>
      <c r="Y246" s="17">
        <f ca="1">IFERROR(__xludf.DUMMYFUNCTION("""COMPUTED_VALUE"""),1.1125997150628)</f>
        <v>1.1125997150628</v>
      </c>
      <c r="Z246" s="17">
        <f ca="1">IFERROR(__xludf.DUMMYFUNCTION("""COMPUTED_VALUE"""),1.07184864223122)</f>
        <v>1.0718486422312199</v>
      </c>
      <c r="AA246" s="17">
        <f ca="1">IFERROR(__xludf.DUMMYFUNCTION("""COMPUTED_VALUE"""),1.03040777152181)</f>
        <v>1.0304077715218101</v>
      </c>
      <c r="AB246" s="17">
        <f ca="1">IFERROR(__xludf.DUMMYFUNCTION("""COMPUTED_VALUE"""),1.29565720613068)</f>
        <v>1.2956572061306799</v>
      </c>
      <c r="AC246" s="17">
        <f ca="1">IFERROR(__xludf.DUMMYFUNCTION("""COMPUTED_VALUE"""),1.02186865543795)</f>
        <v>1.0218686554379499</v>
      </c>
      <c r="AD246" s="17">
        <f ca="1">IFERROR(__xludf.DUMMYFUNCTION("""COMPUTED_VALUE"""),1.02070001589553)</f>
        <v>1.0207000158955299</v>
      </c>
      <c r="AE246" s="17">
        <f ca="1">IFERROR(__xludf.DUMMYFUNCTION("""COMPUTED_VALUE"""),1.07021451428866)</f>
        <v>1.0702145142886601</v>
      </c>
      <c r="AF246" s="17">
        <f ca="1">IFERROR(__xludf.DUMMYFUNCTION("""COMPUTED_VALUE"""),1.10827903836663)</f>
        <v>1.1082790383666301</v>
      </c>
      <c r="AG246" s="17">
        <f ca="1">IFERROR(__xludf.DUMMYFUNCTION("""COMPUTED_VALUE"""),1.01867855647005)</f>
        <v>1.01867855647005</v>
      </c>
      <c r="AH246" s="17">
        <f ca="1">IFERROR(__xludf.DUMMYFUNCTION("""COMPUTED_VALUE"""),1.02039929930767)</f>
        <v>1.02039929930767</v>
      </c>
      <c r="AI246" s="17" t="str">
        <f ca="1">IFERROR(__xludf.DUMMYFUNCTION("""COMPUTED_VALUE"""),"nan")</f>
        <v>nan</v>
      </c>
      <c r="AJ246" s="17">
        <f ca="1">IFERROR(__xludf.DUMMYFUNCTION("""COMPUTED_VALUE"""),1.08385467721213)</f>
        <v>1.08385467721213</v>
      </c>
    </row>
    <row r="247" spans="2:36" ht="15.75" customHeight="1" x14ac:dyDescent="0.45">
      <c r="B247" s="10" t="str">
        <f ca="1">IFERROR(__xludf.DUMMYFUNCTION("""COMPUTED_VALUE"""),"Earthquakes")</f>
        <v>Earthquakes</v>
      </c>
      <c r="C247" s="10" t="str">
        <f ca="1">IFERROR(__xludf.DUMMYFUNCTION("""COMPUTED_VALUE"""),"aligned_timestamps")</f>
        <v>aligned_timestamps</v>
      </c>
      <c r="D247" s="10">
        <f ca="1">IFERROR(__xludf.DUMMYFUNCTION("""COMPUTED_VALUE"""),0.1)</f>
        <v>0.1</v>
      </c>
      <c r="E247" s="17">
        <f ca="1">IFERROR(__xludf.DUMMYFUNCTION("""COMPUTED_VALUE"""),0.998553835956523)</f>
        <v>0.99855383595652303</v>
      </c>
      <c r="F247" s="17">
        <f ca="1">IFERROR(__xludf.DUMMYFUNCTION("""COMPUTED_VALUE"""),1.01658379275118)</f>
        <v>1.01658379275118</v>
      </c>
      <c r="G247" s="17">
        <f ca="1">IFERROR(__xludf.DUMMYFUNCTION("""COMPUTED_VALUE"""),1.01924825737498)</f>
        <v>1.0192482573749799</v>
      </c>
      <c r="H247" s="17">
        <f ca="1">IFERROR(__xludf.DUMMYFUNCTION("""COMPUTED_VALUE"""),1.0042503065384)</f>
        <v>1.0042503065384001</v>
      </c>
      <c r="I247" s="17">
        <f ca="1">IFERROR(__xludf.DUMMYFUNCTION("""COMPUTED_VALUE"""),1.04450891820619)</f>
        <v>1.04450891820619</v>
      </c>
      <c r="J247" s="17">
        <f ca="1">IFERROR(__xludf.DUMMYFUNCTION("""COMPUTED_VALUE"""),1.09537739347437)</f>
        <v>1.09537739347437</v>
      </c>
      <c r="K247" s="17" t="str">
        <f ca="1">IFERROR(__xludf.DUMMYFUNCTION("""COMPUTED_VALUE"""),"nan")</f>
        <v>nan</v>
      </c>
      <c r="L247" s="17">
        <f ca="1">IFERROR(__xludf.DUMMYFUNCTION("""COMPUTED_VALUE"""),1.04009856636499)</f>
        <v>1.04009856636499</v>
      </c>
      <c r="M247" s="17">
        <f ca="1">IFERROR(__xludf.DUMMYFUNCTION("""COMPUTED_VALUE"""),1.01387996080928)</f>
        <v>1.0138799608092799</v>
      </c>
      <c r="N247" s="17">
        <f ca="1">IFERROR(__xludf.DUMMYFUNCTION("""COMPUTED_VALUE"""),1.20404402339268)</f>
        <v>1.2040440233926799</v>
      </c>
      <c r="O247" s="17">
        <f ca="1">IFERROR(__xludf.DUMMYFUNCTION("""COMPUTED_VALUE"""),1.00215799717556)</f>
        <v>1.0021579971755601</v>
      </c>
      <c r="P247" s="17">
        <f ca="1">IFERROR(__xludf.DUMMYFUNCTION("""COMPUTED_VALUE"""),1.12000760474348)</f>
        <v>1.1200076047434799</v>
      </c>
      <c r="Q247" s="17">
        <f ca="1">IFERROR(__xludf.DUMMYFUNCTION("""COMPUTED_VALUE"""),1.41422271752632)</f>
        <v>1.41422271752632</v>
      </c>
      <c r="R247" s="17">
        <f ca="1">IFERROR(__xludf.DUMMYFUNCTION("""COMPUTED_VALUE"""),1.00081427796915)</f>
        <v>1.00081427796915</v>
      </c>
      <c r="S247" s="17">
        <f ca="1">IFERROR(__xludf.DUMMYFUNCTION("""COMPUTED_VALUE"""),1.13769072408113)</f>
        <v>1.13769072408113</v>
      </c>
      <c r="T247" s="17">
        <f ca="1">IFERROR(__xludf.DUMMYFUNCTION("""COMPUTED_VALUE"""),1.09210737658024)</f>
        <v>1.09210737658024</v>
      </c>
      <c r="U247" s="17">
        <f ca="1">IFERROR(__xludf.DUMMYFUNCTION("""COMPUTED_VALUE"""),1.10809577049856)</f>
        <v>1.1080957704985599</v>
      </c>
      <c r="V247" s="17">
        <f ca="1">IFERROR(__xludf.DUMMYFUNCTION("""COMPUTED_VALUE"""),1.08887748143119)</f>
        <v>1.0888774814311899</v>
      </c>
      <c r="W247" s="17">
        <f ca="1">IFERROR(__xludf.DUMMYFUNCTION("""COMPUTED_VALUE"""),1.09522972723163)</f>
        <v>1.09522972723163</v>
      </c>
      <c r="X247" s="17">
        <f ca="1">IFERROR(__xludf.DUMMYFUNCTION("""COMPUTED_VALUE"""),0.997958198065603)</f>
        <v>0.99795819806560304</v>
      </c>
      <c r="Y247" s="17">
        <f ca="1">IFERROR(__xludf.DUMMYFUNCTION("""COMPUTED_VALUE"""),1.09931613009139)</f>
        <v>1.0993161300913901</v>
      </c>
      <c r="Z247" s="17">
        <f ca="1">IFERROR(__xludf.DUMMYFUNCTION("""COMPUTED_VALUE"""),1.05816309235209)</f>
        <v>1.0581630923520899</v>
      </c>
      <c r="AA247" s="17">
        <f ca="1">IFERROR(__xludf.DUMMYFUNCTION("""COMPUTED_VALUE"""),1.04485455468164)</f>
        <v>1.0448545546816399</v>
      </c>
      <c r="AB247" s="17">
        <f ca="1">IFERROR(__xludf.DUMMYFUNCTION("""COMPUTED_VALUE"""),1.12797282218316)</f>
        <v>1.12797282218316</v>
      </c>
      <c r="AC247" s="17">
        <f ca="1">IFERROR(__xludf.DUMMYFUNCTION("""COMPUTED_VALUE"""),1.02561387850754)</f>
        <v>1.0256138785075399</v>
      </c>
      <c r="AD247" s="17">
        <f ca="1">IFERROR(__xludf.DUMMYFUNCTION("""COMPUTED_VALUE"""),1.01484348751125)</f>
        <v>1.01484348751125</v>
      </c>
      <c r="AE247" s="17">
        <f ca="1">IFERROR(__xludf.DUMMYFUNCTION("""COMPUTED_VALUE"""),1.03152083102369)</f>
        <v>1.0315208310236901</v>
      </c>
      <c r="AF247" s="17">
        <f ca="1">IFERROR(__xludf.DUMMYFUNCTION("""COMPUTED_VALUE"""),1.09393339734232)</f>
        <v>1.09393339734232</v>
      </c>
      <c r="AG247" s="17">
        <f ca="1">IFERROR(__xludf.DUMMYFUNCTION("""COMPUTED_VALUE"""),1.01069276589604)</f>
        <v>1.0106927658960401</v>
      </c>
      <c r="AH247" s="17">
        <f ca="1">IFERROR(__xludf.DUMMYFUNCTION("""COMPUTED_VALUE"""),1.01442523134804)</f>
        <v>1.01442523134804</v>
      </c>
      <c r="AI247" s="17">
        <f ca="1">IFERROR(__xludf.DUMMYFUNCTION("""COMPUTED_VALUE"""),1.01354919401582)</f>
        <v>1.0135491940158201</v>
      </c>
      <c r="AJ247" s="17">
        <f ca="1">IFERROR(__xludf.DUMMYFUNCTION("""COMPUTED_VALUE"""),1.00971777272861)</f>
        <v>1.00971777272861</v>
      </c>
    </row>
    <row r="248" spans="2:36" ht="15.75" customHeight="1" x14ac:dyDescent="0.45">
      <c r="B248" s="10" t="str">
        <f ca="1">IFERROR(__xludf.DUMMYFUNCTION("""COMPUTED_VALUE"""),"Earthquakes")</f>
        <v>Earthquakes</v>
      </c>
      <c r="C248" s="10" t="str">
        <f ca="1">IFERROR(__xludf.DUMMYFUNCTION("""COMPUTED_VALUE"""),"aligned_timestamps")</f>
        <v>aligned_timestamps</v>
      </c>
      <c r="D248" s="10">
        <f ca="1">IFERROR(__xludf.DUMMYFUNCTION("""COMPUTED_VALUE"""),0.2)</f>
        <v>0.2</v>
      </c>
      <c r="E248" s="17">
        <f ca="1">IFERROR(__xludf.DUMMYFUNCTION("""COMPUTED_VALUE"""),0.995457462933741)</f>
        <v>0.99545746293374104</v>
      </c>
      <c r="F248" s="17">
        <f ca="1">IFERROR(__xludf.DUMMYFUNCTION("""COMPUTED_VALUE"""),1.02609524529445)</f>
        <v>1.0260952452944501</v>
      </c>
      <c r="G248" s="17">
        <f ca="1">IFERROR(__xludf.DUMMYFUNCTION("""COMPUTED_VALUE"""),1.03315245162236)</f>
        <v>1.03315245162236</v>
      </c>
      <c r="H248" s="17">
        <f ca="1">IFERROR(__xludf.DUMMYFUNCTION("""COMPUTED_VALUE"""),1.00278748987733)</f>
        <v>1.0027874898773299</v>
      </c>
      <c r="I248" s="17">
        <f ca="1">IFERROR(__xludf.DUMMYFUNCTION("""COMPUTED_VALUE"""),1.05069097354717)</f>
        <v>1.0506909735471699</v>
      </c>
      <c r="J248" s="17">
        <f ca="1">IFERROR(__xludf.DUMMYFUNCTION("""COMPUTED_VALUE"""),1.09098205810502)</f>
        <v>1.09098205810502</v>
      </c>
      <c r="K248" s="17" t="str">
        <f ca="1">IFERROR(__xludf.DUMMYFUNCTION("""COMPUTED_VALUE"""),"nan")</f>
        <v>nan</v>
      </c>
      <c r="L248" s="17">
        <f ca="1">IFERROR(__xludf.DUMMYFUNCTION("""COMPUTED_VALUE"""),1.03872629634771)</f>
        <v>1.03872629634771</v>
      </c>
      <c r="M248" s="17">
        <f ca="1">IFERROR(__xludf.DUMMYFUNCTION("""COMPUTED_VALUE"""),1.00957899067147)</f>
        <v>1.0095789906714701</v>
      </c>
      <c r="N248" s="17">
        <f ca="1">IFERROR(__xludf.DUMMYFUNCTION("""COMPUTED_VALUE"""),1.23398392606821)</f>
        <v>1.2339839260682099</v>
      </c>
      <c r="O248" s="17">
        <f ca="1">IFERROR(__xludf.DUMMYFUNCTION("""COMPUTED_VALUE"""),0.996155847924931)</f>
        <v>0.99615584792493095</v>
      </c>
      <c r="P248" s="17">
        <f ca="1">IFERROR(__xludf.DUMMYFUNCTION("""COMPUTED_VALUE"""),1.13029450017615)</f>
        <v>1.13029450017615</v>
      </c>
      <c r="Q248" s="17">
        <f ca="1">IFERROR(__xludf.DUMMYFUNCTION("""COMPUTED_VALUE"""),1.39244091439129)</f>
        <v>1.3924409143912899</v>
      </c>
      <c r="R248" s="17">
        <f ca="1">IFERROR(__xludf.DUMMYFUNCTION("""COMPUTED_VALUE"""),1.00126563453159)</f>
        <v>1.00126563453159</v>
      </c>
      <c r="S248" s="17">
        <f ca="1">IFERROR(__xludf.DUMMYFUNCTION("""COMPUTED_VALUE"""),1.12442464422311)</f>
        <v>1.1244246442231101</v>
      </c>
      <c r="T248" s="17">
        <f ca="1">IFERROR(__xludf.DUMMYFUNCTION("""COMPUTED_VALUE"""),1.08573152651691)</f>
        <v>1.0857315265169101</v>
      </c>
      <c r="U248" s="17">
        <f ca="1">IFERROR(__xludf.DUMMYFUNCTION("""COMPUTED_VALUE"""),1.11787213856513)</f>
        <v>1.11787213856513</v>
      </c>
      <c r="V248" s="17">
        <f ca="1">IFERROR(__xludf.DUMMYFUNCTION("""COMPUTED_VALUE"""),1.0780589671119)</f>
        <v>1.0780589671119001</v>
      </c>
      <c r="W248" s="17">
        <f ca="1">IFERROR(__xludf.DUMMYFUNCTION("""COMPUTED_VALUE"""),1.09358232974244)</f>
        <v>1.0935823297424401</v>
      </c>
      <c r="X248" s="17">
        <f ca="1">IFERROR(__xludf.DUMMYFUNCTION("""COMPUTED_VALUE"""),0.996297854592098)</f>
        <v>0.99629785459209796</v>
      </c>
      <c r="Y248" s="17">
        <f ca="1">IFERROR(__xludf.DUMMYFUNCTION("""COMPUTED_VALUE"""),1.09250613773812)</f>
        <v>1.09250613773812</v>
      </c>
      <c r="Z248" s="17">
        <f ca="1">IFERROR(__xludf.DUMMYFUNCTION("""COMPUTED_VALUE"""),1.04459004777098)</f>
        <v>1.04459004777098</v>
      </c>
      <c r="AA248" s="17">
        <f ca="1">IFERROR(__xludf.DUMMYFUNCTION("""COMPUTED_VALUE"""),1.0511839222771)</f>
        <v>1.0511839222771</v>
      </c>
      <c r="AB248" s="17">
        <f ca="1">IFERROR(__xludf.DUMMYFUNCTION("""COMPUTED_VALUE"""),1.16582226860879)</f>
        <v>1.16582226860879</v>
      </c>
      <c r="AC248" s="17">
        <f ca="1">IFERROR(__xludf.DUMMYFUNCTION("""COMPUTED_VALUE"""),1.006742426516)</f>
        <v>1.0067424265160001</v>
      </c>
      <c r="AD248" s="17">
        <f ca="1">IFERROR(__xludf.DUMMYFUNCTION("""COMPUTED_VALUE"""),1.00879977755274)</f>
        <v>1.00879977755274</v>
      </c>
      <c r="AE248" s="17">
        <f ca="1">IFERROR(__xludf.DUMMYFUNCTION("""COMPUTED_VALUE"""),1.05316326160699)</f>
        <v>1.0531632616069899</v>
      </c>
      <c r="AF248" s="17">
        <f ca="1">IFERROR(__xludf.DUMMYFUNCTION("""COMPUTED_VALUE"""),1.09139492229676)</f>
        <v>1.0913949222967601</v>
      </c>
      <c r="AG248" s="17">
        <f ca="1">IFERROR(__xludf.DUMMYFUNCTION("""COMPUTED_VALUE"""),1.01910257197987)</f>
        <v>1.0191025719798701</v>
      </c>
      <c r="AH248" s="17">
        <f ca="1">IFERROR(__xludf.DUMMYFUNCTION("""COMPUTED_VALUE"""),1.00862768782324)</f>
        <v>1.0086276878232401</v>
      </c>
      <c r="AI248" s="17" t="str">
        <f ca="1">IFERROR(__xludf.DUMMYFUNCTION("""COMPUTED_VALUE"""),"nan")</f>
        <v>nan</v>
      </c>
      <c r="AJ248" s="17">
        <f ca="1">IFERROR(__xludf.DUMMYFUNCTION("""COMPUTED_VALUE"""),1.14917276968601)</f>
        <v>1.1491727696860099</v>
      </c>
    </row>
    <row r="249" spans="2:36" ht="15.75" customHeight="1" x14ac:dyDescent="0.45">
      <c r="B249" s="10" t="str">
        <f ca="1">IFERROR(__xludf.DUMMYFUNCTION("""COMPUTED_VALUE"""),"Earthquakes")</f>
        <v>Earthquakes</v>
      </c>
      <c r="C249" s="10" t="str">
        <f ca="1">IFERROR(__xludf.DUMMYFUNCTION("""COMPUTED_VALUE"""),"aligned_timestamps")</f>
        <v>aligned_timestamps</v>
      </c>
      <c r="D249" s="10">
        <f ca="1">IFERROR(__xludf.DUMMYFUNCTION("""COMPUTED_VALUE"""),0.4)</f>
        <v>0.4</v>
      </c>
      <c r="E249" s="17">
        <f ca="1">IFERROR(__xludf.DUMMYFUNCTION("""COMPUTED_VALUE"""),0.989650914689173)</f>
        <v>0.98965091468917299</v>
      </c>
      <c r="F249" s="17">
        <f ca="1">IFERROR(__xludf.DUMMYFUNCTION("""COMPUTED_VALUE"""),1.02508220237684)</f>
        <v>1.02508220237684</v>
      </c>
      <c r="G249" s="17">
        <f ca="1">IFERROR(__xludf.DUMMYFUNCTION("""COMPUTED_VALUE"""),1.04016432478177)</f>
        <v>1.04016432478177</v>
      </c>
      <c r="H249" s="17">
        <f ca="1">IFERROR(__xludf.DUMMYFUNCTION("""COMPUTED_VALUE"""),0.997946254652612)</f>
        <v>0.997946254652612</v>
      </c>
      <c r="I249" s="17">
        <f ca="1">IFERROR(__xludf.DUMMYFUNCTION("""COMPUTED_VALUE"""),1.05268351021586)</f>
        <v>1.05268351021586</v>
      </c>
      <c r="J249" s="17">
        <f ca="1">IFERROR(__xludf.DUMMYFUNCTION("""COMPUTED_VALUE"""),1.08596064903985)</f>
        <v>1.0859606490398499</v>
      </c>
      <c r="K249" s="17" t="str">
        <f ca="1">IFERROR(__xludf.DUMMYFUNCTION("""COMPUTED_VALUE"""),"nan")</f>
        <v>nan</v>
      </c>
      <c r="L249" s="17">
        <f ca="1">IFERROR(__xludf.DUMMYFUNCTION("""COMPUTED_VALUE"""),1.05091999605248)</f>
        <v>1.05091999605248</v>
      </c>
      <c r="M249" s="17">
        <f ca="1">IFERROR(__xludf.DUMMYFUNCTION("""COMPUTED_VALUE"""),1.02352214902739)</f>
        <v>1.02352214902739</v>
      </c>
      <c r="N249" s="17">
        <f ca="1">IFERROR(__xludf.DUMMYFUNCTION("""COMPUTED_VALUE"""),1.2297165339512)</f>
        <v>1.2297165339512</v>
      </c>
      <c r="O249" s="17">
        <f ca="1">IFERROR(__xludf.DUMMYFUNCTION("""COMPUTED_VALUE"""),0.993091073769891)</f>
        <v>0.99309107376989103</v>
      </c>
      <c r="P249" s="17">
        <f ca="1">IFERROR(__xludf.DUMMYFUNCTION("""COMPUTED_VALUE"""),1.1489442820646)</f>
        <v>1.1489442820646001</v>
      </c>
      <c r="Q249" s="17">
        <f ca="1">IFERROR(__xludf.DUMMYFUNCTION("""COMPUTED_VALUE"""),1.39534573315235)</f>
        <v>1.39534573315235</v>
      </c>
      <c r="R249" s="17">
        <f ca="1">IFERROR(__xludf.DUMMYFUNCTION("""COMPUTED_VALUE"""),0.997581718045153)</f>
        <v>0.99758171804515305</v>
      </c>
      <c r="S249" s="17">
        <f ca="1">IFERROR(__xludf.DUMMYFUNCTION("""COMPUTED_VALUE"""),1.11867125992088)</f>
        <v>1.1186712599208799</v>
      </c>
      <c r="T249" s="17">
        <f ca="1">IFERROR(__xludf.DUMMYFUNCTION("""COMPUTED_VALUE"""),1.0751941520781)</f>
        <v>1.0751941520781001</v>
      </c>
      <c r="U249" s="17">
        <f ca="1">IFERROR(__xludf.DUMMYFUNCTION("""COMPUTED_VALUE"""),1.14026714521722)</f>
        <v>1.1402671452172199</v>
      </c>
      <c r="V249" s="17">
        <f ca="1">IFERROR(__xludf.DUMMYFUNCTION("""COMPUTED_VALUE"""),1.0725413380591)</f>
        <v>1.0725413380591</v>
      </c>
      <c r="W249" s="17">
        <f ca="1">IFERROR(__xludf.DUMMYFUNCTION("""COMPUTED_VALUE"""),1.08830718062204)</f>
        <v>1.0883071806220399</v>
      </c>
      <c r="X249" s="17">
        <f ca="1">IFERROR(__xludf.DUMMYFUNCTION("""COMPUTED_VALUE"""),0.990733060259666)</f>
        <v>0.99073306025966601</v>
      </c>
      <c r="Y249" s="17">
        <f ca="1">IFERROR(__xludf.DUMMYFUNCTION("""COMPUTED_VALUE"""),1.08580841699844)</f>
        <v>1.0858084169984401</v>
      </c>
      <c r="Z249" s="17">
        <f ca="1">IFERROR(__xludf.DUMMYFUNCTION("""COMPUTED_VALUE"""),1.0145618761912)</f>
        <v>1.0145618761912001</v>
      </c>
      <c r="AA249" s="17">
        <f ca="1">IFERROR(__xludf.DUMMYFUNCTION("""COMPUTED_VALUE"""),1.10582155592695)</f>
        <v>1.10582155592695</v>
      </c>
      <c r="AB249" s="17">
        <f ca="1">IFERROR(__xludf.DUMMYFUNCTION("""COMPUTED_VALUE"""),1.14546088488567)</f>
        <v>1.14546088488567</v>
      </c>
      <c r="AC249" s="17">
        <f ca="1">IFERROR(__xludf.DUMMYFUNCTION("""COMPUTED_VALUE"""),0.997149471582785)</f>
        <v>0.997149471582785</v>
      </c>
      <c r="AD249" s="17">
        <f ca="1">IFERROR(__xludf.DUMMYFUNCTION("""COMPUTED_VALUE"""),1.00339083518034)</f>
        <v>1.00339083518034</v>
      </c>
      <c r="AE249" s="17">
        <f ca="1">IFERROR(__xludf.DUMMYFUNCTION("""COMPUTED_VALUE"""),1.08122408827174)</f>
        <v>1.0812240882717401</v>
      </c>
      <c r="AF249" s="17">
        <f ca="1">IFERROR(__xludf.DUMMYFUNCTION("""COMPUTED_VALUE"""),1.05895299691725)</f>
        <v>1.05895299691725</v>
      </c>
      <c r="AG249" s="17">
        <f ca="1">IFERROR(__xludf.DUMMYFUNCTION("""COMPUTED_VALUE"""),1.05655081606475)</f>
        <v>1.0565508160647501</v>
      </c>
      <c r="AH249" s="17">
        <f ca="1">IFERROR(__xludf.DUMMYFUNCTION("""COMPUTED_VALUE"""),1.00181096542033)</f>
        <v>1.00181096542033</v>
      </c>
      <c r="AI249" s="17" t="str">
        <f ca="1">IFERROR(__xludf.DUMMYFUNCTION("""COMPUTED_VALUE"""),"nan")</f>
        <v>nan</v>
      </c>
      <c r="AJ249" s="17">
        <f ca="1">IFERROR(__xludf.DUMMYFUNCTION("""COMPUTED_VALUE"""),1.14099172649162)</f>
        <v>1.1409917264916201</v>
      </c>
    </row>
    <row r="250" spans="2:36" ht="15.75" customHeight="1" x14ac:dyDescent="0.45">
      <c r="B250" s="10" t="str">
        <f ca="1">IFERROR(__xludf.DUMMYFUNCTION("""COMPUTED_VALUE"""),"Earthquakes")</f>
        <v>Earthquakes</v>
      </c>
      <c r="C250" s="10" t="str">
        <f ca="1">IFERROR(__xludf.DUMMYFUNCTION("""COMPUTED_VALUE"""),"aligned_timestamps")</f>
        <v>aligned_timestamps</v>
      </c>
      <c r="D250" s="10">
        <f ca="1">IFERROR(__xludf.DUMMYFUNCTION("""COMPUTED_VALUE"""),0.6)</f>
        <v>0.6</v>
      </c>
      <c r="E250" s="17">
        <f ca="1">IFERROR(__xludf.DUMMYFUNCTION("""COMPUTED_VALUE"""),0.995162298695198)</f>
        <v>0.99516229869519801</v>
      </c>
      <c r="F250" s="17">
        <f ca="1">IFERROR(__xludf.DUMMYFUNCTION("""COMPUTED_VALUE"""),1.04127926895324)</f>
        <v>1.04127926895324</v>
      </c>
      <c r="G250" s="17">
        <f ca="1">IFERROR(__xludf.DUMMYFUNCTION("""COMPUTED_VALUE"""),1.08085509074151)</f>
        <v>1.08085509074151</v>
      </c>
      <c r="H250" s="17">
        <f ca="1">IFERROR(__xludf.DUMMYFUNCTION("""COMPUTED_VALUE"""),1.00339771806221)</f>
        <v>1.00339771806221</v>
      </c>
      <c r="I250" s="17">
        <f ca="1">IFERROR(__xludf.DUMMYFUNCTION("""COMPUTED_VALUE"""),1.07159695938042)</f>
        <v>1.07159695938042</v>
      </c>
      <c r="J250" s="17">
        <f ca="1">IFERROR(__xludf.DUMMYFUNCTION("""COMPUTED_VALUE"""),1.15525944821997)</f>
        <v>1.1552594482199701</v>
      </c>
      <c r="K250" s="17" t="str">
        <f ca="1">IFERROR(__xludf.DUMMYFUNCTION("""COMPUTED_VALUE"""),"nan")</f>
        <v>nan</v>
      </c>
      <c r="L250" s="17">
        <f ca="1">IFERROR(__xludf.DUMMYFUNCTION("""COMPUTED_VALUE"""),1.0901930754181)</f>
        <v>1.0901930754181</v>
      </c>
      <c r="M250" s="17">
        <f ca="1">IFERROR(__xludf.DUMMYFUNCTION("""COMPUTED_VALUE"""),1.0292771458238)</f>
        <v>1.0292771458237999</v>
      </c>
      <c r="N250" s="17">
        <f ca="1">IFERROR(__xludf.DUMMYFUNCTION("""COMPUTED_VALUE"""),1.24471717367481)</f>
        <v>1.2447171736748099</v>
      </c>
      <c r="O250" s="17">
        <f ca="1">IFERROR(__xludf.DUMMYFUNCTION("""COMPUTED_VALUE"""),1.00206992480856)</f>
        <v>1.0020699248085601</v>
      </c>
      <c r="P250" s="17">
        <f ca="1">IFERROR(__xludf.DUMMYFUNCTION("""COMPUTED_VALUE"""),1.18949770618653)</f>
        <v>1.1894977061865299</v>
      </c>
      <c r="Q250" s="17">
        <f ca="1">IFERROR(__xludf.DUMMYFUNCTION("""COMPUTED_VALUE"""),1.40391970568437)</f>
        <v>1.40391970568437</v>
      </c>
      <c r="R250" s="17">
        <f ca="1">IFERROR(__xludf.DUMMYFUNCTION("""COMPUTED_VALUE"""),1.00503198342003)</f>
        <v>1.0050319834200301</v>
      </c>
      <c r="S250" s="17">
        <f ca="1">IFERROR(__xludf.DUMMYFUNCTION("""COMPUTED_VALUE"""),1.1316542619352)</f>
        <v>1.1316542619351999</v>
      </c>
      <c r="T250" s="17">
        <f ca="1">IFERROR(__xludf.DUMMYFUNCTION("""COMPUTED_VALUE"""),1.07929945630685)</f>
        <v>1.0792994563068501</v>
      </c>
      <c r="U250" s="17">
        <f ca="1">IFERROR(__xludf.DUMMYFUNCTION("""COMPUTED_VALUE"""),1.14615927944728)</f>
        <v>1.1461592794472799</v>
      </c>
      <c r="V250" s="17">
        <f ca="1">IFERROR(__xludf.DUMMYFUNCTION("""COMPUTED_VALUE"""),1.07279078775986)</f>
        <v>1.0727907877598599</v>
      </c>
      <c r="W250" s="17">
        <f ca="1">IFERROR(__xludf.DUMMYFUNCTION("""COMPUTED_VALUE"""),1.09254638230954)</f>
        <v>1.09254638230954</v>
      </c>
      <c r="X250" s="17">
        <f ca="1">IFERROR(__xludf.DUMMYFUNCTION("""COMPUTED_VALUE"""),0.996734997364257)</f>
        <v>0.99673499736425697</v>
      </c>
      <c r="Y250" s="17">
        <f ca="1">IFERROR(__xludf.DUMMYFUNCTION("""COMPUTED_VALUE"""),1.08989143259176)</f>
        <v>1.0898914325917599</v>
      </c>
      <c r="Z250" s="17">
        <f ca="1">IFERROR(__xludf.DUMMYFUNCTION("""COMPUTED_VALUE"""),1.01006899565493)</f>
        <v>1.01006899565493</v>
      </c>
      <c r="AA250" s="17">
        <f ca="1">IFERROR(__xludf.DUMMYFUNCTION("""COMPUTED_VALUE"""),1.3946630894273)</f>
        <v>1.3946630894273</v>
      </c>
      <c r="AB250" s="17">
        <f ca="1">IFERROR(__xludf.DUMMYFUNCTION("""COMPUTED_VALUE"""),1.15292350997565)</f>
        <v>1.1529235099756501</v>
      </c>
      <c r="AC250" s="17">
        <f ca="1">IFERROR(__xludf.DUMMYFUNCTION("""COMPUTED_VALUE"""),1.0027975741723)</f>
        <v>1.0027975741723001</v>
      </c>
      <c r="AD250" s="17">
        <f ca="1">IFERROR(__xludf.DUMMYFUNCTION("""COMPUTED_VALUE"""),1.0082547358327)</f>
        <v>1.0082547358327001</v>
      </c>
      <c r="AE250" s="17" t="str">
        <f ca="1">IFERROR(__xludf.DUMMYFUNCTION("""COMPUTED_VALUE"""),"nan")</f>
        <v>nan</v>
      </c>
      <c r="AF250" s="17">
        <f ca="1">IFERROR(__xludf.DUMMYFUNCTION("""COMPUTED_VALUE"""),1.06023608261344)</f>
        <v>1.06023608261344</v>
      </c>
      <c r="AG250" s="17">
        <f ca="1">IFERROR(__xludf.DUMMYFUNCTION("""COMPUTED_VALUE"""),1.12309164062137)</f>
        <v>1.12309164062137</v>
      </c>
      <c r="AH250" s="17">
        <f ca="1">IFERROR(__xludf.DUMMYFUNCTION("""COMPUTED_VALUE"""),1.00360701797862)</f>
        <v>1.0036070179786201</v>
      </c>
      <c r="AI250" s="17" t="str">
        <f ca="1">IFERROR(__xludf.DUMMYFUNCTION("""COMPUTED_VALUE"""),"nan")</f>
        <v>nan</v>
      </c>
      <c r="AJ250" s="17">
        <f ca="1">IFERROR(__xludf.DUMMYFUNCTION("""COMPUTED_VALUE"""),1.14006948535021)</f>
        <v>1.14006948535021</v>
      </c>
    </row>
    <row r="251" spans="2:36" ht="15.75" customHeight="1" x14ac:dyDescent="0.45">
      <c r="B251" s="10" t="str">
        <f ca="1">IFERROR(__xludf.DUMMYFUNCTION("""COMPUTED_VALUE"""),"Earthquakes")</f>
        <v>Earthquakes</v>
      </c>
      <c r="C251" s="10" t="str">
        <f ca="1">IFERROR(__xludf.DUMMYFUNCTION("""COMPUTED_VALUE"""),"aligned_timestamps")</f>
        <v>aligned_timestamps</v>
      </c>
      <c r="D251" s="10">
        <f ca="1">IFERROR(__xludf.DUMMYFUNCTION("""COMPUTED_VALUE"""),0.8)</f>
        <v>0.8</v>
      </c>
      <c r="E251" s="17">
        <f ca="1">IFERROR(__xludf.DUMMYFUNCTION("""COMPUTED_VALUE"""),0.996510764143166)</f>
        <v>0.99651076414316597</v>
      </c>
      <c r="F251" s="17">
        <f ca="1">IFERROR(__xludf.DUMMYFUNCTION("""COMPUTED_VALUE"""),1.07893436699233)</f>
        <v>1.0789343669923299</v>
      </c>
      <c r="G251" s="17">
        <f ca="1">IFERROR(__xludf.DUMMYFUNCTION("""COMPUTED_VALUE"""),1.16564675338393)</f>
        <v>1.1656467533839301</v>
      </c>
      <c r="H251" s="17">
        <f ca="1">IFERROR(__xludf.DUMMYFUNCTION("""COMPUTED_VALUE"""),1.00420740190746)</f>
        <v>1.0042074019074601</v>
      </c>
      <c r="I251" s="17">
        <f ca="1">IFERROR(__xludf.DUMMYFUNCTION("""COMPUTED_VALUE"""),1.06873425958081)</f>
        <v>1.06873425958081</v>
      </c>
      <c r="J251" s="17">
        <f ca="1">IFERROR(__xludf.DUMMYFUNCTION("""COMPUTED_VALUE"""),1.17738395679653)</f>
        <v>1.1773839567965301</v>
      </c>
      <c r="K251" s="17" t="str">
        <f ca="1">IFERROR(__xludf.DUMMYFUNCTION("""COMPUTED_VALUE"""),"nan")</f>
        <v>nan</v>
      </c>
      <c r="L251" s="17">
        <f ca="1">IFERROR(__xludf.DUMMYFUNCTION("""COMPUTED_VALUE"""),1.10520463097252)</f>
        <v>1.1052046309725201</v>
      </c>
      <c r="M251" s="17">
        <f ca="1">IFERROR(__xludf.DUMMYFUNCTION("""COMPUTED_VALUE"""),1.08767794618456)</f>
        <v>1.08767794618456</v>
      </c>
      <c r="N251" s="17">
        <f ca="1">IFERROR(__xludf.DUMMYFUNCTION("""COMPUTED_VALUE"""),1.26758985183844)</f>
        <v>1.2675898518384401</v>
      </c>
      <c r="O251" s="17">
        <f ca="1">IFERROR(__xludf.DUMMYFUNCTION("""COMPUTED_VALUE"""),1.00501796071235)</f>
        <v>1.0050179607123499</v>
      </c>
      <c r="P251" s="17">
        <f ca="1">IFERROR(__xludf.DUMMYFUNCTION("""COMPUTED_VALUE"""),1.16992823082625)</f>
        <v>1.16992823082625</v>
      </c>
      <c r="Q251" s="17">
        <f ca="1">IFERROR(__xludf.DUMMYFUNCTION("""COMPUTED_VALUE"""),1.40760479285979)</f>
        <v>1.4076047928597899</v>
      </c>
      <c r="R251" s="17">
        <f ca="1">IFERROR(__xludf.DUMMYFUNCTION("""COMPUTED_VALUE"""),1.23244517876295)</f>
        <v>1.23244517876295</v>
      </c>
      <c r="S251" s="17">
        <f ca="1">IFERROR(__xludf.DUMMYFUNCTION("""COMPUTED_VALUE"""),1.14342871885573)</f>
        <v>1.1434287188557299</v>
      </c>
      <c r="T251" s="17">
        <f ca="1">IFERROR(__xludf.DUMMYFUNCTION("""COMPUTED_VALUE"""),1.08109648971398)</f>
        <v>1.0810964897139801</v>
      </c>
      <c r="U251" s="17">
        <f ca="1">IFERROR(__xludf.DUMMYFUNCTION("""COMPUTED_VALUE"""),1.11239150744196)</f>
        <v>1.1123915074419599</v>
      </c>
      <c r="V251" s="17">
        <f ca="1">IFERROR(__xludf.DUMMYFUNCTION("""COMPUTED_VALUE"""),1.06828845690834)</f>
        <v>1.06828845690834</v>
      </c>
      <c r="W251" s="17">
        <f ca="1">IFERROR(__xludf.DUMMYFUNCTION("""COMPUTED_VALUE"""),1.07661816201979)</f>
        <v>1.0766181620197901</v>
      </c>
      <c r="X251" s="17">
        <f ca="1">IFERROR(__xludf.DUMMYFUNCTION("""COMPUTED_VALUE"""),1.04002715671526)</f>
        <v>1.0400271567152599</v>
      </c>
      <c r="Y251" s="17">
        <f ca="1">IFERROR(__xludf.DUMMYFUNCTION("""COMPUTED_VALUE"""),1.09192856496005)</f>
        <v>1.0919285649600501</v>
      </c>
      <c r="Z251" s="17">
        <f ca="1">IFERROR(__xludf.DUMMYFUNCTION("""COMPUTED_VALUE"""),1.00708540812154)</f>
        <v>1.0070854081215399</v>
      </c>
      <c r="AA251" s="17">
        <f ca="1">IFERROR(__xludf.DUMMYFUNCTION("""COMPUTED_VALUE"""),1.56562060380542)</f>
        <v>1.5656206038054199</v>
      </c>
      <c r="AB251" s="17">
        <f ca="1">IFERROR(__xludf.DUMMYFUNCTION("""COMPUTED_VALUE"""),1.31147025986887)</f>
        <v>1.3114702598688699</v>
      </c>
      <c r="AC251" s="17">
        <f ca="1">IFERROR(__xludf.DUMMYFUNCTION("""COMPUTED_VALUE"""),1.00525505850598)</f>
        <v>1.0052550585059801</v>
      </c>
      <c r="AD251" s="17">
        <f ca="1">IFERROR(__xludf.DUMMYFUNCTION("""COMPUTED_VALUE"""),1.00884690803469)</f>
        <v>1.00884690803469</v>
      </c>
      <c r="AE251" s="17" t="str">
        <f ca="1">IFERROR(__xludf.DUMMYFUNCTION("""COMPUTED_VALUE"""),"nan")</f>
        <v>nan</v>
      </c>
      <c r="AF251" s="17">
        <f ca="1">IFERROR(__xludf.DUMMYFUNCTION("""COMPUTED_VALUE"""),1.05697106045148)</f>
        <v>1.0569710604514799</v>
      </c>
      <c r="AG251" s="17">
        <f ca="1">IFERROR(__xludf.DUMMYFUNCTION("""COMPUTED_VALUE"""),1.12098341374339)</f>
        <v>1.1209834137433901</v>
      </c>
      <c r="AH251" s="17">
        <f ca="1">IFERROR(__xludf.DUMMYFUNCTION("""COMPUTED_VALUE"""),1.00425676364912)</f>
        <v>1.00425676364912</v>
      </c>
      <c r="AI251" s="17" t="str">
        <f ca="1">IFERROR(__xludf.DUMMYFUNCTION("""COMPUTED_VALUE"""),"nan")</f>
        <v>nan</v>
      </c>
      <c r="AJ251" s="17">
        <f ca="1">IFERROR(__xludf.DUMMYFUNCTION("""COMPUTED_VALUE"""),1.13588851088465)</f>
        <v>1.1358885108846499</v>
      </c>
    </row>
    <row r="252" spans="2:36" ht="15.75" customHeight="1" x14ac:dyDescent="0.45">
      <c r="B252" s="10" t="str">
        <f ca="1">IFERROR(__xludf.DUMMYFUNCTION("""COMPUTED_VALUE"""),"Earthquakes")</f>
        <v>Earthquakes</v>
      </c>
      <c r="C252" s="10" t="str">
        <f ca="1">IFERROR(__xludf.DUMMYFUNCTION("""COMPUTED_VALUE"""),"mcar")</f>
        <v>mcar</v>
      </c>
      <c r="D252" s="10">
        <f ca="1">IFERROR(__xludf.DUMMYFUNCTION("""COMPUTED_VALUE"""),0.1)</f>
        <v>0.1</v>
      </c>
      <c r="E252" s="17">
        <f ca="1">IFERROR(__xludf.DUMMYFUNCTION("""COMPUTED_VALUE"""),1.04035559072066)</f>
        <v>1.0403555907206601</v>
      </c>
      <c r="F252" s="17">
        <f ca="1">IFERROR(__xludf.DUMMYFUNCTION("""COMPUTED_VALUE"""),1.05302923104078)</f>
        <v>1.0530292310407801</v>
      </c>
      <c r="G252" s="17">
        <f ca="1">IFERROR(__xludf.DUMMYFUNCTION("""COMPUTED_VALUE"""),1.05381352111967)</f>
        <v>1.05381352111967</v>
      </c>
      <c r="H252" s="17">
        <f ca="1">IFERROR(__xludf.DUMMYFUNCTION("""COMPUTED_VALUE"""),1.05028263359788)</f>
        <v>1.0502826335978801</v>
      </c>
      <c r="I252" s="17">
        <f ca="1">IFERROR(__xludf.DUMMYFUNCTION("""COMPUTED_VALUE"""),1.10133852154643)</f>
        <v>1.10133852154643</v>
      </c>
      <c r="J252" s="17">
        <f ca="1">IFERROR(__xludf.DUMMYFUNCTION("""COMPUTED_VALUE"""),1.14733867612139)</f>
        <v>1.14733867612139</v>
      </c>
      <c r="K252" s="17" t="str">
        <f ca="1">IFERROR(__xludf.DUMMYFUNCTION("""COMPUTED_VALUE"""),"nan")</f>
        <v>nan</v>
      </c>
      <c r="L252" s="17">
        <f ca="1">IFERROR(__xludf.DUMMYFUNCTION("""COMPUTED_VALUE"""),1.06035227493218)</f>
        <v>1.0603522749321801</v>
      </c>
      <c r="M252" s="17">
        <f ca="1">IFERROR(__xludf.DUMMYFUNCTION("""COMPUTED_VALUE"""),1.04588159095457)</f>
        <v>1.04588159095457</v>
      </c>
      <c r="N252" s="17">
        <f ca="1">IFERROR(__xludf.DUMMYFUNCTION("""COMPUTED_VALUE"""),1.07497726665951)</f>
        <v>1.0749772666595101</v>
      </c>
      <c r="O252" s="17">
        <f ca="1">IFERROR(__xludf.DUMMYFUNCTION("""COMPUTED_VALUE"""),1.04253420613337)</f>
        <v>1.04253420613337</v>
      </c>
      <c r="P252" s="17">
        <f ca="1">IFERROR(__xludf.DUMMYFUNCTION("""COMPUTED_VALUE"""),1.07635233781787)</f>
        <v>1.0763523378178701</v>
      </c>
      <c r="Q252" s="17">
        <f ca="1">IFERROR(__xludf.DUMMYFUNCTION("""COMPUTED_VALUE"""),1.41730605143072)</f>
        <v>1.4173060514307201</v>
      </c>
      <c r="R252" s="17">
        <f ca="1">IFERROR(__xludf.DUMMYFUNCTION("""COMPUTED_VALUE"""),1.04419413960813)</f>
        <v>1.04419413960813</v>
      </c>
      <c r="S252" s="17">
        <f ca="1">IFERROR(__xludf.DUMMYFUNCTION("""COMPUTED_VALUE"""),1.21697768882755)</f>
        <v>1.2169776888275501</v>
      </c>
      <c r="T252" s="17">
        <f ca="1">IFERROR(__xludf.DUMMYFUNCTION("""COMPUTED_VALUE"""),1.14699011382464)</f>
        <v>1.1469901138246399</v>
      </c>
      <c r="U252" s="17">
        <f ca="1">IFERROR(__xludf.DUMMYFUNCTION("""COMPUTED_VALUE"""),1.14464355490727)</f>
        <v>1.14464355490727</v>
      </c>
      <c r="V252" s="17">
        <f ca="1">IFERROR(__xludf.DUMMYFUNCTION("""COMPUTED_VALUE"""),1.14633498856315)</f>
        <v>1.14633498856315</v>
      </c>
      <c r="W252" s="17">
        <f ca="1">IFERROR(__xludf.DUMMYFUNCTION("""COMPUTED_VALUE"""),1.14397527301519)</f>
        <v>1.14397527301519</v>
      </c>
      <c r="X252" s="17">
        <f ca="1">IFERROR(__xludf.DUMMYFUNCTION("""COMPUTED_VALUE"""),1.0398319074067)</f>
        <v>1.0398319074067</v>
      </c>
      <c r="Y252" s="17">
        <f ca="1">IFERROR(__xludf.DUMMYFUNCTION("""COMPUTED_VALUE"""),1.15544507560715)</f>
        <v>1.1554450756071499</v>
      </c>
      <c r="Z252" s="17">
        <f ca="1">IFERROR(__xludf.DUMMYFUNCTION("""COMPUTED_VALUE"""),1.12087386847009)</f>
        <v>1.1208738684700901</v>
      </c>
      <c r="AA252" s="17">
        <f ca="1">IFERROR(__xludf.DUMMYFUNCTION("""COMPUTED_VALUE"""),1.08397797572311)</f>
        <v>1.0839779757231101</v>
      </c>
      <c r="AB252" s="17">
        <f ca="1">IFERROR(__xludf.DUMMYFUNCTION("""COMPUTED_VALUE"""),1.16910924322277)</f>
        <v>1.1691092432227701</v>
      </c>
      <c r="AC252" s="17">
        <f ca="1">IFERROR(__xludf.DUMMYFUNCTION("""COMPUTED_VALUE"""),1.0640481232055)</f>
        <v>1.0640481232054999</v>
      </c>
      <c r="AD252" s="17">
        <f ca="1">IFERROR(__xludf.DUMMYFUNCTION("""COMPUTED_VALUE"""),1.05735281843058)</f>
        <v>1.05735281843058</v>
      </c>
      <c r="AE252" s="17">
        <f ca="1">IFERROR(__xludf.DUMMYFUNCTION("""COMPUTED_VALUE"""),1.08032621076538)</f>
        <v>1.0803262107653799</v>
      </c>
      <c r="AF252" s="17">
        <f ca="1">IFERROR(__xludf.DUMMYFUNCTION("""COMPUTED_VALUE"""),1.14709335974221)</f>
        <v>1.1470933597422099</v>
      </c>
      <c r="AG252" s="17">
        <f ca="1">IFERROR(__xludf.DUMMYFUNCTION("""COMPUTED_VALUE"""),1.05437236029612)</f>
        <v>1.0543723602961199</v>
      </c>
      <c r="AH252" s="17">
        <f ca="1">IFERROR(__xludf.DUMMYFUNCTION("""COMPUTED_VALUE"""),1.05968959895939)</f>
        <v>1.05968959895939</v>
      </c>
      <c r="AI252" s="17">
        <f ca="1">IFERROR(__xludf.DUMMYFUNCTION("""COMPUTED_VALUE"""),1.04681645533543)</f>
        <v>1.04681645533543</v>
      </c>
      <c r="AJ252" s="17">
        <f ca="1">IFERROR(__xludf.DUMMYFUNCTION("""COMPUTED_VALUE"""),1.19240987053497)</f>
        <v>1.1924098705349699</v>
      </c>
    </row>
    <row r="253" spans="2:36" ht="15.75" customHeight="1" x14ac:dyDescent="0.45">
      <c r="B253" s="10" t="str">
        <f ca="1">IFERROR(__xludf.DUMMYFUNCTION("""COMPUTED_VALUE"""),"Earthquakes")</f>
        <v>Earthquakes</v>
      </c>
      <c r="C253" s="10" t="str">
        <f ca="1">IFERROR(__xludf.DUMMYFUNCTION("""COMPUTED_VALUE"""),"mcar")</f>
        <v>mcar</v>
      </c>
      <c r="D253" s="10">
        <f ca="1">IFERROR(__xludf.DUMMYFUNCTION("""COMPUTED_VALUE"""),0.2)</f>
        <v>0.2</v>
      </c>
      <c r="E253" s="17">
        <f ca="1">IFERROR(__xludf.DUMMYFUNCTION("""COMPUTED_VALUE"""),1.01368675061184)</f>
        <v>1.0136867506118401</v>
      </c>
      <c r="F253" s="17">
        <f ca="1">IFERROR(__xludf.DUMMYFUNCTION("""COMPUTED_VALUE"""),1.03296615556768)</f>
        <v>1.0329661555676799</v>
      </c>
      <c r="G253" s="17">
        <f ca="1">IFERROR(__xludf.DUMMYFUNCTION("""COMPUTED_VALUE"""),1.03430274754008)</f>
        <v>1.0343027475400799</v>
      </c>
      <c r="H253" s="17">
        <f ca="1">IFERROR(__xludf.DUMMYFUNCTION("""COMPUTED_VALUE"""),1.0251815206814)</f>
        <v>1.0251815206813999</v>
      </c>
      <c r="I253" s="17">
        <f ca="1">IFERROR(__xludf.DUMMYFUNCTION("""COMPUTED_VALUE"""),1.07855858601138)</f>
        <v>1.07855858601138</v>
      </c>
      <c r="J253" s="17">
        <f ca="1">IFERROR(__xludf.DUMMYFUNCTION("""COMPUTED_VALUE"""),1.11159995279557)</f>
        <v>1.11159995279557</v>
      </c>
      <c r="K253" s="17" t="str">
        <f ca="1">IFERROR(__xludf.DUMMYFUNCTION("""COMPUTED_VALUE"""),"nan")</f>
        <v>nan</v>
      </c>
      <c r="L253" s="17">
        <f ca="1">IFERROR(__xludf.DUMMYFUNCTION("""COMPUTED_VALUE"""),1.03611705842673)</f>
        <v>1.0361170584267301</v>
      </c>
      <c r="M253" s="17">
        <f ca="1">IFERROR(__xludf.DUMMYFUNCTION("""COMPUTED_VALUE"""),1.02562772094077)</f>
        <v>1.02562772094077</v>
      </c>
      <c r="N253" s="17">
        <f ca="1">IFERROR(__xludf.DUMMYFUNCTION("""COMPUTED_VALUE"""),1.04940193806819)</f>
        <v>1.04940193806819</v>
      </c>
      <c r="O253" s="17">
        <f ca="1">IFERROR(__xludf.DUMMYFUNCTION("""COMPUTED_VALUE"""),1.01925278532907)</f>
        <v>1.01925278532907</v>
      </c>
      <c r="P253" s="17">
        <f ca="1">IFERROR(__xludf.DUMMYFUNCTION("""COMPUTED_VALUE"""),1.05588022752389)</f>
        <v>1.0558802275238901</v>
      </c>
      <c r="Q253" s="17">
        <f ca="1">IFERROR(__xludf.DUMMYFUNCTION("""COMPUTED_VALUE"""),1.40481051294382)</f>
        <v>1.40481051294382</v>
      </c>
      <c r="R253" s="17">
        <f ca="1">IFERROR(__xludf.DUMMYFUNCTION("""COMPUTED_VALUE"""),1.01798198857901)</f>
        <v>1.01798198857901</v>
      </c>
      <c r="S253" s="17">
        <f ca="1">IFERROR(__xludf.DUMMYFUNCTION("""COMPUTED_VALUE"""),1.20972217613615)</f>
        <v>1.2097221761361501</v>
      </c>
      <c r="T253" s="17">
        <f ca="1">IFERROR(__xludf.DUMMYFUNCTION("""COMPUTED_VALUE"""),1.10884227949053)</f>
        <v>1.1088422794905299</v>
      </c>
      <c r="U253" s="17">
        <f ca="1">IFERROR(__xludf.DUMMYFUNCTION("""COMPUTED_VALUE"""),1.12764644342545)</f>
        <v>1.1276464434254501</v>
      </c>
      <c r="V253" s="17">
        <f ca="1">IFERROR(__xludf.DUMMYFUNCTION("""COMPUTED_VALUE"""),1.10763531629192)</f>
        <v>1.1076353162919199</v>
      </c>
      <c r="W253" s="17">
        <f ca="1">IFERROR(__xludf.DUMMYFUNCTION("""COMPUTED_VALUE"""),1.10997488652821)</f>
        <v>1.10997488652821</v>
      </c>
      <c r="X253" s="17">
        <f ca="1">IFERROR(__xludf.DUMMYFUNCTION("""COMPUTED_VALUE"""),1.01468002608481)</f>
        <v>1.0146800260848099</v>
      </c>
      <c r="Y253" s="17">
        <f ca="1">IFERROR(__xludf.DUMMYFUNCTION("""COMPUTED_VALUE"""),1.11640264137021)</f>
        <v>1.1164026413702099</v>
      </c>
      <c r="Z253" s="17">
        <f ca="1">IFERROR(__xludf.DUMMYFUNCTION("""COMPUTED_VALUE"""),1.08473774904418)</f>
        <v>1.0847377490441801</v>
      </c>
      <c r="AA253" s="17">
        <f ca="1">IFERROR(__xludf.DUMMYFUNCTION("""COMPUTED_VALUE"""),1.06024112334669)</f>
        <v>1.06024112334669</v>
      </c>
      <c r="AB253" s="17">
        <f ca="1">IFERROR(__xludf.DUMMYFUNCTION("""COMPUTED_VALUE"""),1.15122679618621)</f>
        <v>1.1512267961862099</v>
      </c>
      <c r="AC253" s="17">
        <f ca="1">IFERROR(__xludf.DUMMYFUNCTION("""COMPUTED_VALUE"""),1.04442749734725)</f>
        <v>1.04442749734725</v>
      </c>
      <c r="AD253" s="17">
        <f ca="1">IFERROR(__xludf.DUMMYFUNCTION("""COMPUTED_VALUE"""),1.02983368265348)</f>
        <v>1.02983368265348</v>
      </c>
      <c r="AE253" s="17">
        <f ca="1">IFERROR(__xludf.DUMMYFUNCTION("""COMPUTED_VALUE"""),1.04834603406881)</f>
        <v>1.04834603406881</v>
      </c>
      <c r="AF253" s="17">
        <f ca="1">IFERROR(__xludf.DUMMYFUNCTION("""COMPUTED_VALUE"""),1.10083248797864)</f>
        <v>1.10083248797864</v>
      </c>
      <c r="AG253" s="17">
        <f ca="1">IFERROR(__xludf.DUMMYFUNCTION("""COMPUTED_VALUE"""),1.03196417245259)</f>
        <v>1.0319641724525901</v>
      </c>
      <c r="AH253" s="17">
        <f ca="1">IFERROR(__xludf.DUMMYFUNCTION("""COMPUTED_VALUE"""),1.02486811463549)</f>
        <v>1.0248681146354901</v>
      </c>
      <c r="AI253" s="17" t="str">
        <f ca="1">IFERROR(__xludf.DUMMYFUNCTION("""COMPUTED_VALUE"""),"nan")</f>
        <v>nan</v>
      </c>
      <c r="AJ253" s="17">
        <f ca="1">IFERROR(__xludf.DUMMYFUNCTION("""COMPUTED_VALUE"""),1.18618772436603)</f>
        <v>1.1861877243660299</v>
      </c>
    </row>
    <row r="254" spans="2:36" ht="15.75" customHeight="1" x14ac:dyDescent="0.45">
      <c r="B254" s="10" t="str">
        <f ca="1">IFERROR(__xludf.DUMMYFUNCTION("""COMPUTED_VALUE"""),"Earthquakes")</f>
        <v>Earthquakes</v>
      </c>
      <c r="C254" s="10" t="str">
        <f ca="1">IFERROR(__xludf.DUMMYFUNCTION("""COMPUTED_VALUE"""),"mcar")</f>
        <v>mcar</v>
      </c>
      <c r="D254" s="10">
        <f ca="1">IFERROR(__xludf.DUMMYFUNCTION("""COMPUTED_VALUE"""),0.4)</f>
        <v>0.4</v>
      </c>
      <c r="E254" s="17">
        <f ca="1">IFERROR(__xludf.DUMMYFUNCTION("""COMPUTED_VALUE"""),1.00827153758612)</f>
        <v>1.00827153758612</v>
      </c>
      <c r="F254" s="17">
        <f ca="1">IFERROR(__xludf.DUMMYFUNCTION("""COMPUTED_VALUE"""),1.02566184559513)</f>
        <v>1.0256618455951301</v>
      </c>
      <c r="G254" s="17">
        <f ca="1">IFERROR(__xludf.DUMMYFUNCTION("""COMPUTED_VALUE"""),1.02927711504696)</f>
        <v>1.02927711504696</v>
      </c>
      <c r="H254" s="17">
        <f ca="1">IFERROR(__xludf.DUMMYFUNCTION("""COMPUTED_VALUE"""),1.02138184967593)</f>
        <v>1.0213818496759299</v>
      </c>
      <c r="I254" s="17">
        <f ca="1">IFERROR(__xludf.DUMMYFUNCTION("""COMPUTED_VALUE"""),1.08272116679972)</f>
        <v>1.0827211667997201</v>
      </c>
      <c r="J254" s="17">
        <f ca="1">IFERROR(__xludf.DUMMYFUNCTION("""COMPUTED_VALUE"""),1.10112047832134)</f>
        <v>1.10112047832134</v>
      </c>
      <c r="K254" s="17" t="str">
        <f ca="1">IFERROR(__xludf.DUMMYFUNCTION("""COMPUTED_VALUE"""),"nan")</f>
        <v>nan</v>
      </c>
      <c r="L254" s="17">
        <f ca="1">IFERROR(__xludf.DUMMYFUNCTION("""COMPUTED_VALUE"""),1.03930354707781)</f>
        <v>1.03930354707781</v>
      </c>
      <c r="M254" s="17">
        <f ca="1">IFERROR(__xludf.DUMMYFUNCTION("""COMPUTED_VALUE"""),1.02191642167363)</f>
        <v>1.0219164216736301</v>
      </c>
      <c r="N254" s="17">
        <f ca="1">IFERROR(__xludf.DUMMYFUNCTION("""COMPUTED_VALUE"""),1.05337769209555)</f>
        <v>1.05337769209555</v>
      </c>
      <c r="O254" s="17">
        <f ca="1">IFERROR(__xludf.DUMMYFUNCTION("""COMPUTED_VALUE"""),1.01117791559151)</f>
        <v>1.0111779155915099</v>
      </c>
      <c r="P254" s="17">
        <f ca="1">IFERROR(__xludf.DUMMYFUNCTION("""COMPUTED_VALUE"""),1.04974560222761)</f>
        <v>1.0497456022276099</v>
      </c>
      <c r="Q254" s="17">
        <f ca="1">IFERROR(__xludf.DUMMYFUNCTION("""COMPUTED_VALUE"""),1.38002680397686)</f>
        <v>1.38002680397686</v>
      </c>
      <c r="R254" s="17">
        <f ca="1">IFERROR(__xludf.DUMMYFUNCTION("""COMPUTED_VALUE"""),1.01316541931833)</f>
        <v>1.0131654193183299</v>
      </c>
      <c r="S254" s="17">
        <f ca="1">IFERROR(__xludf.DUMMYFUNCTION("""COMPUTED_VALUE"""),1.19963164372843)</f>
        <v>1.19963164372843</v>
      </c>
      <c r="T254" s="17">
        <f ca="1">IFERROR(__xludf.DUMMYFUNCTION("""COMPUTED_VALUE"""),1.09822179475741)</f>
        <v>1.09822179475741</v>
      </c>
      <c r="U254" s="17">
        <f ca="1">IFERROR(__xludf.DUMMYFUNCTION("""COMPUTED_VALUE"""),1.16457349557809)</f>
        <v>1.16457349557809</v>
      </c>
      <c r="V254" s="17">
        <f ca="1">IFERROR(__xludf.DUMMYFUNCTION("""COMPUTED_VALUE"""),1.09530608443442)</f>
        <v>1.09530608443442</v>
      </c>
      <c r="W254" s="17">
        <f ca="1">IFERROR(__xludf.DUMMYFUNCTION("""COMPUTED_VALUE"""),1.09841660473298)</f>
        <v>1.09841660473298</v>
      </c>
      <c r="X254" s="17">
        <f ca="1">IFERROR(__xludf.DUMMYFUNCTION("""COMPUTED_VALUE"""),1.02043734826855)</f>
        <v>1.02043734826855</v>
      </c>
      <c r="Y254" s="17">
        <f ca="1">IFERROR(__xludf.DUMMYFUNCTION("""COMPUTED_VALUE"""),1.10714826399683)</f>
        <v>1.10714826399683</v>
      </c>
      <c r="Z254" s="17">
        <f ca="1">IFERROR(__xludf.DUMMYFUNCTION("""COMPUTED_VALUE"""),1.07138834043429)</f>
        <v>1.0713883404342901</v>
      </c>
      <c r="AA254" s="17">
        <f ca="1">IFERROR(__xludf.DUMMYFUNCTION("""COMPUTED_VALUE"""),1.06317024601603)</f>
        <v>1.0631702460160299</v>
      </c>
      <c r="AB254" s="17">
        <f ca="1">IFERROR(__xludf.DUMMYFUNCTION("""COMPUTED_VALUE"""),1.13893801719954)</f>
        <v>1.13893801719954</v>
      </c>
      <c r="AC254" s="17">
        <f ca="1">IFERROR(__xludf.DUMMYFUNCTION("""COMPUTED_VALUE"""),1.02678062320324)</f>
        <v>1.0267806232032399</v>
      </c>
      <c r="AD254" s="17">
        <f ca="1">IFERROR(__xludf.DUMMYFUNCTION("""COMPUTED_VALUE"""),1.02451798657115)</f>
        <v>1.02451798657115</v>
      </c>
      <c r="AE254" s="17">
        <f ca="1">IFERROR(__xludf.DUMMYFUNCTION("""COMPUTED_VALUE"""),1.04080327326193)</f>
        <v>1.0408032732619299</v>
      </c>
      <c r="AF254" s="17">
        <f ca="1">IFERROR(__xludf.DUMMYFUNCTION("""COMPUTED_VALUE"""),1.09998789777661)</f>
        <v>1.09998789777661</v>
      </c>
      <c r="AG254" s="17">
        <f ca="1">IFERROR(__xludf.DUMMYFUNCTION("""COMPUTED_VALUE"""),1.04999233964225)</f>
        <v>1.0499923396422499</v>
      </c>
      <c r="AH254" s="17">
        <f ca="1">IFERROR(__xludf.DUMMYFUNCTION("""COMPUTED_VALUE"""),1.01495597294811)</f>
        <v>1.0149559729481099</v>
      </c>
      <c r="AI254" s="17" t="str">
        <f ca="1">IFERROR(__xludf.DUMMYFUNCTION("""COMPUTED_VALUE"""),"nan")</f>
        <v>nan</v>
      </c>
      <c r="AJ254" s="17">
        <f ca="1">IFERROR(__xludf.DUMMYFUNCTION("""COMPUTED_VALUE"""),1.15680250046081)</f>
        <v>1.15680250046081</v>
      </c>
    </row>
    <row r="255" spans="2:36" ht="15.75" customHeight="1" x14ac:dyDescent="0.45">
      <c r="B255" s="10" t="str">
        <f ca="1">IFERROR(__xludf.DUMMYFUNCTION("""COMPUTED_VALUE"""),"Earthquakes")</f>
        <v>Earthquakes</v>
      </c>
      <c r="C255" s="10" t="str">
        <f ca="1">IFERROR(__xludf.DUMMYFUNCTION("""COMPUTED_VALUE"""),"mcar")</f>
        <v>mcar</v>
      </c>
      <c r="D255" s="10">
        <f ca="1">IFERROR(__xludf.DUMMYFUNCTION("""COMPUTED_VALUE"""),0.6)</f>
        <v>0.6</v>
      </c>
      <c r="E255" s="17">
        <f ca="1">IFERROR(__xludf.DUMMYFUNCTION("""COMPUTED_VALUE"""),1.00106218525814)</f>
        <v>1.0010621852581401</v>
      </c>
      <c r="F255" s="17">
        <f ca="1">IFERROR(__xludf.DUMMYFUNCTION("""COMPUTED_VALUE"""),1.03320969817562)</f>
        <v>1.03320969817562</v>
      </c>
      <c r="G255" s="17">
        <f ca="1">IFERROR(__xludf.DUMMYFUNCTION("""COMPUTED_VALUE"""),1.04343355010941)</f>
        <v>1.0434335501094101</v>
      </c>
      <c r="H255" s="17">
        <f ca="1">IFERROR(__xludf.DUMMYFUNCTION("""COMPUTED_VALUE"""),1.01445054204883)</f>
        <v>1.0144505420488299</v>
      </c>
      <c r="I255" s="17">
        <f ca="1">IFERROR(__xludf.DUMMYFUNCTION("""COMPUTED_VALUE"""),1.09034686436187)</f>
        <v>1.0903468643618699</v>
      </c>
      <c r="J255" s="17">
        <f ca="1">IFERROR(__xludf.DUMMYFUNCTION("""COMPUTED_VALUE"""),1.08493344438794)</f>
        <v>1.0849334443879399</v>
      </c>
      <c r="K255" s="17" t="str">
        <f ca="1">IFERROR(__xludf.DUMMYFUNCTION("""COMPUTED_VALUE"""),"nan")</f>
        <v>nan</v>
      </c>
      <c r="L255" s="17">
        <f ca="1">IFERROR(__xludf.DUMMYFUNCTION("""COMPUTED_VALUE"""),1.05453350996574)</f>
        <v>1.05453350996574</v>
      </c>
      <c r="M255" s="17">
        <f ca="1">IFERROR(__xludf.DUMMYFUNCTION("""COMPUTED_VALUE"""),1.02459522802096)</f>
        <v>1.02459522802096</v>
      </c>
      <c r="N255" s="17">
        <f ca="1">IFERROR(__xludf.DUMMYFUNCTION("""COMPUTED_VALUE"""),1.0645523516164)</f>
        <v>1.0645523516163999</v>
      </c>
      <c r="O255" s="17">
        <f ca="1">IFERROR(__xludf.DUMMYFUNCTION("""COMPUTED_VALUE"""),1.00632913712502)</f>
        <v>1.00632913712502</v>
      </c>
      <c r="P255" s="17">
        <f ca="1">IFERROR(__xludf.DUMMYFUNCTION("""COMPUTED_VALUE"""),1.05717302121394)</f>
        <v>1.0571730212139401</v>
      </c>
      <c r="Q255" s="17">
        <f ca="1">IFERROR(__xludf.DUMMYFUNCTION("""COMPUTED_VALUE"""),1.36292471576005)</f>
        <v>1.3629247157600499</v>
      </c>
      <c r="R255" s="17">
        <f ca="1">IFERROR(__xludf.DUMMYFUNCTION("""COMPUTED_VALUE"""),1.00850958130579)</f>
        <v>1.00850958130579</v>
      </c>
      <c r="S255" s="17">
        <f ca="1">IFERROR(__xludf.DUMMYFUNCTION("""COMPUTED_VALUE"""),1.19334538005464)</f>
        <v>1.1933453800546401</v>
      </c>
      <c r="T255" s="17">
        <f ca="1">IFERROR(__xludf.DUMMYFUNCTION("""COMPUTED_VALUE"""),1.09254470676028)</f>
        <v>1.09254470676028</v>
      </c>
      <c r="U255" s="17">
        <f ca="1">IFERROR(__xludf.DUMMYFUNCTION("""COMPUTED_VALUE"""),1.19591116702525)</f>
        <v>1.19591116702525</v>
      </c>
      <c r="V255" s="17">
        <f ca="1">IFERROR(__xludf.DUMMYFUNCTION("""COMPUTED_VALUE"""),1.08899267177014)</f>
        <v>1.0889926717701399</v>
      </c>
      <c r="W255" s="17">
        <f ca="1">IFERROR(__xludf.DUMMYFUNCTION("""COMPUTED_VALUE"""),1.09223272662571)</f>
        <v>1.0922327266257099</v>
      </c>
      <c r="X255" s="17">
        <f ca="1">IFERROR(__xludf.DUMMYFUNCTION("""COMPUTED_VALUE"""),1.00343782738041)</f>
        <v>1.0034378273804101</v>
      </c>
      <c r="Y255" s="17">
        <f ca="1">IFERROR(__xludf.DUMMYFUNCTION("""COMPUTED_VALUE"""),1.10088571325503)</f>
        <v>1.10088571325503</v>
      </c>
      <c r="Z255" s="17">
        <f ca="1">IFERROR(__xludf.DUMMYFUNCTION("""COMPUTED_VALUE"""),1.0497856655013)</f>
        <v>1.0497856655013</v>
      </c>
      <c r="AA255" s="17">
        <f ca="1">IFERROR(__xludf.DUMMYFUNCTION("""COMPUTED_VALUE"""),1.07712497119564)</f>
        <v>1.0771249711956401</v>
      </c>
      <c r="AB255" s="17">
        <f ca="1">IFERROR(__xludf.DUMMYFUNCTION("""COMPUTED_VALUE"""),1.13612815652421)</f>
        <v>1.1361281565242101</v>
      </c>
      <c r="AC255" s="17">
        <f ca="1">IFERROR(__xludf.DUMMYFUNCTION("""COMPUTED_VALUE"""),1.01808591816511)</f>
        <v>1.0180859181651101</v>
      </c>
      <c r="AD255" s="17">
        <f ca="1">IFERROR(__xludf.DUMMYFUNCTION("""COMPUTED_VALUE"""),1.01710618329551)</f>
        <v>1.0171061832955099</v>
      </c>
      <c r="AE255" s="17">
        <f ca="1">IFERROR(__xludf.DUMMYFUNCTION("""COMPUTED_VALUE"""),1.03534498404191)</f>
        <v>1.03534498404191</v>
      </c>
      <c r="AF255" s="17">
        <f ca="1">IFERROR(__xludf.DUMMYFUNCTION("""COMPUTED_VALUE"""),1.092362963547)</f>
        <v>1.092362963547</v>
      </c>
      <c r="AG255" s="17">
        <f ca="1">IFERROR(__xludf.DUMMYFUNCTION("""COMPUTED_VALUE"""),1.11803732977222)</f>
        <v>1.1180373297722199</v>
      </c>
      <c r="AH255" s="17">
        <f ca="1">IFERROR(__xludf.DUMMYFUNCTION("""COMPUTED_VALUE"""),1.00852673087956)</f>
        <v>1.00852673087956</v>
      </c>
      <c r="AI255" s="17" t="str">
        <f ca="1">IFERROR(__xludf.DUMMYFUNCTION("""COMPUTED_VALUE"""),"nan")</f>
        <v>nan</v>
      </c>
      <c r="AJ255" s="17">
        <f ca="1">IFERROR(__xludf.DUMMYFUNCTION("""COMPUTED_VALUE"""),1.0123602082541)</f>
        <v>1.0123602082540999</v>
      </c>
    </row>
    <row r="256" spans="2:36" ht="15.75" customHeight="1" x14ac:dyDescent="0.45">
      <c r="B256" s="10" t="str">
        <f ca="1">IFERROR(__xludf.DUMMYFUNCTION("""COMPUTED_VALUE"""),"Earthquakes")</f>
        <v>Earthquakes</v>
      </c>
      <c r="C256" s="10" t="str">
        <f ca="1">IFERROR(__xludf.DUMMYFUNCTION("""COMPUTED_VALUE"""),"mcar")</f>
        <v>mcar</v>
      </c>
      <c r="D256" s="10">
        <f ca="1">IFERROR(__xludf.DUMMYFUNCTION("""COMPUTED_VALUE"""),0.8)</f>
        <v>0.8</v>
      </c>
      <c r="E256" s="17">
        <f ca="1">IFERROR(__xludf.DUMMYFUNCTION("""COMPUTED_VALUE"""),0.999100696171901)</f>
        <v>0.999100696171901</v>
      </c>
      <c r="F256" s="17">
        <f ca="1">IFERROR(__xludf.DUMMYFUNCTION("""COMPUTED_VALUE"""),1.07884933283175)</f>
        <v>1.0788493328317501</v>
      </c>
      <c r="G256" s="17">
        <f ca="1">IFERROR(__xludf.DUMMYFUNCTION("""COMPUTED_VALUE"""),1.15490434306858)</f>
        <v>1.1549043430685799</v>
      </c>
      <c r="H256" s="17">
        <f ca="1">IFERROR(__xludf.DUMMYFUNCTION("""COMPUTED_VALUE"""),1.01159919613254)</f>
        <v>1.0115991961325399</v>
      </c>
      <c r="I256" s="17">
        <f ca="1">IFERROR(__xludf.DUMMYFUNCTION("""COMPUTED_VALUE"""),1.08602949026176)</f>
        <v>1.08602949026176</v>
      </c>
      <c r="J256" s="17">
        <f ca="1">IFERROR(__xludf.DUMMYFUNCTION("""COMPUTED_VALUE"""),1.09574360326818)</f>
        <v>1.09574360326818</v>
      </c>
      <c r="K256" s="17" t="str">
        <f ca="1">IFERROR(__xludf.DUMMYFUNCTION("""COMPUTED_VALUE"""),"nan")</f>
        <v>nan</v>
      </c>
      <c r="L256" s="17">
        <f ca="1">IFERROR(__xludf.DUMMYFUNCTION("""COMPUTED_VALUE"""),1.10072857598683)</f>
        <v>1.1007285759868299</v>
      </c>
      <c r="M256" s="17">
        <f ca="1">IFERROR(__xludf.DUMMYFUNCTION("""COMPUTED_VALUE"""),1.06690352742045)</f>
        <v>1.0669035274204499</v>
      </c>
      <c r="N256" s="17">
        <f ca="1">IFERROR(__xludf.DUMMYFUNCTION("""COMPUTED_VALUE"""),1.08357077087398)</f>
        <v>1.0835707708739799</v>
      </c>
      <c r="O256" s="17">
        <f ca="1">IFERROR(__xludf.DUMMYFUNCTION("""COMPUTED_VALUE"""),1.00420814885941)</f>
        <v>1.0042081488594099</v>
      </c>
      <c r="P256" s="17">
        <f ca="1">IFERROR(__xludf.DUMMYFUNCTION("""COMPUTED_VALUE"""),1.06615382153952)</f>
        <v>1.0661538215395201</v>
      </c>
      <c r="Q256" s="17">
        <f ca="1">IFERROR(__xludf.DUMMYFUNCTION("""COMPUTED_VALUE"""),1.35544174175098)</f>
        <v>1.3554417417509801</v>
      </c>
      <c r="R256" s="17">
        <f ca="1">IFERROR(__xludf.DUMMYFUNCTION("""COMPUTED_VALUE"""),1.26067076004699)</f>
        <v>1.26067076004699</v>
      </c>
      <c r="S256" s="17">
        <f ca="1">IFERROR(__xludf.DUMMYFUNCTION("""COMPUTED_VALUE"""),1.19347158393151)</f>
        <v>1.19347158393151</v>
      </c>
      <c r="T256" s="17">
        <f ca="1">IFERROR(__xludf.DUMMYFUNCTION("""COMPUTED_VALUE"""),1.08869086277152)</f>
        <v>1.0886908627715199</v>
      </c>
      <c r="U256" s="17">
        <f ca="1">IFERROR(__xludf.DUMMYFUNCTION("""COMPUTED_VALUE"""),1.18152839454252)</f>
        <v>1.1815283945425199</v>
      </c>
      <c r="V256" s="17">
        <f ca="1">IFERROR(__xludf.DUMMYFUNCTION("""COMPUTED_VALUE"""),1.08952270375755)</f>
        <v>1.0895227037575499</v>
      </c>
      <c r="W256" s="17">
        <f ca="1">IFERROR(__xludf.DUMMYFUNCTION("""COMPUTED_VALUE"""),1.08241846412106)</f>
        <v>1.0824184641210599</v>
      </c>
      <c r="X256" s="17">
        <f ca="1">IFERROR(__xludf.DUMMYFUNCTION("""COMPUTED_VALUE"""),1.00271570897952)</f>
        <v>1.00271570897952</v>
      </c>
      <c r="Y256" s="17">
        <f ca="1">IFERROR(__xludf.DUMMYFUNCTION("""COMPUTED_VALUE"""),1.09978243444174)</f>
        <v>1.09978243444174</v>
      </c>
      <c r="Z256" s="17">
        <f ca="1">IFERROR(__xludf.DUMMYFUNCTION("""COMPUTED_VALUE"""),1.03036502275302)</f>
        <v>1.0303650227530201</v>
      </c>
      <c r="AA256" s="17">
        <f ca="1">IFERROR(__xludf.DUMMYFUNCTION("""COMPUTED_VALUE"""),1.16179619502073)</f>
        <v>1.1617961950207301</v>
      </c>
      <c r="AB256" s="17">
        <f ca="1">IFERROR(__xludf.DUMMYFUNCTION("""COMPUTED_VALUE"""),1.14242955577722)</f>
        <v>1.1424295557772199</v>
      </c>
      <c r="AC256" s="17">
        <f ca="1">IFERROR(__xludf.DUMMYFUNCTION("""COMPUTED_VALUE"""),1.01238992211717)</f>
        <v>1.0123899221171699</v>
      </c>
      <c r="AD256" s="17">
        <f ca="1">IFERROR(__xludf.DUMMYFUNCTION("""COMPUTED_VALUE"""),1.01573656440115)</f>
        <v>1.01573656440115</v>
      </c>
      <c r="AE256" s="17" t="str">
        <f ca="1">IFERROR(__xludf.DUMMYFUNCTION("""COMPUTED_VALUE"""),"nan")</f>
        <v>nan</v>
      </c>
      <c r="AF256" s="17">
        <f ca="1">IFERROR(__xludf.DUMMYFUNCTION("""COMPUTED_VALUE"""),1.08659333304666)</f>
        <v>1.0865933330466599</v>
      </c>
      <c r="AG256" s="17">
        <f ca="1">IFERROR(__xludf.DUMMYFUNCTION("""COMPUTED_VALUE"""),1.1210272875467)</f>
        <v>1.1210272875467</v>
      </c>
      <c r="AH256" s="17">
        <f ca="1">IFERROR(__xludf.DUMMYFUNCTION("""COMPUTED_VALUE"""),1.00635961381532)</f>
        <v>1.0063596138153199</v>
      </c>
      <c r="AI256" s="17" t="str">
        <f ca="1">IFERROR(__xludf.DUMMYFUNCTION("""COMPUTED_VALUE"""),"nan")</f>
        <v>nan</v>
      </c>
      <c r="AJ256" s="17">
        <f ca="1">IFERROR(__xludf.DUMMYFUNCTION("""COMPUTED_VALUE"""),1.02478450014568)</f>
        <v>1.0247845001456799</v>
      </c>
    </row>
    <row r="257" spans="2:36" ht="15.75" customHeight="1" x14ac:dyDescent="0.45">
      <c r="B257" s="10" t="str">
        <f ca="1">IFERROR(__xludf.DUMMYFUNCTION("""COMPUTED_VALUE"""),"EthanolLevel")</f>
        <v>EthanolLevel</v>
      </c>
      <c r="C257" s="10" t="str">
        <f ca="1">IFERROR(__xludf.DUMMYFUNCTION("""COMPUTED_VALUE"""),"aligned_series")</f>
        <v>aligned_series</v>
      </c>
      <c r="D257" s="10">
        <f ca="1">IFERROR(__xludf.DUMMYFUNCTION("""COMPUTED_VALUE"""),0.1)</f>
        <v>0.1</v>
      </c>
      <c r="E257" s="17">
        <f ca="1">IFERROR(__xludf.DUMMYFUNCTION("""COMPUTED_VALUE"""),0.886886341280923)</f>
        <v>0.88688634128092303</v>
      </c>
      <c r="F257" s="17">
        <f ca="1">IFERROR(__xludf.DUMMYFUNCTION("""COMPUTED_VALUE"""),0.042490059112959)</f>
        <v>4.2490059112959E-2</v>
      </c>
      <c r="G257" s="17">
        <f ca="1">IFERROR(__xludf.DUMMYFUNCTION("""COMPUTED_VALUE"""),0.0290065284770867)</f>
        <v>2.90065284770867E-2</v>
      </c>
      <c r="H257" s="17">
        <f ca="1">IFERROR(__xludf.DUMMYFUNCTION("""COMPUTED_VALUE"""),0.0669974831858076)</f>
        <v>6.6997483185807602E-2</v>
      </c>
      <c r="I257" s="17">
        <f ca="1">IFERROR(__xludf.DUMMYFUNCTION("""COMPUTED_VALUE"""),0.799720753930895)</f>
        <v>0.79972075393089503</v>
      </c>
      <c r="J257" s="17">
        <f ca="1">IFERROR(__xludf.DUMMYFUNCTION("""COMPUTED_VALUE"""),0.00466173364750033)</f>
        <v>4.6617336475003298E-3</v>
      </c>
      <c r="K257" s="17" t="str">
        <f ca="1">IFERROR(__xludf.DUMMYFUNCTION("""COMPUTED_VALUE"""),"nan")</f>
        <v>nan</v>
      </c>
      <c r="L257" s="17">
        <f ca="1">IFERROR(__xludf.DUMMYFUNCTION("""COMPUTED_VALUE"""),0.0650956615240213)</f>
        <v>6.5095661524021298E-2</v>
      </c>
      <c r="M257" s="17">
        <f ca="1">IFERROR(__xludf.DUMMYFUNCTION("""COMPUTED_VALUE"""),0.0133576634893832)</f>
        <v>1.3357663489383199E-2</v>
      </c>
      <c r="N257" s="17">
        <f ca="1">IFERROR(__xludf.DUMMYFUNCTION("""COMPUTED_VALUE"""),0.0290281246156811)</f>
        <v>2.9028124615681099E-2</v>
      </c>
      <c r="O257" s="17">
        <f ca="1">IFERROR(__xludf.DUMMYFUNCTION("""COMPUTED_VALUE"""),0.0263351979691305)</f>
        <v>2.6335197969130499E-2</v>
      </c>
      <c r="P257" s="17">
        <f ca="1">IFERROR(__xludf.DUMMYFUNCTION("""COMPUTED_VALUE"""),1.17669168225108)</f>
        <v>1.17669168225108</v>
      </c>
      <c r="Q257" s="17">
        <f ca="1">IFERROR(__xludf.DUMMYFUNCTION("""COMPUTED_VALUE"""),0.0385466331596533)</f>
        <v>3.8546633159653301E-2</v>
      </c>
      <c r="R257" s="17">
        <f ca="1">IFERROR(__xludf.DUMMYFUNCTION("""COMPUTED_VALUE"""),0.565642629251042)</f>
        <v>0.56564262925104203</v>
      </c>
      <c r="S257" s="17">
        <f ca="1">IFERROR(__xludf.DUMMYFUNCTION("""COMPUTED_VALUE"""),0.100021471989563)</f>
        <v>0.100021471989563</v>
      </c>
      <c r="T257" s="17">
        <f ca="1">IFERROR(__xludf.DUMMYFUNCTION("""COMPUTED_VALUE"""),0.159228558501549)</f>
        <v>0.15922855850154899</v>
      </c>
      <c r="U257" s="17">
        <f ca="1">IFERROR(__xludf.DUMMYFUNCTION("""COMPUTED_VALUE"""),0.0581553638997822)</f>
        <v>5.8155363899782202E-2</v>
      </c>
      <c r="V257" s="17">
        <f ca="1">IFERROR(__xludf.DUMMYFUNCTION("""COMPUTED_VALUE"""),0.0493874773631568)</f>
        <v>4.9387477363156802E-2</v>
      </c>
      <c r="W257" s="17">
        <f ca="1">IFERROR(__xludf.DUMMYFUNCTION("""COMPUTED_VALUE"""),0.163310739016952)</f>
        <v>0.16331073901695201</v>
      </c>
      <c r="X257" s="17">
        <f ca="1">IFERROR(__xludf.DUMMYFUNCTION("""COMPUTED_VALUE"""),0.182330255133096)</f>
        <v>0.182330255133096</v>
      </c>
      <c r="Y257" s="17">
        <f ca="1">IFERROR(__xludf.DUMMYFUNCTION("""COMPUTED_VALUE"""),0.00344550430711962)</f>
        <v>3.4455043071196199E-3</v>
      </c>
      <c r="Z257" s="17">
        <f ca="1">IFERROR(__xludf.DUMMYFUNCTION("""COMPUTED_VALUE"""),0.0279757785434585)</f>
        <v>2.79757785434585E-2</v>
      </c>
      <c r="AA257" s="17">
        <f ca="1">IFERROR(__xludf.DUMMYFUNCTION("""COMPUTED_VALUE"""),0.0613702317400228)</f>
        <v>6.1370231740022797E-2</v>
      </c>
      <c r="AB257" s="17">
        <f ca="1">IFERROR(__xludf.DUMMYFUNCTION("""COMPUTED_VALUE"""),0.0412183645659762)</f>
        <v>4.1218364565976197E-2</v>
      </c>
      <c r="AC257" s="17">
        <f ca="1">IFERROR(__xludf.DUMMYFUNCTION("""COMPUTED_VALUE"""),0.589551025861727)</f>
        <v>0.58955102586172703</v>
      </c>
      <c r="AD257" s="17">
        <f ca="1">IFERROR(__xludf.DUMMYFUNCTION("""COMPUTED_VALUE"""),0.0454864635072767)</f>
        <v>4.5486463507276698E-2</v>
      </c>
      <c r="AE257" s="17">
        <f ca="1">IFERROR(__xludf.DUMMYFUNCTION("""COMPUTED_VALUE"""),1.66197648058413)</f>
        <v>1.6619764805841299</v>
      </c>
      <c r="AF257" s="17">
        <f ca="1">IFERROR(__xludf.DUMMYFUNCTION("""COMPUTED_VALUE"""),0.0505767320803563)</f>
        <v>5.0576732080356297E-2</v>
      </c>
      <c r="AG257" s="17">
        <f ca="1">IFERROR(__xludf.DUMMYFUNCTION("""COMPUTED_VALUE"""),0.206156150668939)</f>
        <v>0.206156150668939</v>
      </c>
      <c r="AH257" s="17">
        <f ca="1">IFERROR(__xludf.DUMMYFUNCTION("""COMPUTED_VALUE"""),0.205404991995171)</f>
        <v>0.20540499199517101</v>
      </c>
      <c r="AI257" s="17" t="str">
        <f ca="1">IFERROR(__xludf.DUMMYFUNCTION("""COMPUTED_VALUE"""),"nan")</f>
        <v>nan</v>
      </c>
      <c r="AJ257" s="17">
        <f ca="1">IFERROR(__xludf.DUMMYFUNCTION("""COMPUTED_VALUE"""),0.205192209900197)</f>
        <v>0.20519220990019699</v>
      </c>
    </row>
    <row r="258" spans="2:36" ht="15.75" customHeight="1" x14ac:dyDescent="0.45">
      <c r="B258" s="10" t="str">
        <f ca="1">IFERROR(__xludf.DUMMYFUNCTION("""COMPUTED_VALUE"""),"EthanolLevel")</f>
        <v>EthanolLevel</v>
      </c>
      <c r="C258" s="10" t="str">
        <f ca="1">IFERROR(__xludf.DUMMYFUNCTION("""COMPUTED_VALUE"""),"aligned_series")</f>
        <v>aligned_series</v>
      </c>
      <c r="D258" s="10">
        <f ca="1">IFERROR(__xludf.DUMMYFUNCTION("""COMPUTED_VALUE"""),0.2)</f>
        <v>0.2</v>
      </c>
      <c r="E258" s="17">
        <f ca="1">IFERROR(__xludf.DUMMYFUNCTION("""COMPUTED_VALUE"""),0.895879725095665)</f>
        <v>0.89587972509566505</v>
      </c>
      <c r="F258" s="17">
        <f ca="1">IFERROR(__xludf.DUMMYFUNCTION("""COMPUTED_VALUE"""),0.036870689156462)</f>
        <v>3.6870689156462001E-2</v>
      </c>
      <c r="G258" s="17">
        <f ca="1">IFERROR(__xludf.DUMMYFUNCTION("""COMPUTED_VALUE"""),0.0279206013549949)</f>
        <v>2.7920601354994901E-2</v>
      </c>
      <c r="H258" s="17">
        <f ca="1">IFERROR(__xludf.DUMMYFUNCTION("""COMPUTED_VALUE"""),0.0655974009852842)</f>
        <v>6.5597400985284202E-2</v>
      </c>
      <c r="I258" s="17">
        <f ca="1">IFERROR(__xludf.DUMMYFUNCTION("""COMPUTED_VALUE"""),0.708382101825389)</f>
        <v>0.70838210182538897</v>
      </c>
      <c r="J258" s="17">
        <f ca="1">IFERROR(__xludf.DUMMYFUNCTION("""COMPUTED_VALUE"""),0.00479641547491833)</f>
        <v>4.7964154749183304E-3</v>
      </c>
      <c r="K258" s="17" t="str">
        <f ca="1">IFERROR(__xludf.DUMMYFUNCTION("""COMPUTED_VALUE"""),"nan")</f>
        <v>nan</v>
      </c>
      <c r="L258" s="17">
        <f ca="1">IFERROR(__xludf.DUMMYFUNCTION("""COMPUTED_VALUE"""),0.0700126710810893)</f>
        <v>7.00126710810893E-2</v>
      </c>
      <c r="M258" s="17">
        <f ca="1">IFERROR(__xludf.DUMMYFUNCTION("""COMPUTED_VALUE"""),0.0141420295576689)</f>
        <v>1.4142029557668899E-2</v>
      </c>
      <c r="N258" s="17">
        <f ca="1">IFERROR(__xludf.DUMMYFUNCTION("""COMPUTED_VALUE"""),0.0277912649157412)</f>
        <v>2.7791264915741201E-2</v>
      </c>
      <c r="O258" s="17">
        <f ca="1">IFERROR(__xludf.DUMMYFUNCTION("""COMPUTED_VALUE"""),0.0266033372793111)</f>
        <v>2.66033372793111E-2</v>
      </c>
      <c r="P258" s="17">
        <f ca="1">IFERROR(__xludf.DUMMYFUNCTION("""COMPUTED_VALUE"""),1.18132707450739)</f>
        <v>1.1813270745073901</v>
      </c>
      <c r="Q258" s="17">
        <f ca="1">IFERROR(__xludf.DUMMYFUNCTION("""COMPUTED_VALUE"""),0.0342016516569218)</f>
        <v>3.4201651656921801E-2</v>
      </c>
      <c r="R258" s="17">
        <f ca="1">IFERROR(__xludf.DUMMYFUNCTION("""COMPUTED_VALUE"""),0.777614056543822)</f>
        <v>0.77761405654382199</v>
      </c>
      <c r="S258" s="17">
        <f ca="1">IFERROR(__xludf.DUMMYFUNCTION("""COMPUTED_VALUE"""),0.166649902747823)</f>
        <v>0.16664990274782299</v>
      </c>
      <c r="T258" s="17">
        <f ca="1">IFERROR(__xludf.DUMMYFUNCTION("""COMPUTED_VALUE"""),0.171986511205348)</f>
        <v>0.171986511205348</v>
      </c>
      <c r="U258" s="17">
        <f ca="1">IFERROR(__xludf.DUMMYFUNCTION("""COMPUTED_VALUE"""),0.0664459646812113)</f>
        <v>6.6445964681211306E-2</v>
      </c>
      <c r="V258" s="17">
        <f ca="1">IFERROR(__xludf.DUMMYFUNCTION("""COMPUTED_VALUE"""),0.0517619577018404)</f>
        <v>5.1761957701840403E-2</v>
      </c>
      <c r="W258" s="17">
        <f ca="1">IFERROR(__xludf.DUMMYFUNCTION("""COMPUTED_VALUE"""),0.0800286714516359)</f>
        <v>8.0028671451635905E-2</v>
      </c>
      <c r="X258" s="17">
        <f ca="1">IFERROR(__xludf.DUMMYFUNCTION("""COMPUTED_VALUE"""),0.166968607739467)</f>
        <v>0.16696860773946701</v>
      </c>
      <c r="Y258" s="17">
        <f ca="1">IFERROR(__xludf.DUMMYFUNCTION("""COMPUTED_VALUE"""),0.00382528054526482)</f>
        <v>3.8252805452648202E-3</v>
      </c>
      <c r="Z258" s="17">
        <f ca="1">IFERROR(__xludf.DUMMYFUNCTION("""COMPUTED_VALUE"""),0.0361764995137492)</f>
        <v>3.6176499513749197E-2</v>
      </c>
      <c r="AA258" s="17">
        <f ca="1">IFERROR(__xludf.DUMMYFUNCTION("""COMPUTED_VALUE"""),0.00700562756477239)</f>
        <v>7.0056275647723898E-3</v>
      </c>
      <c r="AB258" s="17">
        <f ca="1">IFERROR(__xludf.DUMMYFUNCTION("""COMPUTED_VALUE"""),0.407487504516197)</f>
        <v>0.40748750451619697</v>
      </c>
      <c r="AC258" s="17">
        <f ca="1">IFERROR(__xludf.DUMMYFUNCTION("""COMPUTED_VALUE"""),0.629933964799951)</f>
        <v>0.62993396479995101</v>
      </c>
      <c r="AD258" s="17">
        <f ca="1">IFERROR(__xludf.DUMMYFUNCTION("""COMPUTED_VALUE"""),0.0334138246546616)</f>
        <v>3.3413824654661597E-2</v>
      </c>
      <c r="AE258" s="17">
        <f ca="1">IFERROR(__xludf.DUMMYFUNCTION("""COMPUTED_VALUE"""),1.65928882354766)</f>
        <v>1.6592888235476599</v>
      </c>
      <c r="AF258" s="17">
        <f ca="1">IFERROR(__xludf.DUMMYFUNCTION("""COMPUTED_VALUE"""),0.0275858912236992)</f>
        <v>2.7585891223699199E-2</v>
      </c>
      <c r="AG258" s="17">
        <f ca="1">IFERROR(__xludf.DUMMYFUNCTION("""COMPUTED_VALUE"""),0.200687131221965)</f>
        <v>0.20068713122196499</v>
      </c>
      <c r="AH258" s="17">
        <f ca="1">IFERROR(__xludf.DUMMYFUNCTION("""COMPUTED_VALUE"""),0.200692451219519)</f>
        <v>0.20069245121951901</v>
      </c>
      <c r="AI258" s="17" t="str">
        <f ca="1">IFERROR(__xludf.DUMMYFUNCTION("""COMPUTED_VALUE"""),"nan")</f>
        <v>nan</v>
      </c>
      <c r="AJ258" s="17">
        <f ca="1">IFERROR(__xludf.DUMMYFUNCTION("""COMPUTED_VALUE"""),0.200209203469962)</f>
        <v>0.20020920346996199</v>
      </c>
    </row>
    <row r="259" spans="2:36" ht="15.75" customHeight="1" x14ac:dyDescent="0.45">
      <c r="B259" s="10" t="str">
        <f ca="1">IFERROR(__xludf.DUMMYFUNCTION("""COMPUTED_VALUE"""),"EthanolLevel")</f>
        <v>EthanolLevel</v>
      </c>
      <c r="C259" s="10" t="str">
        <f ca="1">IFERROR(__xludf.DUMMYFUNCTION("""COMPUTED_VALUE"""),"aligned_series")</f>
        <v>aligned_series</v>
      </c>
      <c r="D259" s="10">
        <f ca="1">IFERROR(__xludf.DUMMYFUNCTION("""COMPUTED_VALUE"""),0.4)</f>
        <v>0.4</v>
      </c>
      <c r="E259" s="17">
        <f ca="1">IFERROR(__xludf.DUMMYFUNCTION("""COMPUTED_VALUE"""),0.936305300974267)</f>
        <v>0.93630530097426701</v>
      </c>
      <c r="F259" s="17">
        <f ca="1">IFERROR(__xludf.DUMMYFUNCTION("""COMPUTED_VALUE"""),0.0395133193634942)</f>
        <v>3.9513319363494198E-2</v>
      </c>
      <c r="G259" s="17">
        <f ca="1">IFERROR(__xludf.DUMMYFUNCTION("""COMPUTED_VALUE"""),0.0250325486377737)</f>
        <v>2.50325486377737E-2</v>
      </c>
      <c r="H259" s="17">
        <f ca="1">IFERROR(__xludf.DUMMYFUNCTION("""COMPUTED_VALUE"""),0.0562716456658572)</f>
        <v>5.6271645665857198E-2</v>
      </c>
      <c r="I259" s="17">
        <f ca="1">IFERROR(__xludf.DUMMYFUNCTION("""COMPUTED_VALUE"""),0.182064538521405)</f>
        <v>0.182064538521405</v>
      </c>
      <c r="J259" s="17">
        <f ca="1">IFERROR(__xludf.DUMMYFUNCTION("""COMPUTED_VALUE"""),0.00409797072372029)</f>
        <v>4.0979707237202897E-3</v>
      </c>
      <c r="K259" s="17" t="str">
        <f ca="1">IFERROR(__xludf.DUMMYFUNCTION("""COMPUTED_VALUE"""),"nan")</f>
        <v>nan</v>
      </c>
      <c r="L259" s="17">
        <f ca="1">IFERROR(__xludf.DUMMYFUNCTION("""COMPUTED_VALUE"""),0.0585681451079677)</f>
        <v>5.8568145107967699E-2</v>
      </c>
      <c r="M259" s="17">
        <f ca="1">IFERROR(__xludf.DUMMYFUNCTION("""COMPUTED_VALUE"""),0.0125075743039728)</f>
        <v>1.2507574303972801E-2</v>
      </c>
      <c r="N259" s="17">
        <f ca="1">IFERROR(__xludf.DUMMYFUNCTION("""COMPUTED_VALUE"""),0.0247183455284017)</f>
        <v>2.47183455284017E-2</v>
      </c>
      <c r="O259" s="17">
        <f ca="1">IFERROR(__xludf.DUMMYFUNCTION("""COMPUTED_VALUE"""),0.0245872772756532)</f>
        <v>2.4587277275653199E-2</v>
      </c>
      <c r="P259" s="17">
        <f ca="1">IFERROR(__xludf.DUMMYFUNCTION("""COMPUTED_VALUE"""),1.29938101767293)</f>
        <v>1.2993810176729299</v>
      </c>
      <c r="Q259" s="17">
        <f ca="1">IFERROR(__xludf.DUMMYFUNCTION("""COMPUTED_VALUE"""),0.0303762265538)</f>
        <v>3.0376226553800002E-2</v>
      </c>
      <c r="R259" s="17">
        <f ca="1">IFERROR(__xludf.DUMMYFUNCTION("""COMPUTED_VALUE"""),0.925327327471858)</f>
        <v>0.92532732747185797</v>
      </c>
      <c r="S259" s="17">
        <f ca="1">IFERROR(__xludf.DUMMYFUNCTION("""COMPUTED_VALUE"""),0.345161023385696)</f>
        <v>0.34516102338569599</v>
      </c>
      <c r="T259" s="17">
        <f ca="1">IFERROR(__xludf.DUMMYFUNCTION("""COMPUTED_VALUE"""),0.269855185167417)</f>
        <v>0.26985518516741702</v>
      </c>
      <c r="U259" s="17">
        <f ca="1">IFERROR(__xludf.DUMMYFUNCTION("""COMPUTED_VALUE"""),0.085683584730036)</f>
        <v>8.5683584730035997E-2</v>
      </c>
      <c r="V259" s="17">
        <f ca="1">IFERROR(__xludf.DUMMYFUNCTION("""COMPUTED_VALUE"""),0.0462753030923036)</f>
        <v>4.6275303092303599E-2</v>
      </c>
      <c r="W259" s="17">
        <f ca="1">IFERROR(__xludf.DUMMYFUNCTION("""COMPUTED_VALUE"""),0.0709935123985731)</f>
        <v>7.09935123985731E-2</v>
      </c>
      <c r="X259" s="17">
        <f ca="1">IFERROR(__xludf.DUMMYFUNCTION("""COMPUTED_VALUE"""),0.183221679561052)</f>
        <v>0.18322167956105201</v>
      </c>
      <c r="Y259" s="17">
        <f ca="1">IFERROR(__xludf.DUMMYFUNCTION("""COMPUTED_VALUE"""),0.00374139027479182)</f>
        <v>3.7413902747918202E-3</v>
      </c>
      <c r="Z259" s="17">
        <f ca="1">IFERROR(__xludf.DUMMYFUNCTION("""COMPUTED_VALUE"""),0.0852552808308851)</f>
        <v>8.52552808308851E-2</v>
      </c>
      <c r="AA259" s="17">
        <f ca="1">IFERROR(__xludf.DUMMYFUNCTION("""COMPUTED_VALUE"""),0.0195565711490283)</f>
        <v>1.9556571149028298E-2</v>
      </c>
      <c r="AB259" s="17">
        <f ca="1">IFERROR(__xludf.DUMMYFUNCTION("""COMPUTED_VALUE"""),0.472864054801307)</f>
        <v>0.472864054801307</v>
      </c>
      <c r="AC259" s="17">
        <f ca="1">IFERROR(__xludf.DUMMYFUNCTION("""COMPUTED_VALUE"""),0.631994025961772)</f>
        <v>0.63199402596177201</v>
      </c>
      <c r="AD259" s="17">
        <f ca="1">IFERROR(__xludf.DUMMYFUNCTION("""COMPUTED_VALUE"""),0.0528149089304661)</f>
        <v>5.2814908930466101E-2</v>
      </c>
      <c r="AE259" s="17">
        <f ca="1">IFERROR(__xludf.DUMMYFUNCTION("""COMPUTED_VALUE"""),1.65860341711194)</f>
        <v>1.6586034171119399</v>
      </c>
      <c r="AF259" s="17">
        <f ca="1">IFERROR(__xludf.DUMMYFUNCTION("""COMPUTED_VALUE"""),0.0557197580616248)</f>
        <v>5.5719758061624797E-2</v>
      </c>
      <c r="AG259" s="17">
        <f ca="1">IFERROR(__xludf.DUMMYFUNCTION("""COMPUTED_VALUE"""),0.200386573898074)</f>
        <v>0.20038657389807399</v>
      </c>
      <c r="AH259" s="17">
        <f ca="1">IFERROR(__xludf.DUMMYFUNCTION("""COMPUTED_VALUE"""),0.201439411009433)</f>
        <v>0.20143941100943299</v>
      </c>
      <c r="AI259" s="17" t="str">
        <f ca="1">IFERROR(__xludf.DUMMYFUNCTION("""COMPUTED_VALUE"""),"nan")</f>
        <v>nan</v>
      </c>
      <c r="AJ259" s="17">
        <f ca="1">IFERROR(__xludf.DUMMYFUNCTION("""COMPUTED_VALUE"""),0.20059699709269)</f>
        <v>0.20059699709268999</v>
      </c>
    </row>
    <row r="260" spans="2:36" ht="15.75" customHeight="1" x14ac:dyDescent="0.45">
      <c r="B260" s="10" t="str">
        <f ca="1">IFERROR(__xludf.DUMMYFUNCTION("""COMPUTED_VALUE"""),"EthanolLevel")</f>
        <v>EthanolLevel</v>
      </c>
      <c r="C260" s="10" t="str">
        <f ca="1">IFERROR(__xludf.DUMMYFUNCTION("""COMPUTED_VALUE"""),"aligned_series")</f>
        <v>aligned_series</v>
      </c>
      <c r="D260" s="10">
        <f ca="1">IFERROR(__xludf.DUMMYFUNCTION("""COMPUTED_VALUE"""),0.6)</f>
        <v>0.6</v>
      </c>
      <c r="E260" s="17">
        <f ca="1">IFERROR(__xludf.DUMMYFUNCTION("""COMPUTED_VALUE"""),0.980537391936483)</f>
        <v>0.98053739193648304</v>
      </c>
      <c r="F260" s="17">
        <f ca="1">IFERROR(__xludf.DUMMYFUNCTION("""COMPUTED_VALUE"""),0.0557686305095968)</f>
        <v>5.5768630509596802E-2</v>
      </c>
      <c r="G260" s="17">
        <f ca="1">IFERROR(__xludf.DUMMYFUNCTION("""COMPUTED_VALUE"""),0.0234808426667828)</f>
        <v>2.3480842666782801E-2</v>
      </c>
      <c r="H260" s="17">
        <f ca="1">IFERROR(__xludf.DUMMYFUNCTION("""COMPUTED_VALUE"""),0.0518740090747024)</f>
        <v>5.1874009074702403E-2</v>
      </c>
      <c r="I260" s="17">
        <f ca="1">IFERROR(__xludf.DUMMYFUNCTION("""COMPUTED_VALUE"""),0.200856656538513)</f>
        <v>0.20085665653851301</v>
      </c>
      <c r="J260" s="17">
        <f ca="1">IFERROR(__xludf.DUMMYFUNCTION("""COMPUTED_VALUE"""),0.00364389183494365)</f>
        <v>3.64389183494365E-3</v>
      </c>
      <c r="K260" s="17" t="str">
        <f ca="1">IFERROR(__xludf.DUMMYFUNCTION("""COMPUTED_VALUE"""),"nan")</f>
        <v>nan</v>
      </c>
      <c r="L260" s="17">
        <f ca="1">IFERROR(__xludf.DUMMYFUNCTION("""COMPUTED_VALUE"""),0.0660120185887458)</f>
        <v>6.6012018588745794E-2</v>
      </c>
      <c r="M260" s="17">
        <f ca="1">IFERROR(__xludf.DUMMYFUNCTION("""COMPUTED_VALUE"""),0.010987117463939)</f>
        <v>1.0987117463938999E-2</v>
      </c>
      <c r="N260" s="17">
        <f ca="1">IFERROR(__xludf.DUMMYFUNCTION("""COMPUTED_VALUE"""),0.0218236510976304)</f>
        <v>2.18236510976304E-2</v>
      </c>
      <c r="O260" s="17">
        <f ca="1">IFERROR(__xludf.DUMMYFUNCTION("""COMPUTED_VALUE"""),0.0220640644840954)</f>
        <v>2.20640644840954E-2</v>
      </c>
      <c r="P260" s="17">
        <f ca="1">IFERROR(__xludf.DUMMYFUNCTION("""COMPUTED_VALUE"""),1.36303960497296)</f>
        <v>1.3630396049729601</v>
      </c>
      <c r="Q260" s="17">
        <f ca="1">IFERROR(__xludf.DUMMYFUNCTION("""COMPUTED_VALUE"""),0.502518629021663)</f>
        <v>0.502518629021663</v>
      </c>
      <c r="R260" s="17">
        <f ca="1">IFERROR(__xludf.DUMMYFUNCTION("""COMPUTED_VALUE"""),0.986935101934512)</f>
        <v>0.98693510193451195</v>
      </c>
      <c r="S260" s="17">
        <f ca="1">IFERROR(__xludf.DUMMYFUNCTION("""COMPUTED_VALUE"""),0.497774232972321)</f>
        <v>0.49777423297232098</v>
      </c>
      <c r="T260" s="17">
        <f ca="1">IFERROR(__xludf.DUMMYFUNCTION("""COMPUTED_VALUE"""),0.230078015914137)</f>
        <v>0.23007801591413701</v>
      </c>
      <c r="U260" s="17">
        <f ca="1">IFERROR(__xludf.DUMMYFUNCTION("""COMPUTED_VALUE"""),0.107239349629921)</f>
        <v>0.107239349629921</v>
      </c>
      <c r="V260" s="17">
        <f ca="1">IFERROR(__xludf.DUMMYFUNCTION("""COMPUTED_VALUE"""),0.0800301745162537)</f>
        <v>8.0030174516253702E-2</v>
      </c>
      <c r="W260" s="17">
        <f ca="1">IFERROR(__xludf.DUMMYFUNCTION("""COMPUTED_VALUE"""),0.0585563670842557)</f>
        <v>5.8556367084255698E-2</v>
      </c>
      <c r="X260" s="17">
        <f ca="1">IFERROR(__xludf.DUMMYFUNCTION("""COMPUTED_VALUE"""),16.4462481755479)</f>
        <v>16.4462481755479</v>
      </c>
      <c r="Y260" s="17">
        <f ca="1">IFERROR(__xludf.DUMMYFUNCTION("""COMPUTED_VALUE"""),0.00476823452470676)</f>
        <v>4.7682345247067603E-3</v>
      </c>
      <c r="Z260" s="17">
        <f ca="1">IFERROR(__xludf.DUMMYFUNCTION("""COMPUTED_VALUE"""),0.110741142601716)</f>
        <v>0.110741142601716</v>
      </c>
      <c r="AA260" s="17">
        <f ca="1">IFERROR(__xludf.DUMMYFUNCTION("""COMPUTED_VALUE"""),0.0243010870832744)</f>
        <v>2.43010870832744E-2</v>
      </c>
      <c r="AB260" s="17">
        <f ca="1">IFERROR(__xludf.DUMMYFUNCTION("""COMPUTED_VALUE"""),0.523399429540898)</f>
        <v>0.52339942954089802</v>
      </c>
      <c r="AC260" s="17">
        <f ca="1">IFERROR(__xludf.DUMMYFUNCTION("""COMPUTED_VALUE"""),0.733583409759582)</f>
        <v>0.73358340975958203</v>
      </c>
      <c r="AD260" s="17">
        <f ca="1">IFERROR(__xludf.DUMMYFUNCTION("""COMPUTED_VALUE"""),0.0486767519059837)</f>
        <v>4.8676751905983702E-2</v>
      </c>
      <c r="AE260" s="17">
        <f ca="1">IFERROR(__xludf.DUMMYFUNCTION("""COMPUTED_VALUE"""),1.65459852333788)</f>
        <v>1.6545985233378799</v>
      </c>
      <c r="AF260" s="17">
        <f ca="1">IFERROR(__xludf.DUMMYFUNCTION("""COMPUTED_VALUE"""),0.105951618209708)</f>
        <v>0.105951618209708</v>
      </c>
      <c r="AG260" s="17">
        <f ca="1">IFERROR(__xludf.DUMMYFUNCTION("""COMPUTED_VALUE"""),0.201819112609092)</f>
        <v>0.20181911260909199</v>
      </c>
      <c r="AH260" s="17">
        <f ca="1">IFERROR(__xludf.DUMMYFUNCTION("""COMPUTED_VALUE"""),0.202169993127267)</f>
        <v>0.20216999312726699</v>
      </c>
      <c r="AI260" s="17" t="str">
        <f ca="1">IFERROR(__xludf.DUMMYFUNCTION("""COMPUTED_VALUE"""),"nan")</f>
        <v>nan</v>
      </c>
      <c r="AJ260" s="17">
        <f ca="1">IFERROR(__xludf.DUMMYFUNCTION("""COMPUTED_VALUE"""),0.201026446300435)</f>
        <v>0.20102644630043501</v>
      </c>
    </row>
    <row r="261" spans="2:36" ht="15.75" customHeight="1" x14ac:dyDescent="0.45">
      <c r="B261" s="10" t="str">
        <f ca="1">IFERROR(__xludf.DUMMYFUNCTION("""COMPUTED_VALUE"""),"EthanolLevel")</f>
        <v>EthanolLevel</v>
      </c>
      <c r="C261" s="10" t="str">
        <f ca="1">IFERROR(__xludf.DUMMYFUNCTION("""COMPUTED_VALUE"""),"aligned_series")</f>
        <v>aligned_series</v>
      </c>
      <c r="D261" s="10">
        <f ca="1">IFERROR(__xludf.DUMMYFUNCTION("""COMPUTED_VALUE"""),0.8)</f>
        <v>0.8</v>
      </c>
      <c r="E261" s="17">
        <f ca="1">IFERROR(__xludf.DUMMYFUNCTION("""COMPUTED_VALUE"""),1.0275050498456)</f>
        <v>1.0275050498456</v>
      </c>
      <c r="F261" s="17">
        <f ca="1">IFERROR(__xludf.DUMMYFUNCTION("""COMPUTED_VALUE"""),0.101430141103121)</f>
        <v>0.101430141103121</v>
      </c>
      <c r="G261" s="17">
        <f ca="1">IFERROR(__xludf.DUMMYFUNCTION("""COMPUTED_VALUE"""),0.566363124642453)</f>
        <v>0.56636312464245298</v>
      </c>
      <c r="H261" s="17">
        <f ca="1">IFERROR(__xludf.DUMMYFUNCTION("""COMPUTED_VALUE"""),0.0534626604198975)</f>
        <v>5.3462660419897501E-2</v>
      </c>
      <c r="I261" s="17">
        <f ca="1">IFERROR(__xludf.DUMMYFUNCTION("""COMPUTED_VALUE"""),0.382768539325821)</f>
        <v>0.382768539325821</v>
      </c>
      <c r="J261" s="17">
        <f ca="1">IFERROR(__xludf.DUMMYFUNCTION("""COMPUTED_VALUE"""),0.0036406951232975)</f>
        <v>3.6406951232975E-3</v>
      </c>
      <c r="K261" s="17" t="str">
        <f ca="1">IFERROR(__xludf.DUMMYFUNCTION("""COMPUTED_VALUE"""),"nan")</f>
        <v>nan</v>
      </c>
      <c r="L261" s="17">
        <f ca="1">IFERROR(__xludf.DUMMYFUNCTION("""COMPUTED_VALUE"""),0.0711008776299631)</f>
        <v>7.1100877629963102E-2</v>
      </c>
      <c r="M261" s="17">
        <f ca="1">IFERROR(__xludf.DUMMYFUNCTION("""COMPUTED_VALUE"""),0.0109910116526569)</f>
        <v>1.0991011652656899E-2</v>
      </c>
      <c r="N261" s="17">
        <f ca="1">IFERROR(__xludf.DUMMYFUNCTION("""COMPUTED_VALUE"""),0.0218704467476657)</f>
        <v>2.1870446747665698E-2</v>
      </c>
      <c r="O261" s="17">
        <f ca="1">IFERROR(__xludf.DUMMYFUNCTION("""COMPUTED_VALUE"""),0.0223692957409941)</f>
        <v>2.23692957409941E-2</v>
      </c>
      <c r="P261" s="17">
        <f ca="1">IFERROR(__xludf.DUMMYFUNCTION("""COMPUTED_VALUE"""),1.43689095931684)</f>
        <v>1.43689095931684</v>
      </c>
      <c r="Q261" s="17">
        <f ca="1">IFERROR(__xludf.DUMMYFUNCTION("""COMPUTED_VALUE"""),0.725967829224198)</f>
        <v>0.725967829224198</v>
      </c>
      <c r="R261" s="17">
        <f ca="1">IFERROR(__xludf.DUMMYFUNCTION("""COMPUTED_VALUE"""),1.03182214412288)</f>
        <v>1.0318221441228801</v>
      </c>
      <c r="S261" s="17">
        <f ca="1">IFERROR(__xludf.DUMMYFUNCTION("""COMPUTED_VALUE"""),0.700907492466316)</f>
        <v>0.70090749246631601</v>
      </c>
      <c r="T261" s="17">
        <f ca="1">IFERROR(__xludf.DUMMYFUNCTION("""COMPUTED_VALUE"""),0.326633281653964)</f>
        <v>0.32663328165396399</v>
      </c>
      <c r="U261" s="17">
        <f ca="1">IFERROR(__xludf.DUMMYFUNCTION("""COMPUTED_VALUE"""),0.153045357772017)</f>
        <v>0.153045357772017</v>
      </c>
      <c r="V261" s="17">
        <f ca="1">IFERROR(__xludf.DUMMYFUNCTION("""COMPUTED_VALUE"""),0.166380210957776)</f>
        <v>0.166380210957776</v>
      </c>
      <c r="W261" s="17">
        <f ca="1">IFERROR(__xludf.DUMMYFUNCTION("""COMPUTED_VALUE"""),0.0328856131117881)</f>
        <v>3.2885613111788101E-2</v>
      </c>
      <c r="X261" s="17">
        <f ca="1">IFERROR(__xludf.DUMMYFUNCTION("""COMPUTED_VALUE"""),0.162425870262273)</f>
        <v>0.16242587026227301</v>
      </c>
      <c r="Y261" s="17">
        <f ca="1">IFERROR(__xludf.DUMMYFUNCTION("""COMPUTED_VALUE"""),0.00744123641374917)</f>
        <v>7.4412364137491699E-3</v>
      </c>
      <c r="Z261" s="17">
        <f ca="1">IFERROR(__xludf.DUMMYFUNCTION("""COMPUTED_VALUE"""),0.0642472782618317)</f>
        <v>6.42472782618317E-2</v>
      </c>
      <c r="AA261" s="17">
        <f ca="1">IFERROR(__xludf.DUMMYFUNCTION("""COMPUTED_VALUE"""),0.0247319942779903)</f>
        <v>2.4731994277990301E-2</v>
      </c>
      <c r="AB261" s="17">
        <f ca="1">IFERROR(__xludf.DUMMYFUNCTION("""COMPUTED_VALUE"""),0.781350412730248)</f>
        <v>0.78135041273024797</v>
      </c>
      <c r="AC261" s="17">
        <f ca="1">IFERROR(__xludf.DUMMYFUNCTION("""COMPUTED_VALUE"""),0.745487244081628)</f>
        <v>0.74548724408162803</v>
      </c>
      <c r="AD261" s="17">
        <f ca="1">IFERROR(__xludf.DUMMYFUNCTION("""COMPUTED_VALUE"""),0.0863209811213221)</f>
        <v>8.6320981121322096E-2</v>
      </c>
      <c r="AE261" s="17">
        <f ca="1">IFERROR(__xludf.DUMMYFUNCTION("""COMPUTED_VALUE"""),1.65320473825568)</f>
        <v>1.65320473825568</v>
      </c>
      <c r="AF261" s="17">
        <f ca="1">IFERROR(__xludf.DUMMYFUNCTION("""COMPUTED_VALUE"""),0.159227563169752)</f>
        <v>0.15922756316975201</v>
      </c>
      <c r="AG261" s="17">
        <f ca="1">IFERROR(__xludf.DUMMYFUNCTION("""COMPUTED_VALUE"""),0.203005313338096)</f>
        <v>0.20300531333809599</v>
      </c>
      <c r="AH261" s="17">
        <f ca="1">IFERROR(__xludf.DUMMYFUNCTION("""COMPUTED_VALUE"""),0.202447285043366)</f>
        <v>0.20244728504336601</v>
      </c>
      <c r="AI261" s="17" t="str">
        <f ca="1">IFERROR(__xludf.DUMMYFUNCTION("""COMPUTED_VALUE"""),"nan")</f>
        <v>nan</v>
      </c>
      <c r="AJ261" s="17">
        <f ca="1">IFERROR(__xludf.DUMMYFUNCTION("""COMPUTED_VALUE"""),0.201102904504211)</f>
        <v>0.20110290450421101</v>
      </c>
    </row>
    <row r="262" spans="2:36" ht="15.75" customHeight="1" x14ac:dyDescent="0.45">
      <c r="B262" s="10" t="str">
        <f ca="1">IFERROR(__xludf.DUMMYFUNCTION("""COMPUTED_VALUE"""),"EthanolLevel")</f>
        <v>EthanolLevel</v>
      </c>
      <c r="C262" s="10" t="str">
        <f ca="1">IFERROR(__xludf.DUMMYFUNCTION("""COMPUTED_VALUE"""),"aligned_timestamps")</f>
        <v>aligned_timestamps</v>
      </c>
      <c r="D262" s="10">
        <f ca="1">IFERROR(__xludf.DUMMYFUNCTION("""COMPUTED_VALUE"""),0.1)</f>
        <v>0.1</v>
      </c>
      <c r="E262" s="17">
        <f ca="1">IFERROR(__xludf.DUMMYFUNCTION("""COMPUTED_VALUE"""),0.877530602382987)</f>
        <v>0.87753060238298697</v>
      </c>
      <c r="F262" s="17">
        <f ca="1">IFERROR(__xludf.DUMMYFUNCTION("""COMPUTED_VALUE"""),0.034057341215023)</f>
        <v>3.4057341215022997E-2</v>
      </c>
      <c r="G262" s="17">
        <f ca="1">IFERROR(__xludf.DUMMYFUNCTION("""COMPUTED_VALUE"""),0.0255207782353249)</f>
        <v>2.5520778235324899E-2</v>
      </c>
      <c r="H262" s="17">
        <f ca="1">IFERROR(__xludf.DUMMYFUNCTION("""COMPUTED_VALUE"""),0.0640310663657412)</f>
        <v>6.4031066365741199E-2</v>
      </c>
      <c r="I262" s="17">
        <f ca="1">IFERROR(__xludf.DUMMYFUNCTION("""COMPUTED_VALUE"""),0.836273622345684)</f>
        <v>0.83627362234568403</v>
      </c>
      <c r="J262" s="17">
        <f ca="1">IFERROR(__xludf.DUMMYFUNCTION("""COMPUTED_VALUE"""),0.00337917292205714)</f>
        <v>3.37917292205714E-3</v>
      </c>
      <c r="K262" s="17" t="str">
        <f ca="1">IFERROR(__xludf.DUMMYFUNCTION("""COMPUTED_VALUE"""),"nan")</f>
        <v>nan</v>
      </c>
      <c r="L262" s="17">
        <f ca="1">IFERROR(__xludf.DUMMYFUNCTION("""COMPUTED_VALUE"""),0.0586200107787338)</f>
        <v>5.86200107787338E-2</v>
      </c>
      <c r="M262" s="17">
        <f ca="1">IFERROR(__xludf.DUMMYFUNCTION("""COMPUTED_VALUE"""),0.0124277824004681)</f>
        <v>1.24277824004681E-2</v>
      </c>
      <c r="N262" s="17">
        <f ca="1">IFERROR(__xludf.DUMMYFUNCTION("""COMPUTED_VALUE"""),0.0272589867295508)</f>
        <v>2.7258986729550801E-2</v>
      </c>
      <c r="O262" s="17">
        <f ca="1">IFERROR(__xludf.DUMMYFUNCTION("""COMPUTED_VALUE"""),0.0242331081101224)</f>
        <v>2.4233108110122401E-2</v>
      </c>
      <c r="P262" s="17">
        <f ca="1">IFERROR(__xludf.DUMMYFUNCTION("""COMPUTED_VALUE"""),1.13416979384609)</f>
        <v>1.13416979384609</v>
      </c>
      <c r="Q262" s="17">
        <f ca="1">IFERROR(__xludf.DUMMYFUNCTION("""COMPUTED_VALUE"""),0.0342999341627052)</f>
        <v>3.4299934162705201E-2</v>
      </c>
      <c r="R262" s="17">
        <f ca="1">IFERROR(__xludf.DUMMYFUNCTION("""COMPUTED_VALUE"""),0.690171443845904)</f>
        <v>0.69017144384590401</v>
      </c>
      <c r="S262" s="17">
        <f ca="1">IFERROR(__xludf.DUMMYFUNCTION("""COMPUTED_VALUE"""),0.166788296513208)</f>
        <v>0.16678829651320801</v>
      </c>
      <c r="T262" s="17">
        <f ca="1">IFERROR(__xludf.DUMMYFUNCTION("""COMPUTED_VALUE"""),0.202768854278739)</f>
        <v>0.202768854278739</v>
      </c>
      <c r="U262" s="17">
        <f ca="1">IFERROR(__xludf.DUMMYFUNCTION("""COMPUTED_VALUE"""),0.0670677776212216)</f>
        <v>6.7067777621221597E-2</v>
      </c>
      <c r="V262" s="17">
        <f ca="1">IFERROR(__xludf.DUMMYFUNCTION("""COMPUTED_VALUE"""),0.0293060651321239)</f>
        <v>2.9306065132123901E-2</v>
      </c>
      <c r="W262" s="17">
        <f ca="1">IFERROR(__xludf.DUMMYFUNCTION("""COMPUTED_VALUE"""),0.152123995519794)</f>
        <v>0.152123995519794</v>
      </c>
      <c r="X262" s="17">
        <f ca="1">IFERROR(__xludf.DUMMYFUNCTION("""COMPUTED_VALUE"""),0.203421938200343)</f>
        <v>0.20342193820034299</v>
      </c>
      <c r="Y262" s="17">
        <f ca="1">IFERROR(__xludf.DUMMYFUNCTION("""COMPUTED_VALUE"""),0.00277497178147852)</f>
        <v>2.7749717814785201E-3</v>
      </c>
      <c r="Z262" s="17">
        <f ca="1">IFERROR(__xludf.DUMMYFUNCTION("""COMPUTED_VALUE"""),0.029306162971537)</f>
        <v>2.9306162971537E-2</v>
      </c>
      <c r="AA262" s="17">
        <f ca="1">IFERROR(__xludf.DUMMYFUNCTION("""COMPUTED_VALUE"""),0.00224779572248628)</f>
        <v>2.2477957224862799E-3</v>
      </c>
      <c r="AB262" s="17">
        <f ca="1">IFERROR(__xludf.DUMMYFUNCTION("""COMPUTED_VALUE"""),0.564237093174903)</f>
        <v>0.564237093174903</v>
      </c>
      <c r="AC262" s="17">
        <f ca="1">IFERROR(__xludf.DUMMYFUNCTION("""COMPUTED_VALUE"""),0.590647128511012)</f>
        <v>0.59064712851101198</v>
      </c>
      <c r="AD262" s="17">
        <f ca="1">IFERROR(__xludf.DUMMYFUNCTION("""COMPUTED_VALUE"""),0.0352869010651075)</f>
        <v>3.5286901065107498E-2</v>
      </c>
      <c r="AE262" s="17">
        <f ca="1">IFERROR(__xludf.DUMMYFUNCTION("""COMPUTED_VALUE"""),1.35834500640701)</f>
        <v>1.3583450064070099</v>
      </c>
      <c r="AF262" s="17">
        <f ca="1">IFERROR(__xludf.DUMMYFUNCTION("""COMPUTED_VALUE"""),0.0400189429167765)</f>
        <v>4.0018942916776497E-2</v>
      </c>
      <c r="AG262" s="17">
        <f ca="1">IFERROR(__xludf.DUMMYFUNCTION("""COMPUTED_VALUE"""),0.0873374581223822)</f>
        <v>8.7337458122382194E-2</v>
      </c>
      <c r="AH262" s="17">
        <f ca="1">IFERROR(__xludf.DUMMYFUNCTION("""COMPUTED_VALUE"""),0.0865067628321597)</f>
        <v>8.6506762832159703E-2</v>
      </c>
      <c r="AI262" s="17" t="str">
        <f ca="1">IFERROR(__xludf.DUMMYFUNCTION("""COMPUTED_VALUE"""),"nan")</f>
        <v>nan</v>
      </c>
      <c r="AJ262" s="17">
        <f ca="1">IFERROR(__xludf.DUMMYFUNCTION("""COMPUTED_VALUE"""),0.0867685343860704)</f>
        <v>8.6768534386070406E-2</v>
      </c>
    </row>
    <row r="263" spans="2:36" ht="15.75" customHeight="1" x14ac:dyDescent="0.45">
      <c r="B263" s="10" t="str">
        <f ca="1">IFERROR(__xludf.DUMMYFUNCTION("""COMPUTED_VALUE"""),"EthanolLevel")</f>
        <v>EthanolLevel</v>
      </c>
      <c r="C263" s="10" t="str">
        <f ca="1">IFERROR(__xludf.DUMMYFUNCTION("""COMPUTED_VALUE"""),"aligned_timestamps")</f>
        <v>aligned_timestamps</v>
      </c>
      <c r="D263" s="10">
        <f ca="1">IFERROR(__xludf.DUMMYFUNCTION("""COMPUTED_VALUE"""),0.2)</f>
        <v>0.2</v>
      </c>
      <c r="E263" s="17">
        <f ca="1">IFERROR(__xludf.DUMMYFUNCTION("""COMPUTED_VALUE"""),0.895879725095665)</f>
        <v>0.89587972509566505</v>
      </c>
      <c r="F263" s="17">
        <f ca="1">IFERROR(__xludf.DUMMYFUNCTION("""COMPUTED_VALUE"""),0.036870689156462)</f>
        <v>3.6870689156462001E-2</v>
      </c>
      <c r="G263" s="17">
        <f ca="1">IFERROR(__xludf.DUMMYFUNCTION("""COMPUTED_VALUE"""),0.0279206013549949)</f>
        <v>2.7920601354994901E-2</v>
      </c>
      <c r="H263" s="17">
        <f ca="1">IFERROR(__xludf.DUMMYFUNCTION("""COMPUTED_VALUE"""),0.0655974009852842)</f>
        <v>6.5597400985284202E-2</v>
      </c>
      <c r="I263" s="17">
        <f ca="1">IFERROR(__xludf.DUMMYFUNCTION("""COMPUTED_VALUE"""),0.708382101825389)</f>
        <v>0.70838210182538897</v>
      </c>
      <c r="J263" s="17">
        <f ca="1">IFERROR(__xludf.DUMMYFUNCTION("""COMPUTED_VALUE"""),0.00479641547491833)</f>
        <v>4.7964154749183304E-3</v>
      </c>
      <c r="K263" s="17" t="str">
        <f ca="1">IFERROR(__xludf.DUMMYFUNCTION("""COMPUTED_VALUE"""),"nan")</f>
        <v>nan</v>
      </c>
      <c r="L263" s="17">
        <f ca="1">IFERROR(__xludf.DUMMYFUNCTION("""COMPUTED_VALUE"""),0.0700126710810893)</f>
        <v>7.00126710810893E-2</v>
      </c>
      <c r="M263" s="17">
        <f ca="1">IFERROR(__xludf.DUMMYFUNCTION("""COMPUTED_VALUE"""),0.0141420295576689)</f>
        <v>1.4142029557668899E-2</v>
      </c>
      <c r="N263" s="17">
        <f ca="1">IFERROR(__xludf.DUMMYFUNCTION("""COMPUTED_VALUE"""),0.0277912649157412)</f>
        <v>2.7791264915741201E-2</v>
      </c>
      <c r="O263" s="17">
        <f ca="1">IFERROR(__xludf.DUMMYFUNCTION("""COMPUTED_VALUE"""),0.0266033372793111)</f>
        <v>2.66033372793111E-2</v>
      </c>
      <c r="P263" s="17">
        <f ca="1">IFERROR(__xludf.DUMMYFUNCTION("""COMPUTED_VALUE"""),1.18132707450739)</f>
        <v>1.1813270745073901</v>
      </c>
      <c r="Q263" s="17">
        <f ca="1">IFERROR(__xludf.DUMMYFUNCTION("""COMPUTED_VALUE"""),0.0342016516569218)</f>
        <v>3.4201651656921801E-2</v>
      </c>
      <c r="R263" s="17">
        <f ca="1">IFERROR(__xludf.DUMMYFUNCTION("""COMPUTED_VALUE"""),0.777614056543822)</f>
        <v>0.77761405654382199</v>
      </c>
      <c r="S263" s="17">
        <f ca="1">IFERROR(__xludf.DUMMYFUNCTION("""COMPUTED_VALUE"""),0.166649902747823)</f>
        <v>0.16664990274782299</v>
      </c>
      <c r="T263" s="17">
        <f ca="1">IFERROR(__xludf.DUMMYFUNCTION("""COMPUTED_VALUE"""),0.171986511205348)</f>
        <v>0.171986511205348</v>
      </c>
      <c r="U263" s="17">
        <f ca="1">IFERROR(__xludf.DUMMYFUNCTION("""COMPUTED_VALUE"""),0.0664459646812113)</f>
        <v>6.6445964681211306E-2</v>
      </c>
      <c r="V263" s="17">
        <f ca="1">IFERROR(__xludf.DUMMYFUNCTION("""COMPUTED_VALUE"""),0.0517619577018404)</f>
        <v>5.1761957701840403E-2</v>
      </c>
      <c r="W263" s="17">
        <f ca="1">IFERROR(__xludf.DUMMYFUNCTION("""COMPUTED_VALUE"""),0.100135066515744)</f>
        <v>0.100135066515744</v>
      </c>
      <c r="X263" s="17">
        <f ca="1">IFERROR(__xludf.DUMMYFUNCTION("""COMPUTED_VALUE"""),0.180739935369853)</f>
        <v>0.180739935369853</v>
      </c>
      <c r="Y263" s="17">
        <f ca="1">IFERROR(__xludf.DUMMYFUNCTION("""COMPUTED_VALUE"""),0.00382528054526482)</f>
        <v>3.8252805452648202E-3</v>
      </c>
      <c r="Z263" s="17">
        <f ca="1">IFERROR(__xludf.DUMMYFUNCTION("""COMPUTED_VALUE"""),0.0361764995137492)</f>
        <v>3.6176499513749197E-2</v>
      </c>
      <c r="AA263" s="17">
        <f ca="1">IFERROR(__xludf.DUMMYFUNCTION("""COMPUTED_VALUE"""),0.00700562756477239)</f>
        <v>7.0056275647723898E-3</v>
      </c>
      <c r="AB263" s="17">
        <f ca="1">IFERROR(__xludf.DUMMYFUNCTION("""COMPUTED_VALUE"""),0.541637370029517)</f>
        <v>0.54163737002951695</v>
      </c>
      <c r="AC263" s="17">
        <f ca="1">IFERROR(__xludf.DUMMYFUNCTION("""COMPUTED_VALUE"""),0.629933964799951)</f>
        <v>0.62993396479995101</v>
      </c>
      <c r="AD263" s="17">
        <f ca="1">IFERROR(__xludf.DUMMYFUNCTION("""COMPUTED_VALUE"""),0.0338228588938208)</f>
        <v>3.3822858893820799E-2</v>
      </c>
      <c r="AE263" s="17">
        <f ca="1">IFERROR(__xludf.DUMMYFUNCTION("""COMPUTED_VALUE"""),1.66404654968926)</f>
        <v>1.66404654968926</v>
      </c>
      <c r="AF263" s="17">
        <f ca="1">IFERROR(__xludf.DUMMYFUNCTION("""COMPUTED_VALUE"""),0.0275858912236992)</f>
        <v>2.7585891223699199E-2</v>
      </c>
      <c r="AG263" s="17">
        <f ca="1">IFERROR(__xludf.DUMMYFUNCTION("""COMPUTED_VALUE"""),0.200309046955771)</f>
        <v>0.20030904695577101</v>
      </c>
      <c r="AH263" s="17">
        <f ca="1">IFERROR(__xludf.DUMMYFUNCTION("""COMPUTED_VALUE"""),0.200692451219519)</f>
        <v>0.20069245121951901</v>
      </c>
      <c r="AI263" s="17" t="str">
        <f ca="1">IFERROR(__xludf.DUMMYFUNCTION("""COMPUTED_VALUE"""),"nan")</f>
        <v>nan</v>
      </c>
      <c r="AJ263" s="17">
        <f ca="1">IFERROR(__xludf.DUMMYFUNCTION("""COMPUTED_VALUE"""),0.200079261307252)</f>
        <v>0.20007926130725201</v>
      </c>
    </row>
    <row r="264" spans="2:36" ht="15.75" customHeight="1" x14ac:dyDescent="0.45">
      <c r="B264" s="10" t="str">
        <f ca="1">IFERROR(__xludf.DUMMYFUNCTION("""COMPUTED_VALUE"""),"EthanolLevel")</f>
        <v>EthanolLevel</v>
      </c>
      <c r="C264" s="10" t="str">
        <f ca="1">IFERROR(__xludf.DUMMYFUNCTION("""COMPUTED_VALUE"""),"aligned_timestamps")</f>
        <v>aligned_timestamps</v>
      </c>
      <c r="D264" s="10">
        <f ca="1">IFERROR(__xludf.DUMMYFUNCTION("""COMPUTED_VALUE"""),0.4)</f>
        <v>0.4</v>
      </c>
      <c r="E264" s="17">
        <f ca="1">IFERROR(__xludf.DUMMYFUNCTION("""COMPUTED_VALUE"""),0.916927760928729)</f>
        <v>0.91692776092872896</v>
      </c>
      <c r="F264" s="17">
        <f ca="1">IFERROR(__xludf.DUMMYFUNCTION("""COMPUTED_VALUE"""),0.0411405102325452)</f>
        <v>4.1140510232545197E-2</v>
      </c>
      <c r="G264" s="17">
        <f ca="1">IFERROR(__xludf.DUMMYFUNCTION("""COMPUTED_VALUE"""),0.0309751599454921)</f>
        <v>3.09751599454921E-2</v>
      </c>
      <c r="H264" s="17">
        <f ca="1">IFERROR(__xludf.DUMMYFUNCTION("""COMPUTED_VALUE"""),0.0671992277810781)</f>
        <v>6.7199227781078105E-2</v>
      </c>
      <c r="I264" s="17">
        <f ca="1">IFERROR(__xludf.DUMMYFUNCTION("""COMPUTED_VALUE"""),0.196192114710006)</f>
        <v>0.196192114710006</v>
      </c>
      <c r="J264" s="17">
        <f ca="1">IFERROR(__xludf.DUMMYFUNCTION("""COMPUTED_VALUE"""),0.00737075988918799)</f>
        <v>7.3707598891879899E-3</v>
      </c>
      <c r="K264" s="17" t="str">
        <f ca="1">IFERROR(__xludf.DUMMYFUNCTION("""COMPUTED_VALUE"""),"nan")</f>
        <v>nan</v>
      </c>
      <c r="L264" s="17">
        <f ca="1">IFERROR(__xludf.DUMMYFUNCTION("""COMPUTED_VALUE"""),0.0779724033645716)</f>
        <v>7.7972403364571605E-2</v>
      </c>
      <c r="M264" s="17">
        <f ca="1">IFERROR(__xludf.DUMMYFUNCTION("""COMPUTED_VALUE"""),0.0160679740726555)</f>
        <v>1.6067974072655498E-2</v>
      </c>
      <c r="N264" s="17">
        <f ca="1">IFERROR(__xludf.DUMMYFUNCTION("""COMPUTED_VALUE"""),0.026718813834111)</f>
        <v>2.6718813834111E-2</v>
      </c>
      <c r="O264" s="17">
        <f ca="1">IFERROR(__xludf.DUMMYFUNCTION("""COMPUTED_VALUE"""),0.0298064413969416)</f>
        <v>2.9806441396941601E-2</v>
      </c>
      <c r="P264" s="17">
        <f ca="1">IFERROR(__xludf.DUMMYFUNCTION("""COMPUTED_VALUE"""),1.35524534851857)</f>
        <v>1.35524534851857</v>
      </c>
      <c r="Q264" s="17">
        <f ca="1">IFERROR(__xludf.DUMMYFUNCTION("""COMPUTED_VALUE"""),0.0319842623409204)</f>
        <v>3.1984262340920402E-2</v>
      </c>
      <c r="R264" s="17">
        <f ca="1">IFERROR(__xludf.DUMMYFUNCTION("""COMPUTED_VALUE"""),0.985394084739078)</f>
        <v>0.98539408473907797</v>
      </c>
      <c r="S264" s="17">
        <f ca="1">IFERROR(__xludf.DUMMYFUNCTION("""COMPUTED_VALUE"""),0.164386142902928)</f>
        <v>0.164386142902928</v>
      </c>
      <c r="T264" s="17">
        <f ca="1">IFERROR(__xludf.DUMMYFUNCTION("""COMPUTED_VALUE"""),0.128450913297016)</f>
        <v>0.128450913297016</v>
      </c>
      <c r="U264" s="17">
        <f ca="1">IFERROR(__xludf.DUMMYFUNCTION("""COMPUTED_VALUE"""),0.075738597840782)</f>
        <v>7.5738597840782004E-2</v>
      </c>
      <c r="V264" s="17">
        <f ca="1">IFERROR(__xludf.DUMMYFUNCTION("""COMPUTED_VALUE"""),0.0354036308583971)</f>
        <v>3.5403630858397102E-2</v>
      </c>
      <c r="W264" s="17">
        <f ca="1">IFERROR(__xludf.DUMMYFUNCTION("""COMPUTED_VALUE"""),0.0847388335875342)</f>
        <v>8.4738833587534201E-2</v>
      </c>
      <c r="X264" s="17">
        <f ca="1">IFERROR(__xludf.DUMMYFUNCTION("""COMPUTED_VALUE"""),0.156798623341011)</f>
        <v>0.156798623341011</v>
      </c>
      <c r="Y264" s="17">
        <f ca="1">IFERROR(__xludf.DUMMYFUNCTION("""COMPUTED_VALUE"""),0.0108738967500657)</f>
        <v>1.08738967500657E-2</v>
      </c>
      <c r="Z264" s="17">
        <f ca="1">IFERROR(__xludf.DUMMYFUNCTION("""COMPUTED_VALUE"""),0.555480929470171)</f>
        <v>0.55548092947017103</v>
      </c>
      <c r="AA264" s="17">
        <f ca="1">IFERROR(__xludf.DUMMYFUNCTION("""COMPUTED_VALUE"""),0.103459945997012)</f>
        <v>0.103459945997012</v>
      </c>
      <c r="AB264" s="17">
        <f ca="1">IFERROR(__xludf.DUMMYFUNCTION("""COMPUTED_VALUE"""),0.848670611931861)</f>
        <v>0.848670611931861</v>
      </c>
      <c r="AC264" s="17">
        <f ca="1">IFERROR(__xludf.DUMMYFUNCTION("""COMPUTED_VALUE"""),0.72887771976206)</f>
        <v>0.72887771976205995</v>
      </c>
      <c r="AD264" s="17">
        <f ca="1">IFERROR(__xludf.DUMMYFUNCTION("""COMPUTED_VALUE"""),0.056361510398085)</f>
        <v>5.6361510398084999E-2</v>
      </c>
      <c r="AE264" s="17" t="str">
        <f ca="1">IFERROR(__xludf.DUMMYFUNCTION("""COMPUTED_VALUE"""),"nan")</f>
        <v>nan</v>
      </c>
      <c r="AF264" s="17">
        <f ca="1">IFERROR(__xludf.DUMMYFUNCTION("""COMPUTED_VALUE"""),0.176879959961012)</f>
        <v>0.176879959961012</v>
      </c>
      <c r="AG264" s="17">
        <f ca="1">IFERROR(__xludf.DUMMYFUNCTION("""COMPUTED_VALUE"""),0.388308222400341)</f>
        <v>0.38830822240034102</v>
      </c>
      <c r="AH264" s="17">
        <f ca="1">IFERROR(__xludf.DUMMYFUNCTION("""COMPUTED_VALUE"""),0.412649895868879)</f>
        <v>0.41264989586887901</v>
      </c>
      <c r="AI264" s="17" t="str">
        <f ca="1">IFERROR(__xludf.DUMMYFUNCTION("""COMPUTED_VALUE"""),"nan")</f>
        <v>nan</v>
      </c>
      <c r="AJ264" s="17">
        <f ca="1">IFERROR(__xludf.DUMMYFUNCTION("""COMPUTED_VALUE"""),0.534773869016859)</f>
        <v>0.53477386901685897</v>
      </c>
    </row>
    <row r="265" spans="2:36" ht="15.75" customHeight="1" x14ac:dyDescent="0.45">
      <c r="B265" s="10" t="str">
        <f ca="1">IFERROR(__xludf.DUMMYFUNCTION("""COMPUTED_VALUE"""),"EthanolLevel")</f>
        <v>EthanolLevel</v>
      </c>
      <c r="C265" s="10" t="str">
        <f ca="1">IFERROR(__xludf.DUMMYFUNCTION("""COMPUTED_VALUE"""),"aligned_timestamps")</f>
        <v>aligned_timestamps</v>
      </c>
      <c r="D265" s="10">
        <f ca="1">IFERROR(__xludf.DUMMYFUNCTION("""COMPUTED_VALUE"""),0.6)</f>
        <v>0.6</v>
      </c>
      <c r="E265" s="17">
        <f ca="1">IFERROR(__xludf.DUMMYFUNCTION("""COMPUTED_VALUE"""),0.818602189303189)</f>
        <v>0.81860218930318895</v>
      </c>
      <c r="F265" s="17">
        <f ca="1">IFERROR(__xludf.DUMMYFUNCTION("""COMPUTED_VALUE"""),0.0484534660465175)</f>
        <v>4.8453466046517499E-2</v>
      </c>
      <c r="G265" s="17">
        <f ca="1">IFERROR(__xludf.DUMMYFUNCTION("""COMPUTED_VALUE"""),0.0411094303934241)</f>
        <v>4.1109430393424101E-2</v>
      </c>
      <c r="H265" s="17">
        <f ca="1">IFERROR(__xludf.DUMMYFUNCTION("""COMPUTED_VALUE"""),0.0674754303644552)</f>
        <v>6.7475430364455205E-2</v>
      </c>
      <c r="I265" s="17">
        <f ca="1">IFERROR(__xludf.DUMMYFUNCTION("""COMPUTED_VALUE"""),0.112139699972925)</f>
        <v>0.112139699972925</v>
      </c>
      <c r="J265" s="17">
        <f ca="1">IFERROR(__xludf.DUMMYFUNCTION("""COMPUTED_VALUE"""),0.232153844262463)</f>
        <v>0.23215384426246299</v>
      </c>
      <c r="K265" s="17" t="str">
        <f ca="1">IFERROR(__xludf.DUMMYFUNCTION("""COMPUTED_VALUE"""),"nan")</f>
        <v>nan</v>
      </c>
      <c r="L265" s="17">
        <f ca="1">IFERROR(__xludf.DUMMYFUNCTION("""COMPUTED_VALUE"""),0.0950132171700691)</f>
        <v>9.5013217170069095E-2</v>
      </c>
      <c r="M265" s="17">
        <f ca="1">IFERROR(__xludf.DUMMYFUNCTION("""COMPUTED_VALUE"""),0.438856201566013)</f>
        <v>0.43885620156601302</v>
      </c>
      <c r="N265" s="17">
        <f ca="1">IFERROR(__xludf.DUMMYFUNCTION("""COMPUTED_VALUE"""),0.0422131649059849)</f>
        <v>4.2213164905984903E-2</v>
      </c>
      <c r="O265" s="17">
        <f ca="1">IFERROR(__xludf.DUMMYFUNCTION("""COMPUTED_VALUE"""),0.0400366360920806)</f>
        <v>4.0036636092080601E-2</v>
      </c>
      <c r="P265" s="17">
        <f ca="1">IFERROR(__xludf.DUMMYFUNCTION("""COMPUTED_VALUE"""),1.706871041379)</f>
        <v>1.706871041379</v>
      </c>
      <c r="Q265" s="17">
        <f ca="1">IFERROR(__xludf.DUMMYFUNCTION("""COMPUTED_VALUE"""),0.0509893313703359)</f>
        <v>5.09893313703359E-2</v>
      </c>
      <c r="R265" s="17">
        <f ca="1">IFERROR(__xludf.DUMMYFUNCTION("""COMPUTED_VALUE"""),0.991332454946378)</f>
        <v>0.99133245494637801</v>
      </c>
      <c r="S265" s="17">
        <f ca="1">IFERROR(__xludf.DUMMYFUNCTION("""COMPUTED_VALUE"""),0.198983241156394)</f>
        <v>0.19898324115639399</v>
      </c>
      <c r="T265" s="17">
        <f ca="1">IFERROR(__xludf.DUMMYFUNCTION("""COMPUTED_VALUE"""),0.264978249157074)</f>
        <v>0.26497824915707402</v>
      </c>
      <c r="U265" s="17">
        <f ca="1">IFERROR(__xludf.DUMMYFUNCTION("""COMPUTED_VALUE"""),0.110528605540916)</f>
        <v>0.11052860554091599</v>
      </c>
      <c r="V265" s="17">
        <f ca="1">IFERROR(__xludf.DUMMYFUNCTION("""COMPUTED_VALUE"""),0.0732491334635294)</f>
        <v>7.3249133463529403E-2</v>
      </c>
      <c r="W265" s="17">
        <f ca="1">IFERROR(__xludf.DUMMYFUNCTION("""COMPUTED_VALUE"""),0.124111903334983)</f>
        <v>0.124111903334983</v>
      </c>
      <c r="X265" s="17">
        <f ca="1">IFERROR(__xludf.DUMMYFUNCTION("""COMPUTED_VALUE"""),0.121534901969952)</f>
        <v>0.12153490196995199</v>
      </c>
      <c r="Y265" s="17">
        <f ca="1">IFERROR(__xludf.DUMMYFUNCTION("""COMPUTED_VALUE"""),0.023777369019017)</f>
        <v>2.3777369019016999E-2</v>
      </c>
      <c r="Z265" s="17">
        <f ca="1">IFERROR(__xludf.DUMMYFUNCTION("""COMPUTED_VALUE"""),0.617698516516294)</f>
        <v>0.61769851651629404</v>
      </c>
      <c r="AA265" s="17">
        <f ca="1">IFERROR(__xludf.DUMMYFUNCTION("""COMPUTED_VALUE"""),0.265227872121637)</f>
        <v>0.26522787212163701</v>
      </c>
      <c r="AB265" s="17">
        <f ca="1">IFERROR(__xludf.DUMMYFUNCTION("""COMPUTED_VALUE"""),0.948233251055109)</f>
        <v>0.94823325105510903</v>
      </c>
      <c r="AC265" s="17">
        <f ca="1">IFERROR(__xludf.DUMMYFUNCTION("""COMPUTED_VALUE"""),0.558464645386957)</f>
        <v>0.55846464538695695</v>
      </c>
      <c r="AD265" s="17">
        <f ca="1">IFERROR(__xludf.DUMMYFUNCTION("""COMPUTED_VALUE"""),0.0519366393720262)</f>
        <v>5.1936639372026201E-2</v>
      </c>
      <c r="AE265" s="17" t="str">
        <f ca="1">IFERROR(__xludf.DUMMYFUNCTION("""COMPUTED_VALUE"""),"nan")</f>
        <v>nan</v>
      </c>
      <c r="AF265" s="17">
        <f ca="1">IFERROR(__xludf.DUMMYFUNCTION("""COMPUTED_VALUE"""),1.27002103988979)</f>
        <v>1.27002103988979</v>
      </c>
      <c r="AG265" s="17">
        <f ca="1">IFERROR(__xludf.DUMMYFUNCTION("""COMPUTED_VALUE"""),0.486510049845475)</f>
        <v>0.48651004984547502</v>
      </c>
      <c r="AH265" s="17">
        <f ca="1">IFERROR(__xludf.DUMMYFUNCTION("""COMPUTED_VALUE"""),0.396398559356846)</f>
        <v>0.39639855935684598</v>
      </c>
      <c r="AI265" s="17" t="str">
        <f ca="1">IFERROR(__xludf.DUMMYFUNCTION("""COMPUTED_VALUE"""),"nan")</f>
        <v>nan</v>
      </c>
      <c r="AJ265" s="17">
        <f ca="1">IFERROR(__xludf.DUMMYFUNCTION("""COMPUTED_VALUE"""),0.463807420821751)</f>
        <v>0.46380742082175103</v>
      </c>
    </row>
    <row r="266" spans="2:36" ht="15.75" customHeight="1" x14ac:dyDescent="0.45">
      <c r="B266" s="10" t="str">
        <f ca="1">IFERROR(__xludf.DUMMYFUNCTION("""COMPUTED_VALUE"""),"EthanolLevel")</f>
        <v>EthanolLevel</v>
      </c>
      <c r="C266" s="10" t="str">
        <f ca="1">IFERROR(__xludf.DUMMYFUNCTION("""COMPUTED_VALUE"""),"aligned_timestamps")</f>
        <v>aligned_timestamps</v>
      </c>
      <c r="D266" s="10">
        <f ca="1">IFERROR(__xludf.DUMMYFUNCTION("""COMPUTED_VALUE"""),0.8)</f>
        <v>0.8</v>
      </c>
      <c r="E266" s="17">
        <f ca="1">IFERROR(__xludf.DUMMYFUNCTION("""COMPUTED_VALUE"""),0.835228284854549)</f>
        <v>0.83522828485454903</v>
      </c>
      <c r="F266" s="17">
        <f ca="1">IFERROR(__xludf.DUMMYFUNCTION("""COMPUTED_VALUE"""),0.0994788252055359)</f>
        <v>9.9478825205535901E-2</v>
      </c>
      <c r="G266" s="17">
        <f ca="1">IFERROR(__xludf.DUMMYFUNCTION("""COMPUTED_VALUE"""),0.0985390753308633)</f>
        <v>9.8539075330863299E-2</v>
      </c>
      <c r="H266" s="17">
        <f ca="1">IFERROR(__xludf.DUMMYFUNCTION("""COMPUTED_VALUE"""),0.113601198162583)</f>
        <v>0.113601198162583</v>
      </c>
      <c r="I266" s="17">
        <f ca="1">IFERROR(__xludf.DUMMYFUNCTION("""COMPUTED_VALUE"""),0.119349686994701)</f>
        <v>0.119349686994701</v>
      </c>
      <c r="J266" s="17">
        <f ca="1">IFERROR(__xludf.DUMMYFUNCTION("""COMPUTED_VALUE"""),0.883313199419306)</f>
        <v>0.88331319941930597</v>
      </c>
      <c r="K266" s="17" t="str">
        <f ca="1">IFERROR(__xludf.DUMMYFUNCTION("""COMPUTED_VALUE"""),"nan")</f>
        <v>nan</v>
      </c>
      <c r="L266" s="17">
        <f ca="1">IFERROR(__xludf.DUMMYFUNCTION("""COMPUTED_VALUE"""),0.135726764805805)</f>
        <v>0.13572676480580501</v>
      </c>
      <c r="M266" s="17">
        <f ca="1">IFERROR(__xludf.DUMMYFUNCTION("""COMPUTED_VALUE"""),0.680635034035988)</f>
        <v>0.68063503403598802</v>
      </c>
      <c r="N266" s="17">
        <f ca="1">IFERROR(__xludf.DUMMYFUNCTION("""COMPUTED_VALUE"""),0.0825390995556934)</f>
        <v>8.2539099555693399E-2</v>
      </c>
      <c r="O266" s="17">
        <f ca="1">IFERROR(__xludf.DUMMYFUNCTION("""COMPUTED_VALUE"""),0.514783904359998)</f>
        <v>0.51478390435999799</v>
      </c>
      <c r="P266" s="17">
        <f ca="1">IFERROR(__xludf.DUMMYFUNCTION("""COMPUTED_VALUE"""),1.71880198249009)</f>
        <v>1.71880198249009</v>
      </c>
      <c r="Q266" s="17">
        <f ca="1">IFERROR(__xludf.DUMMYFUNCTION("""COMPUTED_VALUE"""),0.1005455271745)</f>
        <v>0.10054552717449999</v>
      </c>
      <c r="R266" s="17">
        <f ca="1">IFERROR(__xludf.DUMMYFUNCTION("""COMPUTED_VALUE"""),0.736003121679241)</f>
        <v>0.73600312167924098</v>
      </c>
      <c r="S266" s="17">
        <f ca="1">IFERROR(__xludf.DUMMYFUNCTION("""COMPUTED_VALUE"""),0.445288907952742)</f>
        <v>0.44528890795274201</v>
      </c>
      <c r="T266" s="17">
        <f ca="1">IFERROR(__xludf.DUMMYFUNCTION("""COMPUTED_VALUE"""),0.225047219626459)</f>
        <v>0.22504721962645899</v>
      </c>
      <c r="U266" s="17">
        <f ca="1">IFERROR(__xludf.DUMMYFUNCTION("""COMPUTED_VALUE"""),0.156880565101785)</f>
        <v>0.156880565101785</v>
      </c>
      <c r="V266" s="17">
        <f ca="1">IFERROR(__xludf.DUMMYFUNCTION("""COMPUTED_VALUE"""),0.526048498846578)</f>
        <v>0.52604849884657801</v>
      </c>
      <c r="W266" s="17">
        <f ca="1">IFERROR(__xludf.DUMMYFUNCTION("""COMPUTED_VALUE"""),0.364932696257789)</f>
        <v>0.36493269625778901</v>
      </c>
      <c r="X266" s="17">
        <f ca="1">IFERROR(__xludf.DUMMYFUNCTION("""COMPUTED_VALUE"""),0.595212785853915)</f>
        <v>0.59521278585391502</v>
      </c>
      <c r="Y266" s="17">
        <f ca="1">IFERROR(__xludf.DUMMYFUNCTION("""COMPUTED_VALUE"""),0.0850015754668956)</f>
        <v>8.5001575466895601E-2</v>
      </c>
      <c r="Z266" s="17">
        <f ca="1">IFERROR(__xludf.DUMMYFUNCTION("""COMPUTED_VALUE"""),0.723350721356783)</f>
        <v>0.72335072135678302</v>
      </c>
      <c r="AA266" s="17">
        <f ca="1">IFERROR(__xludf.DUMMYFUNCTION("""COMPUTED_VALUE"""),1.26813808179706)</f>
        <v>1.26813808179706</v>
      </c>
      <c r="AB266" s="17">
        <f ca="1">IFERROR(__xludf.DUMMYFUNCTION("""COMPUTED_VALUE"""),1.18677506804076)</f>
        <v>1.1867750680407601</v>
      </c>
      <c r="AC266" s="17">
        <f ca="1">IFERROR(__xludf.DUMMYFUNCTION("""COMPUTED_VALUE"""),0.575480946932686)</f>
        <v>0.57548094693268603</v>
      </c>
      <c r="AD266" s="17">
        <f ca="1">IFERROR(__xludf.DUMMYFUNCTION("""COMPUTED_VALUE"""),0.430639346716792)</f>
        <v>0.43063934671679199</v>
      </c>
      <c r="AE266" s="17" t="str">
        <f ca="1">IFERROR(__xludf.DUMMYFUNCTION("""COMPUTED_VALUE"""),"nan")</f>
        <v>nan</v>
      </c>
      <c r="AF266" s="17">
        <f ca="1">IFERROR(__xludf.DUMMYFUNCTION("""COMPUTED_VALUE"""),1.1500107376071)</f>
        <v>1.1500107376071</v>
      </c>
      <c r="AG266" s="17">
        <f ca="1">IFERROR(__xludf.DUMMYFUNCTION("""COMPUTED_VALUE"""),0.785426002728609)</f>
        <v>0.78542600272860896</v>
      </c>
      <c r="AH266" s="17">
        <f ca="1">IFERROR(__xludf.DUMMYFUNCTION("""COMPUTED_VALUE"""),0.748533659957075)</f>
        <v>0.74853365995707499</v>
      </c>
      <c r="AI266" s="17" t="str">
        <f ca="1">IFERROR(__xludf.DUMMYFUNCTION("""COMPUTED_VALUE"""),"nan")</f>
        <v>nan</v>
      </c>
      <c r="AJ266" s="17">
        <f ca="1">IFERROR(__xludf.DUMMYFUNCTION("""COMPUTED_VALUE"""),0.600271879073806)</f>
        <v>0.60027187907380597</v>
      </c>
    </row>
    <row r="267" spans="2:36" ht="15.75" customHeight="1" x14ac:dyDescent="0.45">
      <c r="B267" s="10" t="str">
        <f ca="1">IFERROR(__xludf.DUMMYFUNCTION("""COMPUTED_VALUE"""),"EthanolLevel")</f>
        <v>EthanolLevel</v>
      </c>
      <c r="C267" s="10" t="str">
        <f ca="1">IFERROR(__xludf.DUMMYFUNCTION("""COMPUTED_VALUE"""),"mcar")</f>
        <v>mcar</v>
      </c>
      <c r="D267" s="10">
        <f ca="1">IFERROR(__xludf.DUMMYFUNCTION("""COMPUTED_VALUE"""),0.1)</f>
        <v>0.1</v>
      </c>
      <c r="E267" s="17">
        <f ca="1">IFERROR(__xludf.DUMMYFUNCTION("""COMPUTED_VALUE"""),1.02586848244022)</f>
        <v>1.02586848244022</v>
      </c>
      <c r="F267" s="17">
        <f ca="1">IFERROR(__xludf.DUMMYFUNCTION("""COMPUTED_VALUE"""),0.0997590172307655)</f>
        <v>9.9759017230765495E-2</v>
      </c>
      <c r="G267" s="17">
        <f ca="1">IFERROR(__xludf.DUMMYFUNCTION("""COMPUTED_VALUE"""),0.0965238648993327)</f>
        <v>9.6523864899332706E-2</v>
      </c>
      <c r="H267" s="17">
        <f ca="1">IFERROR(__xludf.DUMMYFUNCTION("""COMPUTED_VALUE"""),0.134161942373689)</f>
        <v>0.134161942373689</v>
      </c>
      <c r="I267" s="17">
        <f ca="1">IFERROR(__xludf.DUMMYFUNCTION("""COMPUTED_VALUE"""),0.982038361873049)</f>
        <v>0.98203836187304905</v>
      </c>
      <c r="J267" s="17">
        <f ca="1">IFERROR(__xludf.DUMMYFUNCTION("""COMPUTED_VALUE"""),0.0755125811957592)</f>
        <v>7.5512581195759196E-2</v>
      </c>
      <c r="K267" s="17" t="str">
        <f ca="1">IFERROR(__xludf.DUMMYFUNCTION("""COMPUTED_VALUE"""),"nan")</f>
        <v>nan</v>
      </c>
      <c r="L267" s="17">
        <f ca="1">IFERROR(__xludf.DUMMYFUNCTION("""COMPUTED_VALUE"""),0.120345127481579)</f>
        <v>0.120345127481579</v>
      </c>
      <c r="M267" s="17">
        <f ca="1">IFERROR(__xludf.DUMMYFUNCTION("""COMPUTED_VALUE"""),0.0976975327386135)</f>
        <v>9.7697532738613493E-2</v>
      </c>
      <c r="N267" s="17">
        <f ca="1">IFERROR(__xludf.DUMMYFUNCTION("""COMPUTED_VALUE"""),0.0702174046071639)</f>
        <v>7.02174046071639E-2</v>
      </c>
      <c r="O267" s="17">
        <f ca="1">IFERROR(__xludf.DUMMYFUNCTION("""COMPUTED_VALUE"""),0.0725432135313517)</f>
        <v>7.2543213531351694E-2</v>
      </c>
      <c r="P267" s="17">
        <f ca="1">IFERROR(__xludf.DUMMYFUNCTION("""COMPUTED_VALUE"""),0.518731642006009)</f>
        <v>0.51873164200600896</v>
      </c>
      <c r="Q267" s="17">
        <f ca="1">IFERROR(__xludf.DUMMYFUNCTION("""COMPUTED_VALUE"""),0.224687884086699)</f>
        <v>0.22468788408669901</v>
      </c>
      <c r="R267" s="17">
        <f ca="1">IFERROR(__xludf.DUMMYFUNCTION("""COMPUTED_VALUE"""),0.00449106646764261)</f>
        <v>4.4910664676426097E-3</v>
      </c>
      <c r="S267" s="17">
        <f ca="1">IFERROR(__xludf.DUMMYFUNCTION("""COMPUTED_VALUE"""),0.182110535093672)</f>
        <v>0.182110535093672</v>
      </c>
      <c r="T267" s="17">
        <f ca="1">IFERROR(__xludf.DUMMYFUNCTION("""COMPUTED_VALUE"""),0.2168830001325)</f>
        <v>0.2168830001325</v>
      </c>
      <c r="U267" s="17">
        <f ca="1">IFERROR(__xludf.DUMMYFUNCTION("""COMPUTED_VALUE"""),0.120340706597523)</f>
        <v>0.120340706597523</v>
      </c>
      <c r="V267" s="17">
        <f ca="1">IFERROR(__xludf.DUMMYFUNCTION("""COMPUTED_VALUE"""),0.300841074800478)</f>
        <v>0.300841074800478</v>
      </c>
      <c r="W267" s="17">
        <f ca="1">IFERROR(__xludf.DUMMYFUNCTION("""COMPUTED_VALUE"""),0.573525365454914)</f>
        <v>0.57352536545491395</v>
      </c>
      <c r="X267" s="17">
        <f ca="1">IFERROR(__xludf.DUMMYFUNCTION("""COMPUTED_VALUE"""),0.12038874457911)</f>
        <v>0.12038874457911</v>
      </c>
      <c r="Y267" s="17">
        <f ca="1">IFERROR(__xludf.DUMMYFUNCTION("""COMPUTED_VALUE"""),0.122901580490886)</f>
        <v>0.12290158049088599</v>
      </c>
      <c r="Z267" s="17">
        <f ca="1">IFERROR(__xludf.DUMMYFUNCTION("""COMPUTED_VALUE"""),0.130963062271651)</f>
        <v>0.130963062271651</v>
      </c>
      <c r="AA267" s="17">
        <f ca="1">IFERROR(__xludf.DUMMYFUNCTION("""COMPUTED_VALUE"""),0.0126928471720477)</f>
        <v>1.2692847172047699E-2</v>
      </c>
      <c r="AB267" s="17">
        <f ca="1">IFERROR(__xludf.DUMMYFUNCTION("""COMPUTED_VALUE"""),0.0369125914423914)</f>
        <v>3.6912591442391403E-2</v>
      </c>
      <c r="AC267" s="17">
        <f ca="1">IFERROR(__xludf.DUMMYFUNCTION("""COMPUTED_VALUE"""),0.499131770697615)</f>
        <v>0.499131770697615</v>
      </c>
      <c r="AD267" s="17">
        <f ca="1">IFERROR(__xludf.DUMMYFUNCTION("""COMPUTED_VALUE"""),0.421379062841349)</f>
        <v>0.42137906284134902</v>
      </c>
      <c r="AE267" s="17">
        <f ca="1">IFERROR(__xludf.DUMMYFUNCTION("""COMPUTED_VALUE"""),1.66186721490265)</f>
        <v>1.6618672149026501</v>
      </c>
      <c r="AF267" s="17">
        <f ca="1">IFERROR(__xludf.DUMMYFUNCTION("""COMPUTED_VALUE"""),0.188653033772835)</f>
        <v>0.18865303377283499</v>
      </c>
      <c r="AG267" s="17">
        <f ca="1">IFERROR(__xludf.DUMMYFUNCTION("""COMPUTED_VALUE"""),0.129282394850403)</f>
        <v>0.12928239485040299</v>
      </c>
      <c r="AH267" s="17">
        <f ca="1">IFERROR(__xludf.DUMMYFUNCTION("""COMPUTED_VALUE"""),0.0802865484983938)</f>
        <v>8.0286548498393798E-2</v>
      </c>
      <c r="AI267" s="17" t="str">
        <f ca="1">IFERROR(__xludf.DUMMYFUNCTION("""COMPUTED_VALUE"""),"nan")</f>
        <v>nan</v>
      </c>
      <c r="AJ267" s="17">
        <f ca="1">IFERROR(__xludf.DUMMYFUNCTION("""COMPUTED_VALUE"""),0.124733019206216)</f>
        <v>0.124733019206216</v>
      </c>
    </row>
    <row r="268" spans="2:36" ht="15.75" customHeight="1" x14ac:dyDescent="0.45">
      <c r="B268" s="10" t="str">
        <f ca="1">IFERROR(__xludf.DUMMYFUNCTION("""COMPUTED_VALUE"""),"EthanolLevel")</f>
        <v>EthanolLevel</v>
      </c>
      <c r="C268" s="10" t="str">
        <f ca="1">IFERROR(__xludf.DUMMYFUNCTION("""COMPUTED_VALUE"""),"mcar")</f>
        <v>mcar</v>
      </c>
      <c r="D268" s="10">
        <f ca="1">IFERROR(__xludf.DUMMYFUNCTION("""COMPUTED_VALUE"""),0.2)</f>
        <v>0.2</v>
      </c>
      <c r="E268" s="17">
        <f ca="1">IFERROR(__xludf.DUMMYFUNCTION("""COMPUTED_VALUE"""),1.00529424011607)</f>
        <v>1.00529424011607</v>
      </c>
      <c r="F268" s="17">
        <f ca="1">IFERROR(__xludf.DUMMYFUNCTION("""COMPUTED_VALUE"""),0.0955891092031148)</f>
        <v>9.5589109203114794E-2</v>
      </c>
      <c r="G268" s="17">
        <f ca="1">IFERROR(__xludf.DUMMYFUNCTION("""COMPUTED_VALUE"""),0.0901953662124072)</f>
        <v>9.0195366212407202E-2</v>
      </c>
      <c r="H268" s="17">
        <f ca="1">IFERROR(__xludf.DUMMYFUNCTION("""COMPUTED_VALUE"""),0.126083093314194)</f>
        <v>0.12608309331419401</v>
      </c>
      <c r="I268" s="17">
        <f ca="1">IFERROR(__xludf.DUMMYFUNCTION("""COMPUTED_VALUE"""),0.257943833875733)</f>
        <v>0.257943833875733</v>
      </c>
      <c r="J268" s="17">
        <f ca="1">IFERROR(__xludf.DUMMYFUNCTION("""COMPUTED_VALUE"""),0.06791841053597)</f>
        <v>6.7918410535970003E-2</v>
      </c>
      <c r="K268" s="17" t="str">
        <f ca="1">IFERROR(__xludf.DUMMYFUNCTION("""COMPUTED_VALUE"""),"nan")</f>
        <v>nan</v>
      </c>
      <c r="L268" s="17">
        <f ca="1">IFERROR(__xludf.DUMMYFUNCTION("""COMPUTED_VALUE"""),0.113220777875723)</f>
        <v>0.113220777875723</v>
      </c>
      <c r="M268" s="17">
        <f ca="1">IFERROR(__xludf.DUMMYFUNCTION("""COMPUTED_VALUE"""),0.0896288306316662)</f>
        <v>8.9628830631666198E-2</v>
      </c>
      <c r="N268" s="17">
        <f ca="1">IFERROR(__xludf.DUMMYFUNCTION("""COMPUTED_VALUE"""),0.0663202382865268)</f>
        <v>6.6320238286526806E-2</v>
      </c>
      <c r="O268" s="17">
        <f ca="1">IFERROR(__xludf.DUMMYFUNCTION("""COMPUTED_VALUE"""),0.0690695273783057)</f>
        <v>6.9069527378305698E-2</v>
      </c>
      <c r="P268" s="17">
        <f ca="1">IFERROR(__xludf.DUMMYFUNCTION("""COMPUTED_VALUE"""),0.511839608051496)</f>
        <v>0.51183960805149598</v>
      </c>
      <c r="Q268" s="17">
        <f ca="1">IFERROR(__xludf.DUMMYFUNCTION("""COMPUTED_VALUE"""),0.215125692005129)</f>
        <v>0.21512569200512899</v>
      </c>
      <c r="R268" s="17">
        <f ca="1">IFERROR(__xludf.DUMMYFUNCTION("""COMPUTED_VALUE"""),0.00396864410610003)</f>
        <v>3.9686441061000301E-3</v>
      </c>
      <c r="S268" s="17">
        <f ca="1">IFERROR(__xludf.DUMMYFUNCTION("""COMPUTED_VALUE"""),0.475237413702199)</f>
        <v>0.47523741370219902</v>
      </c>
      <c r="T268" s="17">
        <f ca="1">IFERROR(__xludf.DUMMYFUNCTION("""COMPUTED_VALUE"""),0.193825783251282)</f>
        <v>0.193825783251282</v>
      </c>
      <c r="U268" s="17">
        <f ca="1">IFERROR(__xludf.DUMMYFUNCTION("""COMPUTED_VALUE"""),0.111912921356852)</f>
        <v>0.111912921356852</v>
      </c>
      <c r="V268" s="17">
        <f ca="1">IFERROR(__xludf.DUMMYFUNCTION("""COMPUTED_VALUE"""),0.288028533736823)</f>
        <v>0.28802853373682302</v>
      </c>
      <c r="W268" s="17">
        <f ca="1">IFERROR(__xludf.DUMMYFUNCTION("""COMPUTED_VALUE"""),0.609205511559755)</f>
        <v>0.609205511559755</v>
      </c>
      <c r="X268" s="17">
        <f ca="1">IFERROR(__xludf.DUMMYFUNCTION("""COMPUTED_VALUE"""),0.116601393345654)</f>
        <v>0.116601393345654</v>
      </c>
      <c r="Y268" s="17">
        <f ca="1">IFERROR(__xludf.DUMMYFUNCTION("""COMPUTED_VALUE"""),0.102322385114458)</f>
        <v>0.102322385114458</v>
      </c>
      <c r="Z268" s="17">
        <f ca="1">IFERROR(__xludf.DUMMYFUNCTION("""COMPUTED_VALUE"""),0.122269070902391)</f>
        <v>0.122269070902391</v>
      </c>
      <c r="AA268" s="17">
        <f ca="1">IFERROR(__xludf.DUMMYFUNCTION("""COMPUTED_VALUE"""),0.0128014613312818)</f>
        <v>1.2801461331281801E-2</v>
      </c>
      <c r="AB268" s="17">
        <f ca="1">IFERROR(__xludf.DUMMYFUNCTION("""COMPUTED_VALUE"""),0.0435633226297717)</f>
        <v>4.3563322629771702E-2</v>
      </c>
      <c r="AC268" s="17">
        <f ca="1">IFERROR(__xludf.DUMMYFUNCTION("""COMPUTED_VALUE"""),0.545784088426537)</f>
        <v>0.54578408842653703</v>
      </c>
      <c r="AD268" s="17">
        <f ca="1">IFERROR(__xludf.DUMMYFUNCTION("""COMPUTED_VALUE"""),0.410460996583153)</f>
        <v>0.41046099658315299</v>
      </c>
      <c r="AE268" s="17">
        <f ca="1">IFERROR(__xludf.DUMMYFUNCTION("""COMPUTED_VALUE"""),1.6300275924658)</f>
        <v>1.6300275924658001</v>
      </c>
      <c r="AF268" s="17">
        <f ca="1">IFERROR(__xludf.DUMMYFUNCTION("""COMPUTED_VALUE"""),0.209285577903806)</f>
        <v>0.209285577903806</v>
      </c>
      <c r="AG268" s="17">
        <f ca="1">IFERROR(__xludf.DUMMYFUNCTION("""COMPUTED_VALUE"""),0.159462322453946)</f>
        <v>0.15946232245394601</v>
      </c>
      <c r="AH268" s="17">
        <f ca="1">IFERROR(__xludf.DUMMYFUNCTION("""COMPUTED_VALUE"""),0.0908611786306765)</f>
        <v>9.0861178630676498E-2</v>
      </c>
      <c r="AI268" s="17" t="str">
        <f ca="1">IFERROR(__xludf.DUMMYFUNCTION("""COMPUTED_VALUE"""),"nan")</f>
        <v>nan</v>
      </c>
      <c r="AJ268" s="17">
        <f ca="1">IFERROR(__xludf.DUMMYFUNCTION("""COMPUTED_VALUE"""),0.13531177069691)</f>
        <v>0.13531177069691</v>
      </c>
    </row>
    <row r="269" spans="2:36" ht="15.75" customHeight="1" x14ac:dyDescent="0.45">
      <c r="B269" s="10" t="str">
        <f ca="1">IFERROR(__xludf.DUMMYFUNCTION("""COMPUTED_VALUE"""),"EthanolLevel")</f>
        <v>EthanolLevel</v>
      </c>
      <c r="C269" s="10" t="str">
        <f ca="1">IFERROR(__xludf.DUMMYFUNCTION("""COMPUTED_VALUE"""),"mcar")</f>
        <v>mcar</v>
      </c>
      <c r="D269" s="10">
        <f ca="1">IFERROR(__xludf.DUMMYFUNCTION("""COMPUTED_VALUE"""),0.4)</f>
        <v>0.4</v>
      </c>
      <c r="E269" s="17">
        <f ca="1">IFERROR(__xludf.DUMMYFUNCTION("""COMPUTED_VALUE"""),1.0201167660132)</f>
        <v>1.0201167660132</v>
      </c>
      <c r="F269" s="17">
        <f ca="1">IFERROR(__xludf.DUMMYFUNCTION("""COMPUTED_VALUE"""),0.104355862034346)</f>
        <v>0.10435586203434601</v>
      </c>
      <c r="G269" s="17">
        <f ca="1">IFERROR(__xludf.DUMMYFUNCTION("""COMPUTED_VALUE"""),0.0947861067379687)</f>
        <v>9.4786106737968695E-2</v>
      </c>
      <c r="H269" s="17">
        <f ca="1">IFERROR(__xludf.DUMMYFUNCTION("""COMPUTED_VALUE"""),0.131018621091723)</f>
        <v>0.13101862109172299</v>
      </c>
      <c r="I269" s="17">
        <f ca="1">IFERROR(__xludf.DUMMYFUNCTION("""COMPUTED_VALUE"""),0.0632541496036214)</f>
        <v>6.3254149603621398E-2</v>
      </c>
      <c r="J269" s="17">
        <f ca="1">IFERROR(__xludf.DUMMYFUNCTION("""COMPUTED_VALUE"""),0.0722022202606702)</f>
        <v>7.2202220260670205E-2</v>
      </c>
      <c r="K269" s="17" t="str">
        <f ca="1">IFERROR(__xludf.DUMMYFUNCTION("""COMPUTED_VALUE"""),"nan")</f>
        <v>nan</v>
      </c>
      <c r="L269" s="17">
        <f ca="1">IFERROR(__xludf.DUMMYFUNCTION("""COMPUTED_VALUE"""),0.121687980719698)</f>
        <v>0.121687980719698</v>
      </c>
      <c r="M269" s="17">
        <f ca="1">IFERROR(__xludf.DUMMYFUNCTION("""COMPUTED_VALUE"""),0.0959293743901279)</f>
        <v>9.59293743901279E-2</v>
      </c>
      <c r="N269" s="17">
        <f ca="1">IFERROR(__xludf.DUMMYFUNCTION("""COMPUTED_VALUE"""),0.0813600210569865)</f>
        <v>8.1360021056986503E-2</v>
      </c>
      <c r="O269" s="17">
        <f ca="1">IFERROR(__xludf.DUMMYFUNCTION("""COMPUTED_VALUE"""),0.0720679316276179)</f>
        <v>7.2067931627617904E-2</v>
      </c>
      <c r="P269" s="17">
        <f ca="1">IFERROR(__xludf.DUMMYFUNCTION("""COMPUTED_VALUE"""),0.527212567334839)</f>
        <v>0.52721256733483901</v>
      </c>
      <c r="Q269" s="17">
        <f ca="1">IFERROR(__xludf.DUMMYFUNCTION("""COMPUTED_VALUE"""),0.256437604481561)</f>
        <v>0.256437604481561</v>
      </c>
      <c r="R269" s="17">
        <f ca="1">IFERROR(__xludf.DUMMYFUNCTION("""COMPUTED_VALUE"""),0.0102329238584886)</f>
        <v>1.0232923858488599E-2</v>
      </c>
      <c r="S269" s="17">
        <f ca="1">IFERROR(__xludf.DUMMYFUNCTION("""COMPUTED_VALUE"""),1.34479012539182)</f>
        <v>1.34479012539182</v>
      </c>
      <c r="T269" s="17">
        <f ca="1">IFERROR(__xludf.DUMMYFUNCTION("""COMPUTED_VALUE"""),0.174093745110773)</f>
        <v>0.174093745110773</v>
      </c>
      <c r="U269" s="17">
        <f ca="1">IFERROR(__xludf.DUMMYFUNCTION("""COMPUTED_VALUE"""),0.114022584542455)</f>
        <v>0.11402258454245499</v>
      </c>
      <c r="V269" s="17">
        <f ca="1">IFERROR(__xludf.DUMMYFUNCTION("""COMPUTED_VALUE"""),0.317124018280276)</f>
        <v>0.31712401828027598</v>
      </c>
      <c r="W269" s="17">
        <f ca="1">IFERROR(__xludf.DUMMYFUNCTION("""COMPUTED_VALUE"""),0.532472683757682)</f>
        <v>0.53247268375768197</v>
      </c>
      <c r="X269" s="17">
        <f ca="1">IFERROR(__xludf.DUMMYFUNCTION("""COMPUTED_VALUE"""),0.125290431720727)</f>
        <v>0.12529043172072701</v>
      </c>
      <c r="Y269" s="17">
        <f ca="1">IFERROR(__xludf.DUMMYFUNCTION("""COMPUTED_VALUE"""),0.111750803004733)</f>
        <v>0.111750803004733</v>
      </c>
      <c r="Z269" s="17">
        <f ca="1">IFERROR(__xludf.DUMMYFUNCTION("""COMPUTED_VALUE"""),0.139761485938771)</f>
        <v>0.139761485938771</v>
      </c>
      <c r="AA269" s="17">
        <f ca="1">IFERROR(__xludf.DUMMYFUNCTION("""COMPUTED_VALUE"""),0.0175936626951595)</f>
        <v>1.7593662695159499E-2</v>
      </c>
      <c r="AB269" s="17">
        <f ca="1">IFERROR(__xludf.DUMMYFUNCTION("""COMPUTED_VALUE"""),0.184637797629324)</f>
        <v>0.184637797629324</v>
      </c>
      <c r="AC269" s="17">
        <f ca="1">IFERROR(__xludf.DUMMYFUNCTION("""COMPUTED_VALUE"""),0.491691447555096)</f>
        <v>0.49169144755509597</v>
      </c>
      <c r="AD269" s="17">
        <f ca="1">IFERROR(__xludf.DUMMYFUNCTION("""COMPUTED_VALUE"""),0.549196560346044)</f>
        <v>0.54919656034604403</v>
      </c>
      <c r="AE269" s="17">
        <f ca="1">IFERROR(__xludf.DUMMYFUNCTION("""COMPUTED_VALUE"""),1.54708811939016)</f>
        <v>1.54708811939016</v>
      </c>
      <c r="AF269" s="17">
        <f ca="1">IFERROR(__xludf.DUMMYFUNCTION("""COMPUTED_VALUE"""),0.296570733951039)</f>
        <v>0.296570733951039</v>
      </c>
      <c r="AG269" s="17">
        <f ca="1">IFERROR(__xludf.DUMMYFUNCTION("""COMPUTED_VALUE"""),0.448639433682478)</f>
        <v>0.44863943368247799</v>
      </c>
      <c r="AH269" s="17">
        <f ca="1">IFERROR(__xludf.DUMMYFUNCTION("""COMPUTED_VALUE"""),0.155525092629037)</f>
        <v>0.15552509262903699</v>
      </c>
      <c r="AI269" s="17" t="str">
        <f ca="1">IFERROR(__xludf.DUMMYFUNCTION("""COMPUTED_VALUE"""),"nan")</f>
        <v>nan</v>
      </c>
      <c r="AJ269" s="17">
        <f ca="1">IFERROR(__xludf.DUMMYFUNCTION("""COMPUTED_VALUE"""),0.438783842818415)</f>
        <v>0.43878384281841498</v>
      </c>
    </row>
    <row r="270" spans="2:36" ht="15.75" customHeight="1" x14ac:dyDescent="0.45">
      <c r="B270" s="10" t="str">
        <f ca="1">IFERROR(__xludf.DUMMYFUNCTION("""COMPUTED_VALUE"""),"EthanolLevel")</f>
        <v>EthanolLevel</v>
      </c>
      <c r="C270" s="10" t="str">
        <f ca="1">IFERROR(__xludf.DUMMYFUNCTION("""COMPUTED_VALUE"""),"mcar")</f>
        <v>mcar</v>
      </c>
      <c r="D270" s="10">
        <f ca="1">IFERROR(__xludf.DUMMYFUNCTION("""COMPUTED_VALUE"""),0.6)</f>
        <v>0.6</v>
      </c>
      <c r="E270" s="17">
        <f ca="1">IFERROR(__xludf.DUMMYFUNCTION("""COMPUTED_VALUE"""),1.01626775444488)</f>
        <v>1.0162677544448799</v>
      </c>
      <c r="F270" s="17">
        <f ca="1">IFERROR(__xludf.DUMMYFUNCTION("""COMPUTED_VALUE"""),0.113545752114159)</f>
        <v>0.113545752114159</v>
      </c>
      <c r="G270" s="17">
        <f ca="1">IFERROR(__xludf.DUMMYFUNCTION("""COMPUTED_VALUE"""),0.0962756060182942)</f>
        <v>9.6275606018294199E-2</v>
      </c>
      <c r="H270" s="17">
        <f ca="1">IFERROR(__xludf.DUMMYFUNCTION("""COMPUTED_VALUE"""),0.12577747533711)</f>
        <v>0.12577747533711001</v>
      </c>
      <c r="I270" s="17">
        <f ca="1">IFERROR(__xludf.DUMMYFUNCTION("""COMPUTED_VALUE"""),0.0555341217557984)</f>
        <v>5.5534121755798402E-2</v>
      </c>
      <c r="J270" s="17">
        <f ca="1">IFERROR(__xludf.DUMMYFUNCTION("""COMPUTED_VALUE"""),0.0872919070086899)</f>
        <v>8.7291907008689898E-2</v>
      </c>
      <c r="K270" s="17" t="str">
        <f ca="1">IFERROR(__xludf.DUMMYFUNCTION("""COMPUTED_VALUE"""),"nan")</f>
        <v>nan</v>
      </c>
      <c r="L270" s="17">
        <f ca="1">IFERROR(__xludf.DUMMYFUNCTION("""COMPUTED_VALUE"""),0.11963124261821)</f>
        <v>0.11963124261821</v>
      </c>
      <c r="M270" s="17">
        <f ca="1">IFERROR(__xludf.DUMMYFUNCTION("""COMPUTED_VALUE"""),0.0960597722018487)</f>
        <v>9.6059772201848706E-2</v>
      </c>
      <c r="N270" s="17">
        <f ca="1">IFERROR(__xludf.DUMMYFUNCTION("""COMPUTED_VALUE"""),0.0857926944354737)</f>
        <v>8.5792694435473701E-2</v>
      </c>
      <c r="O270" s="17">
        <f ca="1">IFERROR(__xludf.DUMMYFUNCTION("""COMPUTED_VALUE"""),0.0747221775990943)</f>
        <v>7.4722177599094303E-2</v>
      </c>
      <c r="P270" s="17">
        <f ca="1">IFERROR(__xludf.DUMMYFUNCTION("""COMPUTED_VALUE"""),0.547809475280226)</f>
        <v>0.54780947528022605</v>
      </c>
      <c r="Q270" s="17">
        <f ca="1">IFERROR(__xludf.DUMMYFUNCTION("""COMPUTED_VALUE"""),0.31737251893715)</f>
        <v>0.31737251893715002</v>
      </c>
      <c r="R270" s="17">
        <f ca="1">IFERROR(__xludf.DUMMYFUNCTION("""COMPUTED_VALUE"""),0.017014227879957)</f>
        <v>1.7014227879956999E-2</v>
      </c>
      <c r="S270" s="17">
        <f ca="1">IFERROR(__xludf.DUMMYFUNCTION("""COMPUTED_VALUE"""),1.35013460992392)</f>
        <v>1.35013460992392</v>
      </c>
      <c r="T270" s="17">
        <f ca="1">IFERROR(__xludf.DUMMYFUNCTION("""COMPUTED_VALUE"""),0.191392476835634)</f>
        <v>0.19139247683563401</v>
      </c>
      <c r="U270" s="17">
        <f ca="1">IFERROR(__xludf.DUMMYFUNCTION("""COMPUTED_VALUE"""),0.12054986636605)</f>
        <v>0.12054986636605</v>
      </c>
      <c r="V270" s="17">
        <f ca="1">IFERROR(__xludf.DUMMYFUNCTION("""COMPUTED_VALUE"""),0.31952757271893)</f>
        <v>0.31952757271893001</v>
      </c>
      <c r="W270" s="17">
        <f ca="1">IFERROR(__xludf.DUMMYFUNCTION("""COMPUTED_VALUE"""),0.599673252941364)</f>
        <v>0.59967325294136398</v>
      </c>
      <c r="X270" s="17">
        <f ca="1">IFERROR(__xludf.DUMMYFUNCTION("""COMPUTED_VALUE"""),0.12392416991669)</f>
        <v>0.12392416991669</v>
      </c>
      <c r="Y270" s="17">
        <f ca="1">IFERROR(__xludf.DUMMYFUNCTION("""COMPUTED_VALUE"""),0.109579370830725)</f>
        <v>0.109579370830725</v>
      </c>
      <c r="Z270" s="17">
        <f ca="1">IFERROR(__xludf.DUMMYFUNCTION("""COMPUTED_VALUE"""),0.171294302901074)</f>
        <v>0.171294302901074</v>
      </c>
      <c r="AA270" s="17">
        <f ca="1">IFERROR(__xludf.DUMMYFUNCTION("""COMPUTED_VALUE"""),0.0223876636881803)</f>
        <v>2.23876636881803E-2</v>
      </c>
      <c r="AB270" s="17">
        <f ca="1">IFERROR(__xludf.DUMMYFUNCTION("""COMPUTED_VALUE"""),0.335401396500084)</f>
        <v>0.33540139650008399</v>
      </c>
      <c r="AC270" s="17">
        <f ca="1">IFERROR(__xludf.DUMMYFUNCTION("""COMPUTED_VALUE"""),0.610479580740068)</f>
        <v>0.61047958074006803</v>
      </c>
      <c r="AD270" s="17">
        <f ca="1">IFERROR(__xludf.DUMMYFUNCTION("""COMPUTED_VALUE"""),0.580825954500527)</f>
        <v>0.58082595450052699</v>
      </c>
      <c r="AE270" s="17">
        <f ca="1">IFERROR(__xludf.DUMMYFUNCTION("""COMPUTED_VALUE"""),1.50668602264779)</f>
        <v>1.5066860226477901</v>
      </c>
      <c r="AF270" s="17">
        <f ca="1">IFERROR(__xludf.DUMMYFUNCTION("""COMPUTED_VALUE"""),0.211321634073997)</f>
        <v>0.21132163407399701</v>
      </c>
      <c r="AG270" s="17">
        <f ca="1">IFERROR(__xludf.DUMMYFUNCTION("""COMPUTED_VALUE"""),0.840660208001338)</f>
        <v>0.84066020800133801</v>
      </c>
      <c r="AH270" s="17">
        <f ca="1">IFERROR(__xludf.DUMMYFUNCTION("""COMPUTED_VALUE"""),0.216693992223421)</f>
        <v>0.21669399222342101</v>
      </c>
      <c r="AI270" s="17" t="str">
        <f ca="1">IFERROR(__xludf.DUMMYFUNCTION("""COMPUTED_VALUE"""),"nan")</f>
        <v>nan</v>
      </c>
      <c r="AJ270" s="17">
        <f ca="1">IFERROR(__xludf.DUMMYFUNCTION("""COMPUTED_VALUE"""),0.67713704666254)</f>
        <v>0.67713704666254004</v>
      </c>
    </row>
    <row r="271" spans="2:36" ht="15.75" customHeight="1" x14ac:dyDescent="0.45">
      <c r="B271" s="10" t="str">
        <f ca="1">IFERROR(__xludf.DUMMYFUNCTION("""COMPUTED_VALUE"""),"EthanolLevel")</f>
        <v>EthanolLevel</v>
      </c>
      <c r="C271" s="10" t="str">
        <f ca="1">IFERROR(__xludf.DUMMYFUNCTION("""COMPUTED_VALUE"""),"mcar")</f>
        <v>mcar</v>
      </c>
      <c r="D271" s="10">
        <f ca="1">IFERROR(__xludf.DUMMYFUNCTION("""COMPUTED_VALUE"""),0.8)</f>
        <v>0.8</v>
      </c>
      <c r="E271" s="17">
        <f ca="1">IFERROR(__xludf.DUMMYFUNCTION("""COMPUTED_VALUE"""),1.00638350716725)</f>
        <v>1.00638350716725</v>
      </c>
      <c r="F271" s="17">
        <f ca="1">IFERROR(__xludf.DUMMYFUNCTION("""COMPUTED_VALUE"""),0.164265596936729)</f>
        <v>0.16426559693672901</v>
      </c>
      <c r="G271" s="17">
        <f ca="1">IFERROR(__xludf.DUMMYFUNCTION("""COMPUTED_VALUE"""),0.145971285703579)</f>
        <v>0.14597128570357901</v>
      </c>
      <c r="H271" s="17">
        <f ca="1">IFERROR(__xludf.DUMMYFUNCTION("""COMPUTED_VALUE"""),0.127455234352936)</f>
        <v>0.12745523435293599</v>
      </c>
      <c r="I271" s="17">
        <f ca="1">IFERROR(__xludf.DUMMYFUNCTION("""COMPUTED_VALUE"""),0.105291265316369)</f>
        <v>0.105291265316369</v>
      </c>
      <c r="J271" s="17">
        <f ca="1">IFERROR(__xludf.DUMMYFUNCTION("""COMPUTED_VALUE"""),0.21369827734669)</f>
        <v>0.21369827734669</v>
      </c>
      <c r="K271" s="17" t="str">
        <f ca="1">IFERROR(__xludf.DUMMYFUNCTION("""COMPUTED_VALUE"""),"nan")</f>
        <v>nan</v>
      </c>
      <c r="L271" s="17">
        <f ca="1">IFERROR(__xludf.DUMMYFUNCTION("""COMPUTED_VALUE"""),0.12443987579963)</f>
        <v>0.12443987579963001</v>
      </c>
      <c r="M271" s="17">
        <f ca="1">IFERROR(__xludf.DUMMYFUNCTION("""COMPUTED_VALUE"""),0.106711959036381)</f>
        <v>0.106711959036381</v>
      </c>
      <c r="N271" s="17">
        <f ca="1">IFERROR(__xludf.DUMMYFUNCTION("""COMPUTED_VALUE"""),0.0991887836126177)</f>
        <v>9.9188783612617695E-2</v>
      </c>
      <c r="O271" s="17">
        <f ca="1">IFERROR(__xludf.DUMMYFUNCTION("""COMPUTED_VALUE"""),0.0807435420378922)</f>
        <v>8.0743542037892205E-2</v>
      </c>
      <c r="P271" s="17">
        <f ca="1">IFERROR(__xludf.DUMMYFUNCTION("""COMPUTED_VALUE"""),0.620249535954996)</f>
        <v>0.62024953595499599</v>
      </c>
      <c r="Q271" s="17">
        <f ca="1">IFERROR(__xludf.DUMMYFUNCTION("""COMPUTED_VALUE"""),0.404197550486151)</f>
        <v>0.40419755048615102</v>
      </c>
      <c r="R271" s="17">
        <f ca="1">IFERROR(__xludf.DUMMYFUNCTION("""COMPUTED_VALUE"""),0.0387669038442969)</f>
        <v>3.8766903844296902E-2</v>
      </c>
      <c r="S271" s="17">
        <f ca="1">IFERROR(__xludf.DUMMYFUNCTION("""COMPUTED_VALUE"""),1.33953454828016)</f>
        <v>1.3395345482801599</v>
      </c>
      <c r="T271" s="17">
        <f ca="1">IFERROR(__xludf.DUMMYFUNCTION("""COMPUTED_VALUE"""),0.214017547362122)</f>
        <v>0.214017547362122</v>
      </c>
      <c r="U271" s="17">
        <f ca="1">IFERROR(__xludf.DUMMYFUNCTION("""COMPUTED_VALUE"""),0.127949719259327)</f>
        <v>0.12794971925932699</v>
      </c>
      <c r="V271" s="17">
        <f ca="1">IFERROR(__xludf.DUMMYFUNCTION("""COMPUTED_VALUE"""),0.405283470271871)</f>
        <v>0.405283470271871</v>
      </c>
      <c r="W271" s="17">
        <f ca="1">IFERROR(__xludf.DUMMYFUNCTION("""COMPUTED_VALUE"""),0.433881528551091)</f>
        <v>0.43388152855109102</v>
      </c>
      <c r="X271" s="17">
        <f ca="1">IFERROR(__xludf.DUMMYFUNCTION("""COMPUTED_VALUE"""),0.127107367972725)</f>
        <v>0.12710736797272501</v>
      </c>
      <c r="Y271" s="17">
        <f ca="1">IFERROR(__xludf.DUMMYFUNCTION("""COMPUTED_VALUE"""),0.115778205448111)</f>
        <v>0.115778205448111</v>
      </c>
      <c r="Z271" s="17">
        <f ca="1">IFERROR(__xludf.DUMMYFUNCTION("""COMPUTED_VALUE"""),0.479506897668728)</f>
        <v>0.479506897668728</v>
      </c>
      <c r="AA271" s="17">
        <f ca="1">IFERROR(__xludf.DUMMYFUNCTION("""COMPUTED_VALUE"""),0.0464131196312007)</f>
        <v>4.6413119631200699E-2</v>
      </c>
      <c r="AB271" s="17">
        <f ca="1">IFERROR(__xludf.DUMMYFUNCTION("""COMPUTED_VALUE"""),0.656376391148127)</f>
        <v>0.65637639114812696</v>
      </c>
      <c r="AC271" s="17">
        <f ca="1">IFERROR(__xludf.DUMMYFUNCTION("""COMPUTED_VALUE"""),0.615136611869906)</f>
        <v>0.61513661186990598</v>
      </c>
      <c r="AD271" s="17">
        <f ca="1">IFERROR(__xludf.DUMMYFUNCTION("""COMPUTED_VALUE"""),0.573325126546067)</f>
        <v>0.57332512654606704</v>
      </c>
      <c r="AE271" s="17" t="str">
        <f ca="1">IFERROR(__xludf.DUMMYFUNCTION("""COMPUTED_VALUE"""),"nan")</f>
        <v>nan</v>
      </c>
      <c r="AF271" s="17">
        <f ca="1">IFERROR(__xludf.DUMMYFUNCTION("""COMPUTED_VALUE"""),0.445365889157719)</f>
        <v>0.44536588915771902</v>
      </c>
      <c r="AG271" s="17">
        <f ca="1">IFERROR(__xludf.DUMMYFUNCTION("""COMPUTED_VALUE"""),1.02151333570017)</f>
        <v>1.02151333570017</v>
      </c>
      <c r="AH271" s="17">
        <f ca="1">IFERROR(__xludf.DUMMYFUNCTION("""COMPUTED_VALUE"""),0.537823487522687)</f>
        <v>0.53782348752268705</v>
      </c>
      <c r="AI271" s="17" t="str">
        <f ca="1">IFERROR(__xludf.DUMMYFUNCTION("""COMPUTED_VALUE"""),"nan")</f>
        <v>nan</v>
      </c>
      <c r="AJ271" s="17">
        <f ca="1">IFERROR(__xludf.DUMMYFUNCTION("""COMPUTED_VALUE"""),0.704982133568329)</f>
        <v>0.70498213356832895</v>
      </c>
    </row>
    <row r="272" spans="2:36" ht="15.75" customHeight="1" x14ac:dyDescent="0.45">
      <c r="B272" s="10" t="str">
        <f ca="1">IFERROR(__xludf.DUMMYFUNCTION("""COMPUTED_VALUE"""),"FaceFour")</f>
        <v>FaceFour</v>
      </c>
      <c r="C272" s="10" t="str">
        <f ca="1">IFERROR(__xludf.DUMMYFUNCTION("""COMPUTED_VALUE"""),"aligned_series")</f>
        <v>aligned_series</v>
      </c>
      <c r="D272" s="10">
        <f ca="1">IFERROR(__xludf.DUMMYFUNCTION("""COMPUTED_VALUE"""),0.1)</f>
        <v>0.1</v>
      </c>
      <c r="E272" s="17">
        <f ca="1">IFERROR(__xludf.DUMMYFUNCTION("""COMPUTED_VALUE"""),1.03079563433236)</f>
        <v>1.0307956343323601</v>
      </c>
      <c r="F272" s="17">
        <f ca="1">IFERROR(__xludf.DUMMYFUNCTION("""COMPUTED_VALUE"""),0.828049904519217)</f>
        <v>0.82804990451921701</v>
      </c>
      <c r="G272" s="17">
        <f ca="1">IFERROR(__xludf.DUMMYFUNCTION("""COMPUTED_VALUE"""),0.833918961976569)</f>
        <v>0.83391896197656901</v>
      </c>
      <c r="H272" s="17">
        <f ca="1">IFERROR(__xludf.DUMMYFUNCTION("""COMPUTED_VALUE"""),1.06481720190753)</f>
        <v>1.0648172019075299</v>
      </c>
      <c r="I272" s="17">
        <f ca="1">IFERROR(__xludf.DUMMYFUNCTION("""COMPUTED_VALUE"""),0.855658954922634)</f>
        <v>0.855658954922634</v>
      </c>
      <c r="J272" s="17">
        <f ca="1">IFERROR(__xludf.DUMMYFUNCTION("""COMPUTED_VALUE"""),1.01650816463113)</f>
        <v>1.01650816463113</v>
      </c>
      <c r="K272" s="17">
        <f ca="1">IFERROR(__xludf.DUMMYFUNCTION("""COMPUTED_VALUE"""),0.836478252192346)</f>
        <v>0.83647825219234595</v>
      </c>
      <c r="L272" s="17">
        <f ca="1">IFERROR(__xludf.DUMMYFUNCTION("""COMPUTED_VALUE"""),0.868074707444731)</f>
        <v>0.86807470744473103</v>
      </c>
      <c r="M272" s="17">
        <f ca="1">IFERROR(__xludf.DUMMYFUNCTION("""COMPUTED_VALUE"""),0.852583398878351)</f>
        <v>0.852583398878351</v>
      </c>
      <c r="N272" s="17">
        <f ca="1">IFERROR(__xludf.DUMMYFUNCTION("""COMPUTED_VALUE"""),0.94739487554025)</f>
        <v>0.94739487554025004</v>
      </c>
      <c r="O272" s="17">
        <f ca="1">IFERROR(__xludf.DUMMYFUNCTION("""COMPUTED_VALUE"""),0.890769622764897)</f>
        <v>0.89076962276489702</v>
      </c>
      <c r="P272" s="17">
        <f ca="1">IFERROR(__xludf.DUMMYFUNCTION("""COMPUTED_VALUE"""),0.874137149258351)</f>
        <v>0.87413714925835095</v>
      </c>
      <c r="Q272" s="17">
        <f ca="1">IFERROR(__xludf.DUMMYFUNCTION("""COMPUTED_VALUE"""),1.32736652237598)</f>
        <v>1.3273665223759801</v>
      </c>
      <c r="R272" s="17">
        <f ca="1">IFERROR(__xludf.DUMMYFUNCTION("""COMPUTED_VALUE"""),0.837411294039687)</f>
        <v>0.83741129403968695</v>
      </c>
      <c r="S272" s="17">
        <f ca="1">IFERROR(__xludf.DUMMYFUNCTION("""COMPUTED_VALUE"""),0.910980637131047)</f>
        <v>0.91098063713104704</v>
      </c>
      <c r="T272" s="17">
        <f ca="1">IFERROR(__xludf.DUMMYFUNCTION("""COMPUTED_VALUE"""),0.846069945321837)</f>
        <v>0.84606994532183699</v>
      </c>
      <c r="U272" s="17">
        <f ca="1">IFERROR(__xludf.DUMMYFUNCTION("""COMPUTED_VALUE"""),0.822372975867877)</f>
        <v>0.82237297586787705</v>
      </c>
      <c r="V272" s="17">
        <f ca="1">IFERROR(__xludf.DUMMYFUNCTION("""COMPUTED_VALUE"""),0.773285500834707)</f>
        <v>0.77328550083470704</v>
      </c>
      <c r="W272" s="17">
        <f ca="1">IFERROR(__xludf.DUMMYFUNCTION("""COMPUTED_VALUE"""),0.954559049991092)</f>
        <v>0.95455904999109198</v>
      </c>
      <c r="X272" s="17">
        <f ca="1">IFERROR(__xludf.DUMMYFUNCTION("""COMPUTED_VALUE"""),0.837474540585567)</f>
        <v>0.83747454058556703</v>
      </c>
      <c r="Y272" s="17">
        <f ca="1">IFERROR(__xludf.DUMMYFUNCTION("""COMPUTED_VALUE"""),0.733827618756197)</f>
        <v>0.73382761875619695</v>
      </c>
      <c r="Z272" s="17">
        <f ca="1">IFERROR(__xludf.DUMMYFUNCTION("""COMPUTED_VALUE"""),0.933444869172831)</f>
        <v>0.93344486917283098</v>
      </c>
      <c r="AA272" s="17">
        <f ca="1">IFERROR(__xludf.DUMMYFUNCTION("""COMPUTED_VALUE"""),0.93348445452517)</f>
        <v>0.93348445452517004</v>
      </c>
      <c r="AB272" s="17">
        <f ca="1">IFERROR(__xludf.DUMMYFUNCTION("""COMPUTED_VALUE"""),0.94595666898401)</f>
        <v>0.94595666898400999</v>
      </c>
      <c r="AC272" s="17">
        <f ca="1">IFERROR(__xludf.DUMMYFUNCTION("""COMPUTED_VALUE"""),0.939608476842623)</f>
        <v>0.93960847684262305</v>
      </c>
      <c r="AD272" s="17">
        <f ca="1">IFERROR(__xludf.DUMMYFUNCTION("""COMPUTED_VALUE"""),0.775607092048151)</f>
        <v>0.77560709204815104</v>
      </c>
      <c r="AE272" s="17">
        <f ca="1">IFERROR(__xludf.DUMMYFUNCTION("""COMPUTED_VALUE"""),1.13716883179828)</f>
        <v>1.13716883179828</v>
      </c>
      <c r="AF272" s="17">
        <f ca="1">IFERROR(__xludf.DUMMYFUNCTION("""COMPUTED_VALUE"""),0.986016812582987)</f>
        <v>0.98601681258298701</v>
      </c>
      <c r="AG272" s="17">
        <f ca="1">IFERROR(__xludf.DUMMYFUNCTION("""COMPUTED_VALUE"""),0.971832645473603)</f>
        <v>0.97183264547360304</v>
      </c>
      <c r="AH272" s="17">
        <f ca="1">IFERROR(__xludf.DUMMYFUNCTION("""COMPUTED_VALUE"""),1.0286403062067)</f>
        <v>1.0286403062067</v>
      </c>
      <c r="AI272" s="17">
        <f ca="1">IFERROR(__xludf.DUMMYFUNCTION("""COMPUTED_VALUE"""),1.02841828565655)</f>
        <v>1.02841828565655</v>
      </c>
      <c r="AJ272" s="17">
        <f ca="1">IFERROR(__xludf.DUMMYFUNCTION("""COMPUTED_VALUE"""),0.883544185042759)</f>
        <v>0.883544185042759</v>
      </c>
    </row>
    <row r="273" spans="2:36" ht="15.75" customHeight="1" x14ac:dyDescent="0.45">
      <c r="B273" s="10" t="str">
        <f ca="1">IFERROR(__xludf.DUMMYFUNCTION("""COMPUTED_VALUE"""),"FaceFour")</f>
        <v>FaceFour</v>
      </c>
      <c r="C273" s="10" t="str">
        <f ca="1">IFERROR(__xludf.DUMMYFUNCTION("""COMPUTED_VALUE"""),"aligned_series")</f>
        <v>aligned_series</v>
      </c>
      <c r="D273" s="10">
        <f ca="1">IFERROR(__xludf.DUMMYFUNCTION("""COMPUTED_VALUE"""),0.2)</f>
        <v>0.2</v>
      </c>
      <c r="E273" s="17">
        <f ca="1">IFERROR(__xludf.DUMMYFUNCTION("""COMPUTED_VALUE"""),1.12077905133059)</f>
        <v>1.12077905133059</v>
      </c>
      <c r="F273" s="17">
        <f ca="1">IFERROR(__xludf.DUMMYFUNCTION("""COMPUTED_VALUE"""),0.704852317131172)</f>
        <v>0.70485231713117202</v>
      </c>
      <c r="G273" s="17">
        <f ca="1">IFERROR(__xludf.DUMMYFUNCTION("""COMPUTED_VALUE"""),0.699056854202821)</f>
        <v>0.69905685420282104</v>
      </c>
      <c r="H273" s="17">
        <f ca="1">IFERROR(__xludf.DUMMYFUNCTION("""COMPUTED_VALUE"""),0.883907013870157)</f>
        <v>0.88390701387015702</v>
      </c>
      <c r="I273" s="17">
        <f ca="1">IFERROR(__xludf.DUMMYFUNCTION("""COMPUTED_VALUE"""),0.858345193981133)</f>
        <v>0.85834519398113296</v>
      </c>
      <c r="J273" s="17">
        <f ca="1">IFERROR(__xludf.DUMMYFUNCTION("""COMPUTED_VALUE"""),1.07413533397546)</f>
        <v>1.07413533397546</v>
      </c>
      <c r="K273" s="17" t="str">
        <f ca="1">IFERROR(__xludf.DUMMYFUNCTION("""COMPUTED_VALUE"""),"nan")</f>
        <v>nan</v>
      </c>
      <c r="L273" s="17">
        <f ca="1">IFERROR(__xludf.DUMMYFUNCTION("""COMPUTED_VALUE"""),0.934778682893272)</f>
        <v>0.93477868289327204</v>
      </c>
      <c r="M273" s="17">
        <f ca="1">IFERROR(__xludf.DUMMYFUNCTION("""COMPUTED_VALUE"""),0.737746610837682)</f>
        <v>0.737746610837682</v>
      </c>
      <c r="N273" s="17">
        <f ca="1">IFERROR(__xludf.DUMMYFUNCTION("""COMPUTED_VALUE"""),0.871520777517324)</f>
        <v>0.87152077751732404</v>
      </c>
      <c r="O273" s="17">
        <f ca="1">IFERROR(__xludf.DUMMYFUNCTION("""COMPUTED_VALUE"""),0.771796384760484)</f>
        <v>0.77179638476048396</v>
      </c>
      <c r="P273" s="17">
        <f ca="1">IFERROR(__xludf.DUMMYFUNCTION("""COMPUTED_VALUE"""),0.964497516886671)</f>
        <v>0.96449751688667096</v>
      </c>
      <c r="Q273" s="17">
        <f ca="1">IFERROR(__xludf.DUMMYFUNCTION("""COMPUTED_VALUE"""),1.29584731210005)</f>
        <v>1.29584731210005</v>
      </c>
      <c r="R273" s="17">
        <f ca="1">IFERROR(__xludf.DUMMYFUNCTION("""COMPUTED_VALUE"""),0.848379103315656)</f>
        <v>0.84837910331565602</v>
      </c>
      <c r="S273" s="17">
        <f ca="1">IFERROR(__xludf.DUMMYFUNCTION("""COMPUTED_VALUE"""),0.792797335313673)</f>
        <v>0.79279733531367302</v>
      </c>
      <c r="T273" s="17">
        <f ca="1">IFERROR(__xludf.DUMMYFUNCTION("""COMPUTED_VALUE"""),0.843931682583951)</f>
        <v>0.84393168258395101</v>
      </c>
      <c r="U273" s="17">
        <f ca="1">IFERROR(__xludf.DUMMYFUNCTION("""COMPUTED_VALUE"""),0.788563820205045)</f>
        <v>0.78856382020504501</v>
      </c>
      <c r="V273" s="17">
        <f ca="1">IFERROR(__xludf.DUMMYFUNCTION("""COMPUTED_VALUE"""),0.655041793373819)</f>
        <v>0.65504179337381896</v>
      </c>
      <c r="W273" s="17">
        <f ca="1">IFERROR(__xludf.DUMMYFUNCTION("""COMPUTED_VALUE"""),0.995514833902642)</f>
        <v>0.99551483390264195</v>
      </c>
      <c r="X273" s="17">
        <f ca="1">IFERROR(__xludf.DUMMYFUNCTION("""COMPUTED_VALUE"""),0.976359646039352)</f>
        <v>0.97635964603935199</v>
      </c>
      <c r="Y273" s="17">
        <f ca="1">IFERROR(__xludf.DUMMYFUNCTION("""COMPUTED_VALUE"""),0.642723290091022)</f>
        <v>0.64272329009102203</v>
      </c>
      <c r="Z273" s="17">
        <f ca="1">IFERROR(__xludf.DUMMYFUNCTION("""COMPUTED_VALUE"""),0.809263019053511)</f>
        <v>0.80926301905351095</v>
      </c>
      <c r="AA273" s="17">
        <f ca="1">IFERROR(__xludf.DUMMYFUNCTION("""COMPUTED_VALUE"""),0.795710125598521)</f>
        <v>0.79571012559852095</v>
      </c>
      <c r="AB273" s="17">
        <f ca="1">IFERROR(__xludf.DUMMYFUNCTION("""COMPUTED_VALUE"""),0.848043236512002)</f>
        <v>0.84804323651200197</v>
      </c>
      <c r="AC273" s="17">
        <f ca="1">IFERROR(__xludf.DUMMYFUNCTION("""COMPUTED_VALUE"""),0.894928624984696)</f>
        <v>0.89492862498469605</v>
      </c>
      <c r="AD273" s="17">
        <f ca="1">IFERROR(__xludf.DUMMYFUNCTION("""COMPUTED_VALUE"""),0.732228974424408)</f>
        <v>0.73222897442440804</v>
      </c>
      <c r="AE273" s="17">
        <f ca="1">IFERROR(__xludf.DUMMYFUNCTION("""COMPUTED_VALUE"""),1.16370378470424)</f>
        <v>1.16370378470424</v>
      </c>
      <c r="AF273" s="17">
        <f ca="1">IFERROR(__xludf.DUMMYFUNCTION("""COMPUTED_VALUE"""),1.1409199032073)</f>
        <v>1.1409199032073001</v>
      </c>
      <c r="AG273" s="17">
        <f ca="1">IFERROR(__xludf.DUMMYFUNCTION("""COMPUTED_VALUE"""),1.02116464857351)</f>
        <v>1.02116464857351</v>
      </c>
      <c r="AH273" s="17">
        <f ca="1">IFERROR(__xludf.DUMMYFUNCTION("""COMPUTED_VALUE"""),0.999926497154313)</f>
        <v>0.99992649715431303</v>
      </c>
      <c r="AI273" s="17">
        <f ca="1">IFERROR(__xludf.DUMMYFUNCTION("""COMPUTED_VALUE"""),1.00536935325958)</f>
        <v>1.00536935325958</v>
      </c>
      <c r="AJ273" s="17">
        <f ca="1">IFERROR(__xludf.DUMMYFUNCTION("""COMPUTED_VALUE"""),0.865652314222544)</f>
        <v>0.86565231422254396</v>
      </c>
    </row>
    <row r="274" spans="2:36" ht="15.75" customHeight="1" x14ac:dyDescent="0.45">
      <c r="B274" s="10" t="str">
        <f ca="1">IFERROR(__xludf.DUMMYFUNCTION("""COMPUTED_VALUE"""),"FaceFour")</f>
        <v>FaceFour</v>
      </c>
      <c r="C274" s="10" t="str">
        <f ca="1">IFERROR(__xludf.DUMMYFUNCTION("""COMPUTED_VALUE"""),"aligned_series")</f>
        <v>aligned_series</v>
      </c>
      <c r="D274" s="10">
        <f ca="1">IFERROR(__xludf.DUMMYFUNCTION("""COMPUTED_VALUE"""),0.4)</f>
        <v>0.4</v>
      </c>
      <c r="E274" s="17">
        <f ca="1">IFERROR(__xludf.DUMMYFUNCTION("""COMPUTED_VALUE"""),1.09440370788206)</f>
        <v>1.0944037078820601</v>
      </c>
      <c r="F274" s="17">
        <f ca="1">IFERROR(__xludf.DUMMYFUNCTION("""COMPUTED_VALUE"""),0.920305670310694)</f>
        <v>0.92030567031069399</v>
      </c>
      <c r="G274" s="17">
        <f ca="1">IFERROR(__xludf.DUMMYFUNCTION("""COMPUTED_VALUE"""),0.920803854099858)</f>
        <v>0.92080385409985799</v>
      </c>
      <c r="H274" s="17">
        <f ca="1">IFERROR(__xludf.DUMMYFUNCTION("""COMPUTED_VALUE"""),0.957638808434771)</f>
        <v>0.95763880843477101</v>
      </c>
      <c r="I274" s="17">
        <f ca="1">IFERROR(__xludf.DUMMYFUNCTION("""COMPUTED_VALUE"""),0.970876995525369)</f>
        <v>0.97087699552536899</v>
      </c>
      <c r="J274" s="17">
        <f ca="1">IFERROR(__xludf.DUMMYFUNCTION("""COMPUTED_VALUE"""),0.994841411902811)</f>
        <v>0.99484141190281095</v>
      </c>
      <c r="K274" s="17" t="str">
        <f ca="1">IFERROR(__xludf.DUMMYFUNCTION("""COMPUTED_VALUE"""),"nan")</f>
        <v>nan</v>
      </c>
      <c r="L274" s="17">
        <f ca="1">IFERROR(__xludf.DUMMYFUNCTION("""COMPUTED_VALUE"""),0.974670138661711)</f>
        <v>0.97467013866171104</v>
      </c>
      <c r="M274" s="17">
        <f ca="1">IFERROR(__xludf.DUMMYFUNCTION("""COMPUTED_VALUE"""),0.976729565472001)</f>
        <v>0.97672956547200096</v>
      </c>
      <c r="N274" s="17">
        <f ca="1">IFERROR(__xludf.DUMMYFUNCTION("""COMPUTED_VALUE"""),0.909841758090947)</f>
        <v>0.90984175809094703</v>
      </c>
      <c r="O274" s="17">
        <f ca="1">IFERROR(__xludf.DUMMYFUNCTION("""COMPUTED_VALUE"""),0.899674926410389)</f>
        <v>0.89967492641038904</v>
      </c>
      <c r="P274" s="17">
        <f ca="1">IFERROR(__xludf.DUMMYFUNCTION("""COMPUTED_VALUE"""),1.03756743048344)</f>
        <v>1.0375674304834399</v>
      </c>
      <c r="Q274" s="17">
        <f ca="1">IFERROR(__xludf.DUMMYFUNCTION("""COMPUTED_VALUE"""),0.958659667344426)</f>
        <v>0.95865966734442598</v>
      </c>
      <c r="R274" s="17">
        <f ca="1">IFERROR(__xludf.DUMMYFUNCTION("""COMPUTED_VALUE"""),0.965076055923176)</f>
        <v>0.96507605592317602</v>
      </c>
      <c r="S274" s="17">
        <f ca="1">IFERROR(__xludf.DUMMYFUNCTION("""COMPUTED_VALUE"""),1.05431575487262)</f>
        <v>1.0543157548726201</v>
      </c>
      <c r="T274" s="17">
        <f ca="1">IFERROR(__xludf.DUMMYFUNCTION("""COMPUTED_VALUE"""),0.974090490286286)</f>
        <v>0.97409049028628603</v>
      </c>
      <c r="U274" s="17">
        <f ca="1">IFERROR(__xludf.DUMMYFUNCTION("""COMPUTED_VALUE"""),0.975015607094745)</f>
        <v>0.975015607094745</v>
      </c>
      <c r="V274" s="17">
        <f ca="1">IFERROR(__xludf.DUMMYFUNCTION("""COMPUTED_VALUE"""),0.898333085166689)</f>
        <v>0.89833308516668897</v>
      </c>
      <c r="W274" s="17">
        <f ca="1">IFERROR(__xludf.DUMMYFUNCTION("""COMPUTED_VALUE"""),1.03235188648995)</f>
        <v>1.0323518864899499</v>
      </c>
      <c r="X274" s="17">
        <f ca="1">IFERROR(__xludf.DUMMYFUNCTION("""COMPUTED_VALUE"""),0.92484203408588)</f>
        <v>0.92484203408587995</v>
      </c>
      <c r="Y274" s="17">
        <f ca="1">IFERROR(__xludf.DUMMYFUNCTION("""COMPUTED_VALUE"""),0.817232726825972)</f>
        <v>0.81723272682597203</v>
      </c>
      <c r="Z274" s="17">
        <f ca="1">IFERROR(__xludf.DUMMYFUNCTION("""COMPUTED_VALUE"""),0.881613815151773)</f>
        <v>0.88161381515177295</v>
      </c>
      <c r="AA274" s="17">
        <f ca="1">IFERROR(__xludf.DUMMYFUNCTION("""COMPUTED_VALUE"""),0.785664821658726)</f>
        <v>0.78566482165872598</v>
      </c>
      <c r="AB274" s="17">
        <f ca="1">IFERROR(__xludf.DUMMYFUNCTION("""COMPUTED_VALUE"""),1.0499100672278)</f>
        <v>1.0499100672277999</v>
      </c>
      <c r="AC274" s="17">
        <f ca="1">IFERROR(__xludf.DUMMYFUNCTION("""COMPUTED_VALUE"""),0.891458568744492)</f>
        <v>0.89145856874449203</v>
      </c>
      <c r="AD274" s="17">
        <f ca="1">IFERROR(__xludf.DUMMYFUNCTION("""COMPUTED_VALUE"""),0.873098141437608)</f>
        <v>0.873098141437608</v>
      </c>
      <c r="AE274" s="17">
        <f ca="1">IFERROR(__xludf.DUMMYFUNCTION("""COMPUTED_VALUE"""),1.13157498565147)</f>
        <v>1.1315749856514701</v>
      </c>
      <c r="AF274" s="17">
        <f ca="1">IFERROR(__xludf.DUMMYFUNCTION("""COMPUTED_VALUE"""),1.29200625553837)</f>
        <v>1.29200625553837</v>
      </c>
      <c r="AG274" s="17">
        <f ca="1">IFERROR(__xludf.DUMMYFUNCTION("""COMPUTED_VALUE"""),0.943679125170327)</f>
        <v>0.94367912517032704</v>
      </c>
      <c r="AH274" s="17">
        <f ca="1">IFERROR(__xludf.DUMMYFUNCTION("""COMPUTED_VALUE"""),0.970807009201388)</f>
        <v>0.97080700920138796</v>
      </c>
      <c r="AI274" s="17">
        <f ca="1">IFERROR(__xludf.DUMMYFUNCTION("""COMPUTED_VALUE"""),0.975056965747403)</f>
        <v>0.97505696574740297</v>
      </c>
      <c r="AJ274" s="17">
        <f ca="1">IFERROR(__xludf.DUMMYFUNCTION("""COMPUTED_VALUE"""),0.949468433827979)</f>
        <v>0.94946843382797896</v>
      </c>
    </row>
    <row r="275" spans="2:36" ht="15.75" customHeight="1" x14ac:dyDescent="0.45">
      <c r="B275" s="10" t="str">
        <f ca="1">IFERROR(__xludf.DUMMYFUNCTION("""COMPUTED_VALUE"""),"FaceFour")</f>
        <v>FaceFour</v>
      </c>
      <c r="C275" s="10" t="str">
        <f ca="1">IFERROR(__xludf.DUMMYFUNCTION("""COMPUTED_VALUE"""),"aligned_series")</f>
        <v>aligned_series</v>
      </c>
      <c r="D275" s="10">
        <f ca="1">IFERROR(__xludf.DUMMYFUNCTION("""COMPUTED_VALUE"""),0.6)</f>
        <v>0.6</v>
      </c>
      <c r="E275" s="17">
        <f ca="1">IFERROR(__xludf.DUMMYFUNCTION("""COMPUTED_VALUE"""),1.05171925977538)</f>
        <v>1.0517192597753799</v>
      </c>
      <c r="F275" s="17">
        <f ca="1">IFERROR(__xludf.DUMMYFUNCTION("""COMPUTED_VALUE"""),0.846920145334564)</f>
        <v>0.84692014533456395</v>
      </c>
      <c r="G275" s="17">
        <f ca="1">IFERROR(__xludf.DUMMYFUNCTION("""COMPUTED_VALUE"""),0.846274857839026)</f>
        <v>0.84627485783902601</v>
      </c>
      <c r="H275" s="17">
        <f ca="1">IFERROR(__xludf.DUMMYFUNCTION("""COMPUTED_VALUE"""),0.905711279693551)</f>
        <v>0.90571127969355103</v>
      </c>
      <c r="I275" s="17">
        <f ca="1">IFERROR(__xludf.DUMMYFUNCTION("""COMPUTED_VALUE"""),0.922758493188379)</f>
        <v>0.92275849318837899</v>
      </c>
      <c r="J275" s="17">
        <f ca="1">IFERROR(__xludf.DUMMYFUNCTION("""COMPUTED_VALUE"""),0.966042010936671)</f>
        <v>0.96604201093667097</v>
      </c>
      <c r="K275" s="17" t="str">
        <f ca="1">IFERROR(__xludf.DUMMYFUNCTION("""COMPUTED_VALUE"""),"nan")</f>
        <v>nan</v>
      </c>
      <c r="L275" s="17">
        <f ca="1">IFERROR(__xludf.DUMMYFUNCTION("""COMPUTED_VALUE"""),0.898133773352672)</f>
        <v>0.89813377335267197</v>
      </c>
      <c r="M275" s="17">
        <f ca="1">IFERROR(__xludf.DUMMYFUNCTION("""COMPUTED_VALUE"""),0.851475718516327)</f>
        <v>0.85147571851632697</v>
      </c>
      <c r="N275" s="17">
        <f ca="1">IFERROR(__xludf.DUMMYFUNCTION("""COMPUTED_VALUE"""),0.802451279837006)</f>
        <v>0.80245127983700604</v>
      </c>
      <c r="O275" s="17">
        <f ca="1">IFERROR(__xludf.DUMMYFUNCTION("""COMPUTED_VALUE"""),0.825630798985161)</f>
        <v>0.82563079898516101</v>
      </c>
      <c r="P275" s="17">
        <f ca="1">IFERROR(__xludf.DUMMYFUNCTION("""COMPUTED_VALUE"""),1.05325966229531)</f>
        <v>1.0532596622953101</v>
      </c>
      <c r="Q275" s="17">
        <f ca="1">IFERROR(__xludf.DUMMYFUNCTION("""COMPUTED_VALUE"""),0.906528398416008)</f>
        <v>0.90652839841600796</v>
      </c>
      <c r="R275" s="17">
        <f ca="1">IFERROR(__xludf.DUMMYFUNCTION("""COMPUTED_VALUE"""),0.937505629094755)</f>
        <v>0.93750562909475499</v>
      </c>
      <c r="S275" s="17">
        <f ca="1">IFERROR(__xludf.DUMMYFUNCTION("""COMPUTED_VALUE"""),1.01379193221789)</f>
        <v>1.0137919322178901</v>
      </c>
      <c r="T275" s="17">
        <f ca="1">IFERROR(__xludf.DUMMYFUNCTION("""COMPUTED_VALUE"""),0.891591940752359)</f>
        <v>0.89159194075235904</v>
      </c>
      <c r="U275" s="17">
        <f ca="1">IFERROR(__xludf.DUMMYFUNCTION("""COMPUTED_VALUE"""),0.990425990029295)</f>
        <v>0.99042599002929499</v>
      </c>
      <c r="V275" s="17">
        <f ca="1">IFERROR(__xludf.DUMMYFUNCTION("""COMPUTED_VALUE"""),0.821191484610812)</f>
        <v>0.82119148461081204</v>
      </c>
      <c r="W275" s="17">
        <f ca="1">IFERROR(__xludf.DUMMYFUNCTION("""COMPUTED_VALUE"""),0.977022297579775)</f>
        <v>0.97702229757977499</v>
      </c>
      <c r="X275" s="17">
        <f ca="1">IFERROR(__xludf.DUMMYFUNCTION("""COMPUTED_VALUE"""),0.875310053614159)</f>
        <v>0.87531005361415903</v>
      </c>
      <c r="Y275" s="17">
        <f ca="1">IFERROR(__xludf.DUMMYFUNCTION("""COMPUTED_VALUE"""),0.75406097414491)</f>
        <v>0.75406097414491002</v>
      </c>
      <c r="Z275" s="17">
        <f ca="1">IFERROR(__xludf.DUMMYFUNCTION("""COMPUTED_VALUE"""),0.896367694654391)</f>
        <v>0.89636769465439103</v>
      </c>
      <c r="AA275" s="17">
        <f ca="1">IFERROR(__xludf.DUMMYFUNCTION("""COMPUTED_VALUE"""),0.704276473343408)</f>
        <v>0.70427647334340804</v>
      </c>
      <c r="AB275" s="17">
        <f ca="1">IFERROR(__xludf.DUMMYFUNCTION("""COMPUTED_VALUE"""),0.975134513529259)</f>
        <v>0.97513451352925895</v>
      </c>
      <c r="AC275" s="17">
        <f ca="1">IFERROR(__xludf.DUMMYFUNCTION("""COMPUTED_VALUE"""),0.86807159134043)</f>
        <v>0.86807159134042999</v>
      </c>
      <c r="AD275" s="17">
        <f ca="1">IFERROR(__xludf.DUMMYFUNCTION("""COMPUTED_VALUE"""),0.850312368730077)</f>
        <v>0.85031236873007698</v>
      </c>
      <c r="AE275" s="17">
        <f ca="1">IFERROR(__xludf.DUMMYFUNCTION("""COMPUTED_VALUE"""),1.13298959212806)</f>
        <v>1.1329895921280599</v>
      </c>
      <c r="AF275" s="17">
        <f ca="1">IFERROR(__xludf.DUMMYFUNCTION("""COMPUTED_VALUE"""),1.09957649221172)</f>
        <v>1.0995764922117199</v>
      </c>
      <c r="AG275" s="17">
        <f ca="1">IFERROR(__xludf.DUMMYFUNCTION("""COMPUTED_VALUE"""),0.978372911173823)</f>
        <v>0.97837291117382297</v>
      </c>
      <c r="AH275" s="17">
        <f ca="1">IFERROR(__xludf.DUMMYFUNCTION("""COMPUTED_VALUE"""),0.947322500168389)</f>
        <v>0.94732250016838904</v>
      </c>
      <c r="AI275" s="17">
        <f ca="1">IFERROR(__xludf.DUMMYFUNCTION("""COMPUTED_VALUE"""),0.952204364451549)</f>
        <v>0.95220436445154899</v>
      </c>
      <c r="AJ275" s="17">
        <f ca="1">IFERROR(__xludf.DUMMYFUNCTION("""COMPUTED_VALUE"""),0.88484594185837)</f>
        <v>0.88484594185836996</v>
      </c>
    </row>
    <row r="276" spans="2:36" ht="15.75" customHeight="1" x14ac:dyDescent="0.45">
      <c r="B276" s="10" t="str">
        <f ca="1">IFERROR(__xludf.DUMMYFUNCTION("""COMPUTED_VALUE"""),"FaceFour")</f>
        <v>FaceFour</v>
      </c>
      <c r="C276" s="10" t="str">
        <f ca="1">IFERROR(__xludf.DUMMYFUNCTION("""COMPUTED_VALUE"""),"aligned_series")</f>
        <v>aligned_series</v>
      </c>
      <c r="D276" s="10">
        <f ca="1">IFERROR(__xludf.DUMMYFUNCTION("""COMPUTED_VALUE"""),0.8)</f>
        <v>0.8</v>
      </c>
      <c r="E276" s="17">
        <f ca="1">IFERROR(__xludf.DUMMYFUNCTION("""COMPUTED_VALUE"""),0.96135678380043)</f>
        <v>0.96135678380042999</v>
      </c>
      <c r="F276" s="17">
        <f ca="1">IFERROR(__xludf.DUMMYFUNCTION("""COMPUTED_VALUE"""),0.771694082992568)</f>
        <v>0.77169408299256803</v>
      </c>
      <c r="G276" s="17">
        <f ca="1">IFERROR(__xludf.DUMMYFUNCTION("""COMPUTED_VALUE"""),0.778866057790402)</f>
        <v>0.77886605779040197</v>
      </c>
      <c r="H276" s="17">
        <f ca="1">IFERROR(__xludf.DUMMYFUNCTION("""COMPUTED_VALUE"""),100)</f>
        <v>100</v>
      </c>
      <c r="I276" s="17">
        <f ca="1">IFERROR(__xludf.DUMMYFUNCTION("""COMPUTED_VALUE"""),0.876639126260394)</f>
        <v>0.87663912626039397</v>
      </c>
      <c r="J276" s="17">
        <f ca="1">IFERROR(__xludf.DUMMYFUNCTION("""COMPUTED_VALUE"""),0.973351729339053)</f>
        <v>0.97335172933905301</v>
      </c>
      <c r="K276" s="17" t="str">
        <f ca="1">IFERROR(__xludf.DUMMYFUNCTION("""COMPUTED_VALUE"""),"nan")</f>
        <v>nan</v>
      </c>
      <c r="L276" s="17">
        <f ca="1">IFERROR(__xludf.DUMMYFUNCTION("""COMPUTED_VALUE"""),0.889268546755694)</f>
        <v>0.889268546755694</v>
      </c>
      <c r="M276" s="17">
        <f ca="1">IFERROR(__xludf.DUMMYFUNCTION("""COMPUTED_VALUE"""),0.905043374212217)</f>
        <v>0.90504337421221703</v>
      </c>
      <c r="N276" s="17">
        <f ca="1">IFERROR(__xludf.DUMMYFUNCTION("""COMPUTED_VALUE"""),0.646131010757247)</f>
        <v>0.64613101075724699</v>
      </c>
      <c r="O276" s="17">
        <f ca="1">IFERROR(__xludf.DUMMYFUNCTION("""COMPUTED_VALUE"""),0.729894038431076)</f>
        <v>0.72989403843107603</v>
      </c>
      <c r="P276" s="17">
        <f ca="1">IFERROR(__xludf.DUMMYFUNCTION("""COMPUTED_VALUE"""),1.17911697883976)</f>
        <v>1.17911697883976</v>
      </c>
      <c r="Q276" s="17">
        <f ca="1">IFERROR(__xludf.DUMMYFUNCTION("""COMPUTED_VALUE"""),0.923825956517257)</f>
        <v>0.92382595651725696</v>
      </c>
      <c r="R276" s="17">
        <f ca="1">IFERROR(__xludf.DUMMYFUNCTION("""COMPUTED_VALUE"""),0.88559573625722)</f>
        <v>0.88559573625721999</v>
      </c>
      <c r="S276" s="17">
        <f ca="1">IFERROR(__xludf.DUMMYFUNCTION("""COMPUTED_VALUE"""),0.948410924880187)</f>
        <v>0.94841092488018697</v>
      </c>
      <c r="T276" s="17">
        <f ca="1">IFERROR(__xludf.DUMMYFUNCTION("""COMPUTED_VALUE"""),0.893353226320184)</f>
        <v>0.89335322632018399</v>
      </c>
      <c r="U276" s="17">
        <f ca="1">IFERROR(__xludf.DUMMYFUNCTION("""COMPUTED_VALUE"""),1.03650543163965)</f>
        <v>1.03650543163965</v>
      </c>
      <c r="V276" s="17">
        <f ca="1">IFERROR(__xludf.DUMMYFUNCTION("""COMPUTED_VALUE"""),0.8063297742)</f>
        <v>0.80632977419999996</v>
      </c>
      <c r="W276" s="17">
        <f ca="1">IFERROR(__xludf.DUMMYFUNCTION("""COMPUTED_VALUE"""),0.91179000675911)</f>
        <v>0.91179000675911004</v>
      </c>
      <c r="X276" s="17">
        <f ca="1">IFERROR(__xludf.DUMMYFUNCTION("""COMPUTED_VALUE"""),0.811081047875266)</f>
        <v>0.81108104787526603</v>
      </c>
      <c r="Y276" s="17">
        <f ca="1">IFERROR(__xludf.DUMMYFUNCTION("""COMPUTED_VALUE"""),0.73801315553736)</f>
        <v>0.73801315553736002</v>
      </c>
      <c r="Z276" s="17">
        <f ca="1">IFERROR(__xludf.DUMMYFUNCTION("""COMPUTED_VALUE"""),0.830863925489564)</f>
        <v>0.830863925489564</v>
      </c>
      <c r="AA276" s="17">
        <f ca="1">IFERROR(__xludf.DUMMYFUNCTION("""COMPUTED_VALUE"""),0.656715177203391)</f>
        <v>0.65671517720339101</v>
      </c>
      <c r="AB276" s="17">
        <f ca="1">IFERROR(__xludf.DUMMYFUNCTION("""COMPUTED_VALUE"""),2.12513710802358)</f>
        <v>2.1251371080235799</v>
      </c>
      <c r="AC276" s="17">
        <f ca="1">IFERROR(__xludf.DUMMYFUNCTION("""COMPUTED_VALUE"""),0.810476178487741)</f>
        <v>0.81047617848774101</v>
      </c>
      <c r="AD276" s="17">
        <f ca="1">IFERROR(__xludf.DUMMYFUNCTION("""COMPUTED_VALUE"""),0.782928931016644)</f>
        <v>0.78292893101664396</v>
      </c>
      <c r="AE276" s="17">
        <f ca="1">IFERROR(__xludf.DUMMYFUNCTION("""COMPUTED_VALUE"""),1.0462590845961)</f>
        <v>1.0462590845961</v>
      </c>
      <c r="AF276" s="17">
        <f ca="1">IFERROR(__xludf.DUMMYFUNCTION("""COMPUTED_VALUE"""),1.10999973058356)</f>
        <v>1.1099997305835601</v>
      </c>
      <c r="AG276" s="17">
        <f ca="1">IFERROR(__xludf.DUMMYFUNCTION("""COMPUTED_VALUE"""),0.901069927773051)</f>
        <v>0.90106992777305095</v>
      </c>
      <c r="AH276" s="17">
        <f ca="1">IFERROR(__xludf.DUMMYFUNCTION("""COMPUTED_VALUE"""),0.883979003016473)</f>
        <v>0.88397900301647303</v>
      </c>
      <c r="AI276" s="17">
        <f ca="1">IFERROR(__xludf.DUMMYFUNCTION("""COMPUTED_VALUE"""),0.886695080750672)</f>
        <v>0.88669508075067205</v>
      </c>
      <c r="AJ276" s="17">
        <f ca="1">IFERROR(__xludf.DUMMYFUNCTION("""COMPUTED_VALUE"""),0.845674190867303)</f>
        <v>0.845674190867303</v>
      </c>
    </row>
    <row r="277" spans="2:36" ht="15.75" customHeight="1" x14ac:dyDescent="0.45">
      <c r="B277" s="10" t="str">
        <f ca="1">IFERROR(__xludf.DUMMYFUNCTION("""COMPUTED_VALUE"""),"FaceFour")</f>
        <v>FaceFour</v>
      </c>
      <c r="C277" s="10" t="str">
        <f ca="1">IFERROR(__xludf.DUMMYFUNCTION("""COMPUTED_VALUE"""),"aligned_timestamps")</f>
        <v>aligned_timestamps</v>
      </c>
      <c r="D277" s="10">
        <f ca="1">IFERROR(__xludf.DUMMYFUNCTION("""COMPUTED_VALUE"""),0.1)</f>
        <v>0.1</v>
      </c>
      <c r="E277" s="17">
        <f ca="1">IFERROR(__xludf.DUMMYFUNCTION("""COMPUTED_VALUE"""),1.26245366897835)</f>
        <v>1.2624536689783501</v>
      </c>
      <c r="F277" s="17">
        <f ca="1">IFERROR(__xludf.DUMMYFUNCTION("""COMPUTED_VALUE"""),0.706916295149215)</f>
        <v>0.70691629514921495</v>
      </c>
      <c r="G277" s="17">
        <f ca="1">IFERROR(__xludf.DUMMYFUNCTION("""COMPUTED_VALUE"""),0.698819468941972)</f>
        <v>0.698819468941972</v>
      </c>
      <c r="H277" s="17">
        <f ca="1">IFERROR(__xludf.DUMMYFUNCTION("""COMPUTED_VALUE"""),0.9645004403696)</f>
        <v>0.96450044036960003</v>
      </c>
      <c r="I277" s="17">
        <f ca="1">IFERROR(__xludf.DUMMYFUNCTION("""COMPUTED_VALUE"""),0.937406489810785)</f>
        <v>0.937406489810785</v>
      </c>
      <c r="J277" s="17">
        <f ca="1">IFERROR(__xludf.DUMMYFUNCTION("""COMPUTED_VALUE"""),1.25948215763073)</f>
        <v>1.25948215763073</v>
      </c>
      <c r="K277" s="17" t="str">
        <f ca="1">IFERROR(__xludf.DUMMYFUNCTION("""COMPUTED_VALUE"""),"nan")</f>
        <v>nan</v>
      </c>
      <c r="L277" s="17">
        <f ca="1">IFERROR(__xludf.DUMMYFUNCTION("""COMPUTED_VALUE"""),0.99544151576031)</f>
        <v>0.99544151576031004</v>
      </c>
      <c r="M277" s="17">
        <f ca="1">IFERROR(__xludf.DUMMYFUNCTION("""COMPUTED_VALUE"""),0.752220376512135)</f>
        <v>0.75222037651213502</v>
      </c>
      <c r="N277" s="17">
        <f ca="1">IFERROR(__xludf.DUMMYFUNCTION("""COMPUTED_VALUE"""),0.980519386103848)</f>
        <v>0.98051938610384803</v>
      </c>
      <c r="O277" s="17">
        <f ca="1">IFERROR(__xludf.DUMMYFUNCTION("""COMPUTED_VALUE"""),0.590079474533259)</f>
        <v>0.59007947453325904</v>
      </c>
      <c r="P277" s="17">
        <f ca="1">IFERROR(__xludf.DUMMYFUNCTION("""COMPUTED_VALUE"""),0.992713131916672)</f>
        <v>0.99271313191667199</v>
      </c>
      <c r="Q277" s="17">
        <f ca="1">IFERROR(__xludf.DUMMYFUNCTION("""COMPUTED_VALUE"""),1.64563192090897)</f>
        <v>1.64563192090897</v>
      </c>
      <c r="R277" s="17">
        <f ca="1">IFERROR(__xludf.DUMMYFUNCTION("""COMPUTED_VALUE"""),0.959991838877813)</f>
        <v>0.95999183887781303</v>
      </c>
      <c r="S277" s="17">
        <f ca="1">IFERROR(__xludf.DUMMYFUNCTION("""COMPUTED_VALUE"""),0.790462338564904)</f>
        <v>0.790462338564904</v>
      </c>
      <c r="T277" s="17">
        <f ca="1">IFERROR(__xludf.DUMMYFUNCTION("""COMPUTED_VALUE"""),0.918634690925328)</f>
        <v>0.91863469092532801</v>
      </c>
      <c r="U277" s="17">
        <f ca="1">IFERROR(__xludf.DUMMYFUNCTION("""COMPUTED_VALUE"""),0.81471069767594)</f>
        <v>0.81471069767593995</v>
      </c>
      <c r="V277" s="17">
        <f ca="1">IFERROR(__xludf.DUMMYFUNCTION("""COMPUTED_VALUE"""),0.602440724484975)</f>
        <v>0.60244072448497499</v>
      </c>
      <c r="W277" s="17">
        <f ca="1">IFERROR(__xludf.DUMMYFUNCTION("""COMPUTED_VALUE"""),1.12067976088188)</f>
        <v>1.1206797608818799</v>
      </c>
      <c r="X277" s="17">
        <f ca="1">IFERROR(__xludf.DUMMYFUNCTION("""COMPUTED_VALUE"""),0.964908640476559)</f>
        <v>0.964908640476559</v>
      </c>
      <c r="Y277" s="17">
        <f ca="1">IFERROR(__xludf.DUMMYFUNCTION("""COMPUTED_VALUE"""),0.60312761362162)</f>
        <v>0.60312761362162004</v>
      </c>
      <c r="Z277" s="17">
        <f ca="1">IFERROR(__xludf.DUMMYFUNCTION("""COMPUTED_VALUE"""),0.777307850601174)</f>
        <v>0.77730785060117402</v>
      </c>
      <c r="AA277" s="17">
        <f ca="1">IFERROR(__xludf.DUMMYFUNCTION("""COMPUTED_VALUE"""),0.697237266811357)</f>
        <v>0.697237266811357</v>
      </c>
      <c r="AB277" s="17">
        <f ca="1">IFERROR(__xludf.DUMMYFUNCTION("""COMPUTED_VALUE"""),0.995972110243476)</f>
        <v>0.99597211024347598</v>
      </c>
      <c r="AC277" s="17">
        <f ca="1">IFERROR(__xludf.DUMMYFUNCTION("""COMPUTED_VALUE"""),0.885028629777037)</f>
        <v>0.885028629777037</v>
      </c>
      <c r="AD277" s="17">
        <f ca="1">IFERROR(__xludf.DUMMYFUNCTION("""COMPUTED_VALUE"""),0.922601618405504)</f>
        <v>0.92260161840550403</v>
      </c>
      <c r="AE277" s="17">
        <f ca="1">IFERROR(__xludf.DUMMYFUNCTION("""COMPUTED_VALUE"""),1.19840680161911)</f>
        <v>1.1984068016191101</v>
      </c>
      <c r="AF277" s="17">
        <f ca="1">IFERROR(__xludf.DUMMYFUNCTION("""COMPUTED_VALUE"""),1.09246786397009)</f>
        <v>1.09246786397009</v>
      </c>
      <c r="AG277" s="17">
        <f ca="1">IFERROR(__xludf.DUMMYFUNCTION("""COMPUTED_VALUE"""),1.09765943895654)</f>
        <v>1.0976594389565399</v>
      </c>
      <c r="AH277" s="17">
        <f ca="1">IFERROR(__xludf.DUMMYFUNCTION("""COMPUTED_VALUE"""),1.01996233807664)</f>
        <v>1.0199623380766401</v>
      </c>
      <c r="AI277" s="17">
        <f ca="1">IFERROR(__xludf.DUMMYFUNCTION("""COMPUTED_VALUE"""),0.998263811429748)</f>
        <v>0.99826381142974796</v>
      </c>
      <c r="AJ277" s="17">
        <f ca="1">IFERROR(__xludf.DUMMYFUNCTION("""COMPUTED_VALUE"""),0.92170888150589)</f>
        <v>0.92170888150589003</v>
      </c>
    </row>
    <row r="278" spans="2:36" ht="15.75" customHeight="1" x14ac:dyDescent="0.45">
      <c r="B278" s="10" t="str">
        <f ca="1">IFERROR(__xludf.DUMMYFUNCTION("""COMPUTED_VALUE"""),"FaceFour")</f>
        <v>FaceFour</v>
      </c>
      <c r="C278" s="10" t="str">
        <f ca="1">IFERROR(__xludf.DUMMYFUNCTION("""COMPUTED_VALUE"""),"aligned_timestamps")</f>
        <v>aligned_timestamps</v>
      </c>
      <c r="D278" s="10">
        <f ca="1">IFERROR(__xludf.DUMMYFUNCTION("""COMPUTED_VALUE"""),0.2)</f>
        <v>0.2</v>
      </c>
      <c r="E278" s="17">
        <f ca="1">IFERROR(__xludf.DUMMYFUNCTION("""COMPUTED_VALUE"""),1.12077905133059)</f>
        <v>1.12077905133059</v>
      </c>
      <c r="F278" s="17">
        <f ca="1">IFERROR(__xludf.DUMMYFUNCTION("""COMPUTED_VALUE"""),0.704852317131172)</f>
        <v>0.70485231713117202</v>
      </c>
      <c r="G278" s="17">
        <f ca="1">IFERROR(__xludf.DUMMYFUNCTION("""COMPUTED_VALUE"""),0.699056854202821)</f>
        <v>0.69905685420282104</v>
      </c>
      <c r="H278" s="17">
        <f ca="1">IFERROR(__xludf.DUMMYFUNCTION("""COMPUTED_VALUE"""),0.883907013870157)</f>
        <v>0.88390701387015702</v>
      </c>
      <c r="I278" s="17">
        <f ca="1">IFERROR(__xludf.DUMMYFUNCTION("""COMPUTED_VALUE"""),0.858345193981133)</f>
        <v>0.85834519398113296</v>
      </c>
      <c r="J278" s="17">
        <f ca="1">IFERROR(__xludf.DUMMYFUNCTION("""COMPUTED_VALUE"""),1.07413533397546)</f>
        <v>1.07413533397546</v>
      </c>
      <c r="K278" s="17" t="str">
        <f ca="1">IFERROR(__xludf.DUMMYFUNCTION("""COMPUTED_VALUE"""),"nan")</f>
        <v>nan</v>
      </c>
      <c r="L278" s="17">
        <f ca="1">IFERROR(__xludf.DUMMYFUNCTION("""COMPUTED_VALUE"""),0.934778682893272)</f>
        <v>0.93477868289327204</v>
      </c>
      <c r="M278" s="17">
        <f ca="1">IFERROR(__xludf.DUMMYFUNCTION("""COMPUTED_VALUE"""),0.737746610837682)</f>
        <v>0.737746610837682</v>
      </c>
      <c r="N278" s="17">
        <f ca="1">IFERROR(__xludf.DUMMYFUNCTION("""COMPUTED_VALUE"""),0.871520777517324)</f>
        <v>0.87152077751732404</v>
      </c>
      <c r="O278" s="17">
        <f ca="1">IFERROR(__xludf.DUMMYFUNCTION("""COMPUTED_VALUE"""),0.771796384760484)</f>
        <v>0.77179638476048396</v>
      </c>
      <c r="P278" s="17">
        <f ca="1">IFERROR(__xludf.DUMMYFUNCTION("""COMPUTED_VALUE"""),0.964497516886671)</f>
        <v>0.96449751688667096</v>
      </c>
      <c r="Q278" s="17">
        <f ca="1">IFERROR(__xludf.DUMMYFUNCTION("""COMPUTED_VALUE"""),1.29584731210005)</f>
        <v>1.29584731210005</v>
      </c>
      <c r="R278" s="17">
        <f ca="1">IFERROR(__xludf.DUMMYFUNCTION("""COMPUTED_VALUE"""),0.848379103315656)</f>
        <v>0.84837910331565602</v>
      </c>
      <c r="S278" s="17">
        <f ca="1">IFERROR(__xludf.DUMMYFUNCTION("""COMPUTED_VALUE"""),0.792797335313673)</f>
        <v>0.79279733531367302</v>
      </c>
      <c r="T278" s="17">
        <f ca="1">IFERROR(__xludf.DUMMYFUNCTION("""COMPUTED_VALUE"""),0.843931682583951)</f>
        <v>0.84393168258395101</v>
      </c>
      <c r="U278" s="17">
        <f ca="1">IFERROR(__xludf.DUMMYFUNCTION("""COMPUTED_VALUE"""),0.788563820205045)</f>
        <v>0.78856382020504501</v>
      </c>
      <c r="V278" s="17">
        <f ca="1">IFERROR(__xludf.DUMMYFUNCTION("""COMPUTED_VALUE"""),0.655041793373819)</f>
        <v>0.65504179337381896</v>
      </c>
      <c r="W278" s="17">
        <f ca="1">IFERROR(__xludf.DUMMYFUNCTION("""COMPUTED_VALUE"""),0.993214686950534)</f>
        <v>0.99321468695053405</v>
      </c>
      <c r="X278" s="17">
        <f ca="1">IFERROR(__xludf.DUMMYFUNCTION("""COMPUTED_VALUE"""),0.889188878644288)</f>
        <v>0.88918887864428797</v>
      </c>
      <c r="Y278" s="17">
        <f ca="1">IFERROR(__xludf.DUMMYFUNCTION("""COMPUTED_VALUE"""),0.642723290091022)</f>
        <v>0.64272329009102203</v>
      </c>
      <c r="Z278" s="17">
        <f ca="1">IFERROR(__xludf.DUMMYFUNCTION("""COMPUTED_VALUE"""),0.809263019053511)</f>
        <v>0.80926301905351095</v>
      </c>
      <c r="AA278" s="17">
        <f ca="1">IFERROR(__xludf.DUMMYFUNCTION("""COMPUTED_VALUE"""),0.795710125598521)</f>
        <v>0.79571012559852095</v>
      </c>
      <c r="AB278" s="17">
        <f ca="1">IFERROR(__xludf.DUMMYFUNCTION("""COMPUTED_VALUE"""),1.015900295041)</f>
        <v>1.0159002950410001</v>
      </c>
      <c r="AC278" s="17">
        <f ca="1">IFERROR(__xludf.DUMMYFUNCTION("""COMPUTED_VALUE"""),0.894928624984696)</f>
        <v>0.89492862498469605</v>
      </c>
      <c r="AD278" s="17">
        <f ca="1">IFERROR(__xludf.DUMMYFUNCTION("""COMPUTED_VALUE"""),0.805972141161506)</f>
        <v>0.80597214116150595</v>
      </c>
      <c r="AE278" s="17">
        <f ca="1">IFERROR(__xludf.DUMMYFUNCTION("""COMPUTED_VALUE"""),1.16553454231269)</f>
        <v>1.1655345423126899</v>
      </c>
      <c r="AF278" s="17">
        <f ca="1">IFERROR(__xludf.DUMMYFUNCTION("""COMPUTED_VALUE"""),1.1409199032073)</f>
        <v>1.1409199032073001</v>
      </c>
      <c r="AG278" s="17">
        <f ca="1">IFERROR(__xludf.DUMMYFUNCTION("""COMPUTED_VALUE"""),0.988613028918132)</f>
        <v>0.98861302891813196</v>
      </c>
      <c r="AH278" s="17">
        <f ca="1">IFERROR(__xludf.DUMMYFUNCTION("""COMPUTED_VALUE"""),0.999926497154313)</f>
        <v>0.99992649715431303</v>
      </c>
      <c r="AI278" s="17">
        <f ca="1">IFERROR(__xludf.DUMMYFUNCTION("""COMPUTED_VALUE"""),1.00536935325958)</f>
        <v>1.00536935325958</v>
      </c>
      <c r="AJ278" s="17">
        <f ca="1">IFERROR(__xludf.DUMMYFUNCTION("""COMPUTED_VALUE"""),0.837246330393211)</f>
        <v>0.83724633039321095</v>
      </c>
    </row>
    <row r="279" spans="2:36" ht="15.75" customHeight="1" x14ac:dyDescent="0.45">
      <c r="B279" s="10" t="str">
        <f ca="1">IFERROR(__xludf.DUMMYFUNCTION("""COMPUTED_VALUE"""),"FaceFour")</f>
        <v>FaceFour</v>
      </c>
      <c r="C279" s="10" t="str">
        <f ca="1">IFERROR(__xludf.DUMMYFUNCTION("""COMPUTED_VALUE"""),"aligned_timestamps")</f>
        <v>aligned_timestamps</v>
      </c>
      <c r="D279" s="10">
        <f ca="1">IFERROR(__xludf.DUMMYFUNCTION("""COMPUTED_VALUE"""),0.4)</f>
        <v>0.4</v>
      </c>
      <c r="E279" s="17">
        <f ca="1">IFERROR(__xludf.DUMMYFUNCTION("""COMPUTED_VALUE"""),0.850109157767439)</f>
        <v>0.85010915776743901</v>
      </c>
      <c r="F279" s="17">
        <f ca="1">IFERROR(__xludf.DUMMYFUNCTION("""COMPUTED_VALUE"""),0.535609390117262)</f>
        <v>0.53560939011726205</v>
      </c>
      <c r="G279" s="17">
        <f ca="1">IFERROR(__xludf.DUMMYFUNCTION("""COMPUTED_VALUE"""),0.533206478136508)</f>
        <v>0.53320647813650801</v>
      </c>
      <c r="H279" s="17">
        <f ca="1">IFERROR(__xludf.DUMMYFUNCTION("""COMPUTED_VALUE"""),0.679172005202425)</f>
        <v>0.67917200520242504</v>
      </c>
      <c r="I279" s="17">
        <f ca="1">IFERROR(__xludf.DUMMYFUNCTION("""COMPUTED_VALUE"""),0.642428467169911)</f>
        <v>0.64242846716991098</v>
      </c>
      <c r="J279" s="17">
        <f ca="1">IFERROR(__xludf.DUMMYFUNCTION("""COMPUTED_VALUE"""),0.853049459841327)</f>
        <v>0.85304945984132696</v>
      </c>
      <c r="K279" s="17" t="str">
        <f ca="1">IFERROR(__xludf.DUMMYFUNCTION("""COMPUTED_VALUE"""),"nan")</f>
        <v>nan</v>
      </c>
      <c r="L279" s="17">
        <f ca="1">IFERROR(__xludf.DUMMYFUNCTION("""COMPUTED_VALUE"""),0.649958122648781)</f>
        <v>0.64995812264878094</v>
      </c>
      <c r="M279" s="17">
        <f ca="1">IFERROR(__xludf.DUMMYFUNCTION("""COMPUTED_VALUE"""),0.567587705928143)</f>
        <v>0.567587705928143</v>
      </c>
      <c r="N279" s="17">
        <f ca="1">IFERROR(__xludf.DUMMYFUNCTION("""COMPUTED_VALUE"""),0.649449158775372)</f>
        <v>0.64944915877537202</v>
      </c>
      <c r="O279" s="17">
        <f ca="1">IFERROR(__xludf.DUMMYFUNCTION("""COMPUTED_VALUE"""),0.576209578228519)</f>
        <v>0.57620957822851904</v>
      </c>
      <c r="P279" s="17">
        <f ca="1">IFERROR(__xludf.DUMMYFUNCTION("""COMPUTED_VALUE"""),0.734699667278456)</f>
        <v>0.73469966727845604</v>
      </c>
      <c r="Q279" s="17">
        <f ca="1">IFERROR(__xludf.DUMMYFUNCTION("""COMPUTED_VALUE"""),0.963442866653044)</f>
        <v>0.96344286665304402</v>
      </c>
      <c r="R279" s="17">
        <f ca="1">IFERROR(__xludf.DUMMYFUNCTION("""COMPUTED_VALUE"""),0.680079926029667)</f>
        <v>0.68007992602966705</v>
      </c>
      <c r="S279" s="17">
        <f ca="1">IFERROR(__xludf.DUMMYFUNCTION("""COMPUTED_VALUE"""),0.596015341541545)</f>
        <v>0.59601534154154501</v>
      </c>
      <c r="T279" s="17">
        <f ca="1">IFERROR(__xludf.DUMMYFUNCTION("""COMPUTED_VALUE"""),0.840465429626922)</f>
        <v>0.84046542962692194</v>
      </c>
      <c r="U279" s="17">
        <f ca="1">IFERROR(__xludf.DUMMYFUNCTION("""COMPUTED_VALUE"""),0.631973668521142)</f>
        <v>0.63197366852114201</v>
      </c>
      <c r="V279" s="17">
        <f ca="1">IFERROR(__xludf.DUMMYFUNCTION("""COMPUTED_VALUE"""),0.491507778580731)</f>
        <v>0.49150777858073103</v>
      </c>
      <c r="W279" s="17">
        <f ca="1">IFERROR(__xludf.DUMMYFUNCTION("""COMPUTED_VALUE"""),0.742263843583854)</f>
        <v>0.742263843583854</v>
      </c>
      <c r="X279" s="17">
        <f ca="1">IFERROR(__xludf.DUMMYFUNCTION("""COMPUTED_VALUE"""),0.73823803359074)</f>
        <v>0.73823803359074003</v>
      </c>
      <c r="Y279" s="17">
        <f ca="1">IFERROR(__xludf.DUMMYFUNCTION("""COMPUTED_VALUE"""),0.486174986106434)</f>
        <v>0.486174986106434</v>
      </c>
      <c r="Z279" s="17">
        <f ca="1">IFERROR(__xludf.DUMMYFUNCTION("""COMPUTED_VALUE"""),0.671781149080223)</f>
        <v>0.67178114908022302</v>
      </c>
      <c r="AA279" s="17">
        <f ca="1">IFERROR(__xludf.DUMMYFUNCTION("""COMPUTED_VALUE"""),0.627030507360145)</f>
        <v>0.62703050736014498</v>
      </c>
      <c r="AB279" s="17">
        <f ca="1">IFERROR(__xludf.DUMMYFUNCTION("""COMPUTED_VALUE"""),0.849672463918722)</f>
        <v>0.84967246391872198</v>
      </c>
      <c r="AC279" s="17">
        <f ca="1">IFERROR(__xludf.DUMMYFUNCTION("""COMPUTED_VALUE"""),0.708783945671159)</f>
        <v>0.70878394567115899</v>
      </c>
      <c r="AD279" s="17">
        <f ca="1">IFERROR(__xludf.DUMMYFUNCTION("""COMPUTED_VALUE"""),0.600711501559998)</f>
        <v>0.60071150155999797</v>
      </c>
      <c r="AE279" s="17">
        <f ca="1">IFERROR(__xludf.DUMMYFUNCTION("""COMPUTED_VALUE"""),1.1029801632407)</f>
        <v>1.1029801632406999</v>
      </c>
      <c r="AF279" s="17">
        <f ca="1">IFERROR(__xludf.DUMMYFUNCTION("""COMPUTED_VALUE"""),0.674810965331791)</f>
        <v>0.67481096533179097</v>
      </c>
      <c r="AG279" s="17">
        <f ca="1">IFERROR(__xludf.DUMMYFUNCTION("""COMPUTED_VALUE"""),0.808322816536652)</f>
        <v>0.80832281653665194</v>
      </c>
      <c r="AH279" s="17">
        <f ca="1">IFERROR(__xludf.DUMMYFUNCTION("""COMPUTED_VALUE"""),0.788923179130757)</f>
        <v>0.78892317913075705</v>
      </c>
      <c r="AI279" s="17">
        <f ca="1">IFERROR(__xludf.DUMMYFUNCTION("""COMPUTED_VALUE"""),0.789258832444251)</f>
        <v>0.78925883244425099</v>
      </c>
      <c r="AJ279" s="17">
        <f ca="1">IFERROR(__xludf.DUMMYFUNCTION("""COMPUTED_VALUE"""),0.698730304013201)</f>
        <v>0.69873030401320102</v>
      </c>
    </row>
    <row r="280" spans="2:36" ht="15.75" customHeight="1" x14ac:dyDescent="0.45">
      <c r="B280" s="10" t="str">
        <f ca="1">IFERROR(__xludf.DUMMYFUNCTION("""COMPUTED_VALUE"""),"FaceFour")</f>
        <v>FaceFour</v>
      </c>
      <c r="C280" s="10" t="str">
        <f ca="1">IFERROR(__xludf.DUMMYFUNCTION("""COMPUTED_VALUE"""),"aligned_timestamps")</f>
        <v>aligned_timestamps</v>
      </c>
      <c r="D280" s="10">
        <f ca="1">IFERROR(__xludf.DUMMYFUNCTION("""COMPUTED_VALUE"""),0.6)</f>
        <v>0.6</v>
      </c>
      <c r="E280" s="17">
        <f ca="1">IFERROR(__xludf.DUMMYFUNCTION("""COMPUTED_VALUE"""),0.746963631454416)</f>
        <v>0.74696363145441602</v>
      </c>
      <c r="F280" s="17">
        <f ca="1">IFERROR(__xludf.DUMMYFUNCTION("""COMPUTED_VALUE"""),0.466054515133203)</f>
        <v>0.46605451513320301</v>
      </c>
      <c r="G280" s="17">
        <f ca="1">IFERROR(__xludf.DUMMYFUNCTION("""COMPUTED_VALUE"""),0.46425224120258)</f>
        <v>0.46425224120258002</v>
      </c>
      <c r="H280" s="17">
        <f ca="1">IFERROR(__xludf.DUMMYFUNCTION("""COMPUTED_VALUE"""),0.611504561239231)</f>
        <v>0.61150456123923103</v>
      </c>
      <c r="I280" s="17">
        <f ca="1">IFERROR(__xludf.DUMMYFUNCTION("""COMPUTED_VALUE"""),0.564481387823127)</f>
        <v>0.56448138782312696</v>
      </c>
      <c r="J280" s="17">
        <f ca="1">IFERROR(__xludf.DUMMYFUNCTION("""COMPUTED_VALUE"""),0.808579235270697)</f>
        <v>0.80857923527069697</v>
      </c>
      <c r="K280" s="17" t="str">
        <f ca="1">IFERROR(__xludf.DUMMYFUNCTION("""COMPUTED_VALUE"""),"nan")</f>
        <v>nan</v>
      </c>
      <c r="L280" s="17">
        <f ca="1">IFERROR(__xludf.DUMMYFUNCTION("""COMPUTED_VALUE"""),0.69229458048417)</f>
        <v>0.69229458048417003</v>
      </c>
      <c r="M280" s="17">
        <f ca="1">IFERROR(__xludf.DUMMYFUNCTION("""COMPUTED_VALUE"""),0.514808928724196)</f>
        <v>0.51480892872419604</v>
      </c>
      <c r="N280" s="17">
        <f ca="1">IFERROR(__xludf.DUMMYFUNCTION("""COMPUTED_VALUE"""),0.558979841121138)</f>
        <v>0.55897984112113797</v>
      </c>
      <c r="O280" s="17">
        <f ca="1">IFERROR(__xludf.DUMMYFUNCTION("""COMPUTED_VALUE"""),0.502736759455234)</f>
        <v>0.50273675945523399</v>
      </c>
      <c r="P280" s="17">
        <f ca="1">IFERROR(__xludf.DUMMYFUNCTION("""COMPUTED_VALUE"""),0.725028191278714)</f>
        <v>0.72502819127871398</v>
      </c>
      <c r="Q280" s="17">
        <f ca="1">IFERROR(__xludf.DUMMYFUNCTION("""COMPUTED_VALUE"""),0.824421908755112)</f>
        <v>0.82442190875511201</v>
      </c>
      <c r="R280" s="17">
        <f ca="1">IFERROR(__xludf.DUMMYFUNCTION("""COMPUTED_VALUE"""),0.584839779301892)</f>
        <v>0.58483977930189202</v>
      </c>
      <c r="S280" s="17">
        <f ca="1">IFERROR(__xludf.DUMMYFUNCTION("""COMPUTED_VALUE"""),0.645824717004089)</f>
        <v>0.64582471700408906</v>
      </c>
      <c r="T280" s="17">
        <f ca="1">IFERROR(__xludf.DUMMYFUNCTION("""COMPUTED_VALUE"""),0.553245904345526)</f>
        <v>0.55324590434552601</v>
      </c>
      <c r="U280" s="17">
        <f ca="1">IFERROR(__xludf.DUMMYFUNCTION("""COMPUTED_VALUE"""),0.696967392652225)</f>
        <v>0.69696739265222496</v>
      </c>
      <c r="V280" s="17">
        <f ca="1">IFERROR(__xludf.DUMMYFUNCTION("""COMPUTED_VALUE"""),0.551992916157853)</f>
        <v>0.55199291615785295</v>
      </c>
      <c r="W280" s="17">
        <f ca="1">IFERROR(__xludf.DUMMYFUNCTION("""COMPUTED_VALUE"""),0.592082563303325)</f>
        <v>0.59208256330332498</v>
      </c>
      <c r="X280" s="17">
        <f ca="1">IFERROR(__xludf.DUMMYFUNCTION("""COMPUTED_VALUE"""),0.526855414776116)</f>
        <v>0.52685541477611597</v>
      </c>
      <c r="Y280" s="17">
        <f ca="1">IFERROR(__xludf.DUMMYFUNCTION("""COMPUTED_VALUE"""),0.534029227200676)</f>
        <v>0.53402922720067603</v>
      </c>
      <c r="Z280" s="17">
        <f ca="1">IFERROR(__xludf.DUMMYFUNCTION("""COMPUTED_VALUE"""),0.632746415257744)</f>
        <v>0.632746415257744</v>
      </c>
      <c r="AA280" s="17">
        <f ca="1">IFERROR(__xludf.DUMMYFUNCTION("""COMPUTED_VALUE"""),0.591546986861624)</f>
        <v>0.59154698686162399</v>
      </c>
      <c r="AB280" s="17">
        <f ca="1">IFERROR(__xludf.DUMMYFUNCTION("""COMPUTED_VALUE"""),0.679488955726301)</f>
        <v>0.67948895572630097</v>
      </c>
      <c r="AC280" s="17">
        <f ca="1">IFERROR(__xludf.DUMMYFUNCTION("""COMPUTED_VALUE"""),0.622348830176303)</f>
        <v>0.62234883017630305</v>
      </c>
      <c r="AD280" s="17">
        <f ca="1">IFERROR(__xludf.DUMMYFUNCTION("""COMPUTED_VALUE"""),0.739640300123343)</f>
        <v>0.73964030012334303</v>
      </c>
      <c r="AE280" s="17">
        <f ca="1">IFERROR(__xludf.DUMMYFUNCTION("""COMPUTED_VALUE"""),0.955376284896132)</f>
        <v>0.95537628489613202</v>
      </c>
      <c r="AF280" s="17">
        <f ca="1">IFERROR(__xludf.DUMMYFUNCTION("""COMPUTED_VALUE"""),0.57493870107384)</f>
        <v>0.57493870107384004</v>
      </c>
      <c r="AG280" s="17">
        <f ca="1">IFERROR(__xludf.DUMMYFUNCTION("""COMPUTED_VALUE"""),0.720063275595411)</f>
        <v>0.72006327559541095</v>
      </c>
      <c r="AH280" s="17">
        <f ca="1">IFERROR(__xludf.DUMMYFUNCTION("""COMPUTED_VALUE"""),0.726544656539434)</f>
        <v>0.72654465653943401</v>
      </c>
      <c r="AI280" s="17">
        <f ca="1">IFERROR(__xludf.DUMMYFUNCTION("""COMPUTED_VALUE"""),0.733906053927603)</f>
        <v>0.733906053927603</v>
      </c>
      <c r="AJ280" s="17">
        <f ca="1">IFERROR(__xludf.DUMMYFUNCTION("""COMPUTED_VALUE"""),0.901778660143753)</f>
        <v>0.90177866014375296</v>
      </c>
    </row>
    <row r="281" spans="2:36" ht="15.75" customHeight="1" x14ac:dyDescent="0.45">
      <c r="B281" s="10" t="str">
        <f ca="1">IFERROR(__xludf.DUMMYFUNCTION("""COMPUTED_VALUE"""),"FaceFour")</f>
        <v>FaceFour</v>
      </c>
      <c r="C281" s="10" t="str">
        <f ca="1">IFERROR(__xludf.DUMMYFUNCTION("""COMPUTED_VALUE"""),"aligned_timestamps")</f>
        <v>aligned_timestamps</v>
      </c>
      <c r="D281" s="10">
        <f ca="1">IFERROR(__xludf.DUMMYFUNCTION("""COMPUTED_VALUE"""),0.8)</f>
        <v>0.8</v>
      </c>
      <c r="E281" s="17">
        <f ca="1">IFERROR(__xludf.DUMMYFUNCTION("""COMPUTED_VALUE"""),0.906201866336722)</f>
        <v>0.90620186633672195</v>
      </c>
      <c r="F281" s="17">
        <f ca="1">IFERROR(__xludf.DUMMYFUNCTION("""COMPUTED_VALUE"""),0.850908585047456)</f>
        <v>0.85090858504745603</v>
      </c>
      <c r="G281" s="17">
        <f ca="1">IFERROR(__xludf.DUMMYFUNCTION("""COMPUTED_VALUE"""),0.926334693150137)</f>
        <v>0.92633469315013695</v>
      </c>
      <c r="H281" s="17">
        <f ca="1">IFERROR(__xludf.DUMMYFUNCTION("""COMPUTED_VALUE"""),0.927525740284475)</f>
        <v>0.92752574028447499</v>
      </c>
      <c r="I281" s="17">
        <f ca="1">IFERROR(__xludf.DUMMYFUNCTION("""COMPUTED_VALUE"""),0.782905340085607)</f>
        <v>0.78290534008560697</v>
      </c>
      <c r="J281" s="17">
        <f ca="1">IFERROR(__xludf.DUMMYFUNCTION("""COMPUTED_VALUE"""),1.1337832862936)</f>
        <v>1.1337832862935999</v>
      </c>
      <c r="K281" s="17" t="str">
        <f ca="1">IFERROR(__xludf.DUMMYFUNCTION("""COMPUTED_VALUE"""),"nan")</f>
        <v>nan</v>
      </c>
      <c r="L281" s="17">
        <f ca="1">IFERROR(__xludf.DUMMYFUNCTION("""COMPUTED_VALUE"""),0.829895915118001)</f>
        <v>0.82989591511800098</v>
      </c>
      <c r="M281" s="17">
        <f ca="1">IFERROR(__xludf.DUMMYFUNCTION("""COMPUTED_VALUE"""),0.970617784759097)</f>
        <v>0.97061778475909699</v>
      </c>
      <c r="N281" s="17">
        <f ca="1">IFERROR(__xludf.DUMMYFUNCTION("""COMPUTED_VALUE"""),0.736609689229555)</f>
        <v>0.73660968922955505</v>
      </c>
      <c r="O281" s="17">
        <f ca="1">IFERROR(__xludf.DUMMYFUNCTION("""COMPUTED_VALUE"""),0.911916910216686)</f>
        <v>0.91191691021668597</v>
      </c>
      <c r="P281" s="17">
        <f ca="1">IFERROR(__xludf.DUMMYFUNCTION("""COMPUTED_VALUE"""),0.871515994709498)</f>
        <v>0.87151599470949803</v>
      </c>
      <c r="Q281" s="17">
        <f ca="1">IFERROR(__xludf.DUMMYFUNCTION("""COMPUTED_VALUE"""),0.91857631805709)</f>
        <v>0.91857631805708995</v>
      </c>
      <c r="R281" s="17">
        <f ca="1">IFERROR(__xludf.DUMMYFUNCTION("""COMPUTED_VALUE"""),0.932183354872886)</f>
        <v>0.93218335487288595</v>
      </c>
      <c r="S281" s="17">
        <f ca="1">IFERROR(__xludf.DUMMYFUNCTION("""COMPUTED_VALUE"""),0.892845777141877)</f>
        <v>0.89284577714187696</v>
      </c>
      <c r="T281" s="17">
        <f ca="1">IFERROR(__xludf.DUMMYFUNCTION("""COMPUTED_VALUE"""),0.875431517302577)</f>
        <v>0.87543151730257696</v>
      </c>
      <c r="U281" s="17">
        <f ca="1">IFERROR(__xludf.DUMMYFUNCTION("""COMPUTED_VALUE"""),1.2416320467614)</f>
        <v>1.2416320467613999</v>
      </c>
      <c r="V281" s="17">
        <f ca="1">IFERROR(__xludf.DUMMYFUNCTION("""COMPUTED_VALUE"""),0.964435958878568)</f>
        <v>0.96443595887856803</v>
      </c>
      <c r="W281" s="17">
        <f ca="1">IFERROR(__xludf.DUMMYFUNCTION("""COMPUTED_VALUE"""),0.803822247410154)</f>
        <v>0.80382224741015396</v>
      </c>
      <c r="X281" s="17">
        <f ca="1">IFERROR(__xludf.DUMMYFUNCTION("""COMPUTED_VALUE"""),0.854108940132038)</f>
        <v>0.85410894013203797</v>
      </c>
      <c r="Y281" s="17">
        <f ca="1">IFERROR(__xludf.DUMMYFUNCTION("""COMPUTED_VALUE"""),0.781418207119138)</f>
        <v>0.78141820711913801</v>
      </c>
      <c r="Z281" s="17">
        <f ca="1">IFERROR(__xludf.DUMMYFUNCTION("""COMPUTED_VALUE"""),0.847233930064674)</f>
        <v>0.84723393006467396</v>
      </c>
      <c r="AA281" s="17">
        <f ca="1">IFERROR(__xludf.DUMMYFUNCTION("""COMPUTED_VALUE"""),1.10028921252752)</f>
        <v>1.1002892125275201</v>
      </c>
      <c r="AB281" s="17">
        <f ca="1">IFERROR(__xludf.DUMMYFUNCTION("""COMPUTED_VALUE"""),0.925308443953693)</f>
        <v>0.92530844395369305</v>
      </c>
      <c r="AC281" s="17">
        <f ca="1">IFERROR(__xludf.DUMMYFUNCTION("""COMPUTED_VALUE"""),0.797403874733599)</f>
        <v>0.79740387473359897</v>
      </c>
      <c r="AD281" s="17">
        <f ca="1">IFERROR(__xludf.DUMMYFUNCTION("""COMPUTED_VALUE"""),0.942012542276358)</f>
        <v>0.942012542276358</v>
      </c>
      <c r="AE281" s="17" t="str">
        <f ca="1">IFERROR(__xludf.DUMMYFUNCTION("""COMPUTED_VALUE"""),"nan")</f>
        <v>nan</v>
      </c>
      <c r="AF281" s="17">
        <f ca="1">IFERROR(__xludf.DUMMYFUNCTION("""COMPUTED_VALUE"""),0.913646171945629)</f>
        <v>0.91364617194562903</v>
      </c>
      <c r="AG281" s="17">
        <f ca="1">IFERROR(__xludf.DUMMYFUNCTION("""COMPUTED_VALUE"""),1.00970098984174)</f>
        <v>1.0097009898417399</v>
      </c>
      <c r="AH281" s="17">
        <f ca="1">IFERROR(__xludf.DUMMYFUNCTION("""COMPUTED_VALUE"""),0.909627758139445)</f>
        <v>0.90962775813944496</v>
      </c>
      <c r="AI281" s="17">
        <f ca="1">IFERROR(__xludf.DUMMYFUNCTION("""COMPUTED_VALUE"""),0.925043949369901)</f>
        <v>0.92504394936990098</v>
      </c>
      <c r="AJ281" s="17">
        <f ca="1">IFERROR(__xludf.DUMMYFUNCTION("""COMPUTED_VALUE"""),1.0157579213931)</f>
        <v>1.0157579213931001</v>
      </c>
    </row>
    <row r="282" spans="2:36" ht="15.75" customHeight="1" x14ac:dyDescent="0.45">
      <c r="B282" s="10" t="str">
        <f ca="1">IFERROR(__xludf.DUMMYFUNCTION("""COMPUTED_VALUE"""),"FaceFour")</f>
        <v>FaceFour</v>
      </c>
      <c r="C282" s="10" t="str">
        <f ca="1">IFERROR(__xludf.DUMMYFUNCTION("""COMPUTED_VALUE"""),"mcar")</f>
        <v>mcar</v>
      </c>
      <c r="D282" s="10">
        <f ca="1">IFERROR(__xludf.DUMMYFUNCTION("""COMPUTED_VALUE"""),0.1)</f>
        <v>0.1</v>
      </c>
      <c r="E282" s="17">
        <f ca="1">IFERROR(__xludf.DUMMYFUNCTION("""COMPUTED_VALUE"""),1.16735597258612)</f>
        <v>1.16735597258612</v>
      </c>
      <c r="F282" s="17">
        <f ca="1">IFERROR(__xludf.DUMMYFUNCTION("""COMPUTED_VALUE"""),1.03647186380731)</f>
        <v>1.03647186380731</v>
      </c>
      <c r="G282" s="17">
        <f ca="1">IFERROR(__xludf.DUMMYFUNCTION("""COMPUTED_VALUE"""),1.06309272685798)</f>
        <v>1.06309272685798</v>
      </c>
      <c r="H282" s="17">
        <f ca="1">IFERROR(__xludf.DUMMYFUNCTION("""COMPUTED_VALUE"""),1.29803278486651)</f>
        <v>1.2980327848665101</v>
      </c>
      <c r="I282" s="17">
        <f ca="1">IFERROR(__xludf.DUMMYFUNCTION("""COMPUTED_VALUE"""),0.927810918592431)</f>
        <v>0.92781091859243103</v>
      </c>
      <c r="J282" s="17">
        <f ca="1">IFERROR(__xludf.DUMMYFUNCTION("""COMPUTED_VALUE"""),1.0519434658369)</f>
        <v>1.0519434658369</v>
      </c>
      <c r="K282" s="17" t="str">
        <f ca="1">IFERROR(__xludf.DUMMYFUNCTION("""COMPUTED_VALUE"""),"nan")</f>
        <v>nan</v>
      </c>
      <c r="L282" s="17">
        <f ca="1">IFERROR(__xludf.DUMMYFUNCTION("""COMPUTED_VALUE"""),0.963134206853046)</f>
        <v>0.96313420685304596</v>
      </c>
      <c r="M282" s="17">
        <f ca="1">IFERROR(__xludf.DUMMYFUNCTION("""COMPUTED_VALUE"""),1.05331647488638)</f>
        <v>1.0533164748863799</v>
      </c>
      <c r="N282" s="17">
        <f ca="1">IFERROR(__xludf.DUMMYFUNCTION("""COMPUTED_VALUE"""),0.799624157962422)</f>
        <v>0.79962415796242203</v>
      </c>
      <c r="O282" s="17">
        <f ca="1">IFERROR(__xludf.DUMMYFUNCTION("""COMPUTED_VALUE"""),0.783080198566292)</f>
        <v>0.78308019856629196</v>
      </c>
      <c r="P282" s="17">
        <f ca="1">IFERROR(__xludf.DUMMYFUNCTION("""COMPUTED_VALUE"""),1.00685001322912)</f>
        <v>1.00685001322912</v>
      </c>
      <c r="Q282" s="17">
        <f ca="1">IFERROR(__xludf.DUMMYFUNCTION("""COMPUTED_VALUE"""),1.55804807020467)</f>
        <v>1.55804807020467</v>
      </c>
      <c r="R282" s="17">
        <f ca="1">IFERROR(__xludf.DUMMYFUNCTION("""COMPUTED_VALUE"""),0.902202431931436)</f>
        <v>0.90220243193143601</v>
      </c>
      <c r="S282" s="17">
        <f ca="1">IFERROR(__xludf.DUMMYFUNCTION("""COMPUTED_VALUE"""),1.06565220986864)</f>
        <v>1.0656522098686401</v>
      </c>
      <c r="T282" s="17">
        <f ca="1">IFERROR(__xludf.DUMMYFUNCTION("""COMPUTED_VALUE"""),0.859412948892558)</f>
        <v>0.85941294889255804</v>
      </c>
      <c r="U282" s="17">
        <f ca="1">IFERROR(__xludf.DUMMYFUNCTION("""COMPUTED_VALUE"""),0.752160001319217)</f>
        <v>0.75216000131921701</v>
      </c>
      <c r="V282" s="17">
        <f ca="1">IFERROR(__xludf.DUMMYFUNCTION("""COMPUTED_VALUE"""),0.942492286926814)</f>
        <v>0.94249228692681397</v>
      </c>
      <c r="W282" s="17">
        <f ca="1">IFERROR(__xludf.DUMMYFUNCTION("""COMPUTED_VALUE"""),0.878371743452606)</f>
        <v>0.87837174345260605</v>
      </c>
      <c r="X282" s="17">
        <f ca="1">IFERROR(__xludf.DUMMYFUNCTION("""COMPUTED_VALUE"""),1.01081745731065)</f>
        <v>1.0108174573106501</v>
      </c>
      <c r="Y282" s="17">
        <f ca="1">IFERROR(__xludf.DUMMYFUNCTION("""COMPUTED_VALUE"""),0.820838235020025)</f>
        <v>0.82083823502002495</v>
      </c>
      <c r="Z282" s="17">
        <f ca="1">IFERROR(__xludf.DUMMYFUNCTION("""COMPUTED_VALUE"""),0.978240781582998)</f>
        <v>0.97824078158299799</v>
      </c>
      <c r="AA282" s="17">
        <f ca="1">IFERROR(__xludf.DUMMYFUNCTION("""COMPUTED_VALUE"""),0.725419727814263)</f>
        <v>0.725419727814263</v>
      </c>
      <c r="AB282" s="17">
        <f ca="1">IFERROR(__xludf.DUMMYFUNCTION("""COMPUTED_VALUE"""),1.04877893113566)</f>
        <v>1.0487789311356599</v>
      </c>
      <c r="AC282" s="17">
        <f ca="1">IFERROR(__xludf.DUMMYFUNCTION("""COMPUTED_VALUE"""),0.859873117269905)</f>
        <v>0.85987311726990501</v>
      </c>
      <c r="AD282" s="17">
        <f ca="1">IFERROR(__xludf.DUMMYFUNCTION("""COMPUTED_VALUE"""),1.00090366937558)</f>
        <v>1.00090366937558</v>
      </c>
      <c r="AE282" s="17">
        <f ca="1">IFERROR(__xludf.DUMMYFUNCTION("""COMPUTED_VALUE"""),0.997333914352387)</f>
        <v>0.99733391435238705</v>
      </c>
      <c r="AF282" s="17">
        <f ca="1">IFERROR(__xludf.DUMMYFUNCTION("""COMPUTED_VALUE"""),0.855415602853971)</f>
        <v>0.855415602853971</v>
      </c>
      <c r="AG282" s="17">
        <f ca="1">IFERROR(__xludf.DUMMYFUNCTION("""COMPUTED_VALUE"""),1.24285343097627)</f>
        <v>1.24285343097627</v>
      </c>
      <c r="AH282" s="17">
        <f ca="1">IFERROR(__xludf.DUMMYFUNCTION("""COMPUTED_VALUE"""),1.23254799932071)</f>
        <v>1.23254799932071</v>
      </c>
      <c r="AI282" s="17">
        <f ca="1">IFERROR(__xludf.DUMMYFUNCTION("""COMPUTED_VALUE"""),1.36011288375852)</f>
        <v>1.3601128837585199</v>
      </c>
      <c r="AJ282" s="17">
        <f ca="1">IFERROR(__xludf.DUMMYFUNCTION("""COMPUTED_VALUE"""),0.96708202260627)</f>
        <v>0.96708202260626996</v>
      </c>
    </row>
    <row r="283" spans="2:36" ht="15.75" customHeight="1" x14ac:dyDescent="0.45">
      <c r="B283" s="10" t="str">
        <f ca="1">IFERROR(__xludf.DUMMYFUNCTION("""COMPUTED_VALUE"""),"FaceFour")</f>
        <v>FaceFour</v>
      </c>
      <c r="C283" s="10" t="str">
        <f ca="1">IFERROR(__xludf.DUMMYFUNCTION("""COMPUTED_VALUE"""),"mcar")</f>
        <v>mcar</v>
      </c>
      <c r="D283" s="10">
        <f ca="1">IFERROR(__xludf.DUMMYFUNCTION("""COMPUTED_VALUE"""),0.2)</f>
        <v>0.2</v>
      </c>
      <c r="E283" s="17">
        <f ca="1">IFERROR(__xludf.DUMMYFUNCTION("""COMPUTED_VALUE"""),1.02312178861827)</f>
        <v>1.02312178861827</v>
      </c>
      <c r="F283" s="17">
        <f ca="1">IFERROR(__xludf.DUMMYFUNCTION("""COMPUTED_VALUE"""),0.879428755240622)</f>
        <v>0.87942875524062203</v>
      </c>
      <c r="G283" s="17">
        <f ca="1">IFERROR(__xludf.DUMMYFUNCTION("""COMPUTED_VALUE"""),0.901851945945384)</f>
        <v>0.90185194594538398</v>
      </c>
      <c r="H283" s="17">
        <f ca="1">IFERROR(__xludf.DUMMYFUNCTION("""COMPUTED_VALUE"""),1.05038131225724)</f>
        <v>1.0503813122572401</v>
      </c>
      <c r="I283" s="17">
        <f ca="1">IFERROR(__xludf.DUMMYFUNCTION("""COMPUTED_VALUE"""),0.820444229221814)</f>
        <v>0.82044422922181404</v>
      </c>
      <c r="J283" s="17">
        <f ca="1">IFERROR(__xludf.DUMMYFUNCTION("""COMPUTED_VALUE"""),0.900808381988168)</f>
        <v>0.90080838198816804</v>
      </c>
      <c r="K283" s="17" t="str">
        <f ca="1">IFERROR(__xludf.DUMMYFUNCTION("""COMPUTED_VALUE"""),"nan")</f>
        <v>nan</v>
      </c>
      <c r="L283" s="17">
        <f ca="1">IFERROR(__xludf.DUMMYFUNCTION("""COMPUTED_VALUE"""),0.930938007748404)</f>
        <v>0.93093800774840396</v>
      </c>
      <c r="M283" s="17">
        <f ca="1">IFERROR(__xludf.DUMMYFUNCTION("""COMPUTED_VALUE"""),0.89741494627359)</f>
        <v>0.89741494627358998</v>
      </c>
      <c r="N283" s="17">
        <f ca="1">IFERROR(__xludf.DUMMYFUNCTION("""COMPUTED_VALUE"""),0.682634347382869)</f>
        <v>0.68263434738286899</v>
      </c>
      <c r="O283" s="17">
        <f ca="1">IFERROR(__xludf.DUMMYFUNCTION("""COMPUTED_VALUE"""),0.624565848163692)</f>
        <v>0.62456584816369198</v>
      </c>
      <c r="P283" s="17">
        <f ca="1">IFERROR(__xludf.DUMMYFUNCTION("""COMPUTED_VALUE"""),0.907574131500025)</f>
        <v>0.90757413150002497</v>
      </c>
      <c r="Q283" s="17">
        <f ca="1">IFERROR(__xludf.DUMMYFUNCTION("""COMPUTED_VALUE"""),1.29108049633657)</f>
        <v>1.2910804963365701</v>
      </c>
      <c r="R283" s="17">
        <f ca="1">IFERROR(__xludf.DUMMYFUNCTION("""COMPUTED_VALUE"""),0.813532404210207)</f>
        <v>0.81353240421020701</v>
      </c>
      <c r="S283" s="17">
        <f ca="1">IFERROR(__xludf.DUMMYFUNCTION("""COMPUTED_VALUE"""),0.916942578429963)</f>
        <v>0.91694257842996296</v>
      </c>
      <c r="T283" s="17">
        <f ca="1">IFERROR(__xludf.DUMMYFUNCTION("""COMPUTED_VALUE"""),0.698795916840921)</f>
        <v>0.69879591684092102</v>
      </c>
      <c r="U283" s="17">
        <f ca="1">IFERROR(__xludf.DUMMYFUNCTION("""COMPUTED_VALUE"""),0.65834220737257)</f>
        <v>0.65834220737256999</v>
      </c>
      <c r="V283" s="17">
        <f ca="1">IFERROR(__xludf.DUMMYFUNCTION("""COMPUTED_VALUE"""),0.858264495121851)</f>
        <v>0.85826449512185099</v>
      </c>
      <c r="W283" s="17">
        <f ca="1">IFERROR(__xludf.DUMMYFUNCTION("""COMPUTED_VALUE"""),0.7141990202772)</f>
        <v>0.71419902027719995</v>
      </c>
      <c r="X283" s="17">
        <f ca="1">IFERROR(__xludf.DUMMYFUNCTION("""COMPUTED_VALUE"""),0.88560603140177)</f>
        <v>0.88560603140176997</v>
      </c>
      <c r="Y283" s="17">
        <f ca="1">IFERROR(__xludf.DUMMYFUNCTION("""COMPUTED_VALUE"""),0.720056072552455)</f>
        <v>0.72005607255245496</v>
      </c>
      <c r="Z283" s="17">
        <f ca="1">IFERROR(__xludf.DUMMYFUNCTION("""COMPUTED_VALUE"""),0.907546584966693)</f>
        <v>0.90754658496669305</v>
      </c>
      <c r="AA283" s="17">
        <f ca="1">IFERROR(__xludf.DUMMYFUNCTION("""COMPUTED_VALUE"""),0.533436362447283)</f>
        <v>0.53343636244728299</v>
      </c>
      <c r="AB283" s="17">
        <f ca="1">IFERROR(__xludf.DUMMYFUNCTION("""COMPUTED_VALUE"""),0.927839350224286)</f>
        <v>0.92783935022428599</v>
      </c>
      <c r="AC283" s="17">
        <f ca="1">IFERROR(__xludf.DUMMYFUNCTION("""COMPUTED_VALUE"""),0.694286510559771)</f>
        <v>0.69428651055977098</v>
      </c>
      <c r="AD283" s="17">
        <f ca="1">IFERROR(__xludf.DUMMYFUNCTION("""COMPUTED_VALUE"""),0.939027831405487)</f>
        <v>0.93902783140548696</v>
      </c>
      <c r="AE283" s="17">
        <f ca="1">IFERROR(__xludf.DUMMYFUNCTION("""COMPUTED_VALUE"""),0.851649574049449)</f>
        <v>0.85164957404944897</v>
      </c>
      <c r="AF283" s="17">
        <f ca="1">IFERROR(__xludf.DUMMYFUNCTION("""COMPUTED_VALUE"""),0.814179759697618)</f>
        <v>0.81417975969761802</v>
      </c>
      <c r="AG283" s="17">
        <f ca="1">IFERROR(__xludf.DUMMYFUNCTION("""COMPUTED_VALUE"""),0.959847574228632)</f>
        <v>0.95984757422863198</v>
      </c>
      <c r="AH283" s="17">
        <f ca="1">IFERROR(__xludf.DUMMYFUNCTION("""COMPUTED_VALUE"""),1.01213222478036)</f>
        <v>1.0121322247803599</v>
      </c>
      <c r="AI283" s="17">
        <f ca="1">IFERROR(__xludf.DUMMYFUNCTION("""COMPUTED_VALUE"""),1.05393483600071)</f>
        <v>1.0539348360007099</v>
      </c>
      <c r="AJ283" s="17">
        <f ca="1">IFERROR(__xludf.DUMMYFUNCTION("""COMPUTED_VALUE"""),0.885590466815223)</f>
        <v>0.88559046681522302</v>
      </c>
    </row>
    <row r="284" spans="2:36" ht="15.75" customHeight="1" x14ac:dyDescent="0.45">
      <c r="B284" s="10" t="str">
        <f ca="1">IFERROR(__xludf.DUMMYFUNCTION("""COMPUTED_VALUE"""),"FaceFour")</f>
        <v>FaceFour</v>
      </c>
      <c r="C284" s="10" t="str">
        <f ca="1">IFERROR(__xludf.DUMMYFUNCTION("""COMPUTED_VALUE"""),"mcar")</f>
        <v>mcar</v>
      </c>
      <c r="D284" s="10">
        <f ca="1">IFERROR(__xludf.DUMMYFUNCTION("""COMPUTED_VALUE"""),0.4)</f>
        <v>0.4</v>
      </c>
      <c r="E284" s="17">
        <f ca="1">IFERROR(__xludf.DUMMYFUNCTION("""COMPUTED_VALUE"""),1.00102046297074)</f>
        <v>1.00102046297074</v>
      </c>
      <c r="F284" s="17">
        <f ca="1">IFERROR(__xludf.DUMMYFUNCTION("""COMPUTED_VALUE"""),0.806740207378483)</f>
        <v>0.80674020737848295</v>
      </c>
      <c r="G284" s="17">
        <f ca="1">IFERROR(__xludf.DUMMYFUNCTION("""COMPUTED_VALUE"""),0.86378604549283)</f>
        <v>0.86378604549283</v>
      </c>
      <c r="H284" s="17">
        <f ca="1">IFERROR(__xludf.DUMMYFUNCTION("""COMPUTED_VALUE"""),1.04609590603909)</f>
        <v>1.04609590603909</v>
      </c>
      <c r="I284" s="17">
        <f ca="1">IFERROR(__xludf.DUMMYFUNCTION("""COMPUTED_VALUE"""),0.746122417177328)</f>
        <v>0.74612241717732797</v>
      </c>
      <c r="J284" s="17">
        <f ca="1">IFERROR(__xludf.DUMMYFUNCTION("""COMPUTED_VALUE"""),0.91789249667598)</f>
        <v>0.91789249667598005</v>
      </c>
      <c r="K284" s="17" t="str">
        <f ca="1">IFERROR(__xludf.DUMMYFUNCTION("""COMPUTED_VALUE"""),"nan")</f>
        <v>nan</v>
      </c>
      <c r="L284" s="17">
        <f ca="1">IFERROR(__xludf.DUMMYFUNCTION("""COMPUTED_VALUE"""),0.851966746019563)</f>
        <v>0.85196674601956301</v>
      </c>
      <c r="M284" s="17">
        <f ca="1">IFERROR(__xludf.DUMMYFUNCTION("""COMPUTED_VALUE"""),0.86280329137636)</f>
        <v>0.86280329137636003</v>
      </c>
      <c r="N284" s="17">
        <f ca="1">IFERROR(__xludf.DUMMYFUNCTION("""COMPUTED_VALUE"""),0.669902197477565)</f>
        <v>0.66990219747756496</v>
      </c>
      <c r="O284" s="17">
        <f ca="1">IFERROR(__xludf.DUMMYFUNCTION("""COMPUTED_VALUE"""),0.612272803125635)</f>
        <v>0.61227280312563503</v>
      </c>
      <c r="P284" s="17">
        <f ca="1">IFERROR(__xludf.DUMMYFUNCTION("""COMPUTED_VALUE"""),0.825913842237467)</f>
        <v>0.825913842237467</v>
      </c>
      <c r="Q284" s="17">
        <f ca="1">IFERROR(__xludf.DUMMYFUNCTION("""COMPUTED_VALUE"""),1.07908586643603)</f>
        <v>1.0790858664360301</v>
      </c>
      <c r="R284" s="17">
        <f ca="1">IFERROR(__xludf.DUMMYFUNCTION("""COMPUTED_VALUE"""),0.675414449159965)</f>
        <v>0.67541444915996496</v>
      </c>
      <c r="S284" s="17">
        <f ca="1">IFERROR(__xludf.DUMMYFUNCTION("""COMPUTED_VALUE"""),0.806737719848202)</f>
        <v>0.80673771984820197</v>
      </c>
      <c r="T284" s="17">
        <f ca="1">IFERROR(__xludf.DUMMYFUNCTION("""COMPUTED_VALUE"""),0.673048288740939)</f>
        <v>0.67304828874093903</v>
      </c>
      <c r="U284" s="17">
        <f ca="1">IFERROR(__xludf.DUMMYFUNCTION("""COMPUTED_VALUE"""),0.651731173862486)</f>
        <v>0.65173117386248602</v>
      </c>
      <c r="V284" s="17">
        <f ca="1">IFERROR(__xludf.DUMMYFUNCTION("""COMPUTED_VALUE"""),0.777774119042488)</f>
        <v>0.77777411904248805</v>
      </c>
      <c r="W284" s="17">
        <f ca="1">IFERROR(__xludf.DUMMYFUNCTION("""COMPUTED_VALUE"""),0.793994070480102)</f>
        <v>0.79399407048010195</v>
      </c>
      <c r="X284" s="17">
        <f ca="1">IFERROR(__xludf.DUMMYFUNCTION("""COMPUTED_VALUE"""),0.813974639031462)</f>
        <v>0.81397463903146205</v>
      </c>
      <c r="Y284" s="17">
        <f ca="1">IFERROR(__xludf.DUMMYFUNCTION("""COMPUTED_VALUE"""),0.656700579543698)</f>
        <v>0.65670057954369798</v>
      </c>
      <c r="Z284" s="17">
        <f ca="1">IFERROR(__xludf.DUMMYFUNCTION("""COMPUTED_VALUE"""),0.826705751854645)</f>
        <v>0.82670575185464501</v>
      </c>
      <c r="AA284" s="17">
        <f ca="1">IFERROR(__xludf.DUMMYFUNCTION("""COMPUTED_VALUE"""),0.470855909305043)</f>
        <v>0.47085590930504301</v>
      </c>
      <c r="AB284" s="17">
        <f ca="1">IFERROR(__xludf.DUMMYFUNCTION("""COMPUTED_VALUE"""),0.823452536757799)</f>
        <v>0.82345253675779895</v>
      </c>
      <c r="AC284" s="17">
        <f ca="1">IFERROR(__xludf.DUMMYFUNCTION("""COMPUTED_VALUE"""),0.69210590546466)</f>
        <v>0.69210590546466</v>
      </c>
      <c r="AD284" s="17">
        <f ca="1">IFERROR(__xludf.DUMMYFUNCTION("""COMPUTED_VALUE"""),0.808452669426882)</f>
        <v>0.80845266942688199</v>
      </c>
      <c r="AE284" s="17">
        <f ca="1">IFERROR(__xludf.DUMMYFUNCTION("""COMPUTED_VALUE"""),0.906461017130254)</f>
        <v>0.90646101713025395</v>
      </c>
      <c r="AF284" s="17">
        <f ca="1">IFERROR(__xludf.DUMMYFUNCTION("""COMPUTED_VALUE"""),0.746339818882625)</f>
        <v>0.74633981888262502</v>
      </c>
      <c r="AG284" s="17">
        <f ca="1">IFERROR(__xludf.DUMMYFUNCTION("""COMPUTED_VALUE"""),0.846420052474219)</f>
        <v>0.84642005247421903</v>
      </c>
      <c r="AH284" s="17">
        <f ca="1">IFERROR(__xludf.DUMMYFUNCTION("""COMPUTED_VALUE"""),1.07921353550013)</f>
        <v>1.07921353550013</v>
      </c>
      <c r="AI284" s="17">
        <f ca="1">IFERROR(__xludf.DUMMYFUNCTION("""COMPUTED_VALUE"""),1.01697021192807)</f>
        <v>1.0169702119280699</v>
      </c>
      <c r="AJ284" s="17">
        <f ca="1">IFERROR(__xludf.DUMMYFUNCTION("""COMPUTED_VALUE"""),0.820070603764111)</f>
        <v>0.82007060376411101</v>
      </c>
    </row>
    <row r="285" spans="2:36" ht="15.75" customHeight="1" x14ac:dyDescent="0.45">
      <c r="B285" s="10" t="str">
        <f ca="1">IFERROR(__xludf.DUMMYFUNCTION("""COMPUTED_VALUE"""),"FaceFour")</f>
        <v>FaceFour</v>
      </c>
      <c r="C285" s="10" t="str">
        <f ca="1">IFERROR(__xludf.DUMMYFUNCTION("""COMPUTED_VALUE"""),"mcar")</f>
        <v>mcar</v>
      </c>
      <c r="D285" s="10">
        <f ca="1">IFERROR(__xludf.DUMMYFUNCTION("""COMPUTED_VALUE"""),0.6)</f>
        <v>0.6</v>
      </c>
      <c r="E285" s="17">
        <f ca="1">IFERROR(__xludf.DUMMYFUNCTION("""COMPUTED_VALUE"""),0.955245833634641)</f>
        <v>0.955245833634641</v>
      </c>
      <c r="F285" s="17">
        <f ca="1">IFERROR(__xludf.DUMMYFUNCTION("""COMPUTED_VALUE"""),0.829959756901213)</f>
        <v>0.82995975690121304</v>
      </c>
      <c r="G285" s="17">
        <f ca="1">IFERROR(__xludf.DUMMYFUNCTION("""COMPUTED_VALUE"""),0.980038395053722)</f>
        <v>0.98003839505372203</v>
      </c>
      <c r="H285" s="17">
        <f ca="1">IFERROR(__xludf.DUMMYFUNCTION("""COMPUTED_VALUE"""),1.0564257732894)</f>
        <v>1.0564257732894</v>
      </c>
      <c r="I285" s="17">
        <f ca="1">IFERROR(__xludf.DUMMYFUNCTION("""COMPUTED_VALUE"""),0.721767512391909)</f>
        <v>0.72176751239190895</v>
      </c>
      <c r="J285" s="17">
        <f ca="1">IFERROR(__xludf.DUMMYFUNCTION("""COMPUTED_VALUE"""),0.873295590563651)</f>
        <v>0.87329559056365103</v>
      </c>
      <c r="K285" s="17" t="str">
        <f ca="1">IFERROR(__xludf.DUMMYFUNCTION("""COMPUTED_VALUE"""),"nan")</f>
        <v>nan</v>
      </c>
      <c r="L285" s="17">
        <f ca="1">IFERROR(__xludf.DUMMYFUNCTION("""COMPUTED_VALUE"""),0.827387545470293)</f>
        <v>0.82738754547029303</v>
      </c>
      <c r="M285" s="17">
        <f ca="1">IFERROR(__xludf.DUMMYFUNCTION("""COMPUTED_VALUE"""),1.17351673988919)</f>
        <v>1.1735167398891899</v>
      </c>
      <c r="N285" s="17">
        <f ca="1">IFERROR(__xludf.DUMMYFUNCTION("""COMPUTED_VALUE"""),0.698079935994397)</f>
        <v>0.69807993599439699</v>
      </c>
      <c r="O285" s="17">
        <f ca="1">IFERROR(__xludf.DUMMYFUNCTION("""COMPUTED_VALUE"""),0.568597573933047)</f>
        <v>0.568597573933047</v>
      </c>
      <c r="P285" s="17">
        <f ca="1">IFERROR(__xludf.DUMMYFUNCTION("""COMPUTED_VALUE"""),0.768509364812302)</f>
        <v>0.76850936481230203</v>
      </c>
      <c r="Q285" s="17">
        <f ca="1">IFERROR(__xludf.DUMMYFUNCTION("""COMPUTED_VALUE"""),0.994486436659033)</f>
        <v>0.99448643665903302</v>
      </c>
      <c r="R285" s="17">
        <f ca="1">IFERROR(__xludf.DUMMYFUNCTION("""COMPUTED_VALUE"""),0.627252376810733)</f>
        <v>0.62725237681073298</v>
      </c>
      <c r="S285" s="17">
        <f ca="1">IFERROR(__xludf.DUMMYFUNCTION("""COMPUTED_VALUE"""),0.71307726438782)</f>
        <v>0.71307726438782004</v>
      </c>
      <c r="T285" s="17">
        <f ca="1">IFERROR(__xludf.DUMMYFUNCTION("""COMPUTED_VALUE"""),0.583661760998119)</f>
        <v>0.58366176099811895</v>
      </c>
      <c r="U285" s="17">
        <f ca="1">IFERROR(__xludf.DUMMYFUNCTION("""COMPUTED_VALUE"""),0.74405644708818)</f>
        <v>0.74405644708817997</v>
      </c>
      <c r="V285" s="17">
        <f ca="1">IFERROR(__xludf.DUMMYFUNCTION("""COMPUTED_VALUE"""),0.693483685904007)</f>
        <v>0.693483685904007</v>
      </c>
      <c r="W285" s="17">
        <f ca="1">IFERROR(__xludf.DUMMYFUNCTION("""COMPUTED_VALUE"""),0.83836442841518)</f>
        <v>0.83836442841518</v>
      </c>
      <c r="X285" s="17">
        <f ca="1">IFERROR(__xludf.DUMMYFUNCTION("""COMPUTED_VALUE"""),0.762837072906227)</f>
        <v>0.76283707290622704</v>
      </c>
      <c r="Y285" s="17">
        <f ca="1">IFERROR(__xludf.DUMMYFUNCTION("""COMPUTED_VALUE"""),0.598673315527858)</f>
        <v>0.59867331552785796</v>
      </c>
      <c r="Z285" s="17">
        <f ca="1">IFERROR(__xludf.DUMMYFUNCTION("""COMPUTED_VALUE"""),0.787590954458753)</f>
        <v>0.78759095445875305</v>
      </c>
      <c r="AA285" s="17">
        <f ca="1">IFERROR(__xludf.DUMMYFUNCTION("""COMPUTED_VALUE"""),0.598900773371667)</f>
        <v>0.59890077337166703</v>
      </c>
      <c r="AB285" s="17">
        <f ca="1">IFERROR(__xludf.DUMMYFUNCTION("""COMPUTED_VALUE"""),0.892702655790383)</f>
        <v>0.89270265579038299</v>
      </c>
      <c r="AC285" s="17">
        <f ca="1">IFERROR(__xludf.DUMMYFUNCTION("""COMPUTED_VALUE"""),0.748435937034248)</f>
        <v>0.74843593703424804</v>
      </c>
      <c r="AD285" s="17">
        <f ca="1">IFERROR(__xludf.DUMMYFUNCTION("""COMPUTED_VALUE"""),0.77737919337998)</f>
        <v>0.77737919337997996</v>
      </c>
      <c r="AE285" s="17">
        <f ca="1">IFERROR(__xludf.DUMMYFUNCTION("""COMPUTED_VALUE"""),1.00993709569191)</f>
        <v>1.00993709569191</v>
      </c>
      <c r="AF285" s="17">
        <f ca="1">IFERROR(__xludf.DUMMYFUNCTION("""COMPUTED_VALUE"""),0.837551784346212)</f>
        <v>0.83755178434621202</v>
      </c>
      <c r="AG285" s="17">
        <f ca="1">IFERROR(__xludf.DUMMYFUNCTION("""COMPUTED_VALUE"""),1.05033525879041)</f>
        <v>1.05033525879041</v>
      </c>
      <c r="AH285" s="17">
        <f ca="1">IFERROR(__xludf.DUMMYFUNCTION("""COMPUTED_VALUE"""),0.99471002351507)</f>
        <v>0.99471002351506999</v>
      </c>
      <c r="AI285" s="17">
        <f ca="1">IFERROR(__xludf.DUMMYFUNCTION("""COMPUTED_VALUE"""),0.954545893398453)</f>
        <v>0.95454589339845297</v>
      </c>
      <c r="AJ285" s="17">
        <f ca="1">IFERROR(__xludf.DUMMYFUNCTION("""COMPUTED_VALUE"""),1.06651334411741)</f>
        <v>1.0665133441174099</v>
      </c>
    </row>
    <row r="286" spans="2:36" ht="15.75" customHeight="1" x14ac:dyDescent="0.45">
      <c r="B286" s="10" t="str">
        <f ca="1">IFERROR(__xludf.DUMMYFUNCTION("""COMPUTED_VALUE"""),"FaceFour")</f>
        <v>FaceFour</v>
      </c>
      <c r="C286" s="10" t="str">
        <f ca="1">IFERROR(__xludf.DUMMYFUNCTION("""COMPUTED_VALUE"""),"mcar")</f>
        <v>mcar</v>
      </c>
      <c r="D286" s="10">
        <f ca="1">IFERROR(__xludf.DUMMYFUNCTION("""COMPUTED_VALUE"""),0.8)</f>
        <v>0.8</v>
      </c>
      <c r="E286" s="17">
        <f ca="1">IFERROR(__xludf.DUMMYFUNCTION("""COMPUTED_VALUE"""),0.955153983849176)</f>
        <v>0.95515398384917605</v>
      </c>
      <c r="F286" s="17">
        <f ca="1">IFERROR(__xludf.DUMMYFUNCTION("""COMPUTED_VALUE"""),0.834845023753378)</f>
        <v>0.83484502375337799</v>
      </c>
      <c r="G286" s="17">
        <f ca="1">IFERROR(__xludf.DUMMYFUNCTION("""COMPUTED_VALUE"""),1.07223930196044)</f>
        <v>1.0722393019604399</v>
      </c>
      <c r="H286" s="17">
        <f ca="1">IFERROR(__xludf.DUMMYFUNCTION("""COMPUTED_VALUE"""),1.03161231588302)</f>
        <v>1.0316123158830199</v>
      </c>
      <c r="I286" s="17">
        <f ca="1">IFERROR(__xludf.DUMMYFUNCTION("""COMPUTED_VALUE"""),0.775371765132214)</f>
        <v>0.77537176513221395</v>
      </c>
      <c r="J286" s="17">
        <f ca="1">IFERROR(__xludf.DUMMYFUNCTION("""COMPUTED_VALUE"""),0.981455569618377)</f>
        <v>0.98145556961837699</v>
      </c>
      <c r="K286" s="17" t="str">
        <f ca="1">IFERROR(__xludf.DUMMYFUNCTION("""COMPUTED_VALUE"""),"nan")</f>
        <v>nan</v>
      </c>
      <c r="L286" s="17">
        <f ca="1">IFERROR(__xludf.DUMMYFUNCTION("""COMPUTED_VALUE"""),0.845741536484685)</f>
        <v>0.84574153648468497</v>
      </c>
      <c r="M286" s="17">
        <f ca="1">IFERROR(__xludf.DUMMYFUNCTION("""COMPUTED_VALUE"""),1.09868836545573)</f>
        <v>1.09868836545573</v>
      </c>
      <c r="N286" s="17">
        <f ca="1">IFERROR(__xludf.DUMMYFUNCTION("""COMPUTED_VALUE"""),0.736934061518435)</f>
        <v>0.73693406151843499</v>
      </c>
      <c r="O286" s="17">
        <f ca="1">IFERROR(__xludf.DUMMYFUNCTION("""COMPUTED_VALUE"""),0.705683446947648)</f>
        <v>0.70568344694764795</v>
      </c>
      <c r="P286" s="17">
        <f ca="1">IFERROR(__xludf.DUMMYFUNCTION("""COMPUTED_VALUE"""),0.870980825180748)</f>
        <v>0.87098082518074804</v>
      </c>
      <c r="Q286" s="17">
        <f ca="1">IFERROR(__xludf.DUMMYFUNCTION("""COMPUTED_VALUE"""),0.998451666007617)</f>
        <v>0.99845166600761703</v>
      </c>
      <c r="R286" s="17">
        <f ca="1">IFERROR(__xludf.DUMMYFUNCTION("""COMPUTED_VALUE"""),0.763299413164347)</f>
        <v>0.76329941316434702</v>
      </c>
      <c r="S286" s="17">
        <f ca="1">IFERROR(__xludf.DUMMYFUNCTION("""COMPUTED_VALUE"""),0.821220990861649)</f>
        <v>0.82122099086164901</v>
      </c>
      <c r="T286" s="17">
        <f ca="1">IFERROR(__xludf.DUMMYFUNCTION("""COMPUTED_VALUE"""),0.66929827827222)</f>
        <v>0.66929827827221999</v>
      </c>
      <c r="U286" s="17">
        <f ca="1">IFERROR(__xludf.DUMMYFUNCTION("""COMPUTED_VALUE"""),0.834291700275547)</f>
        <v>0.834291700275547</v>
      </c>
      <c r="V286" s="17">
        <f ca="1">IFERROR(__xludf.DUMMYFUNCTION("""COMPUTED_VALUE"""),0.7206280760753)</f>
        <v>0.72062807607529999</v>
      </c>
      <c r="W286" s="17">
        <f ca="1">IFERROR(__xludf.DUMMYFUNCTION("""COMPUTED_VALUE"""),0.800768719152288)</f>
        <v>0.80076871915228798</v>
      </c>
      <c r="X286" s="17">
        <f ca="1">IFERROR(__xludf.DUMMYFUNCTION("""COMPUTED_VALUE"""),0.782868838696713)</f>
        <v>0.78286883869671298</v>
      </c>
      <c r="Y286" s="17">
        <f ca="1">IFERROR(__xludf.DUMMYFUNCTION("""COMPUTED_VALUE"""),0.731400514479927)</f>
        <v>0.73140051447992704</v>
      </c>
      <c r="Z286" s="17">
        <f ca="1">IFERROR(__xludf.DUMMYFUNCTION("""COMPUTED_VALUE"""),0.836619818558983)</f>
        <v>0.83661981855898304</v>
      </c>
      <c r="AA286" s="17">
        <f ca="1">IFERROR(__xludf.DUMMYFUNCTION("""COMPUTED_VALUE"""),0.641781051393164)</f>
        <v>0.64178105139316399</v>
      </c>
      <c r="AB286" s="17">
        <f ca="1">IFERROR(__xludf.DUMMYFUNCTION("""COMPUTED_VALUE"""),0.786776991857138)</f>
        <v>0.78677699185713801</v>
      </c>
      <c r="AC286" s="17">
        <f ca="1">IFERROR(__xludf.DUMMYFUNCTION("""COMPUTED_VALUE"""),0.831604127407993)</f>
        <v>0.83160412740799305</v>
      </c>
      <c r="AD286" s="17">
        <f ca="1">IFERROR(__xludf.DUMMYFUNCTION("""COMPUTED_VALUE"""),0.745356207387921)</f>
        <v>0.74535620738792097</v>
      </c>
      <c r="AE286" s="17">
        <f ca="1">IFERROR(__xludf.DUMMYFUNCTION("""COMPUTED_VALUE"""),1.27028233493996)</f>
        <v>1.2702823349399599</v>
      </c>
      <c r="AF286" s="17">
        <f ca="1">IFERROR(__xludf.DUMMYFUNCTION("""COMPUTED_VALUE"""),0.707490637365583)</f>
        <v>0.70749063736558304</v>
      </c>
      <c r="AG286" s="17">
        <f ca="1">IFERROR(__xludf.DUMMYFUNCTION("""COMPUTED_VALUE"""),1.0345805369812)</f>
        <v>1.0345805369812</v>
      </c>
      <c r="AH286" s="17">
        <f ca="1">IFERROR(__xludf.DUMMYFUNCTION("""COMPUTED_VALUE"""),0.967747005943708)</f>
        <v>0.96774700594370799</v>
      </c>
      <c r="AI286" s="17">
        <f ca="1">IFERROR(__xludf.DUMMYFUNCTION("""COMPUTED_VALUE"""),0.964551288757784)</f>
        <v>0.96455128875778395</v>
      </c>
      <c r="AJ286" s="17">
        <f ca="1">IFERROR(__xludf.DUMMYFUNCTION("""COMPUTED_VALUE"""),0.964280796184092)</f>
        <v>0.96428079618409202</v>
      </c>
    </row>
    <row r="287" spans="2:36" ht="15.75" customHeight="1" x14ac:dyDescent="0.45">
      <c r="B287" s="10" t="str">
        <f ca="1">IFERROR(__xludf.DUMMYFUNCTION("""COMPUTED_VALUE"""),"FacesUCR")</f>
        <v>FacesUCR</v>
      </c>
      <c r="C287" s="10" t="str">
        <f ca="1">IFERROR(__xludf.DUMMYFUNCTION("""COMPUTED_VALUE"""),"aligned_series")</f>
        <v>aligned_series</v>
      </c>
      <c r="D287" s="10">
        <f ca="1">IFERROR(__xludf.DUMMYFUNCTION("""COMPUTED_VALUE"""),0.1)</f>
        <v>0.1</v>
      </c>
      <c r="E287" s="17">
        <f ca="1">IFERROR(__xludf.DUMMYFUNCTION("""COMPUTED_VALUE"""),0.559303461399392)</f>
        <v>0.55930346139939202</v>
      </c>
      <c r="F287" s="17">
        <f ca="1">IFERROR(__xludf.DUMMYFUNCTION("""COMPUTED_VALUE"""),1.05962670998773)</f>
        <v>1.0596267099877299</v>
      </c>
      <c r="G287" s="17">
        <f ca="1">IFERROR(__xludf.DUMMYFUNCTION("""COMPUTED_VALUE"""),1.42687285350549)</f>
        <v>1.42687285350549</v>
      </c>
      <c r="H287" s="17">
        <f ca="1">IFERROR(__xludf.DUMMYFUNCTION("""COMPUTED_VALUE"""),0.820510006469873)</f>
        <v>0.82051000646987304</v>
      </c>
      <c r="I287" s="17">
        <f ca="1">IFERROR(__xludf.DUMMYFUNCTION("""COMPUTED_VALUE"""),0.509198864390241)</f>
        <v>0.50919886439024098</v>
      </c>
      <c r="J287" s="17">
        <f ca="1">IFERROR(__xludf.DUMMYFUNCTION("""COMPUTED_VALUE"""),0.786033269597528)</f>
        <v>0.78603326959752795</v>
      </c>
      <c r="K287" s="17" t="str">
        <f ca="1">IFERROR(__xludf.DUMMYFUNCTION("""COMPUTED_VALUE"""),"nan")</f>
        <v>nan</v>
      </c>
      <c r="L287" s="17">
        <f ca="1">IFERROR(__xludf.DUMMYFUNCTION("""COMPUTED_VALUE"""),0.599007833014211)</f>
        <v>0.59900783301421101</v>
      </c>
      <c r="M287" s="17">
        <f ca="1">IFERROR(__xludf.DUMMYFUNCTION("""COMPUTED_VALUE"""),0.590584465406338)</f>
        <v>0.59058446540633802</v>
      </c>
      <c r="N287" s="17">
        <f ca="1">IFERROR(__xludf.DUMMYFUNCTION("""COMPUTED_VALUE"""),0.58064068368616)</f>
        <v>0.58064068368615995</v>
      </c>
      <c r="O287" s="17">
        <f ca="1">IFERROR(__xludf.DUMMYFUNCTION("""COMPUTED_VALUE"""),0.637184420681723)</f>
        <v>0.63718442068172298</v>
      </c>
      <c r="P287" s="17">
        <f ca="1">IFERROR(__xludf.DUMMYFUNCTION("""COMPUTED_VALUE"""),0.562977003543173)</f>
        <v>0.56297700354317304</v>
      </c>
      <c r="Q287" s="17">
        <f ca="1">IFERROR(__xludf.DUMMYFUNCTION("""COMPUTED_VALUE"""),0.763530660569558)</f>
        <v>0.76353066056955798</v>
      </c>
      <c r="R287" s="17">
        <f ca="1">IFERROR(__xludf.DUMMYFUNCTION("""COMPUTED_VALUE"""),0.623735823974154)</f>
        <v>0.62373582397415395</v>
      </c>
      <c r="S287" s="17">
        <f ca="1">IFERROR(__xludf.DUMMYFUNCTION("""COMPUTED_VALUE"""),0.542153405285349)</f>
        <v>0.54215340528534905</v>
      </c>
      <c r="T287" s="17">
        <f ca="1">IFERROR(__xludf.DUMMYFUNCTION("""COMPUTED_VALUE"""),0.563001487803103)</f>
        <v>0.563001487803103</v>
      </c>
      <c r="U287" s="17">
        <f ca="1">IFERROR(__xludf.DUMMYFUNCTION("""COMPUTED_VALUE"""),0.504435113196245)</f>
        <v>0.50443511319624501</v>
      </c>
      <c r="V287" s="17">
        <f ca="1">IFERROR(__xludf.DUMMYFUNCTION("""COMPUTED_VALUE"""),0.495008277757073)</f>
        <v>0.49500827775707301</v>
      </c>
      <c r="W287" s="17">
        <f ca="1">IFERROR(__xludf.DUMMYFUNCTION("""COMPUTED_VALUE"""),0.504450281608779)</f>
        <v>0.50445028160877903</v>
      </c>
      <c r="X287" s="17">
        <f ca="1">IFERROR(__xludf.DUMMYFUNCTION("""COMPUTED_VALUE"""),0.526060948017422)</f>
        <v>0.52606094801742198</v>
      </c>
      <c r="Y287" s="17">
        <f ca="1">IFERROR(__xludf.DUMMYFUNCTION("""COMPUTED_VALUE"""),0.471345603217738)</f>
        <v>0.471345603217738</v>
      </c>
      <c r="Z287" s="17">
        <f ca="1">IFERROR(__xludf.DUMMYFUNCTION("""COMPUTED_VALUE"""),0.550879943355375)</f>
        <v>0.55087994335537505</v>
      </c>
      <c r="AA287" s="17">
        <f ca="1">IFERROR(__xludf.DUMMYFUNCTION("""COMPUTED_VALUE"""),0.759227913930903)</f>
        <v>0.75922791393090305</v>
      </c>
      <c r="AB287" s="17">
        <f ca="1">IFERROR(__xludf.DUMMYFUNCTION("""COMPUTED_VALUE"""),0.616013764335604)</f>
        <v>0.61601376433560395</v>
      </c>
      <c r="AC287" s="17">
        <f ca="1">IFERROR(__xludf.DUMMYFUNCTION("""COMPUTED_VALUE"""),0.547091820807474)</f>
        <v>0.54709182080747398</v>
      </c>
      <c r="AD287" s="17">
        <f ca="1">IFERROR(__xludf.DUMMYFUNCTION("""COMPUTED_VALUE"""),0.534325907721745)</f>
        <v>0.53432590772174504</v>
      </c>
      <c r="AE287" s="17">
        <f ca="1">IFERROR(__xludf.DUMMYFUNCTION("""COMPUTED_VALUE"""),0.656925170254647)</f>
        <v>0.65692517025464703</v>
      </c>
      <c r="AF287" s="17">
        <f ca="1">IFERROR(__xludf.DUMMYFUNCTION("""COMPUTED_VALUE"""),0.516037749169115)</f>
        <v>0.51603774916911505</v>
      </c>
      <c r="AG287" s="17">
        <f ca="1">IFERROR(__xludf.DUMMYFUNCTION("""COMPUTED_VALUE"""),0.622194917222979)</f>
        <v>0.62219491722297904</v>
      </c>
      <c r="AH287" s="17">
        <f ca="1">IFERROR(__xludf.DUMMYFUNCTION("""COMPUTED_VALUE"""),0.588745390313101)</f>
        <v>0.58874539031310102</v>
      </c>
      <c r="AI287" s="17">
        <f ca="1">IFERROR(__xludf.DUMMYFUNCTION("""COMPUTED_VALUE"""),0.571205679861822)</f>
        <v>0.57120567986182202</v>
      </c>
      <c r="AJ287" s="17">
        <f ca="1">IFERROR(__xludf.DUMMYFUNCTION("""COMPUTED_VALUE"""),0.514475486991467)</f>
        <v>0.51447548699146695</v>
      </c>
    </row>
    <row r="288" spans="2:36" ht="15.75" customHeight="1" x14ac:dyDescent="0.45">
      <c r="B288" s="10" t="str">
        <f ca="1">IFERROR(__xludf.DUMMYFUNCTION("""COMPUTED_VALUE"""),"FacesUCR")</f>
        <v>FacesUCR</v>
      </c>
      <c r="C288" s="10" t="str">
        <f ca="1">IFERROR(__xludf.DUMMYFUNCTION("""COMPUTED_VALUE"""),"aligned_series")</f>
        <v>aligned_series</v>
      </c>
      <c r="D288" s="10">
        <f ca="1">IFERROR(__xludf.DUMMYFUNCTION("""COMPUTED_VALUE"""),0.2)</f>
        <v>0.2</v>
      </c>
      <c r="E288" s="17">
        <f ca="1">IFERROR(__xludf.DUMMYFUNCTION("""COMPUTED_VALUE"""),0.570249118227716)</f>
        <v>0.57024911822771596</v>
      </c>
      <c r="F288" s="17">
        <f ca="1">IFERROR(__xludf.DUMMYFUNCTION("""COMPUTED_VALUE"""),0.857448360306696)</f>
        <v>0.85744836030669602</v>
      </c>
      <c r="G288" s="17">
        <f ca="1">IFERROR(__xludf.DUMMYFUNCTION("""COMPUTED_VALUE"""),1.19129205789768)</f>
        <v>1.19129205789768</v>
      </c>
      <c r="H288" s="17">
        <f ca="1">IFERROR(__xludf.DUMMYFUNCTION("""COMPUTED_VALUE"""),0.748338720232503)</f>
        <v>0.74833872023250303</v>
      </c>
      <c r="I288" s="17">
        <f ca="1">IFERROR(__xludf.DUMMYFUNCTION("""COMPUTED_VALUE"""),0.518069333214898)</f>
        <v>0.51806933321489801</v>
      </c>
      <c r="J288" s="17">
        <f ca="1">IFERROR(__xludf.DUMMYFUNCTION("""COMPUTED_VALUE"""),0.763691986955649)</f>
        <v>0.76369198695564899</v>
      </c>
      <c r="K288" s="17" t="str">
        <f ca="1">IFERROR(__xludf.DUMMYFUNCTION("""COMPUTED_VALUE"""),"nan")</f>
        <v>nan</v>
      </c>
      <c r="L288" s="17">
        <f ca="1">IFERROR(__xludf.DUMMYFUNCTION("""COMPUTED_VALUE"""),0.580719789287486)</f>
        <v>0.58071978928748602</v>
      </c>
      <c r="M288" s="17">
        <f ca="1">IFERROR(__xludf.DUMMYFUNCTION("""COMPUTED_VALUE"""),0.623178804771514)</f>
        <v>0.62317880477151399</v>
      </c>
      <c r="N288" s="17">
        <f ca="1">IFERROR(__xludf.DUMMYFUNCTION("""COMPUTED_VALUE"""),0.597852157746168)</f>
        <v>0.59785215774616796</v>
      </c>
      <c r="O288" s="17">
        <f ca="1">IFERROR(__xludf.DUMMYFUNCTION("""COMPUTED_VALUE"""),0.703587814525359)</f>
        <v>0.70358781452535901</v>
      </c>
      <c r="P288" s="17">
        <f ca="1">IFERROR(__xludf.DUMMYFUNCTION("""COMPUTED_VALUE"""),0.595643037279896)</f>
        <v>0.59564303727989598</v>
      </c>
      <c r="Q288" s="17">
        <f ca="1">IFERROR(__xludf.DUMMYFUNCTION("""COMPUTED_VALUE"""),0.744447650471849)</f>
        <v>0.74444765047184902</v>
      </c>
      <c r="R288" s="17">
        <f ca="1">IFERROR(__xludf.DUMMYFUNCTION("""COMPUTED_VALUE"""),0.599505385280744)</f>
        <v>0.59950538528074404</v>
      </c>
      <c r="S288" s="17">
        <f ca="1">IFERROR(__xludf.DUMMYFUNCTION("""COMPUTED_VALUE"""),0.594141722291882)</f>
        <v>0.594141722291882</v>
      </c>
      <c r="T288" s="17">
        <f ca="1">IFERROR(__xludf.DUMMYFUNCTION("""COMPUTED_VALUE"""),0.579960808614939)</f>
        <v>0.57996080861493904</v>
      </c>
      <c r="U288" s="17">
        <f ca="1">IFERROR(__xludf.DUMMYFUNCTION("""COMPUTED_VALUE"""),0.549869460646343)</f>
        <v>0.54986946064634301</v>
      </c>
      <c r="V288" s="17">
        <f ca="1">IFERROR(__xludf.DUMMYFUNCTION("""COMPUTED_VALUE"""),0.499297244651206)</f>
        <v>0.49929724465120601</v>
      </c>
      <c r="W288" s="17">
        <f ca="1">IFERROR(__xludf.DUMMYFUNCTION("""COMPUTED_VALUE"""),0.526347902309952)</f>
        <v>0.52634790230995199</v>
      </c>
      <c r="X288" s="17">
        <f ca="1">IFERROR(__xludf.DUMMYFUNCTION("""COMPUTED_VALUE"""),0.542980013300335)</f>
        <v>0.54298001330033496</v>
      </c>
      <c r="Y288" s="17">
        <f ca="1">IFERROR(__xludf.DUMMYFUNCTION("""COMPUTED_VALUE"""),0.51644328063911)</f>
        <v>0.51644328063911005</v>
      </c>
      <c r="Z288" s="17">
        <f ca="1">IFERROR(__xludf.DUMMYFUNCTION("""COMPUTED_VALUE"""),0.579017567887407)</f>
        <v>0.57901756788740699</v>
      </c>
      <c r="AA288" s="17">
        <f ca="1">IFERROR(__xludf.DUMMYFUNCTION("""COMPUTED_VALUE"""),0.840375044289491)</f>
        <v>0.84037504428949095</v>
      </c>
      <c r="AB288" s="17">
        <f ca="1">IFERROR(__xludf.DUMMYFUNCTION("""COMPUTED_VALUE"""),0.803705270558982)</f>
        <v>0.803705270558982</v>
      </c>
      <c r="AC288" s="17">
        <f ca="1">IFERROR(__xludf.DUMMYFUNCTION("""COMPUTED_VALUE"""),0.575445769016224)</f>
        <v>0.57544576901622402</v>
      </c>
      <c r="AD288" s="17">
        <f ca="1">IFERROR(__xludf.DUMMYFUNCTION("""COMPUTED_VALUE"""),0.558886684903859)</f>
        <v>0.55888668490385895</v>
      </c>
      <c r="AE288" s="17">
        <f ca="1">IFERROR(__xludf.DUMMYFUNCTION("""COMPUTED_VALUE"""),0.657255071847858)</f>
        <v>0.65725507184785803</v>
      </c>
      <c r="AF288" s="17">
        <f ca="1">IFERROR(__xludf.DUMMYFUNCTION("""COMPUTED_VALUE"""),0.532548019410744)</f>
        <v>0.53254801941074403</v>
      </c>
      <c r="AG288" s="17">
        <f ca="1">IFERROR(__xludf.DUMMYFUNCTION("""COMPUTED_VALUE"""),0.637101267490204)</f>
        <v>0.63710126749020402</v>
      </c>
      <c r="AH288" s="17">
        <f ca="1">IFERROR(__xludf.DUMMYFUNCTION("""COMPUTED_VALUE"""),0.611615393081267)</f>
        <v>0.611615393081267</v>
      </c>
      <c r="AI288" s="17">
        <f ca="1">IFERROR(__xludf.DUMMYFUNCTION("""COMPUTED_VALUE"""),0.604656734061498)</f>
        <v>0.604656734061498</v>
      </c>
      <c r="AJ288" s="17">
        <f ca="1">IFERROR(__xludf.DUMMYFUNCTION("""COMPUTED_VALUE"""),0.528485793564784)</f>
        <v>0.52848579356478398</v>
      </c>
    </row>
    <row r="289" spans="2:36" ht="15.75" customHeight="1" x14ac:dyDescent="0.45">
      <c r="B289" s="10" t="str">
        <f ca="1">IFERROR(__xludf.DUMMYFUNCTION("""COMPUTED_VALUE"""),"FacesUCR")</f>
        <v>FacesUCR</v>
      </c>
      <c r="C289" s="10" t="str">
        <f ca="1">IFERROR(__xludf.DUMMYFUNCTION("""COMPUTED_VALUE"""),"aligned_series")</f>
        <v>aligned_series</v>
      </c>
      <c r="D289" s="10">
        <f ca="1">IFERROR(__xludf.DUMMYFUNCTION("""COMPUTED_VALUE"""),0.4)</f>
        <v>0.4</v>
      </c>
      <c r="E289" s="17">
        <f ca="1">IFERROR(__xludf.DUMMYFUNCTION("""COMPUTED_VALUE"""),0.575561557911294)</f>
        <v>0.57556155791129404</v>
      </c>
      <c r="F289" s="17">
        <f ca="1">IFERROR(__xludf.DUMMYFUNCTION("""COMPUTED_VALUE"""),0.680372468282013)</f>
        <v>0.68037246828201303</v>
      </c>
      <c r="G289" s="17">
        <f ca="1">IFERROR(__xludf.DUMMYFUNCTION("""COMPUTED_VALUE"""),0.749285665516523)</f>
        <v>0.74928566551652298</v>
      </c>
      <c r="H289" s="17">
        <f ca="1">IFERROR(__xludf.DUMMYFUNCTION("""COMPUTED_VALUE"""),0.921317574425531)</f>
        <v>0.92131757442553097</v>
      </c>
      <c r="I289" s="17">
        <f ca="1">IFERROR(__xludf.DUMMYFUNCTION("""COMPUTED_VALUE"""),0.537681213737977)</f>
        <v>0.53768121373797695</v>
      </c>
      <c r="J289" s="17">
        <f ca="1">IFERROR(__xludf.DUMMYFUNCTION("""COMPUTED_VALUE"""),0.806428765262049)</f>
        <v>0.80642876526204899</v>
      </c>
      <c r="K289" s="17" t="str">
        <f ca="1">IFERROR(__xludf.DUMMYFUNCTION("""COMPUTED_VALUE"""),"nan")</f>
        <v>nan</v>
      </c>
      <c r="L289" s="17">
        <f ca="1">IFERROR(__xludf.DUMMYFUNCTION("""COMPUTED_VALUE"""),0.609564520534968)</f>
        <v>0.60956452053496801</v>
      </c>
      <c r="M289" s="17">
        <f ca="1">IFERROR(__xludf.DUMMYFUNCTION("""COMPUTED_VALUE"""),0.689395878572853)</f>
        <v>0.689395878572853</v>
      </c>
      <c r="N289" s="17">
        <f ca="1">IFERROR(__xludf.DUMMYFUNCTION("""COMPUTED_VALUE"""),0.64060424569886)</f>
        <v>0.64060424569885999</v>
      </c>
      <c r="O289" s="17">
        <f ca="1">IFERROR(__xludf.DUMMYFUNCTION("""COMPUTED_VALUE"""),0.689501646604874)</f>
        <v>0.68950164660487401</v>
      </c>
      <c r="P289" s="17">
        <f ca="1">IFERROR(__xludf.DUMMYFUNCTION("""COMPUTED_VALUE"""),0.716118448616236)</f>
        <v>0.71611844861623597</v>
      </c>
      <c r="Q289" s="17">
        <f ca="1">IFERROR(__xludf.DUMMYFUNCTION("""COMPUTED_VALUE"""),0.742316538104987)</f>
        <v>0.74231653810498699</v>
      </c>
      <c r="R289" s="17">
        <f ca="1">IFERROR(__xludf.DUMMYFUNCTION("""COMPUTED_VALUE"""),0.596212882971606)</f>
        <v>0.59621288297160602</v>
      </c>
      <c r="S289" s="17">
        <f ca="1">IFERROR(__xludf.DUMMYFUNCTION("""COMPUTED_VALUE"""),0.597367176635789)</f>
        <v>0.59736717663578898</v>
      </c>
      <c r="T289" s="17">
        <f ca="1">IFERROR(__xludf.DUMMYFUNCTION("""COMPUTED_VALUE"""),0.622127167813206)</f>
        <v>0.62212716781320598</v>
      </c>
      <c r="U289" s="17">
        <f ca="1">IFERROR(__xludf.DUMMYFUNCTION("""COMPUTED_VALUE"""),0.601428336913535)</f>
        <v>0.60142833691353503</v>
      </c>
      <c r="V289" s="17">
        <f ca="1">IFERROR(__xludf.DUMMYFUNCTION("""COMPUTED_VALUE"""),0.551474301773661)</f>
        <v>0.55147430177366097</v>
      </c>
      <c r="W289" s="17">
        <f ca="1">IFERROR(__xludf.DUMMYFUNCTION("""COMPUTED_VALUE"""),0.550934463748903)</f>
        <v>0.55093446374890298</v>
      </c>
      <c r="X289" s="17">
        <f ca="1">IFERROR(__xludf.DUMMYFUNCTION("""COMPUTED_VALUE"""),0.559325583620367)</f>
        <v>0.559325583620367</v>
      </c>
      <c r="Y289" s="17">
        <f ca="1">IFERROR(__xludf.DUMMYFUNCTION("""COMPUTED_VALUE"""),0.537666428998786)</f>
        <v>0.53766642899878603</v>
      </c>
      <c r="Z289" s="17">
        <f ca="1">IFERROR(__xludf.DUMMYFUNCTION("""COMPUTED_VALUE"""),0.631983139758492)</f>
        <v>0.63198313975849196</v>
      </c>
      <c r="AA289" s="17">
        <f ca="1">IFERROR(__xludf.DUMMYFUNCTION("""COMPUTED_VALUE"""),0.796168563149392)</f>
        <v>0.79616856314939199</v>
      </c>
      <c r="AB289" s="17">
        <f ca="1">IFERROR(__xludf.DUMMYFUNCTION("""COMPUTED_VALUE"""),0.933440547489224)</f>
        <v>0.933440547489224</v>
      </c>
      <c r="AC289" s="17">
        <f ca="1">IFERROR(__xludf.DUMMYFUNCTION("""COMPUTED_VALUE"""),0.60982656643218)</f>
        <v>0.60982656643218003</v>
      </c>
      <c r="AD289" s="17">
        <f ca="1">IFERROR(__xludf.DUMMYFUNCTION("""COMPUTED_VALUE"""),0.577669331824758)</f>
        <v>0.57766933182475799</v>
      </c>
      <c r="AE289" s="17">
        <f ca="1">IFERROR(__xludf.DUMMYFUNCTION("""COMPUTED_VALUE"""),0.642133695796335)</f>
        <v>0.64213369579633495</v>
      </c>
      <c r="AF289" s="17">
        <f ca="1">IFERROR(__xludf.DUMMYFUNCTION("""COMPUTED_VALUE"""),0.586852767631425)</f>
        <v>0.58685276763142502</v>
      </c>
      <c r="AG289" s="17">
        <f ca="1">IFERROR(__xludf.DUMMYFUNCTION("""COMPUTED_VALUE"""),0.642366904035257)</f>
        <v>0.64236690403525698</v>
      </c>
      <c r="AH289" s="17">
        <f ca="1">IFERROR(__xludf.DUMMYFUNCTION("""COMPUTED_VALUE"""),0.617654024208778)</f>
        <v>0.61765402420877802</v>
      </c>
      <c r="AI289" s="17">
        <f ca="1">IFERROR(__xludf.DUMMYFUNCTION("""COMPUTED_VALUE"""),0.612466511948581)</f>
        <v>0.61246651194858104</v>
      </c>
      <c r="AJ289" s="17">
        <f ca="1">IFERROR(__xludf.DUMMYFUNCTION("""COMPUTED_VALUE"""),0.549106937642902)</f>
        <v>0.54910693764290197</v>
      </c>
    </row>
    <row r="290" spans="2:36" ht="15.75" customHeight="1" x14ac:dyDescent="0.45">
      <c r="B290" s="10" t="str">
        <f ca="1">IFERROR(__xludf.DUMMYFUNCTION("""COMPUTED_VALUE"""),"FacesUCR")</f>
        <v>FacesUCR</v>
      </c>
      <c r="C290" s="10" t="str">
        <f ca="1">IFERROR(__xludf.DUMMYFUNCTION("""COMPUTED_VALUE"""),"aligned_series")</f>
        <v>aligned_series</v>
      </c>
      <c r="D290" s="10">
        <f ca="1">IFERROR(__xludf.DUMMYFUNCTION("""COMPUTED_VALUE"""),0.6)</f>
        <v>0.6</v>
      </c>
      <c r="E290" s="17">
        <f ca="1">IFERROR(__xludf.DUMMYFUNCTION("""COMPUTED_VALUE"""),0.58799853755446)</f>
        <v>0.58799853755445997</v>
      </c>
      <c r="F290" s="17">
        <f ca="1">IFERROR(__xludf.DUMMYFUNCTION("""COMPUTED_VALUE"""),0.670891135424715)</f>
        <v>0.67089113542471501</v>
      </c>
      <c r="G290" s="17">
        <f ca="1">IFERROR(__xludf.DUMMYFUNCTION("""COMPUTED_VALUE"""),0.754201962292946)</f>
        <v>0.754201962292946</v>
      </c>
      <c r="H290" s="17">
        <f ca="1">IFERROR(__xludf.DUMMYFUNCTION("""COMPUTED_VALUE"""),3.31419306808668)</f>
        <v>3.3141930680866798</v>
      </c>
      <c r="I290" s="17">
        <f ca="1">IFERROR(__xludf.DUMMYFUNCTION("""COMPUTED_VALUE"""),0.561916204644505)</f>
        <v>0.56191620464450498</v>
      </c>
      <c r="J290" s="17">
        <f ca="1">IFERROR(__xludf.DUMMYFUNCTION("""COMPUTED_VALUE"""),0.827388246768706)</f>
        <v>0.82738824676870604</v>
      </c>
      <c r="K290" s="17" t="str">
        <f ca="1">IFERROR(__xludf.DUMMYFUNCTION("""COMPUTED_VALUE"""),"nan")</f>
        <v>nan</v>
      </c>
      <c r="L290" s="17">
        <f ca="1">IFERROR(__xludf.DUMMYFUNCTION("""COMPUTED_VALUE"""),0.655832107052138)</f>
        <v>0.65583210705213801</v>
      </c>
      <c r="M290" s="17">
        <f ca="1">IFERROR(__xludf.DUMMYFUNCTION("""COMPUTED_VALUE"""),0.718806075559706)</f>
        <v>0.71880607555970599</v>
      </c>
      <c r="N290" s="17">
        <f ca="1">IFERROR(__xludf.DUMMYFUNCTION("""COMPUTED_VALUE"""),0.646931288897105)</f>
        <v>0.64693128889710505</v>
      </c>
      <c r="O290" s="17">
        <f ca="1">IFERROR(__xludf.DUMMYFUNCTION("""COMPUTED_VALUE"""),0.639941721723661)</f>
        <v>0.63994172172366104</v>
      </c>
      <c r="P290" s="17">
        <f ca="1">IFERROR(__xludf.DUMMYFUNCTION("""COMPUTED_VALUE"""),0.802382942780444)</f>
        <v>0.80238294278044398</v>
      </c>
      <c r="Q290" s="17">
        <f ca="1">IFERROR(__xludf.DUMMYFUNCTION("""COMPUTED_VALUE"""),0.709514985459672)</f>
        <v>0.70951498545967195</v>
      </c>
      <c r="R290" s="17">
        <f ca="1">IFERROR(__xludf.DUMMYFUNCTION("""COMPUTED_VALUE"""),0.596497230915209)</f>
        <v>0.59649723091520901</v>
      </c>
      <c r="S290" s="17">
        <f ca="1">IFERROR(__xludf.DUMMYFUNCTION("""COMPUTED_VALUE"""),0.617779935296593)</f>
        <v>0.61777993529659303</v>
      </c>
      <c r="T290" s="17">
        <f ca="1">IFERROR(__xludf.DUMMYFUNCTION("""COMPUTED_VALUE"""),0.682715006567329)</f>
        <v>0.68271500656732897</v>
      </c>
      <c r="U290" s="17">
        <f ca="1">IFERROR(__xludf.DUMMYFUNCTION("""COMPUTED_VALUE"""),0.599859575780376)</f>
        <v>0.59985957578037596</v>
      </c>
      <c r="V290" s="17">
        <f ca="1">IFERROR(__xludf.DUMMYFUNCTION("""COMPUTED_VALUE"""),0.582573410045448)</f>
        <v>0.58257341004544805</v>
      </c>
      <c r="W290" s="17">
        <f ca="1">IFERROR(__xludf.DUMMYFUNCTION("""COMPUTED_VALUE"""),0.561319554930126)</f>
        <v>0.56131955493012597</v>
      </c>
      <c r="X290" s="17">
        <f ca="1">IFERROR(__xludf.DUMMYFUNCTION("""COMPUTED_VALUE"""),0.57439958645263)</f>
        <v>0.57439958645263001</v>
      </c>
      <c r="Y290" s="17">
        <f ca="1">IFERROR(__xludf.DUMMYFUNCTION("""COMPUTED_VALUE"""),0.540814312032095)</f>
        <v>0.54081431203209496</v>
      </c>
      <c r="Z290" s="17">
        <f ca="1">IFERROR(__xludf.DUMMYFUNCTION("""COMPUTED_VALUE"""),0.612738407872046)</f>
        <v>0.61273840787204603</v>
      </c>
      <c r="AA290" s="17">
        <f ca="1">IFERROR(__xludf.DUMMYFUNCTION("""COMPUTED_VALUE"""),0.720426008253634)</f>
        <v>0.72042600825363401</v>
      </c>
      <c r="AB290" s="17">
        <f ca="1">IFERROR(__xludf.DUMMYFUNCTION("""COMPUTED_VALUE"""),2.08088796892385)</f>
        <v>2.0808879689238502</v>
      </c>
      <c r="AC290" s="17">
        <f ca="1">IFERROR(__xludf.DUMMYFUNCTION("""COMPUTED_VALUE"""),0.626805547433216)</f>
        <v>0.62680554743321604</v>
      </c>
      <c r="AD290" s="17">
        <f ca="1">IFERROR(__xludf.DUMMYFUNCTION("""COMPUTED_VALUE"""),0.593821717355109)</f>
        <v>0.59382171735510902</v>
      </c>
      <c r="AE290" s="17">
        <f ca="1">IFERROR(__xludf.DUMMYFUNCTION("""COMPUTED_VALUE"""),0.64316564723624)</f>
        <v>0.64316564723624003</v>
      </c>
      <c r="AF290" s="17">
        <f ca="1">IFERROR(__xludf.DUMMYFUNCTION("""COMPUTED_VALUE"""),0.630164702777379)</f>
        <v>0.63016470277737902</v>
      </c>
      <c r="AG290" s="17">
        <f ca="1">IFERROR(__xludf.DUMMYFUNCTION("""COMPUTED_VALUE"""),0.643970253675943)</f>
        <v>0.64397025367594296</v>
      </c>
      <c r="AH290" s="17">
        <f ca="1">IFERROR(__xludf.DUMMYFUNCTION("""COMPUTED_VALUE"""),0.629438280255291)</f>
        <v>0.62943828025529103</v>
      </c>
      <c r="AI290" s="17">
        <f ca="1">IFERROR(__xludf.DUMMYFUNCTION("""COMPUTED_VALUE"""),0.624797294456543)</f>
        <v>0.62479729445654297</v>
      </c>
      <c r="AJ290" s="17">
        <f ca="1">IFERROR(__xludf.DUMMYFUNCTION("""COMPUTED_VALUE"""),0.568774251872377)</f>
        <v>0.56877425187237696</v>
      </c>
    </row>
    <row r="291" spans="2:36" ht="15.75" customHeight="1" x14ac:dyDescent="0.45">
      <c r="B291" s="10" t="str">
        <f ca="1">IFERROR(__xludf.DUMMYFUNCTION("""COMPUTED_VALUE"""),"FacesUCR")</f>
        <v>FacesUCR</v>
      </c>
      <c r="C291" s="10" t="str">
        <f ca="1">IFERROR(__xludf.DUMMYFUNCTION("""COMPUTED_VALUE"""),"aligned_series")</f>
        <v>aligned_series</v>
      </c>
      <c r="D291" s="10">
        <f ca="1">IFERROR(__xludf.DUMMYFUNCTION("""COMPUTED_VALUE"""),0.8)</f>
        <v>0.8</v>
      </c>
      <c r="E291" s="17">
        <f ca="1">IFERROR(__xludf.DUMMYFUNCTION("""COMPUTED_VALUE"""),0.585327336217547)</f>
        <v>0.58532733621754696</v>
      </c>
      <c r="F291" s="17">
        <f ca="1">IFERROR(__xludf.DUMMYFUNCTION("""COMPUTED_VALUE"""),0.608747590622625)</f>
        <v>0.60874759062262496</v>
      </c>
      <c r="G291" s="17">
        <f ca="1">IFERROR(__xludf.DUMMYFUNCTION("""COMPUTED_VALUE"""),0.650091887953807)</f>
        <v>0.65009188795380701</v>
      </c>
      <c r="H291" s="17">
        <f ca="1">IFERROR(__xludf.DUMMYFUNCTION("""COMPUTED_VALUE"""),100)</f>
        <v>100</v>
      </c>
      <c r="I291" s="17">
        <f ca="1">IFERROR(__xludf.DUMMYFUNCTION("""COMPUTED_VALUE"""),0.564826973828769)</f>
        <v>0.56482697382876901</v>
      </c>
      <c r="J291" s="17">
        <f ca="1">IFERROR(__xludf.DUMMYFUNCTION("""COMPUTED_VALUE"""),0.806737703012262)</f>
        <v>0.806737703012262</v>
      </c>
      <c r="K291" s="17" t="str">
        <f ca="1">IFERROR(__xludf.DUMMYFUNCTION("""COMPUTED_VALUE"""),"nan")</f>
        <v>nan</v>
      </c>
      <c r="L291" s="17">
        <f ca="1">IFERROR(__xludf.DUMMYFUNCTION("""COMPUTED_VALUE"""),0.714423695261182)</f>
        <v>0.71442369526118199</v>
      </c>
      <c r="M291" s="17">
        <f ca="1">IFERROR(__xludf.DUMMYFUNCTION("""COMPUTED_VALUE"""),0.728888677079971)</f>
        <v>0.72888867707997096</v>
      </c>
      <c r="N291" s="17">
        <f ca="1">IFERROR(__xludf.DUMMYFUNCTION("""COMPUTED_VALUE"""),0.631077440089775)</f>
        <v>0.63107744008977495</v>
      </c>
      <c r="O291" s="17">
        <f ca="1">IFERROR(__xludf.DUMMYFUNCTION("""COMPUTED_VALUE"""),0.603801629239439)</f>
        <v>0.60380162923943903</v>
      </c>
      <c r="P291" s="17">
        <f ca="1">IFERROR(__xludf.DUMMYFUNCTION("""COMPUTED_VALUE"""),0.841230351440922)</f>
        <v>0.84123035144092195</v>
      </c>
      <c r="Q291" s="17">
        <f ca="1">IFERROR(__xludf.DUMMYFUNCTION("""COMPUTED_VALUE"""),0.620553088054844)</f>
        <v>0.62055308805484399</v>
      </c>
      <c r="R291" s="17">
        <f ca="1">IFERROR(__xludf.DUMMYFUNCTION("""COMPUTED_VALUE"""),0.59049341098139)</f>
        <v>0.59049341098138997</v>
      </c>
      <c r="S291" s="17">
        <f ca="1">IFERROR(__xludf.DUMMYFUNCTION("""COMPUTED_VALUE"""),0.61041913745461)</f>
        <v>0.61041913745460996</v>
      </c>
      <c r="T291" s="17">
        <f ca="1">IFERROR(__xludf.DUMMYFUNCTION("""COMPUTED_VALUE"""),0.711448442070614)</f>
        <v>0.71144844207061397</v>
      </c>
      <c r="U291" s="17">
        <f ca="1">IFERROR(__xludf.DUMMYFUNCTION("""COMPUTED_VALUE"""),0.613501451950704)</f>
        <v>0.61350145195070405</v>
      </c>
      <c r="V291" s="17">
        <f ca="1">IFERROR(__xludf.DUMMYFUNCTION("""COMPUTED_VALUE"""),0.595050768862434)</f>
        <v>0.59505076886243402</v>
      </c>
      <c r="W291" s="17">
        <f ca="1">IFERROR(__xludf.DUMMYFUNCTION("""COMPUTED_VALUE"""),0.594171201408741)</f>
        <v>0.59417120140874102</v>
      </c>
      <c r="X291" s="17">
        <f ca="1">IFERROR(__xludf.DUMMYFUNCTION("""COMPUTED_VALUE"""),0.575173511400078)</f>
        <v>0.575173511400078</v>
      </c>
      <c r="Y291" s="17">
        <f ca="1">IFERROR(__xludf.DUMMYFUNCTION("""COMPUTED_VALUE"""),0.54090274965597)</f>
        <v>0.54090274965596996</v>
      </c>
      <c r="Z291" s="17">
        <f ca="1">IFERROR(__xludf.DUMMYFUNCTION("""COMPUTED_VALUE"""),0.618722909110518)</f>
        <v>0.61872290911051797</v>
      </c>
      <c r="AA291" s="17">
        <f ca="1">IFERROR(__xludf.DUMMYFUNCTION("""COMPUTED_VALUE"""),0.679445393697408)</f>
        <v>0.67944539369740797</v>
      </c>
      <c r="AB291" s="17">
        <f ca="1">IFERROR(__xludf.DUMMYFUNCTION("""COMPUTED_VALUE"""),2.45467793884625)</f>
        <v>2.4546779388462499</v>
      </c>
      <c r="AC291" s="17">
        <f ca="1">IFERROR(__xludf.DUMMYFUNCTION("""COMPUTED_VALUE"""),0.646791160451486)</f>
        <v>0.64679116045148599</v>
      </c>
      <c r="AD291" s="17">
        <f ca="1">IFERROR(__xludf.DUMMYFUNCTION("""COMPUTED_VALUE"""),0.593342215892057)</f>
        <v>0.59334221589205705</v>
      </c>
      <c r="AE291" s="17">
        <f ca="1">IFERROR(__xludf.DUMMYFUNCTION("""COMPUTED_VALUE"""),0.636830982492678)</f>
        <v>0.636830982492678</v>
      </c>
      <c r="AF291" s="17">
        <f ca="1">IFERROR(__xludf.DUMMYFUNCTION("""COMPUTED_VALUE"""),0.662676342613596)</f>
        <v>0.66267634261359598</v>
      </c>
      <c r="AG291" s="17">
        <f ca="1">IFERROR(__xludf.DUMMYFUNCTION("""COMPUTED_VALUE"""),0.63784020915899)</f>
        <v>0.63784020915898998</v>
      </c>
      <c r="AH291" s="17">
        <f ca="1">IFERROR(__xludf.DUMMYFUNCTION("""COMPUTED_VALUE"""),0.623667045064159)</f>
        <v>0.62366704506415904</v>
      </c>
      <c r="AI291" s="17">
        <f ca="1">IFERROR(__xludf.DUMMYFUNCTION("""COMPUTED_VALUE"""),0.619406317010534)</f>
        <v>0.61940631701053395</v>
      </c>
      <c r="AJ291" s="17">
        <f ca="1">IFERROR(__xludf.DUMMYFUNCTION("""COMPUTED_VALUE"""),0.582222462559199)</f>
        <v>0.58222246255919896</v>
      </c>
    </row>
    <row r="292" spans="2:36" ht="15.75" customHeight="1" x14ac:dyDescent="0.45">
      <c r="B292" s="10" t="str">
        <f ca="1">IFERROR(__xludf.DUMMYFUNCTION("""COMPUTED_VALUE"""),"FacesUCR")</f>
        <v>FacesUCR</v>
      </c>
      <c r="C292" s="10" t="str">
        <f ca="1">IFERROR(__xludf.DUMMYFUNCTION("""COMPUTED_VALUE"""),"aligned_timestamps")</f>
        <v>aligned_timestamps</v>
      </c>
      <c r="D292" s="10">
        <f ca="1">IFERROR(__xludf.DUMMYFUNCTION("""COMPUTED_VALUE"""),0.1)</f>
        <v>0.1</v>
      </c>
      <c r="E292" s="17">
        <f ca="1">IFERROR(__xludf.DUMMYFUNCTION("""COMPUTED_VALUE"""),0.59344366132109)</f>
        <v>0.59344366132109005</v>
      </c>
      <c r="F292" s="17">
        <f ca="1">IFERROR(__xludf.DUMMYFUNCTION("""COMPUTED_VALUE"""),1.05409264514772)</f>
        <v>1.0540926451477199</v>
      </c>
      <c r="G292" s="17">
        <f ca="1">IFERROR(__xludf.DUMMYFUNCTION("""COMPUTED_VALUE"""),1.44905070229856)</f>
        <v>1.4490507022985599</v>
      </c>
      <c r="H292" s="17">
        <f ca="1">IFERROR(__xludf.DUMMYFUNCTION("""COMPUTED_VALUE"""),0.842781518392714)</f>
        <v>0.84278151839271398</v>
      </c>
      <c r="I292" s="17">
        <f ca="1">IFERROR(__xludf.DUMMYFUNCTION("""COMPUTED_VALUE"""),0.531040046861558)</f>
        <v>0.53104004686155803</v>
      </c>
      <c r="J292" s="17">
        <f ca="1">IFERROR(__xludf.DUMMYFUNCTION("""COMPUTED_VALUE"""),0.811004299487354)</f>
        <v>0.81100429948735397</v>
      </c>
      <c r="K292" s="17" t="str">
        <f ca="1">IFERROR(__xludf.DUMMYFUNCTION("""COMPUTED_VALUE"""),"nan")</f>
        <v>nan</v>
      </c>
      <c r="L292" s="17">
        <f ca="1">IFERROR(__xludf.DUMMYFUNCTION("""COMPUTED_VALUE"""),0.592377450989781)</f>
        <v>0.59237745098978101</v>
      </c>
      <c r="M292" s="17">
        <f ca="1">IFERROR(__xludf.DUMMYFUNCTION("""COMPUTED_VALUE"""),0.619988478898021)</f>
        <v>0.619988478898021</v>
      </c>
      <c r="N292" s="17">
        <f ca="1">IFERROR(__xludf.DUMMYFUNCTION("""COMPUTED_VALUE"""),0.679854854511495)</f>
        <v>0.67985485451149497</v>
      </c>
      <c r="O292" s="17">
        <f ca="1">IFERROR(__xludf.DUMMYFUNCTION("""COMPUTED_VALUE"""),0.848865352696297)</f>
        <v>0.84886535269629704</v>
      </c>
      <c r="P292" s="17">
        <f ca="1">IFERROR(__xludf.DUMMYFUNCTION("""COMPUTED_VALUE"""),0.601675850847961)</f>
        <v>0.60167585084796105</v>
      </c>
      <c r="Q292" s="17">
        <f ca="1">IFERROR(__xludf.DUMMYFUNCTION("""COMPUTED_VALUE"""),0.694933938076571)</f>
        <v>0.694933938076571</v>
      </c>
      <c r="R292" s="17">
        <f ca="1">IFERROR(__xludf.DUMMYFUNCTION("""COMPUTED_VALUE"""),0.580687119936039)</f>
        <v>0.58068711993603905</v>
      </c>
      <c r="S292" s="17">
        <f ca="1">IFERROR(__xludf.DUMMYFUNCTION("""COMPUTED_VALUE"""),0.59445141327219)</f>
        <v>0.59445141327218998</v>
      </c>
      <c r="T292" s="17">
        <f ca="1">IFERROR(__xludf.DUMMYFUNCTION("""COMPUTED_VALUE"""),0.594971864856388)</f>
        <v>0.59497186485638798</v>
      </c>
      <c r="U292" s="17">
        <f ca="1">IFERROR(__xludf.DUMMYFUNCTION("""COMPUTED_VALUE"""),0.577614680245984)</f>
        <v>0.57761468024598395</v>
      </c>
      <c r="V292" s="17">
        <f ca="1">IFERROR(__xludf.DUMMYFUNCTION("""COMPUTED_VALUE"""),0.488897006138806)</f>
        <v>0.48889700613880599</v>
      </c>
      <c r="W292" s="17">
        <f ca="1">IFERROR(__xludf.DUMMYFUNCTION("""COMPUTED_VALUE"""),0.50126043860021)</f>
        <v>0.50126043860020997</v>
      </c>
      <c r="X292" s="17">
        <f ca="1">IFERROR(__xludf.DUMMYFUNCTION("""COMPUTED_VALUE"""),0.55771205440166)</f>
        <v>0.55771205440166005</v>
      </c>
      <c r="Y292" s="17">
        <f ca="1">IFERROR(__xludf.DUMMYFUNCTION("""COMPUTED_VALUE"""),0.471794460596193)</f>
        <v>0.47179446059619301</v>
      </c>
      <c r="Z292" s="17">
        <f ca="1">IFERROR(__xludf.DUMMYFUNCTION("""COMPUTED_VALUE"""),0.564779320767703)</f>
        <v>0.56477932076770299</v>
      </c>
      <c r="AA292" s="17">
        <f ca="1">IFERROR(__xludf.DUMMYFUNCTION("""COMPUTED_VALUE"""),0.928969104770932)</f>
        <v>0.92896910477093197</v>
      </c>
      <c r="AB292" s="17">
        <f ca="1">IFERROR(__xludf.DUMMYFUNCTION("""COMPUTED_VALUE"""),0.666165659438181)</f>
        <v>0.66616565943818096</v>
      </c>
      <c r="AC292" s="17">
        <f ca="1">IFERROR(__xludf.DUMMYFUNCTION("""COMPUTED_VALUE"""),0.615352605204203)</f>
        <v>0.61535260520420298</v>
      </c>
      <c r="AD292" s="17">
        <f ca="1">IFERROR(__xludf.DUMMYFUNCTION("""COMPUTED_VALUE"""),0.587972184425541)</f>
        <v>0.587972184425541</v>
      </c>
      <c r="AE292" s="17">
        <f ca="1">IFERROR(__xludf.DUMMYFUNCTION("""COMPUTED_VALUE"""),0.640845847463677)</f>
        <v>0.64084584746367701</v>
      </c>
      <c r="AF292" s="17">
        <f ca="1">IFERROR(__xludf.DUMMYFUNCTION("""COMPUTED_VALUE"""),0.747372842006914)</f>
        <v>0.74737284200691401</v>
      </c>
      <c r="AG292" s="17">
        <f ca="1">IFERROR(__xludf.DUMMYFUNCTION("""COMPUTED_VALUE"""),0.651746057550457)</f>
        <v>0.651746057550457</v>
      </c>
      <c r="AH292" s="17">
        <f ca="1">IFERROR(__xludf.DUMMYFUNCTION("""COMPUTED_VALUE"""),0.730201269989504)</f>
        <v>0.73020126998950396</v>
      </c>
      <c r="AI292" s="17">
        <f ca="1">IFERROR(__xludf.DUMMYFUNCTION("""COMPUTED_VALUE"""),0.690044984856554)</f>
        <v>0.69004498485655397</v>
      </c>
      <c r="AJ292" s="17">
        <f ca="1">IFERROR(__xludf.DUMMYFUNCTION("""COMPUTED_VALUE"""),0.549551182830758)</f>
        <v>0.54955118283075799</v>
      </c>
    </row>
    <row r="293" spans="2:36" ht="15.75" customHeight="1" x14ac:dyDescent="0.45">
      <c r="B293" s="10" t="str">
        <f ca="1">IFERROR(__xludf.DUMMYFUNCTION("""COMPUTED_VALUE"""),"FacesUCR")</f>
        <v>FacesUCR</v>
      </c>
      <c r="C293" s="10" t="str">
        <f ca="1">IFERROR(__xludf.DUMMYFUNCTION("""COMPUTED_VALUE"""),"aligned_timestamps")</f>
        <v>aligned_timestamps</v>
      </c>
      <c r="D293" s="10">
        <f ca="1">IFERROR(__xludf.DUMMYFUNCTION("""COMPUTED_VALUE"""),0.2)</f>
        <v>0.2</v>
      </c>
      <c r="E293" s="17">
        <f ca="1">IFERROR(__xludf.DUMMYFUNCTION("""COMPUTED_VALUE"""),0.570249118227716)</f>
        <v>0.57024911822771596</v>
      </c>
      <c r="F293" s="17">
        <f ca="1">IFERROR(__xludf.DUMMYFUNCTION("""COMPUTED_VALUE"""),0.857448360306696)</f>
        <v>0.85744836030669602</v>
      </c>
      <c r="G293" s="17">
        <f ca="1">IFERROR(__xludf.DUMMYFUNCTION("""COMPUTED_VALUE"""),1.19129205789768)</f>
        <v>1.19129205789768</v>
      </c>
      <c r="H293" s="17">
        <f ca="1">IFERROR(__xludf.DUMMYFUNCTION("""COMPUTED_VALUE"""),0.748338720232503)</f>
        <v>0.74833872023250303</v>
      </c>
      <c r="I293" s="17">
        <f ca="1">IFERROR(__xludf.DUMMYFUNCTION("""COMPUTED_VALUE"""),0.518069333214898)</f>
        <v>0.51806933321489801</v>
      </c>
      <c r="J293" s="17">
        <f ca="1">IFERROR(__xludf.DUMMYFUNCTION("""COMPUTED_VALUE"""),0.763691986955649)</f>
        <v>0.76369198695564899</v>
      </c>
      <c r="K293" s="17" t="str">
        <f ca="1">IFERROR(__xludf.DUMMYFUNCTION("""COMPUTED_VALUE"""),"nan")</f>
        <v>nan</v>
      </c>
      <c r="L293" s="17">
        <f ca="1">IFERROR(__xludf.DUMMYFUNCTION("""COMPUTED_VALUE"""),0.580719789287486)</f>
        <v>0.58071978928748602</v>
      </c>
      <c r="M293" s="17">
        <f ca="1">IFERROR(__xludf.DUMMYFUNCTION("""COMPUTED_VALUE"""),0.623178804771514)</f>
        <v>0.62317880477151399</v>
      </c>
      <c r="N293" s="17">
        <f ca="1">IFERROR(__xludf.DUMMYFUNCTION("""COMPUTED_VALUE"""),0.597852157746168)</f>
        <v>0.59785215774616796</v>
      </c>
      <c r="O293" s="17">
        <f ca="1">IFERROR(__xludf.DUMMYFUNCTION("""COMPUTED_VALUE"""),0.703587814525359)</f>
        <v>0.70358781452535901</v>
      </c>
      <c r="P293" s="17">
        <f ca="1">IFERROR(__xludf.DUMMYFUNCTION("""COMPUTED_VALUE"""),0.595643037279896)</f>
        <v>0.59564303727989598</v>
      </c>
      <c r="Q293" s="17">
        <f ca="1">IFERROR(__xludf.DUMMYFUNCTION("""COMPUTED_VALUE"""),0.744447650471849)</f>
        <v>0.74444765047184902</v>
      </c>
      <c r="R293" s="17">
        <f ca="1">IFERROR(__xludf.DUMMYFUNCTION("""COMPUTED_VALUE"""),0.599505385280744)</f>
        <v>0.59950538528074404</v>
      </c>
      <c r="S293" s="17">
        <f ca="1">IFERROR(__xludf.DUMMYFUNCTION("""COMPUTED_VALUE"""),0.594141722291882)</f>
        <v>0.594141722291882</v>
      </c>
      <c r="T293" s="17">
        <f ca="1">IFERROR(__xludf.DUMMYFUNCTION("""COMPUTED_VALUE"""),0.579960808614939)</f>
        <v>0.57996080861493904</v>
      </c>
      <c r="U293" s="17">
        <f ca="1">IFERROR(__xludf.DUMMYFUNCTION("""COMPUTED_VALUE"""),0.549869460646343)</f>
        <v>0.54986946064634301</v>
      </c>
      <c r="V293" s="17">
        <f ca="1">IFERROR(__xludf.DUMMYFUNCTION("""COMPUTED_VALUE"""),0.499297244651206)</f>
        <v>0.49929724465120601</v>
      </c>
      <c r="W293" s="17">
        <f ca="1">IFERROR(__xludf.DUMMYFUNCTION("""COMPUTED_VALUE"""),0.529345566979218)</f>
        <v>0.52934556697921797</v>
      </c>
      <c r="X293" s="17">
        <f ca="1">IFERROR(__xludf.DUMMYFUNCTION("""COMPUTED_VALUE"""),0.547708220402266)</f>
        <v>0.54770822040226597</v>
      </c>
      <c r="Y293" s="17">
        <f ca="1">IFERROR(__xludf.DUMMYFUNCTION("""COMPUTED_VALUE"""),0.51644328063911)</f>
        <v>0.51644328063911005</v>
      </c>
      <c r="Z293" s="17">
        <f ca="1">IFERROR(__xludf.DUMMYFUNCTION("""COMPUTED_VALUE"""),0.579017567887407)</f>
        <v>0.57901756788740699</v>
      </c>
      <c r="AA293" s="17">
        <f ca="1">IFERROR(__xludf.DUMMYFUNCTION("""COMPUTED_VALUE"""),0.840375044289491)</f>
        <v>0.84037504428949095</v>
      </c>
      <c r="AB293" s="17">
        <f ca="1">IFERROR(__xludf.DUMMYFUNCTION("""COMPUTED_VALUE"""),0.71672023353464)</f>
        <v>0.71672023353463998</v>
      </c>
      <c r="AC293" s="17">
        <f ca="1">IFERROR(__xludf.DUMMYFUNCTION("""COMPUTED_VALUE"""),0.575445769016224)</f>
        <v>0.57544576901622402</v>
      </c>
      <c r="AD293" s="17">
        <f ca="1">IFERROR(__xludf.DUMMYFUNCTION("""COMPUTED_VALUE"""),0.555327508218426)</f>
        <v>0.55532750821842602</v>
      </c>
      <c r="AE293" s="17">
        <f ca="1">IFERROR(__xludf.DUMMYFUNCTION("""COMPUTED_VALUE"""),0.660954580010014)</f>
        <v>0.66095458001001395</v>
      </c>
      <c r="AF293" s="17">
        <f ca="1">IFERROR(__xludf.DUMMYFUNCTION("""COMPUTED_VALUE"""),0.532548019410744)</f>
        <v>0.53254801941074403</v>
      </c>
      <c r="AG293" s="17">
        <f ca="1">IFERROR(__xludf.DUMMYFUNCTION("""COMPUTED_VALUE"""),0.6440443413433)</f>
        <v>0.64404434134330002</v>
      </c>
      <c r="AH293" s="17">
        <f ca="1">IFERROR(__xludf.DUMMYFUNCTION("""COMPUTED_VALUE"""),0.611615393081267)</f>
        <v>0.611615393081267</v>
      </c>
      <c r="AI293" s="17">
        <f ca="1">IFERROR(__xludf.DUMMYFUNCTION("""COMPUTED_VALUE"""),0.604656734061498)</f>
        <v>0.604656734061498</v>
      </c>
      <c r="AJ293" s="17">
        <f ca="1">IFERROR(__xludf.DUMMYFUNCTION("""COMPUTED_VALUE"""),0.529892296688341)</f>
        <v>0.52989229668834104</v>
      </c>
    </row>
    <row r="294" spans="2:36" ht="15.75" customHeight="1" x14ac:dyDescent="0.45">
      <c r="B294" s="10" t="str">
        <f ca="1">IFERROR(__xludf.DUMMYFUNCTION("""COMPUTED_VALUE"""),"FacesUCR")</f>
        <v>FacesUCR</v>
      </c>
      <c r="C294" s="10" t="str">
        <f ca="1">IFERROR(__xludf.DUMMYFUNCTION("""COMPUTED_VALUE"""),"aligned_timestamps")</f>
        <v>aligned_timestamps</v>
      </c>
      <c r="D294" s="10">
        <f ca="1">IFERROR(__xludf.DUMMYFUNCTION("""COMPUTED_VALUE"""),0.4)</f>
        <v>0.4</v>
      </c>
      <c r="E294" s="17">
        <f ca="1">IFERROR(__xludf.DUMMYFUNCTION("""COMPUTED_VALUE"""),0.598099273610097)</f>
        <v>0.59809927361009696</v>
      </c>
      <c r="F294" s="17">
        <f ca="1">IFERROR(__xludf.DUMMYFUNCTION("""COMPUTED_VALUE"""),0.766606698357857)</f>
        <v>0.766606698357857</v>
      </c>
      <c r="G294" s="17">
        <f ca="1">IFERROR(__xludf.DUMMYFUNCTION("""COMPUTED_VALUE"""),0.960124389833203)</f>
        <v>0.96012438983320303</v>
      </c>
      <c r="H294" s="17">
        <f ca="1">IFERROR(__xludf.DUMMYFUNCTION("""COMPUTED_VALUE"""),0.705140563289255)</f>
        <v>0.70514056328925501</v>
      </c>
      <c r="I294" s="17">
        <f ca="1">IFERROR(__xludf.DUMMYFUNCTION("""COMPUTED_VALUE"""),0.535959694785588)</f>
        <v>0.53595969478558803</v>
      </c>
      <c r="J294" s="17">
        <f ca="1">IFERROR(__xludf.DUMMYFUNCTION("""COMPUTED_VALUE"""),0.866557895155474)</f>
        <v>0.86655789515547399</v>
      </c>
      <c r="K294" s="17" t="str">
        <f ca="1">IFERROR(__xludf.DUMMYFUNCTION("""COMPUTED_VALUE"""),"nan")</f>
        <v>nan</v>
      </c>
      <c r="L294" s="17">
        <f ca="1">IFERROR(__xludf.DUMMYFUNCTION("""COMPUTED_VALUE"""),0.618663961788493)</f>
        <v>0.61866396178849303</v>
      </c>
      <c r="M294" s="17">
        <f ca="1">IFERROR(__xludf.DUMMYFUNCTION("""COMPUTED_VALUE"""),0.654624163644402)</f>
        <v>0.65462416364440201</v>
      </c>
      <c r="N294" s="17">
        <f ca="1">IFERROR(__xludf.DUMMYFUNCTION("""COMPUTED_VALUE"""),0.597471050455223)</f>
        <v>0.59747105045522297</v>
      </c>
      <c r="O294" s="17">
        <f ca="1">IFERROR(__xludf.DUMMYFUNCTION("""COMPUTED_VALUE"""),0.655903607186421)</f>
        <v>0.65590360718642104</v>
      </c>
      <c r="P294" s="17">
        <f ca="1">IFERROR(__xludf.DUMMYFUNCTION("""COMPUTED_VALUE"""),0.628407133500738)</f>
        <v>0.62840713350073796</v>
      </c>
      <c r="Q294" s="17">
        <f ca="1">IFERROR(__xludf.DUMMYFUNCTION("""COMPUTED_VALUE"""),0.797828138504667)</f>
        <v>0.79782813850466705</v>
      </c>
      <c r="R294" s="17">
        <f ca="1">IFERROR(__xludf.DUMMYFUNCTION("""COMPUTED_VALUE"""),0.645510822531704)</f>
        <v>0.645510822531704</v>
      </c>
      <c r="S294" s="17">
        <f ca="1">IFERROR(__xludf.DUMMYFUNCTION("""COMPUTED_VALUE"""),0.625822045970492)</f>
        <v>0.62582204597049196</v>
      </c>
      <c r="T294" s="17">
        <f ca="1">IFERROR(__xludf.DUMMYFUNCTION("""COMPUTED_VALUE"""),0.631056926740786)</f>
        <v>0.63105692674078595</v>
      </c>
      <c r="U294" s="17">
        <f ca="1">IFERROR(__xludf.DUMMYFUNCTION("""COMPUTED_VALUE"""),0.612833486510652)</f>
        <v>0.61283348651065195</v>
      </c>
      <c r="V294" s="17">
        <f ca="1">IFERROR(__xludf.DUMMYFUNCTION("""COMPUTED_VALUE"""),0.574925279609801)</f>
        <v>0.574925279609801</v>
      </c>
      <c r="W294" s="17">
        <f ca="1">IFERROR(__xludf.DUMMYFUNCTION("""COMPUTED_VALUE"""),0.535166112224839)</f>
        <v>0.53516611222483901</v>
      </c>
      <c r="X294" s="17">
        <f ca="1">IFERROR(__xludf.DUMMYFUNCTION("""COMPUTED_VALUE"""),0.600128350862886)</f>
        <v>0.60012835086288596</v>
      </c>
      <c r="Y294" s="17">
        <f ca="1">IFERROR(__xludf.DUMMYFUNCTION("""COMPUTED_VALUE"""),0.534192557754414)</f>
        <v>0.53419255775441399</v>
      </c>
      <c r="Z294" s="17">
        <f ca="1">IFERROR(__xludf.DUMMYFUNCTION("""COMPUTED_VALUE"""),0.620628089891549)</f>
        <v>0.62062808989154905</v>
      </c>
      <c r="AA294" s="17">
        <f ca="1">IFERROR(__xludf.DUMMYFUNCTION("""COMPUTED_VALUE"""),0.801411660192016)</f>
        <v>0.80141166019201604</v>
      </c>
      <c r="AB294" s="17">
        <f ca="1">IFERROR(__xludf.DUMMYFUNCTION("""COMPUTED_VALUE"""),0.831119759477913)</f>
        <v>0.83111975947791294</v>
      </c>
      <c r="AC294" s="17">
        <f ca="1">IFERROR(__xludf.DUMMYFUNCTION("""COMPUTED_VALUE"""),0.613646433129431)</f>
        <v>0.61364643312943101</v>
      </c>
      <c r="AD294" s="17">
        <f ca="1">IFERROR(__xludf.DUMMYFUNCTION("""COMPUTED_VALUE"""),0.585362594029568)</f>
        <v>0.58536259402956803</v>
      </c>
      <c r="AE294" s="17">
        <f ca="1">IFERROR(__xludf.DUMMYFUNCTION("""COMPUTED_VALUE"""),0.760454269095793)</f>
        <v>0.76045426909579295</v>
      </c>
      <c r="AF294" s="17">
        <f ca="1">IFERROR(__xludf.DUMMYFUNCTION("""COMPUTED_VALUE"""),0.569669907881901)</f>
        <v>0.56966990788190097</v>
      </c>
      <c r="AG294" s="17">
        <f ca="1">IFERROR(__xludf.DUMMYFUNCTION("""COMPUTED_VALUE"""),0.678981973651258)</f>
        <v>0.67898197365125801</v>
      </c>
      <c r="AH294" s="17">
        <f ca="1">IFERROR(__xludf.DUMMYFUNCTION("""COMPUTED_VALUE"""),0.596280918959903)</f>
        <v>0.59628091895990298</v>
      </c>
      <c r="AI294" s="17">
        <f ca="1">IFERROR(__xludf.DUMMYFUNCTION("""COMPUTED_VALUE"""),0.595675764967547)</f>
        <v>0.59567576496754704</v>
      </c>
      <c r="AJ294" s="17">
        <f ca="1">IFERROR(__xludf.DUMMYFUNCTION("""COMPUTED_VALUE"""),0.585541424067886)</f>
        <v>0.58554142406788601</v>
      </c>
    </row>
    <row r="295" spans="2:36" ht="15.75" customHeight="1" x14ac:dyDescent="0.45">
      <c r="B295" s="10" t="str">
        <f ca="1">IFERROR(__xludf.DUMMYFUNCTION("""COMPUTED_VALUE"""),"FacesUCR")</f>
        <v>FacesUCR</v>
      </c>
      <c r="C295" s="10" t="str">
        <f ca="1">IFERROR(__xludf.DUMMYFUNCTION("""COMPUTED_VALUE"""),"aligned_timestamps")</f>
        <v>aligned_timestamps</v>
      </c>
      <c r="D295" s="10">
        <f ca="1">IFERROR(__xludf.DUMMYFUNCTION("""COMPUTED_VALUE"""),0.6)</f>
        <v>0.6</v>
      </c>
      <c r="E295" s="17">
        <f ca="1">IFERROR(__xludf.DUMMYFUNCTION("""COMPUTED_VALUE"""),0.700462171649968)</f>
        <v>0.70046217164996805</v>
      </c>
      <c r="F295" s="17">
        <f ca="1">IFERROR(__xludf.DUMMYFUNCTION("""COMPUTED_VALUE"""),0.789386381793502)</f>
        <v>0.78938638179350196</v>
      </c>
      <c r="G295" s="17">
        <f ca="1">IFERROR(__xludf.DUMMYFUNCTION("""COMPUTED_VALUE"""),0.941511297832462)</f>
        <v>0.94151129783246201</v>
      </c>
      <c r="H295" s="17">
        <f ca="1">IFERROR(__xludf.DUMMYFUNCTION("""COMPUTED_VALUE"""),0.753686239087364)</f>
        <v>0.75368623908736398</v>
      </c>
      <c r="I295" s="17">
        <f ca="1">IFERROR(__xludf.DUMMYFUNCTION("""COMPUTED_VALUE"""),0.588010761551295)</f>
        <v>0.58801076155129495</v>
      </c>
      <c r="J295" s="17">
        <f ca="1">IFERROR(__xludf.DUMMYFUNCTION("""COMPUTED_VALUE"""),1.07046064648984)</f>
        <v>1.0704606464898401</v>
      </c>
      <c r="K295" s="17" t="str">
        <f ca="1">IFERROR(__xludf.DUMMYFUNCTION("""COMPUTED_VALUE"""),"nan")</f>
        <v>nan</v>
      </c>
      <c r="L295" s="17">
        <f ca="1">IFERROR(__xludf.DUMMYFUNCTION("""COMPUTED_VALUE"""),0.71138260305383)</f>
        <v>0.71138260305383005</v>
      </c>
      <c r="M295" s="17">
        <f ca="1">IFERROR(__xludf.DUMMYFUNCTION("""COMPUTED_VALUE"""),0.740334151338743)</f>
        <v>0.74033415133874303</v>
      </c>
      <c r="N295" s="17">
        <f ca="1">IFERROR(__xludf.DUMMYFUNCTION("""COMPUTED_VALUE"""),0.662224850598394)</f>
        <v>0.66222485059839398</v>
      </c>
      <c r="O295" s="17">
        <f ca="1">IFERROR(__xludf.DUMMYFUNCTION("""COMPUTED_VALUE"""),0.684190293399184)</f>
        <v>0.68419029339918402</v>
      </c>
      <c r="P295" s="17">
        <f ca="1">IFERROR(__xludf.DUMMYFUNCTION("""COMPUTED_VALUE"""),0.748526733142821)</f>
        <v>0.74852673314282103</v>
      </c>
      <c r="Q295" s="17">
        <f ca="1">IFERROR(__xludf.DUMMYFUNCTION("""COMPUTED_VALUE"""),0.882688302365498)</f>
        <v>0.882688302365498</v>
      </c>
      <c r="R295" s="17">
        <f ca="1">IFERROR(__xludf.DUMMYFUNCTION("""COMPUTED_VALUE"""),0.790825438667889)</f>
        <v>0.79082543866788901</v>
      </c>
      <c r="S295" s="17">
        <f ca="1">IFERROR(__xludf.DUMMYFUNCTION("""COMPUTED_VALUE"""),0.838973813573238)</f>
        <v>0.83897381357323797</v>
      </c>
      <c r="T295" s="17">
        <f ca="1">IFERROR(__xludf.DUMMYFUNCTION("""COMPUTED_VALUE"""),0.727477499782143)</f>
        <v>0.72747749978214304</v>
      </c>
      <c r="U295" s="17">
        <f ca="1">IFERROR(__xludf.DUMMYFUNCTION("""COMPUTED_VALUE"""),0.704023807360512)</f>
        <v>0.70402380736051196</v>
      </c>
      <c r="V295" s="17">
        <f ca="1">IFERROR(__xludf.DUMMYFUNCTION("""COMPUTED_VALUE"""),0.776574507560316)</f>
        <v>0.77657450756031599</v>
      </c>
      <c r="W295" s="17">
        <f ca="1">IFERROR(__xludf.DUMMYFUNCTION("""COMPUTED_VALUE"""),0.629927744886137)</f>
        <v>0.62992774488613701</v>
      </c>
      <c r="X295" s="17">
        <f ca="1">IFERROR(__xludf.DUMMYFUNCTION("""COMPUTED_VALUE"""),0.675103539610071)</f>
        <v>0.67510353961007097</v>
      </c>
      <c r="Y295" s="17">
        <f ca="1">IFERROR(__xludf.DUMMYFUNCTION("""COMPUTED_VALUE"""),0.597178834061763)</f>
        <v>0.59717883406176298</v>
      </c>
      <c r="Z295" s="17">
        <f ca="1">IFERROR(__xludf.DUMMYFUNCTION("""COMPUTED_VALUE"""),0.698017818013319)</f>
        <v>0.69801781801331897</v>
      </c>
      <c r="AA295" s="17">
        <f ca="1">IFERROR(__xludf.DUMMYFUNCTION("""COMPUTED_VALUE"""),0.873010590451578)</f>
        <v>0.87301059045157803</v>
      </c>
      <c r="AB295" s="17">
        <f ca="1">IFERROR(__xludf.DUMMYFUNCTION("""COMPUTED_VALUE"""),0.997975350429602)</f>
        <v>0.99797535042960195</v>
      </c>
      <c r="AC295" s="17">
        <f ca="1">IFERROR(__xludf.DUMMYFUNCTION("""COMPUTED_VALUE"""),0.684928414390772)</f>
        <v>0.68492841439077201</v>
      </c>
      <c r="AD295" s="17">
        <f ca="1">IFERROR(__xludf.DUMMYFUNCTION("""COMPUTED_VALUE"""),0.671465277083864)</f>
        <v>0.67146527708386405</v>
      </c>
      <c r="AE295" s="17">
        <f ca="1">IFERROR(__xludf.DUMMYFUNCTION("""COMPUTED_VALUE"""),1.11361877651969)</f>
        <v>1.1136187765196901</v>
      </c>
      <c r="AF295" s="17">
        <f ca="1">IFERROR(__xludf.DUMMYFUNCTION("""COMPUTED_VALUE"""),0.685960772540105)</f>
        <v>0.68596077254010501</v>
      </c>
      <c r="AG295" s="17">
        <f ca="1">IFERROR(__xludf.DUMMYFUNCTION("""COMPUTED_VALUE"""),0.834034547207256)</f>
        <v>0.83403454720725601</v>
      </c>
      <c r="AH295" s="17">
        <f ca="1">IFERROR(__xludf.DUMMYFUNCTION("""COMPUTED_VALUE"""),0.737511904031147)</f>
        <v>0.73751190403114697</v>
      </c>
      <c r="AI295" s="17">
        <f ca="1">IFERROR(__xludf.DUMMYFUNCTION("""COMPUTED_VALUE"""),0.75308273040692)</f>
        <v>0.75308273040691998</v>
      </c>
      <c r="AJ295" s="17">
        <f ca="1">IFERROR(__xludf.DUMMYFUNCTION("""COMPUTED_VALUE"""),0.803841448410514)</f>
        <v>0.80384144841051397</v>
      </c>
    </row>
    <row r="296" spans="2:36" ht="15.75" customHeight="1" x14ac:dyDescent="0.45">
      <c r="B296" s="10" t="str">
        <f ca="1">IFERROR(__xludf.DUMMYFUNCTION("""COMPUTED_VALUE"""),"FacesUCR")</f>
        <v>FacesUCR</v>
      </c>
      <c r="C296" s="10" t="str">
        <f ca="1">IFERROR(__xludf.DUMMYFUNCTION("""COMPUTED_VALUE"""),"aligned_timestamps")</f>
        <v>aligned_timestamps</v>
      </c>
      <c r="D296" s="10">
        <f ca="1">IFERROR(__xludf.DUMMYFUNCTION("""COMPUTED_VALUE"""),0.8)</f>
        <v>0.8</v>
      </c>
      <c r="E296" s="17">
        <f ca="1">IFERROR(__xludf.DUMMYFUNCTION("""COMPUTED_VALUE"""),0.901449435133302)</f>
        <v>0.901449435133302</v>
      </c>
      <c r="F296" s="17">
        <f ca="1">IFERROR(__xludf.DUMMYFUNCTION("""COMPUTED_VALUE"""),0.911137786105569)</f>
        <v>0.91113778610556895</v>
      </c>
      <c r="G296" s="17">
        <f ca="1">IFERROR(__xludf.DUMMYFUNCTION("""COMPUTED_VALUE"""),1.11542519600048)</f>
        <v>1.11542519600048</v>
      </c>
      <c r="H296" s="17">
        <f ca="1">IFERROR(__xludf.DUMMYFUNCTION("""COMPUTED_VALUE"""),0.945258253383885)</f>
        <v>0.94525825338388503</v>
      </c>
      <c r="I296" s="17">
        <f ca="1">IFERROR(__xludf.DUMMYFUNCTION("""COMPUTED_VALUE"""),0.772849943356529)</f>
        <v>0.77284994335652901</v>
      </c>
      <c r="J296" s="17">
        <f ca="1">IFERROR(__xludf.DUMMYFUNCTION("""COMPUTED_VALUE"""),1.21237959500902)</f>
        <v>1.2123795950090199</v>
      </c>
      <c r="K296" s="17" t="str">
        <f ca="1">IFERROR(__xludf.DUMMYFUNCTION("""COMPUTED_VALUE"""),"nan")</f>
        <v>nan</v>
      </c>
      <c r="L296" s="17">
        <f ca="1">IFERROR(__xludf.DUMMYFUNCTION("""COMPUTED_VALUE"""),0.956326038742297)</f>
        <v>0.95632603874229705</v>
      </c>
      <c r="M296" s="17">
        <f ca="1">IFERROR(__xludf.DUMMYFUNCTION("""COMPUTED_VALUE"""),1.15990158420138)</f>
        <v>1.15990158420138</v>
      </c>
      <c r="N296" s="17">
        <f ca="1">IFERROR(__xludf.DUMMYFUNCTION("""COMPUTED_VALUE"""),0.85449000816655)</f>
        <v>0.85449000816654996</v>
      </c>
      <c r="O296" s="17">
        <f ca="1">IFERROR(__xludf.DUMMYFUNCTION("""COMPUTED_VALUE"""),0.870939428782166)</f>
        <v>0.87093942878216601</v>
      </c>
      <c r="P296" s="17">
        <f ca="1">IFERROR(__xludf.DUMMYFUNCTION("""COMPUTED_VALUE"""),0.943001449425945)</f>
        <v>0.94300144942594499</v>
      </c>
      <c r="Q296" s="17">
        <f ca="1">IFERROR(__xludf.DUMMYFUNCTION("""COMPUTED_VALUE"""),1.08924188659059)</f>
        <v>1.08924188659059</v>
      </c>
      <c r="R296" s="17">
        <f ca="1">IFERROR(__xludf.DUMMYFUNCTION("""COMPUTED_VALUE"""),1.06647277758226)</f>
        <v>1.06647277758226</v>
      </c>
      <c r="S296" s="17">
        <f ca="1">IFERROR(__xludf.DUMMYFUNCTION("""COMPUTED_VALUE"""),0.966656095996303)</f>
        <v>0.96665609599630298</v>
      </c>
      <c r="T296" s="17">
        <f ca="1">IFERROR(__xludf.DUMMYFUNCTION("""COMPUTED_VALUE"""),0.862543693124578)</f>
        <v>0.86254369312457801</v>
      </c>
      <c r="U296" s="17">
        <f ca="1">IFERROR(__xludf.DUMMYFUNCTION("""COMPUTED_VALUE"""),0.879706258791698)</f>
        <v>0.87970625879169795</v>
      </c>
      <c r="V296" s="17">
        <f ca="1">IFERROR(__xludf.DUMMYFUNCTION("""COMPUTED_VALUE"""),1.01262443768009)</f>
        <v>1.0126244376800899</v>
      </c>
      <c r="W296" s="17">
        <f ca="1">IFERROR(__xludf.DUMMYFUNCTION("""COMPUTED_VALUE"""),0.869095783203043)</f>
        <v>0.86909578320304304</v>
      </c>
      <c r="X296" s="17">
        <f ca="1">IFERROR(__xludf.DUMMYFUNCTION("""COMPUTED_VALUE"""),2.11673874224924)</f>
        <v>2.1167387422492401</v>
      </c>
      <c r="Y296" s="17">
        <f ca="1">IFERROR(__xludf.DUMMYFUNCTION("""COMPUTED_VALUE"""),0.773225855660567)</f>
        <v>0.77322585566056701</v>
      </c>
      <c r="Z296" s="17">
        <f ca="1">IFERROR(__xludf.DUMMYFUNCTION("""COMPUTED_VALUE"""),0.915929346958495)</f>
        <v>0.91592934695849504</v>
      </c>
      <c r="AA296" s="17">
        <f ca="1">IFERROR(__xludf.DUMMYFUNCTION("""COMPUTED_VALUE"""),1.0046436251892)</f>
        <v>1.0046436251891999</v>
      </c>
      <c r="AB296" s="17">
        <f ca="1">IFERROR(__xludf.DUMMYFUNCTION("""COMPUTED_VALUE"""),1.2380486448526)</f>
        <v>1.2380486448526</v>
      </c>
      <c r="AC296" s="17">
        <f ca="1">IFERROR(__xludf.DUMMYFUNCTION("""COMPUTED_VALUE"""),0.861629224070562)</f>
        <v>0.86162922407056197</v>
      </c>
      <c r="AD296" s="17">
        <f ca="1">IFERROR(__xludf.DUMMYFUNCTION("""COMPUTED_VALUE"""),0.844725874730049)</f>
        <v>0.84472587473004901</v>
      </c>
      <c r="AE296" s="17">
        <f ca="1">IFERROR(__xludf.DUMMYFUNCTION("""COMPUTED_VALUE"""),2.07152022042695)</f>
        <v>2.0715202204269501</v>
      </c>
      <c r="AF296" s="17">
        <f ca="1">IFERROR(__xludf.DUMMYFUNCTION("""COMPUTED_VALUE"""),0.952565322541022)</f>
        <v>0.952565322541022</v>
      </c>
      <c r="AG296" s="17">
        <f ca="1">IFERROR(__xludf.DUMMYFUNCTION("""COMPUTED_VALUE"""),1.01221558307758)</f>
        <v>1.0122155830775801</v>
      </c>
      <c r="AH296" s="17">
        <f ca="1">IFERROR(__xludf.DUMMYFUNCTION("""COMPUTED_VALUE"""),0.958541910259335)</f>
        <v>0.95854191025933499</v>
      </c>
      <c r="AI296" s="17">
        <f ca="1">IFERROR(__xludf.DUMMYFUNCTION("""COMPUTED_VALUE"""),0.974195778738978)</f>
        <v>0.974195778738978</v>
      </c>
      <c r="AJ296" s="17">
        <f ca="1">IFERROR(__xludf.DUMMYFUNCTION("""COMPUTED_VALUE"""),1.05882049361139)</f>
        <v>1.0588204936113901</v>
      </c>
    </row>
    <row r="297" spans="2:36" ht="15.75" customHeight="1" x14ac:dyDescent="0.45">
      <c r="B297" s="10" t="str">
        <f ca="1">IFERROR(__xludf.DUMMYFUNCTION("""COMPUTED_VALUE"""),"FacesUCR")</f>
        <v>FacesUCR</v>
      </c>
      <c r="C297" s="10" t="str">
        <f ca="1">IFERROR(__xludf.DUMMYFUNCTION("""COMPUTED_VALUE"""),"mcar")</f>
        <v>mcar</v>
      </c>
      <c r="D297" s="10">
        <f ca="1">IFERROR(__xludf.DUMMYFUNCTION("""COMPUTED_VALUE"""),0.1)</f>
        <v>0.1</v>
      </c>
      <c r="E297" s="17">
        <f ca="1">IFERROR(__xludf.DUMMYFUNCTION("""COMPUTED_VALUE"""),1.07322145943539)</f>
        <v>1.0732214594353899</v>
      </c>
      <c r="F297" s="17">
        <f ca="1">IFERROR(__xludf.DUMMYFUNCTION("""COMPUTED_VALUE"""),0.819780072007437)</f>
        <v>0.81978007200743697</v>
      </c>
      <c r="G297" s="17">
        <f ca="1">IFERROR(__xludf.DUMMYFUNCTION("""COMPUTED_VALUE"""),0.830291526861853)</f>
        <v>0.83029152686185304</v>
      </c>
      <c r="H297" s="17">
        <f ca="1">IFERROR(__xludf.DUMMYFUNCTION("""COMPUTED_VALUE"""),0.946603378550328)</f>
        <v>0.94660337855032795</v>
      </c>
      <c r="I297" s="17">
        <f ca="1">IFERROR(__xludf.DUMMYFUNCTION("""COMPUTED_VALUE"""),0.682107642188775)</f>
        <v>0.68210764218877495</v>
      </c>
      <c r="J297" s="17">
        <f ca="1">IFERROR(__xludf.DUMMYFUNCTION("""COMPUTED_VALUE"""),0.852544796177301)</f>
        <v>0.85254479617730095</v>
      </c>
      <c r="K297" s="17" t="str">
        <f ca="1">IFERROR(__xludf.DUMMYFUNCTION("""COMPUTED_VALUE"""),"nan")</f>
        <v>nan</v>
      </c>
      <c r="L297" s="17">
        <f ca="1">IFERROR(__xludf.DUMMYFUNCTION("""COMPUTED_VALUE"""),0.768194186267687)</f>
        <v>0.76819418626768698</v>
      </c>
      <c r="M297" s="17">
        <f ca="1">IFERROR(__xludf.DUMMYFUNCTION("""COMPUTED_VALUE"""),0.866848566154345)</f>
        <v>0.86684856615434502</v>
      </c>
      <c r="N297" s="17">
        <f ca="1">IFERROR(__xludf.DUMMYFUNCTION("""COMPUTED_VALUE"""),1.04533369983823)</f>
        <v>1.0453336998382301</v>
      </c>
      <c r="O297" s="17">
        <f ca="1">IFERROR(__xludf.DUMMYFUNCTION("""COMPUTED_VALUE"""),0.780187145142987)</f>
        <v>0.78018714514298704</v>
      </c>
      <c r="P297" s="17">
        <f ca="1">IFERROR(__xludf.DUMMYFUNCTION("""COMPUTED_VALUE"""),0.899643237305505)</f>
        <v>0.89964323730550499</v>
      </c>
      <c r="Q297" s="17">
        <f ca="1">IFERROR(__xludf.DUMMYFUNCTION("""COMPUTED_VALUE"""),1.35005677693668)</f>
        <v>1.35005677693668</v>
      </c>
      <c r="R297" s="17">
        <f ca="1">IFERROR(__xludf.DUMMYFUNCTION("""COMPUTED_VALUE"""),0.625812040878978)</f>
        <v>0.62581204087897802</v>
      </c>
      <c r="S297" s="17">
        <f ca="1">IFERROR(__xludf.DUMMYFUNCTION("""COMPUTED_VALUE"""),0.977469795018308)</f>
        <v>0.977469795018308</v>
      </c>
      <c r="T297" s="17">
        <f ca="1">IFERROR(__xludf.DUMMYFUNCTION("""COMPUTED_VALUE"""),0.712722050439703)</f>
        <v>0.71272205043970305</v>
      </c>
      <c r="U297" s="17">
        <f ca="1">IFERROR(__xludf.DUMMYFUNCTION("""COMPUTED_VALUE"""),0.755770492509642)</f>
        <v>0.75577049250964201</v>
      </c>
      <c r="V297" s="17">
        <f ca="1">IFERROR(__xludf.DUMMYFUNCTION("""COMPUTED_VALUE"""),0.858825500783735)</f>
        <v>0.85882550078373499</v>
      </c>
      <c r="W297" s="17">
        <f ca="1">IFERROR(__xludf.DUMMYFUNCTION("""COMPUTED_VALUE"""),0.957032475267751)</f>
        <v>0.95703247526775104</v>
      </c>
      <c r="X297" s="17">
        <f ca="1">IFERROR(__xludf.DUMMYFUNCTION("""COMPUTED_VALUE"""),0.838540752663378)</f>
        <v>0.83854075266337802</v>
      </c>
      <c r="Y297" s="17">
        <f ca="1">IFERROR(__xludf.DUMMYFUNCTION("""COMPUTED_VALUE"""),0.682864741195766)</f>
        <v>0.68286474119576601</v>
      </c>
      <c r="Z297" s="17">
        <f ca="1">IFERROR(__xludf.DUMMYFUNCTION("""COMPUTED_VALUE"""),0.83240544871996)</f>
        <v>0.83240544871996003</v>
      </c>
      <c r="AA297" s="17">
        <f ca="1">IFERROR(__xludf.DUMMYFUNCTION("""COMPUTED_VALUE"""),0.54732624232965)</f>
        <v>0.54732624232964999</v>
      </c>
      <c r="AB297" s="17">
        <f ca="1">IFERROR(__xludf.DUMMYFUNCTION("""COMPUTED_VALUE"""),0.976254528560884)</f>
        <v>0.97625452856088402</v>
      </c>
      <c r="AC297" s="17">
        <f ca="1">IFERROR(__xludf.DUMMYFUNCTION("""COMPUTED_VALUE"""),0.98484697063921)</f>
        <v>0.98484697063921001</v>
      </c>
      <c r="AD297" s="17">
        <f ca="1">IFERROR(__xludf.DUMMYFUNCTION("""COMPUTED_VALUE"""),0.950118396327099)</f>
        <v>0.95011839632709905</v>
      </c>
      <c r="AE297" s="17">
        <f ca="1">IFERROR(__xludf.DUMMYFUNCTION("""COMPUTED_VALUE"""),1.12095072822515)</f>
        <v>1.1209507282251501</v>
      </c>
      <c r="AF297" s="17">
        <f ca="1">IFERROR(__xludf.DUMMYFUNCTION("""COMPUTED_VALUE"""),0.857484268305037)</f>
        <v>0.85748426830503699</v>
      </c>
      <c r="AG297" s="17">
        <f ca="1">IFERROR(__xludf.DUMMYFUNCTION("""COMPUTED_VALUE"""),1.0871868951063)</f>
        <v>1.0871868951063</v>
      </c>
      <c r="AH297" s="17">
        <f ca="1">IFERROR(__xludf.DUMMYFUNCTION("""COMPUTED_VALUE"""),1.2892225405186)</f>
        <v>1.2892225405186</v>
      </c>
      <c r="AI297" s="17">
        <f ca="1">IFERROR(__xludf.DUMMYFUNCTION("""COMPUTED_VALUE"""),1.26133289789858)</f>
        <v>1.2613328978985801</v>
      </c>
      <c r="AJ297" s="17">
        <f ca="1">IFERROR(__xludf.DUMMYFUNCTION("""COMPUTED_VALUE"""),0.86467576540005)</f>
        <v>0.86467576540004998</v>
      </c>
    </row>
    <row r="298" spans="2:36" ht="15.75" customHeight="1" x14ac:dyDescent="0.45">
      <c r="B298" s="10" t="str">
        <f ca="1">IFERROR(__xludf.DUMMYFUNCTION("""COMPUTED_VALUE"""),"FacesUCR")</f>
        <v>FacesUCR</v>
      </c>
      <c r="C298" s="10" t="str">
        <f ca="1">IFERROR(__xludf.DUMMYFUNCTION("""COMPUTED_VALUE"""),"mcar")</f>
        <v>mcar</v>
      </c>
      <c r="D298" s="10">
        <f ca="1">IFERROR(__xludf.DUMMYFUNCTION("""COMPUTED_VALUE"""),0.2)</f>
        <v>0.2</v>
      </c>
      <c r="E298" s="17">
        <f ca="1">IFERROR(__xludf.DUMMYFUNCTION("""COMPUTED_VALUE"""),0.95349345289401)</f>
        <v>0.95349345289401</v>
      </c>
      <c r="F298" s="17">
        <f ca="1">IFERROR(__xludf.DUMMYFUNCTION("""COMPUTED_VALUE"""),0.766119264043741)</f>
        <v>0.76611926404374098</v>
      </c>
      <c r="G298" s="17">
        <f ca="1">IFERROR(__xludf.DUMMYFUNCTION("""COMPUTED_VALUE"""),0.77565345268084)</f>
        <v>0.77565345268083996</v>
      </c>
      <c r="H298" s="17">
        <f ca="1">IFERROR(__xludf.DUMMYFUNCTION("""COMPUTED_VALUE"""),0.846061621494681)</f>
        <v>0.846061621494681</v>
      </c>
      <c r="I298" s="17">
        <f ca="1">IFERROR(__xludf.DUMMYFUNCTION("""COMPUTED_VALUE"""),0.651244407098482)</f>
        <v>0.65124440709848197</v>
      </c>
      <c r="J298" s="17">
        <f ca="1">IFERROR(__xludf.DUMMYFUNCTION("""COMPUTED_VALUE"""),0.798844591469487)</f>
        <v>0.79884459146948705</v>
      </c>
      <c r="K298" s="17" t="str">
        <f ca="1">IFERROR(__xludf.DUMMYFUNCTION("""COMPUTED_VALUE"""),"nan")</f>
        <v>nan</v>
      </c>
      <c r="L298" s="17">
        <f ca="1">IFERROR(__xludf.DUMMYFUNCTION("""COMPUTED_VALUE"""),0.722961498193105)</f>
        <v>0.72296149819310496</v>
      </c>
      <c r="M298" s="17">
        <f ca="1">IFERROR(__xludf.DUMMYFUNCTION("""COMPUTED_VALUE"""),0.797396745308697)</f>
        <v>0.79739674530869697</v>
      </c>
      <c r="N298" s="17">
        <f ca="1">IFERROR(__xludf.DUMMYFUNCTION("""COMPUTED_VALUE"""),0.908413855913815)</f>
        <v>0.90841385591381496</v>
      </c>
      <c r="O298" s="17">
        <f ca="1">IFERROR(__xludf.DUMMYFUNCTION("""COMPUTED_VALUE"""),0.743685856897775)</f>
        <v>0.743685856897775</v>
      </c>
      <c r="P298" s="17">
        <f ca="1">IFERROR(__xludf.DUMMYFUNCTION("""COMPUTED_VALUE"""),0.807342443820385)</f>
        <v>0.807342443820385</v>
      </c>
      <c r="Q298" s="17">
        <f ca="1">IFERROR(__xludf.DUMMYFUNCTION("""COMPUTED_VALUE"""),1.22616429959493)</f>
        <v>1.22616429959493</v>
      </c>
      <c r="R298" s="17">
        <f ca="1">IFERROR(__xludf.DUMMYFUNCTION("""COMPUTED_VALUE"""),0.671935816085386)</f>
        <v>0.671935816085386</v>
      </c>
      <c r="S298" s="17">
        <f ca="1">IFERROR(__xludf.DUMMYFUNCTION("""COMPUTED_VALUE"""),0.835779584313481)</f>
        <v>0.83577958431348098</v>
      </c>
      <c r="T298" s="17">
        <f ca="1">IFERROR(__xludf.DUMMYFUNCTION("""COMPUTED_VALUE"""),0.706913387729327)</f>
        <v>0.70691338772932699</v>
      </c>
      <c r="U298" s="17">
        <f ca="1">IFERROR(__xludf.DUMMYFUNCTION("""COMPUTED_VALUE"""),0.730479921933828)</f>
        <v>0.73047992193382805</v>
      </c>
      <c r="V298" s="17">
        <f ca="1">IFERROR(__xludf.DUMMYFUNCTION("""COMPUTED_VALUE"""),0.759802510870906)</f>
        <v>0.759802510870906</v>
      </c>
      <c r="W298" s="17">
        <f ca="1">IFERROR(__xludf.DUMMYFUNCTION("""COMPUTED_VALUE"""),0.897410842604414)</f>
        <v>0.89741084260441395</v>
      </c>
      <c r="X298" s="17">
        <f ca="1">IFERROR(__xludf.DUMMYFUNCTION("""COMPUTED_VALUE"""),0.775126835739094)</f>
        <v>0.77512683573909402</v>
      </c>
      <c r="Y298" s="17">
        <f ca="1">IFERROR(__xludf.DUMMYFUNCTION("""COMPUTED_VALUE"""),0.655122982427319)</f>
        <v>0.65512298242731903</v>
      </c>
      <c r="Z298" s="17">
        <f ca="1">IFERROR(__xludf.DUMMYFUNCTION("""COMPUTED_VALUE"""),0.771235361429118)</f>
        <v>0.77123536142911797</v>
      </c>
      <c r="AA298" s="17">
        <f ca="1">IFERROR(__xludf.DUMMYFUNCTION("""COMPUTED_VALUE"""),0.763154325736792)</f>
        <v>0.76315432573679198</v>
      </c>
      <c r="AB298" s="17">
        <f ca="1">IFERROR(__xludf.DUMMYFUNCTION("""COMPUTED_VALUE"""),0.892773996938545)</f>
        <v>0.89277399693854498</v>
      </c>
      <c r="AC298" s="17">
        <f ca="1">IFERROR(__xludf.DUMMYFUNCTION("""COMPUTED_VALUE"""),0.902825063746318)</f>
        <v>0.90282506374631799</v>
      </c>
      <c r="AD298" s="17">
        <f ca="1">IFERROR(__xludf.DUMMYFUNCTION("""COMPUTED_VALUE"""),0.866001905508122)</f>
        <v>0.86600190550812195</v>
      </c>
      <c r="AE298" s="17">
        <f ca="1">IFERROR(__xludf.DUMMYFUNCTION("""COMPUTED_VALUE"""),0.985002664702405)</f>
        <v>0.98500266470240505</v>
      </c>
      <c r="AF298" s="17">
        <f ca="1">IFERROR(__xludf.DUMMYFUNCTION("""COMPUTED_VALUE"""),0.777235459805059)</f>
        <v>0.77723545980505904</v>
      </c>
      <c r="AG298" s="17">
        <f ca="1">IFERROR(__xludf.DUMMYFUNCTION("""COMPUTED_VALUE"""),1.00660938936644)</f>
        <v>1.0066093893664401</v>
      </c>
      <c r="AH298" s="17">
        <f ca="1">IFERROR(__xludf.DUMMYFUNCTION("""COMPUTED_VALUE"""),1.1066627194834)</f>
        <v>1.1066627194834</v>
      </c>
      <c r="AI298" s="17">
        <f ca="1">IFERROR(__xludf.DUMMYFUNCTION("""COMPUTED_VALUE"""),1.16581033396876)</f>
        <v>1.16581033396876</v>
      </c>
      <c r="AJ298" s="17">
        <f ca="1">IFERROR(__xludf.DUMMYFUNCTION("""COMPUTED_VALUE"""),0.797393002657085)</f>
        <v>0.79739300265708501</v>
      </c>
    </row>
    <row r="299" spans="2:36" ht="15.75" customHeight="1" x14ac:dyDescent="0.45">
      <c r="B299" s="10" t="str">
        <f ca="1">IFERROR(__xludf.DUMMYFUNCTION("""COMPUTED_VALUE"""),"FacesUCR")</f>
        <v>FacesUCR</v>
      </c>
      <c r="C299" s="10" t="str">
        <f ca="1">IFERROR(__xludf.DUMMYFUNCTION("""COMPUTED_VALUE"""),"mcar")</f>
        <v>mcar</v>
      </c>
      <c r="D299" s="10">
        <f ca="1">IFERROR(__xludf.DUMMYFUNCTION("""COMPUTED_VALUE"""),0.4)</f>
        <v>0.4</v>
      </c>
      <c r="E299" s="17">
        <f ca="1">IFERROR(__xludf.DUMMYFUNCTION("""COMPUTED_VALUE"""),1.00321439863147)</f>
        <v>1.0032143986314701</v>
      </c>
      <c r="F299" s="17">
        <f ca="1">IFERROR(__xludf.DUMMYFUNCTION("""COMPUTED_VALUE"""),0.813877108188711)</f>
        <v>0.81387710818871095</v>
      </c>
      <c r="G299" s="17">
        <f ca="1">IFERROR(__xludf.DUMMYFUNCTION("""COMPUTED_VALUE"""),0.849993274992806)</f>
        <v>0.84999327499280597</v>
      </c>
      <c r="H299" s="17">
        <f ca="1">IFERROR(__xludf.DUMMYFUNCTION("""COMPUTED_VALUE"""),0.976650156116996)</f>
        <v>0.97665015611699602</v>
      </c>
      <c r="I299" s="17">
        <f ca="1">IFERROR(__xludf.DUMMYFUNCTION("""COMPUTED_VALUE"""),0.739670139336281)</f>
        <v>0.73967013933628101</v>
      </c>
      <c r="J299" s="17">
        <f ca="1">IFERROR(__xludf.DUMMYFUNCTION("""COMPUTED_VALUE"""),0.852755662227969)</f>
        <v>0.85275566222796895</v>
      </c>
      <c r="K299" s="17" t="str">
        <f ca="1">IFERROR(__xludf.DUMMYFUNCTION("""COMPUTED_VALUE"""),"nan")</f>
        <v>nan</v>
      </c>
      <c r="L299" s="17">
        <f ca="1">IFERROR(__xludf.DUMMYFUNCTION("""COMPUTED_VALUE"""),0.787932333341645)</f>
        <v>0.78793233334164503</v>
      </c>
      <c r="M299" s="17">
        <f ca="1">IFERROR(__xludf.DUMMYFUNCTION("""COMPUTED_VALUE"""),0.826583874390812)</f>
        <v>0.82658387439081205</v>
      </c>
      <c r="N299" s="17">
        <f ca="1">IFERROR(__xludf.DUMMYFUNCTION("""COMPUTED_VALUE"""),0.969436876644096)</f>
        <v>0.96943687664409595</v>
      </c>
      <c r="O299" s="17">
        <f ca="1">IFERROR(__xludf.DUMMYFUNCTION("""COMPUTED_VALUE"""),0.766723168486692)</f>
        <v>0.76672316848669197</v>
      </c>
      <c r="P299" s="17">
        <f ca="1">IFERROR(__xludf.DUMMYFUNCTION("""COMPUTED_VALUE"""),0.912349544466717)</f>
        <v>0.91234954446671701</v>
      </c>
      <c r="Q299" s="17">
        <f ca="1">IFERROR(__xludf.DUMMYFUNCTION("""COMPUTED_VALUE"""),1.17525885344807)</f>
        <v>1.1752588534480699</v>
      </c>
      <c r="R299" s="17">
        <f ca="1">IFERROR(__xludf.DUMMYFUNCTION("""COMPUTED_VALUE"""),0.783404450847178)</f>
        <v>0.78340445084717802</v>
      </c>
      <c r="S299" s="17">
        <f ca="1">IFERROR(__xludf.DUMMYFUNCTION("""COMPUTED_VALUE"""),0.987618818289833)</f>
        <v>0.987618818289833</v>
      </c>
      <c r="T299" s="17">
        <f ca="1">IFERROR(__xludf.DUMMYFUNCTION("""COMPUTED_VALUE"""),0.783794959119617)</f>
        <v>0.78379495911961705</v>
      </c>
      <c r="U299" s="17">
        <f ca="1">IFERROR(__xludf.DUMMYFUNCTION("""COMPUTED_VALUE"""),0.782977087230236)</f>
        <v>0.78297708723023596</v>
      </c>
      <c r="V299" s="17">
        <f ca="1">IFERROR(__xludf.DUMMYFUNCTION("""COMPUTED_VALUE"""),0.828359360859957)</f>
        <v>0.82835936085995698</v>
      </c>
      <c r="W299" s="17">
        <f ca="1">IFERROR(__xludf.DUMMYFUNCTION("""COMPUTED_VALUE"""),0.939223298921004)</f>
        <v>0.93922329892100398</v>
      </c>
      <c r="X299" s="17">
        <f ca="1">IFERROR(__xludf.DUMMYFUNCTION("""COMPUTED_VALUE"""),0.850274487498429)</f>
        <v>0.85027448749842904</v>
      </c>
      <c r="Y299" s="17">
        <f ca="1">IFERROR(__xludf.DUMMYFUNCTION("""COMPUTED_VALUE"""),0.73868537494801)</f>
        <v>0.73868537494801001</v>
      </c>
      <c r="Z299" s="17">
        <f ca="1">IFERROR(__xludf.DUMMYFUNCTION("""COMPUTED_VALUE"""),0.879826398447689)</f>
        <v>0.87982639844768895</v>
      </c>
      <c r="AA299" s="17">
        <f ca="1">IFERROR(__xludf.DUMMYFUNCTION("""COMPUTED_VALUE"""),0.797356969227045)</f>
        <v>0.79735696922704502</v>
      </c>
      <c r="AB299" s="17">
        <f ca="1">IFERROR(__xludf.DUMMYFUNCTION("""COMPUTED_VALUE"""),0.943822349601178)</f>
        <v>0.94382234960117795</v>
      </c>
      <c r="AC299" s="17">
        <f ca="1">IFERROR(__xludf.DUMMYFUNCTION("""COMPUTED_VALUE"""),0.944743808514016)</f>
        <v>0.94474380851401596</v>
      </c>
      <c r="AD299" s="17">
        <f ca="1">IFERROR(__xludf.DUMMYFUNCTION("""COMPUTED_VALUE"""),0.942754452613145)</f>
        <v>0.94275445261314506</v>
      </c>
      <c r="AE299" s="17">
        <f ca="1">IFERROR(__xludf.DUMMYFUNCTION("""COMPUTED_VALUE"""),1.11518770723031)</f>
        <v>1.11518770723031</v>
      </c>
      <c r="AF299" s="17">
        <f ca="1">IFERROR(__xludf.DUMMYFUNCTION("""COMPUTED_VALUE"""),0.7946675578368)</f>
        <v>0.79466755783679999</v>
      </c>
      <c r="AG299" s="17">
        <f ca="1">IFERROR(__xludf.DUMMYFUNCTION("""COMPUTED_VALUE"""),1.06472575374922)</f>
        <v>1.0647257537492201</v>
      </c>
      <c r="AH299" s="17">
        <f ca="1">IFERROR(__xludf.DUMMYFUNCTION("""COMPUTED_VALUE"""),1.0798848520543)</f>
        <v>1.0798848520543001</v>
      </c>
      <c r="AI299" s="17">
        <f ca="1">IFERROR(__xludf.DUMMYFUNCTION("""COMPUTED_VALUE"""),1.0060946782555)</f>
        <v>1.0060946782555</v>
      </c>
      <c r="AJ299" s="17">
        <f ca="1">IFERROR(__xludf.DUMMYFUNCTION("""COMPUTED_VALUE"""),0.870200047314969)</f>
        <v>0.87020004731496903</v>
      </c>
    </row>
    <row r="300" spans="2:36" ht="15.75" customHeight="1" x14ac:dyDescent="0.45">
      <c r="B300" s="10" t="str">
        <f ca="1">IFERROR(__xludf.DUMMYFUNCTION("""COMPUTED_VALUE"""),"FacesUCR")</f>
        <v>FacesUCR</v>
      </c>
      <c r="C300" s="10" t="str">
        <f ca="1">IFERROR(__xludf.DUMMYFUNCTION("""COMPUTED_VALUE"""),"mcar")</f>
        <v>mcar</v>
      </c>
      <c r="D300" s="10">
        <f ca="1">IFERROR(__xludf.DUMMYFUNCTION("""COMPUTED_VALUE"""),0.6)</f>
        <v>0.6</v>
      </c>
      <c r="E300" s="17">
        <f ca="1">IFERROR(__xludf.DUMMYFUNCTION("""COMPUTED_VALUE"""),0.97221373916062)</f>
        <v>0.97221373916062004</v>
      </c>
      <c r="F300" s="17">
        <f ca="1">IFERROR(__xludf.DUMMYFUNCTION("""COMPUTED_VALUE"""),0.828831166898275)</f>
        <v>0.82883116689827496</v>
      </c>
      <c r="G300" s="17">
        <f ca="1">IFERROR(__xludf.DUMMYFUNCTION("""COMPUTED_VALUE"""),0.947369984538625)</f>
        <v>0.94736998453862498</v>
      </c>
      <c r="H300" s="17">
        <f ca="1">IFERROR(__xludf.DUMMYFUNCTION("""COMPUTED_VALUE"""),0.953382534065318)</f>
        <v>0.95338253406531803</v>
      </c>
      <c r="I300" s="17">
        <f ca="1">IFERROR(__xludf.DUMMYFUNCTION("""COMPUTED_VALUE"""),0.739824223422373)</f>
        <v>0.73982422342237297</v>
      </c>
      <c r="J300" s="17">
        <f ca="1">IFERROR(__xludf.DUMMYFUNCTION("""COMPUTED_VALUE"""),0.846276224204576)</f>
        <v>0.84627622420457604</v>
      </c>
      <c r="K300" s="17" t="str">
        <f ca="1">IFERROR(__xludf.DUMMYFUNCTION("""COMPUTED_VALUE"""),"nan")</f>
        <v>nan</v>
      </c>
      <c r="L300" s="17">
        <f ca="1">IFERROR(__xludf.DUMMYFUNCTION("""COMPUTED_VALUE"""),0.790410054403978)</f>
        <v>0.79041005440397805</v>
      </c>
      <c r="M300" s="17">
        <f ca="1">IFERROR(__xludf.DUMMYFUNCTION("""COMPUTED_VALUE"""),0.810353593147923)</f>
        <v>0.81035359314792299</v>
      </c>
      <c r="N300" s="17">
        <f ca="1">IFERROR(__xludf.DUMMYFUNCTION("""COMPUTED_VALUE"""),0.921068319711761)</f>
        <v>0.92106831971176095</v>
      </c>
      <c r="O300" s="17">
        <f ca="1">IFERROR(__xludf.DUMMYFUNCTION("""COMPUTED_VALUE"""),0.743172797064601)</f>
        <v>0.74317279706460104</v>
      </c>
      <c r="P300" s="17">
        <f ca="1">IFERROR(__xludf.DUMMYFUNCTION("""COMPUTED_VALUE"""),0.879280349770693)</f>
        <v>0.87928034977069303</v>
      </c>
      <c r="Q300" s="17">
        <f ca="1">IFERROR(__xludf.DUMMYFUNCTION("""COMPUTED_VALUE"""),1.12103151685895)</f>
        <v>1.12103151685895</v>
      </c>
      <c r="R300" s="17">
        <f ca="1">IFERROR(__xludf.DUMMYFUNCTION("""COMPUTED_VALUE"""),0.792316171631679)</f>
        <v>0.792316171631679</v>
      </c>
      <c r="S300" s="17">
        <f ca="1">IFERROR(__xludf.DUMMYFUNCTION("""COMPUTED_VALUE"""),0.998986760244627)</f>
        <v>0.99898676024462696</v>
      </c>
      <c r="T300" s="17">
        <f ca="1">IFERROR(__xludf.DUMMYFUNCTION("""COMPUTED_VALUE"""),0.793621165666974)</f>
        <v>0.79362116566697405</v>
      </c>
      <c r="U300" s="17">
        <f ca="1">IFERROR(__xludf.DUMMYFUNCTION("""COMPUTED_VALUE"""),0.791762470797654)</f>
        <v>0.79176247079765405</v>
      </c>
      <c r="V300" s="17">
        <f ca="1">IFERROR(__xludf.DUMMYFUNCTION("""COMPUTED_VALUE"""),0.83682426767576)</f>
        <v>0.83682426767576001</v>
      </c>
      <c r="W300" s="17">
        <f ca="1">IFERROR(__xludf.DUMMYFUNCTION("""COMPUTED_VALUE"""),0.880228280559388)</f>
        <v>0.88022828055938795</v>
      </c>
      <c r="X300" s="17">
        <f ca="1">IFERROR(__xludf.DUMMYFUNCTION("""COMPUTED_VALUE"""),0.789158872697802)</f>
        <v>0.78915887269780205</v>
      </c>
      <c r="Y300" s="17">
        <f ca="1">IFERROR(__xludf.DUMMYFUNCTION("""COMPUTED_VALUE"""),0.73001719996797)</f>
        <v>0.73001719996796999</v>
      </c>
      <c r="Z300" s="17">
        <f ca="1">IFERROR(__xludf.DUMMYFUNCTION("""COMPUTED_VALUE"""),0.881144085928099)</f>
        <v>0.88114408592809901</v>
      </c>
      <c r="AA300" s="17">
        <f ca="1">IFERROR(__xludf.DUMMYFUNCTION("""COMPUTED_VALUE"""),0.884199860201581)</f>
        <v>0.88419986020158103</v>
      </c>
      <c r="AB300" s="17">
        <f ca="1">IFERROR(__xludf.DUMMYFUNCTION("""COMPUTED_VALUE"""),0.972452257449338)</f>
        <v>0.97245225744933805</v>
      </c>
      <c r="AC300" s="17">
        <f ca="1">IFERROR(__xludf.DUMMYFUNCTION("""COMPUTED_VALUE"""),0.91810811664095)</f>
        <v>0.91810811664095004</v>
      </c>
      <c r="AD300" s="17">
        <f ca="1">IFERROR(__xludf.DUMMYFUNCTION("""COMPUTED_VALUE"""),0.904221260859259)</f>
        <v>0.90422126085925902</v>
      </c>
      <c r="AE300" s="17">
        <f ca="1">IFERROR(__xludf.DUMMYFUNCTION("""COMPUTED_VALUE"""),1.06594831503887)</f>
        <v>1.06594831503887</v>
      </c>
      <c r="AF300" s="17">
        <f ca="1">IFERROR(__xludf.DUMMYFUNCTION("""COMPUTED_VALUE"""),0.785017974038118)</f>
        <v>0.78501797403811802</v>
      </c>
      <c r="AG300" s="17">
        <f ca="1">IFERROR(__xludf.DUMMYFUNCTION("""COMPUTED_VALUE"""),1.05028460648089)</f>
        <v>1.0502846064808899</v>
      </c>
      <c r="AH300" s="17">
        <f ca="1">IFERROR(__xludf.DUMMYFUNCTION("""COMPUTED_VALUE"""),1.00689628321101)</f>
        <v>1.00689628321101</v>
      </c>
      <c r="AI300" s="17">
        <f ca="1">IFERROR(__xludf.DUMMYFUNCTION("""COMPUTED_VALUE"""),0.986437589725656)</f>
        <v>0.98643758972565598</v>
      </c>
      <c r="AJ300" s="17">
        <f ca="1">IFERROR(__xludf.DUMMYFUNCTION("""COMPUTED_VALUE"""),0.91678152535942)</f>
        <v>0.91678152535942004</v>
      </c>
    </row>
    <row r="301" spans="2:36" ht="15.75" customHeight="1" x14ac:dyDescent="0.45">
      <c r="B301" s="10" t="str">
        <f ca="1">IFERROR(__xludf.DUMMYFUNCTION("""COMPUTED_VALUE"""),"FacesUCR")</f>
        <v>FacesUCR</v>
      </c>
      <c r="C301" s="10" t="str">
        <f ca="1">IFERROR(__xludf.DUMMYFUNCTION("""COMPUTED_VALUE"""),"mcar")</f>
        <v>mcar</v>
      </c>
      <c r="D301" s="10">
        <f ca="1">IFERROR(__xludf.DUMMYFUNCTION("""COMPUTED_VALUE"""),0.8)</f>
        <v>0.8</v>
      </c>
      <c r="E301" s="17">
        <f ca="1">IFERROR(__xludf.DUMMYFUNCTION("""COMPUTED_VALUE"""),0.994011916015106)</f>
        <v>0.99401191601510597</v>
      </c>
      <c r="F301" s="17">
        <f ca="1">IFERROR(__xludf.DUMMYFUNCTION("""COMPUTED_VALUE"""),0.870664739325297)</f>
        <v>0.87066473932529698</v>
      </c>
      <c r="G301" s="17">
        <f ca="1">IFERROR(__xludf.DUMMYFUNCTION("""COMPUTED_VALUE"""),0.98197276501547)</f>
        <v>0.98197276501547004</v>
      </c>
      <c r="H301" s="17">
        <f ca="1">IFERROR(__xludf.DUMMYFUNCTION("""COMPUTED_VALUE"""),1.02901561498401)</f>
        <v>1.02901561498401</v>
      </c>
      <c r="I301" s="17">
        <f ca="1">IFERROR(__xludf.DUMMYFUNCTION("""COMPUTED_VALUE"""),0.794993921221279)</f>
        <v>0.79499392122127899</v>
      </c>
      <c r="J301" s="17">
        <f ca="1">IFERROR(__xludf.DUMMYFUNCTION("""COMPUTED_VALUE"""),1.01107014749184)</f>
        <v>1.01107014749184</v>
      </c>
      <c r="K301" s="17" t="str">
        <f ca="1">IFERROR(__xludf.DUMMYFUNCTION("""COMPUTED_VALUE"""),"nan")</f>
        <v>nan</v>
      </c>
      <c r="L301" s="17">
        <f ca="1">IFERROR(__xludf.DUMMYFUNCTION("""COMPUTED_VALUE"""),0.816137471517892)</f>
        <v>0.81613747151789195</v>
      </c>
      <c r="M301" s="17">
        <f ca="1">IFERROR(__xludf.DUMMYFUNCTION("""COMPUTED_VALUE"""),0.95886688378507)</f>
        <v>0.95886688378507001</v>
      </c>
      <c r="N301" s="17">
        <f ca="1">IFERROR(__xludf.DUMMYFUNCTION("""COMPUTED_VALUE"""),0.964183855641817)</f>
        <v>0.96418385564181697</v>
      </c>
      <c r="O301" s="17">
        <f ca="1">IFERROR(__xludf.DUMMYFUNCTION("""COMPUTED_VALUE"""),0.782623485792158)</f>
        <v>0.78262348579215801</v>
      </c>
      <c r="P301" s="17">
        <f ca="1">IFERROR(__xludf.DUMMYFUNCTION("""COMPUTED_VALUE"""),0.947153982321914)</f>
        <v>0.94715398232191395</v>
      </c>
      <c r="Q301" s="17">
        <f ca="1">IFERROR(__xludf.DUMMYFUNCTION("""COMPUTED_VALUE"""),1.13557527492823)</f>
        <v>1.13557527492823</v>
      </c>
      <c r="R301" s="17">
        <f ca="1">IFERROR(__xludf.DUMMYFUNCTION("""COMPUTED_VALUE"""),0.877673885436353)</f>
        <v>0.87767388543635305</v>
      </c>
      <c r="S301" s="17">
        <f ca="1">IFERROR(__xludf.DUMMYFUNCTION("""COMPUTED_VALUE"""),1.09629079072145)</f>
        <v>1.0962907907214501</v>
      </c>
      <c r="T301" s="17">
        <f ca="1">IFERROR(__xludf.DUMMYFUNCTION("""COMPUTED_VALUE"""),0.902414483351195)</f>
        <v>0.90241448335119501</v>
      </c>
      <c r="U301" s="17">
        <f ca="1">IFERROR(__xludf.DUMMYFUNCTION("""COMPUTED_VALUE"""),0.975824938515474)</f>
        <v>0.97582493851547403</v>
      </c>
      <c r="V301" s="17">
        <f ca="1">IFERROR(__xludf.DUMMYFUNCTION("""COMPUTED_VALUE"""),0.893034019165998)</f>
        <v>0.89303401916599801</v>
      </c>
      <c r="W301" s="17">
        <f ca="1">IFERROR(__xludf.DUMMYFUNCTION("""COMPUTED_VALUE"""),0.921158714984957)</f>
        <v>0.92115871498495705</v>
      </c>
      <c r="X301" s="17">
        <f ca="1">IFERROR(__xludf.DUMMYFUNCTION("""COMPUTED_VALUE"""),1.03403114420975)</f>
        <v>1.0340311442097501</v>
      </c>
      <c r="Y301" s="17">
        <f ca="1">IFERROR(__xludf.DUMMYFUNCTION("""COMPUTED_VALUE"""),0.80587077674851)</f>
        <v>0.80587077674851004</v>
      </c>
      <c r="Z301" s="17">
        <f ca="1">IFERROR(__xludf.DUMMYFUNCTION("""COMPUTED_VALUE"""),0.936628042905222)</f>
        <v>0.93662804290522195</v>
      </c>
      <c r="AA301" s="17">
        <f ca="1">IFERROR(__xludf.DUMMYFUNCTION("""COMPUTED_VALUE"""),0.887204329760176)</f>
        <v>0.88720432976017605</v>
      </c>
      <c r="AB301" s="17">
        <f ca="1">IFERROR(__xludf.DUMMYFUNCTION("""COMPUTED_VALUE"""),1.12089899628357)</f>
        <v>1.12089899628357</v>
      </c>
      <c r="AC301" s="17">
        <f ca="1">IFERROR(__xludf.DUMMYFUNCTION("""COMPUTED_VALUE"""),0.941386353372618)</f>
        <v>0.941386353372618</v>
      </c>
      <c r="AD301" s="17">
        <f ca="1">IFERROR(__xludf.DUMMYFUNCTION("""COMPUTED_VALUE"""),0.92637042320744)</f>
        <v>0.92637042320744001</v>
      </c>
      <c r="AE301" s="17">
        <f ca="1">IFERROR(__xludf.DUMMYFUNCTION("""COMPUTED_VALUE"""),1.72155162818004)</f>
        <v>1.72155162818004</v>
      </c>
      <c r="AF301" s="17">
        <f ca="1">IFERROR(__xludf.DUMMYFUNCTION("""COMPUTED_VALUE"""),0.873746949641148)</f>
        <v>0.87374694964114796</v>
      </c>
      <c r="AG301" s="17">
        <f ca="1">IFERROR(__xludf.DUMMYFUNCTION("""COMPUTED_VALUE"""),1.10226655190927)</f>
        <v>1.10226655190927</v>
      </c>
      <c r="AH301" s="17">
        <f ca="1">IFERROR(__xludf.DUMMYFUNCTION("""COMPUTED_VALUE"""),1.03286674288959)</f>
        <v>1.0328667428895899</v>
      </c>
      <c r="AI301" s="17">
        <f ca="1">IFERROR(__xludf.DUMMYFUNCTION("""COMPUTED_VALUE"""),1.00624906887654)</f>
        <v>1.00624906887654</v>
      </c>
      <c r="AJ301" s="17">
        <f ca="1">IFERROR(__xludf.DUMMYFUNCTION("""COMPUTED_VALUE"""),1.15291610213297)</f>
        <v>1.1529161021329699</v>
      </c>
    </row>
    <row r="302" spans="2:36" ht="15.75" customHeight="1" x14ac:dyDescent="0.45">
      <c r="B302" s="10" t="str">
        <f ca="1">IFERROR(__xludf.DUMMYFUNCTION("""COMPUTED_VALUE"""),"Fish")</f>
        <v>Fish</v>
      </c>
      <c r="C302" s="10" t="str">
        <f ca="1">IFERROR(__xludf.DUMMYFUNCTION("""COMPUTED_VALUE"""),"aligned_series")</f>
        <v>aligned_series</v>
      </c>
      <c r="D302" s="10">
        <f ca="1">IFERROR(__xludf.DUMMYFUNCTION("""COMPUTED_VALUE"""),0.1)</f>
        <v>0.1</v>
      </c>
      <c r="E302" s="17">
        <f ca="1">IFERROR(__xludf.DUMMYFUNCTION("""COMPUTED_VALUE"""),0.753905540473267)</f>
        <v>0.75390554047326697</v>
      </c>
      <c r="F302" s="17">
        <f ca="1">IFERROR(__xludf.DUMMYFUNCTION("""COMPUTED_VALUE"""),0.137931192982164)</f>
        <v>0.137931192982164</v>
      </c>
      <c r="G302" s="17">
        <f ca="1">IFERROR(__xludf.DUMMYFUNCTION("""COMPUTED_VALUE"""),0.146393720027668)</f>
        <v>0.14639372002766801</v>
      </c>
      <c r="H302" s="17">
        <f ca="1">IFERROR(__xludf.DUMMYFUNCTION("""COMPUTED_VALUE"""),0.155852987928053)</f>
        <v>0.15585298792805299</v>
      </c>
      <c r="I302" s="17">
        <f ca="1">IFERROR(__xludf.DUMMYFUNCTION("""COMPUTED_VALUE"""),0.367214817723687)</f>
        <v>0.36721481772368703</v>
      </c>
      <c r="J302" s="17">
        <f ca="1">IFERROR(__xludf.DUMMYFUNCTION("""COMPUTED_VALUE"""),1.19472343956715)</f>
        <v>1.19472343956715</v>
      </c>
      <c r="K302" s="17" t="str">
        <f ca="1">IFERROR(__xludf.DUMMYFUNCTION("""COMPUTED_VALUE"""),"nan")</f>
        <v>nan</v>
      </c>
      <c r="L302" s="17">
        <f ca="1">IFERROR(__xludf.DUMMYFUNCTION("""COMPUTED_VALUE"""),0.144002320581192)</f>
        <v>0.144002320581192</v>
      </c>
      <c r="M302" s="17">
        <f ca="1">IFERROR(__xludf.DUMMYFUNCTION("""COMPUTED_VALUE"""),0.142322518577359)</f>
        <v>0.142322518577359</v>
      </c>
      <c r="N302" s="17">
        <f ca="1">IFERROR(__xludf.DUMMYFUNCTION("""COMPUTED_VALUE"""),0.146511168957004)</f>
        <v>0.146511168957004</v>
      </c>
      <c r="O302" s="17">
        <f ca="1">IFERROR(__xludf.DUMMYFUNCTION("""COMPUTED_VALUE"""),0.112177673311188)</f>
        <v>0.112177673311188</v>
      </c>
      <c r="P302" s="17">
        <f ca="1">IFERROR(__xludf.DUMMYFUNCTION("""COMPUTED_VALUE"""),0.417612971142628)</f>
        <v>0.41761297114262802</v>
      </c>
      <c r="Q302" s="17">
        <f ca="1">IFERROR(__xludf.DUMMYFUNCTION("""COMPUTED_VALUE"""),0.259575235874811)</f>
        <v>0.25957523587481102</v>
      </c>
      <c r="R302" s="17">
        <f ca="1">IFERROR(__xludf.DUMMYFUNCTION("""COMPUTED_VALUE"""),0.225173268059647)</f>
        <v>0.22517326805964699</v>
      </c>
      <c r="S302" s="17">
        <f ca="1">IFERROR(__xludf.DUMMYFUNCTION("""COMPUTED_VALUE"""),0.280581426367369)</f>
        <v>0.28058142636736899</v>
      </c>
      <c r="T302" s="17">
        <f ca="1">IFERROR(__xludf.DUMMYFUNCTION("""COMPUTED_VALUE"""),0.291543697912761)</f>
        <v>0.29154369791276102</v>
      </c>
      <c r="U302" s="17">
        <f ca="1">IFERROR(__xludf.DUMMYFUNCTION("""COMPUTED_VALUE"""),0.19755891010687)</f>
        <v>0.19755891010686999</v>
      </c>
      <c r="V302" s="17">
        <f ca="1">IFERROR(__xludf.DUMMYFUNCTION("""COMPUTED_VALUE"""),0.183217261334238)</f>
        <v>0.18321726133423799</v>
      </c>
      <c r="W302" s="17">
        <f ca="1">IFERROR(__xludf.DUMMYFUNCTION("""COMPUTED_VALUE"""),0.298568517296556)</f>
        <v>0.29856851729655598</v>
      </c>
      <c r="X302" s="17">
        <f ca="1">IFERROR(__xludf.DUMMYFUNCTION("""COMPUTED_VALUE"""),0.215289839756905)</f>
        <v>0.21528983975690499</v>
      </c>
      <c r="Y302" s="17">
        <f ca="1">IFERROR(__xludf.DUMMYFUNCTION("""COMPUTED_VALUE"""),0.151253818272851)</f>
        <v>0.151253818272851</v>
      </c>
      <c r="Z302" s="17">
        <f ca="1">IFERROR(__xludf.DUMMYFUNCTION("""COMPUTED_VALUE"""),0.173257741025925)</f>
        <v>0.17325774102592501</v>
      </c>
      <c r="AA302" s="17">
        <f ca="1">IFERROR(__xludf.DUMMYFUNCTION("""COMPUTED_VALUE"""),0.140139957091363)</f>
        <v>0.14013995709136301</v>
      </c>
      <c r="AB302" s="17">
        <f ca="1">IFERROR(__xludf.DUMMYFUNCTION("""COMPUTED_VALUE"""),0.180553576140097)</f>
        <v>0.18055357614009701</v>
      </c>
      <c r="AC302" s="17">
        <f ca="1">IFERROR(__xludf.DUMMYFUNCTION("""COMPUTED_VALUE"""),0.345921566909299)</f>
        <v>0.34592156690929898</v>
      </c>
      <c r="AD302" s="17">
        <f ca="1">IFERROR(__xludf.DUMMYFUNCTION("""COMPUTED_VALUE"""),0.244381824893353)</f>
        <v>0.244381824893353</v>
      </c>
      <c r="AE302" s="17">
        <f ca="1">IFERROR(__xludf.DUMMYFUNCTION("""COMPUTED_VALUE"""),0.890584366990009)</f>
        <v>0.89058436699000898</v>
      </c>
      <c r="AF302" s="17">
        <f ca="1">IFERROR(__xludf.DUMMYFUNCTION("""COMPUTED_VALUE"""),0.147608305588089)</f>
        <v>0.14760830558808899</v>
      </c>
      <c r="AG302" s="17">
        <f ca="1">IFERROR(__xludf.DUMMYFUNCTION("""COMPUTED_VALUE"""),0.300064676963137)</f>
        <v>0.30006467696313699</v>
      </c>
      <c r="AH302" s="17">
        <f ca="1">IFERROR(__xludf.DUMMYFUNCTION("""COMPUTED_VALUE"""),0.312290841366792)</f>
        <v>0.31229084136679203</v>
      </c>
      <c r="AI302" s="17">
        <f ca="1">IFERROR(__xludf.DUMMYFUNCTION("""COMPUTED_VALUE"""),0.346644675070419)</f>
        <v>0.34664467507041902</v>
      </c>
      <c r="AJ302" s="17">
        <f ca="1">IFERROR(__xludf.DUMMYFUNCTION("""COMPUTED_VALUE"""),0.231033086137612)</f>
        <v>0.231033086137612</v>
      </c>
    </row>
    <row r="303" spans="2:36" ht="15.75" customHeight="1" x14ac:dyDescent="0.45">
      <c r="B303" s="10" t="str">
        <f ca="1">IFERROR(__xludf.DUMMYFUNCTION("""COMPUTED_VALUE"""),"Fish")</f>
        <v>Fish</v>
      </c>
      <c r="C303" s="10" t="str">
        <f ca="1">IFERROR(__xludf.DUMMYFUNCTION("""COMPUTED_VALUE"""),"aligned_series")</f>
        <v>aligned_series</v>
      </c>
      <c r="D303" s="10">
        <f ca="1">IFERROR(__xludf.DUMMYFUNCTION("""COMPUTED_VALUE"""),0.2)</f>
        <v>0.2</v>
      </c>
      <c r="E303" s="17">
        <f ca="1">IFERROR(__xludf.DUMMYFUNCTION("""COMPUTED_VALUE"""),0.764509967239656)</f>
        <v>0.76450996723965603</v>
      </c>
      <c r="F303" s="17">
        <f ca="1">IFERROR(__xludf.DUMMYFUNCTION("""COMPUTED_VALUE"""),0.137335203969293)</f>
        <v>0.137335203969293</v>
      </c>
      <c r="G303" s="17">
        <f ca="1">IFERROR(__xludf.DUMMYFUNCTION("""COMPUTED_VALUE"""),0.139966565453785)</f>
        <v>0.139966565453785</v>
      </c>
      <c r="H303" s="17">
        <f ca="1">IFERROR(__xludf.DUMMYFUNCTION("""COMPUTED_VALUE"""),0.220818696119572)</f>
        <v>0.220818696119572</v>
      </c>
      <c r="I303" s="17">
        <f ca="1">IFERROR(__xludf.DUMMYFUNCTION("""COMPUTED_VALUE"""),0.380268381718308)</f>
        <v>0.38026838171830801</v>
      </c>
      <c r="J303" s="17">
        <f ca="1">IFERROR(__xludf.DUMMYFUNCTION("""COMPUTED_VALUE"""),1.5622195978897)</f>
        <v>1.5622195978897</v>
      </c>
      <c r="K303" s="17" t="str">
        <f ca="1">IFERROR(__xludf.DUMMYFUNCTION("""COMPUTED_VALUE"""),"nan")</f>
        <v>nan</v>
      </c>
      <c r="L303" s="17">
        <f ca="1">IFERROR(__xludf.DUMMYFUNCTION("""COMPUTED_VALUE"""),0.160968874982972)</f>
        <v>0.16096887498297199</v>
      </c>
      <c r="M303" s="17">
        <f ca="1">IFERROR(__xludf.DUMMYFUNCTION("""COMPUTED_VALUE"""),0.136526909049818)</f>
        <v>0.13652690904981801</v>
      </c>
      <c r="N303" s="17">
        <f ca="1">IFERROR(__xludf.DUMMYFUNCTION("""COMPUTED_VALUE"""),0.198226839970229)</f>
        <v>0.198226839970229</v>
      </c>
      <c r="O303" s="17">
        <f ca="1">IFERROR(__xludf.DUMMYFUNCTION("""COMPUTED_VALUE"""),0.109383064281854)</f>
        <v>0.109383064281854</v>
      </c>
      <c r="P303" s="17">
        <f ca="1">IFERROR(__xludf.DUMMYFUNCTION("""COMPUTED_VALUE"""),0.495100057117809)</f>
        <v>0.49510005711780902</v>
      </c>
      <c r="Q303" s="17">
        <f ca="1">IFERROR(__xludf.DUMMYFUNCTION("""COMPUTED_VALUE"""),0.272791969716719)</f>
        <v>0.27279196971671898</v>
      </c>
      <c r="R303" s="17">
        <f ca="1">IFERROR(__xludf.DUMMYFUNCTION("""COMPUTED_VALUE"""),0.443479625932932)</f>
        <v>0.443479625932932</v>
      </c>
      <c r="S303" s="17">
        <f ca="1">IFERROR(__xludf.DUMMYFUNCTION("""COMPUTED_VALUE"""),0.323139503208652)</f>
        <v>0.32313950320865198</v>
      </c>
      <c r="T303" s="17">
        <f ca="1">IFERROR(__xludf.DUMMYFUNCTION("""COMPUTED_VALUE"""),0.261409720447769)</f>
        <v>0.261409720447769</v>
      </c>
      <c r="U303" s="17">
        <f ca="1">IFERROR(__xludf.DUMMYFUNCTION("""COMPUTED_VALUE"""),0.202942067814985)</f>
        <v>0.202942067814985</v>
      </c>
      <c r="V303" s="17">
        <f ca="1">IFERROR(__xludf.DUMMYFUNCTION("""COMPUTED_VALUE"""),0.161950883142394)</f>
        <v>0.161950883142394</v>
      </c>
      <c r="W303" s="17">
        <f ca="1">IFERROR(__xludf.DUMMYFUNCTION("""COMPUTED_VALUE"""),0.268299869163615)</f>
        <v>0.26829986916361498</v>
      </c>
      <c r="X303" s="17">
        <f ca="1">IFERROR(__xludf.DUMMYFUNCTION("""COMPUTED_VALUE"""),0.299107686158591)</f>
        <v>0.29910768615859101</v>
      </c>
      <c r="Y303" s="17">
        <f ca="1">IFERROR(__xludf.DUMMYFUNCTION("""COMPUTED_VALUE"""),0.181226326295985)</f>
        <v>0.18122632629598501</v>
      </c>
      <c r="Z303" s="17">
        <f ca="1">IFERROR(__xludf.DUMMYFUNCTION("""COMPUTED_VALUE"""),0.19630185669424)</f>
        <v>0.19630185669424</v>
      </c>
      <c r="AA303" s="17">
        <f ca="1">IFERROR(__xludf.DUMMYFUNCTION("""COMPUTED_VALUE"""),0.1312507484408)</f>
        <v>0.13125074844080001</v>
      </c>
      <c r="AB303" s="17">
        <f ca="1">IFERROR(__xludf.DUMMYFUNCTION("""COMPUTED_VALUE"""),0.363927974603126)</f>
        <v>0.36392797460312598</v>
      </c>
      <c r="AC303" s="17">
        <f ca="1">IFERROR(__xludf.DUMMYFUNCTION("""COMPUTED_VALUE"""),0.316216979454399)</f>
        <v>0.31621697945439903</v>
      </c>
      <c r="AD303" s="17">
        <f ca="1">IFERROR(__xludf.DUMMYFUNCTION("""COMPUTED_VALUE"""),0.237908154398678)</f>
        <v>0.23790815439867799</v>
      </c>
      <c r="AE303" s="17">
        <f ca="1">IFERROR(__xludf.DUMMYFUNCTION("""COMPUTED_VALUE"""),0.895560985707018)</f>
        <v>0.89556098570701803</v>
      </c>
      <c r="AF303" s="17">
        <f ca="1">IFERROR(__xludf.DUMMYFUNCTION("""COMPUTED_VALUE"""),0.148353807067534)</f>
        <v>0.14835380706753401</v>
      </c>
      <c r="AG303" s="17">
        <f ca="1">IFERROR(__xludf.DUMMYFUNCTION("""COMPUTED_VALUE"""),0.31125950402717)</f>
        <v>0.31125950402717001</v>
      </c>
      <c r="AH303" s="17">
        <f ca="1">IFERROR(__xludf.DUMMYFUNCTION("""COMPUTED_VALUE"""),0.333971856499469)</f>
        <v>0.33397185649946898</v>
      </c>
      <c r="AI303" s="17">
        <f ca="1">IFERROR(__xludf.DUMMYFUNCTION("""COMPUTED_VALUE"""),0.368130792773954)</f>
        <v>0.368130792773954</v>
      </c>
      <c r="AJ303" s="17">
        <f ca="1">IFERROR(__xludf.DUMMYFUNCTION("""COMPUTED_VALUE"""),0.262586822364878)</f>
        <v>0.26258682236487801</v>
      </c>
    </row>
    <row r="304" spans="2:36" ht="15.75" customHeight="1" x14ac:dyDescent="0.45">
      <c r="B304" s="10" t="str">
        <f ca="1">IFERROR(__xludf.DUMMYFUNCTION("""COMPUTED_VALUE"""),"Fish")</f>
        <v>Fish</v>
      </c>
      <c r="C304" s="10" t="str">
        <f ca="1">IFERROR(__xludf.DUMMYFUNCTION("""COMPUTED_VALUE"""),"aligned_series")</f>
        <v>aligned_series</v>
      </c>
      <c r="D304" s="10">
        <f ca="1">IFERROR(__xludf.DUMMYFUNCTION("""COMPUTED_VALUE"""),0.4)</f>
        <v>0.4</v>
      </c>
      <c r="E304" s="17">
        <f ca="1">IFERROR(__xludf.DUMMYFUNCTION("""COMPUTED_VALUE"""),0.778018358156991)</f>
        <v>0.77801835815699105</v>
      </c>
      <c r="F304" s="17">
        <f ca="1">IFERROR(__xludf.DUMMYFUNCTION("""COMPUTED_VALUE"""),0.150385181566743)</f>
        <v>0.15038518156674299</v>
      </c>
      <c r="G304" s="17">
        <f ca="1">IFERROR(__xludf.DUMMYFUNCTION("""COMPUTED_VALUE"""),0.152112176320499)</f>
        <v>0.152112176320499</v>
      </c>
      <c r="H304" s="17">
        <f ca="1">IFERROR(__xludf.DUMMYFUNCTION("""COMPUTED_VALUE"""),0.239502423088636)</f>
        <v>0.23950242308863601</v>
      </c>
      <c r="I304" s="17">
        <f ca="1">IFERROR(__xludf.DUMMYFUNCTION("""COMPUTED_VALUE"""),0.357067200254193)</f>
        <v>0.35706720025419297</v>
      </c>
      <c r="J304" s="17">
        <f ca="1">IFERROR(__xludf.DUMMYFUNCTION("""COMPUTED_VALUE"""),1.59903062392476)</f>
        <v>1.59903062392476</v>
      </c>
      <c r="K304" s="17" t="str">
        <f ca="1">IFERROR(__xludf.DUMMYFUNCTION("""COMPUTED_VALUE"""),"nan")</f>
        <v>nan</v>
      </c>
      <c r="L304" s="17">
        <f ca="1">IFERROR(__xludf.DUMMYFUNCTION("""COMPUTED_VALUE"""),0.161109852534627)</f>
        <v>0.16110985253462701</v>
      </c>
      <c r="M304" s="17">
        <f ca="1">IFERROR(__xludf.DUMMYFUNCTION("""COMPUTED_VALUE"""),0.149807138529536)</f>
        <v>0.149807138529536</v>
      </c>
      <c r="N304" s="17">
        <f ca="1">IFERROR(__xludf.DUMMYFUNCTION("""COMPUTED_VALUE"""),0.174143075127685)</f>
        <v>0.17414307512768501</v>
      </c>
      <c r="O304" s="17">
        <f ca="1">IFERROR(__xludf.DUMMYFUNCTION("""COMPUTED_VALUE"""),0.134510192123958)</f>
        <v>0.13451019212395801</v>
      </c>
      <c r="P304" s="17">
        <f ca="1">IFERROR(__xludf.DUMMYFUNCTION("""COMPUTED_VALUE"""),0.690562623711922)</f>
        <v>0.69056262371192201</v>
      </c>
      <c r="Q304" s="17">
        <f ca="1">IFERROR(__xludf.DUMMYFUNCTION("""COMPUTED_VALUE"""),0.259958648036243)</f>
        <v>0.25995864803624302</v>
      </c>
      <c r="R304" s="17">
        <f ca="1">IFERROR(__xludf.DUMMYFUNCTION("""COMPUTED_VALUE"""),0.570669033418132)</f>
        <v>0.57066903341813202</v>
      </c>
      <c r="S304" s="17">
        <f ca="1">IFERROR(__xludf.DUMMYFUNCTION("""COMPUTED_VALUE"""),0.435799728531716)</f>
        <v>0.435799728531716</v>
      </c>
      <c r="T304" s="17">
        <f ca="1">IFERROR(__xludf.DUMMYFUNCTION("""COMPUTED_VALUE"""),0.282192256462007)</f>
        <v>0.28219225646200702</v>
      </c>
      <c r="U304" s="17">
        <f ca="1">IFERROR(__xludf.DUMMYFUNCTION("""COMPUTED_VALUE"""),0.213593484661914)</f>
        <v>0.213593484661914</v>
      </c>
      <c r="V304" s="17">
        <f ca="1">IFERROR(__xludf.DUMMYFUNCTION("""COMPUTED_VALUE"""),0.178969536731784)</f>
        <v>0.17896953673178401</v>
      </c>
      <c r="W304" s="17">
        <f ca="1">IFERROR(__xludf.DUMMYFUNCTION("""COMPUTED_VALUE"""),0.252885469199634)</f>
        <v>0.25288546919963401</v>
      </c>
      <c r="X304" s="17">
        <f ca="1">IFERROR(__xludf.DUMMYFUNCTION("""COMPUTED_VALUE"""),0.27485087212984)</f>
        <v>0.27485087212984</v>
      </c>
      <c r="Y304" s="17">
        <f ca="1">IFERROR(__xludf.DUMMYFUNCTION("""COMPUTED_VALUE"""),0.189519307992104)</f>
        <v>0.18951930799210401</v>
      </c>
      <c r="Z304" s="17">
        <f ca="1">IFERROR(__xludf.DUMMYFUNCTION("""COMPUTED_VALUE"""),0.19547969080877)</f>
        <v>0.19547969080877001</v>
      </c>
      <c r="AA304" s="17">
        <f ca="1">IFERROR(__xludf.DUMMYFUNCTION("""COMPUTED_VALUE"""),0.138501486054463)</f>
        <v>0.138501486054463</v>
      </c>
      <c r="AB304" s="17">
        <f ca="1">IFERROR(__xludf.DUMMYFUNCTION("""COMPUTED_VALUE"""),1.32201490139104)</f>
        <v>1.3220149013910401</v>
      </c>
      <c r="AC304" s="17">
        <f ca="1">IFERROR(__xludf.DUMMYFUNCTION("""COMPUTED_VALUE"""),0.33588719404864)</f>
        <v>0.33588719404863998</v>
      </c>
      <c r="AD304" s="17">
        <f ca="1">IFERROR(__xludf.DUMMYFUNCTION("""COMPUTED_VALUE"""),0.239646893286157)</f>
        <v>0.23964689328615699</v>
      </c>
      <c r="AE304" s="17">
        <f ca="1">IFERROR(__xludf.DUMMYFUNCTION("""COMPUTED_VALUE"""),0.935022313316785)</f>
        <v>0.93502231331678498</v>
      </c>
      <c r="AF304" s="17">
        <f ca="1">IFERROR(__xludf.DUMMYFUNCTION("""COMPUTED_VALUE"""),0.163712293765484)</f>
        <v>0.16371229376548399</v>
      </c>
      <c r="AG304" s="17">
        <f ca="1">IFERROR(__xludf.DUMMYFUNCTION("""COMPUTED_VALUE"""),0.336449498784038)</f>
        <v>0.33644949878403801</v>
      </c>
      <c r="AH304" s="17">
        <f ca="1">IFERROR(__xludf.DUMMYFUNCTION("""COMPUTED_VALUE"""),0.337341434299877)</f>
        <v>0.33734143429987701</v>
      </c>
      <c r="AI304" s="17">
        <f ca="1">IFERROR(__xludf.DUMMYFUNCTION("""COMPUTED_VALUE"""),0.37353585106872)</f>
        <v>0.37353585106872</v>
      </c>
      <c r="AJ304" s="17">
        <f ca="1">IFERROR(__xludf.DUMMYFUNCTION("""COMPUTED_VALUE"""),0.2846944568011)</f>
        <v>0.2846944568011</v>
      </c>
    </row>
    <row r="305" spans="2:36" ht="15.75" customHeight="1" x14ac:dyDescent="0.45">
      <c r="B305" s="10" t="str">
        <f ca="1">IFERROR(__xludf.DUMMYFUNCTION("""COMPUTED_VALUE"""),"Fish")</f>
        <v>Fish</v>
      </c>
      <c r="C305" s="10" t="str">
        <f ca="1">IFERROR(__xludf.DUMMYFUNCTION("""COMPUTED_VALUE"""),"aligned_series")</f>
        <v>aligned_series</v>
      </c>
      <c r="D305" s="10">
        <f ca="1">IFERROR(__xludf.DUMMYFUNCTION("""COMPUTED_VALUE"""),0.6)</f>
        <v>0.6</v>
      </c>
      <c r="E305" s="17">
        <f ca="1">IFERROR(__xludf.DUMMYFUNCTION("""COMPUTED_VALUE"""),0.786487274758073)</f>
        <v>0.78648727475807301</v>
      </c>
      <c r="F305" s="17">
        <f ca="1">IFERROR(__xludf.DUMMYFUNCTION("""COMPUTED_VALUE"""),0.161554069977475)</f>
        <v>0.16155406997747501</v>
      </c>
      <c r="G305" s="17">
        <f ca="1">IFERROR(__xludf.DUMMYFUNCTION("""COMPUTED_VALUE"""),0.161591841178902)</f>
        <v>0.16159184117890199</v>
      </c>
      <c r="H305" s="17">
        <f ca="1">IFERROR(__xludf.DUMMYFUNCTION("""COMPUTED_VALUE"""),0.215051072433124)</f>
        <v>0.21505107243312399</v>
      </c>
      <c r="I305" s="17">
        <f ca="1">IFERROR(__xludf.DUMMYFUNCTION("""COMPUTED_VALUE"""),0.308507021089838)</f>
        <v>0.30850702108983802</v>
      </c>
      <c r="J305" s="17">
        <f ca="1">IFERROR(__xludf.DUMMYFUNCTION("""COMPUTED_VALUE"""),1.59117220237474)</f>
        <v>1.5911722023747401</v>
      </c>
      <c r="K305" s="17" t="str">
        <f ca="1">IFERROR(__xludf.DUMMYFUNCTION("""COMPUTED_VALUE"""),"nan")</f>
        <v>nan</v>
      </c>
      <c r="L305" s="17">
        <f ca="1">IFERROR(__xludf.DUMMYFUNCTION("""COMPUTED_VALUE"""),0.180196002239691)</f>
        <v>0.18019600223969101</v>
      </c>
      <c r="M305" s="17">
        <f ca="1">IFERROR(__xludf.DUMMYFUNCTION("""COMPUTED_VALUE"""),0.158211138705016)</f>
        <v>0.15821113870501599</v>
      </c>
      <c r="N305" s="17">
        <f ca="1">IFERROR(__xludf.DUMMYFUNCTION("""COMPUTED_VALUE"""),0.195155550078922)</f>
        <v>0.19515555007892199</v>
      </c>
      <c r="O305" s="17">
        <f ca="1">IFERROR(__xludf.DUMMYFUNCTION("""COMPUTED_VALUE"""),0.463975976142806)</f>
        <v>0.463975976142806</v>
      </c>
      <c r="P305" s="17">
        <f ca="1">IFERROR(__xludf.DUMMYFUNCTION("""COMPUTED_VALUE"""),0.941109246641914)</f>
        <v>0.94110924664191398</v>
      </c>
      <c r="Q305" s="17">
        <f ca="1">IFERROR(__xludf.DUMMYFUNCTION("""COMPUTED_VALUE"""),0.504123949392554)</f>
        <v>0.504123949392554</v>
      </c>
      <c r="R305" s="17">
        <f ca="1">IFERROR(__xludf.DUMMYFUNCTION("""COMPUTED_VALUE"""),0.696393704847159)</f>
        <v>0.69639370484715901</v>
      </c>
      <c r="S305" s="17">
        <f ca="1">IFERROR(__xludf.DUMMYFUNCTION("""COMPUTED_VALUE"""),0.551090411425982)</f>
        <v>0.55109041142598203</v>
      </c>
      <c r="T305" s="17">
        <f ca="1">IFERROR(__xludf.DUMMYFUNCTION("""COMPUTED_VALUE"""),0.24550072226878)</f>
        <v>0.24550072226878</v>
      </c>
      <c r="U305" s="17">
        <f ca="1">IFERROR(__xludf.DUMMYFUNCTION("""COMPUTED_VALUE"""),0.227479182235197)</f>
        <v>0.227479182235197</v>
      </c>
      <c r="V305" s="17">
        <f ca="1">IFERROR(__xludf.DUMMYFUNCTION("""COMPUTED_VALUE"""),0.214095488610251)</f>
        <v>0.21409548861025099</v>
      </c>
      <c r="W305" s="17">
        <f ca="1">IFERROR(__xludf.DUMMYFUNCTION("""COMPUTED_VALUE"""),0.275938231646174)</f>
        <v>0.27593823164617398</v>
      </c>
      <c r="X305" s="17">
        <f ca="1">IFERROR(__xludf.DUMMYFUNCTION("""COMPUTED_VALUE"""),0.220195821588953)</f>
        <v>0.22019582158895301</v>
      </c>
      <c r="Y305" s="17">
        <f ca="1">IFERROR(__xludf.DUMMYFUNCTION("""COMPUTED_VALUE"""),0.190481598930645)</f>
        <v>0.19048159893064501</v>
      </c>
      <c r="Z305" s="17">
        <f ca="1">IFERROR(__xludf.DUMMYFUNCTION("""COMPUTED_VALUE"""),0.215863013066685)</f>
        <v>0.21586301306668501</v>
      </c>
      <c r="AA305" s="17">
        <f ca="1">IFERROR(__xludf.DUMMYFUNCTION("""COMPUTED_VALUE"""),0.172431778569184)</f>
        <v>0.17243177856918401</v>
      </c>
      <c r="AB305" s="17">
        <f ca="1">IFERROR(__xludf.DUMMYFUNCTION("""COMPUTED_VALUE"""),1.58796464903987)</f>
        <v>1.58796464903987</v>
      </c>
      <c r="AC305" s="17">
        <f ca="1">IFERROR(__xludf.DUMMYFUNCTION("""COMPUTED_VALUE"""),0.329097047656081)</f>
        <v>0.329097047656081</v>
      </c>
      <c r="AD305" s="17">
        <f ca="1">IFERROR(__xludf.DUMMYFUNCTION("""COMPUTED_VALUE"""),0.231601586118984)</f>
        <v>0.23160158611898399</v>
      </c>
      <c r="AE305" s="17">
        <f ca="1">IFERROR(__xludf.DUMMYFUNCTION("""COMPUTED_VALUE"""),0.917678131275778)</f>
        <v>0.91767813127577802</v>
      </c>
      <c r="AF305" s="17">
        <f ca="1">IFERROR(__xludf.DUMMYFUNCTION("""COMPUTED_VALUE"""),0.191508946909152)</f>
        <v>0.19150894690915199</v>
      </c>
      <c r="AG305" s="17">
        <f ca="1">IFERROR(__xludf.DUMMYFUNCTION("""COMPUTED_VALUE"""),0.33672476679909)</f>
        <v>0.33672476679909003</v>
      </c>
      <c r="AH305" s="17">
        <f ca="1">IFERROR(__xludf.DUMMYFUNCTION("""COMPUTED_VALUE"""),0.337396514262152)</f>
        <v>0.337396514262152</v>
      </c>
      <c r="AI305" s="17">
        <f ca="1">IFERROR(__xludf.DUMMYFUNCTION("""COMPUTED_VALUE"""),0.374319182926478)</f>
        <v>0.37431918292647798</v>
      </c>
      <c r="AJ305" s="17">
        <f ca="1">IFERROR(__xludf.DUMMYFUNCTION("""COMPUTED_VALUE"""),0.311108160780322)</f>
        <v>0.311108160780322</v>
      </c>
    </row>
    <row r="306" spans="2:36" ht="15.75" customHeight="1" x14ac:dyDescent="0.45">
      <c r="B306" s="10" t="str">
        <f ca="1">IFERROR(__xludf.DUMMYFUNCTION("""COMPUTED_VALUE"""),"Fish")</f>
        <v>Fish</v>
      </c>
      <c r="C306" s="10" t="str">
        <f ca="1">IFERROR(__xludf.DUMMYFUNCTION("""COMPUTED_VALUE"""),"aligned_series")</f>
        <v>aligned_series</v>
      </c>
      <c r="D306" s="10">
        <f ca="1">IFERROR(__xludf.DUMMYFUNCTION("""COMPUTED_VALUE"""),0.8)</f>
        <v>0.8</v>
      </c>
      <c r="E306" s="17">
        <f ca="1">IFERROR(__xludf.DUMMYFUNCTION("""COMPUTED_VALUE"""),0.800425319877802)</f>
        <v>0.80042531987780197</v>
      </c>
      <c r="F306" s="17">
        <f ca="1">IFERROR(__xludf.DUMMYFUNCTION("""COMPUTED_VALUE"""),0.209657513500076)</f>
        <v>0.209657513500076</v>
      </c>
      <c r="G306" s="17">
        <f ca="1">IFERROR(__xludf.DUMMYFUNCTION("""COMPUTED_VALUE"""),0.188518889216514)</f>
        <v>0.188518889216514</v>
      </c>
      <c r="H306" s="17">
        <f ca="1">IFERROR(__xludf.DUMMYFUNCTION("""COMPUTED_VALUE"""),0.269240479905001)</f>
        <v>0.269240479905001</v>
      </c>
      <c r="I306" s="17">
        <f ca="1">IFERROR(__xludf.DUMMYFUNCTION("""COMPUTED_VALUE"""),0.428365551255849)</f>
        <v>0.42836555125584902</v>
      </c>
      <c r="J306" s="17">
        <f ca="1">IFERROR(__xludf.DUMMYFUNCTION("""COMPUTED_VALUE"""),1.60357122014254)</f>
        <v>1.6035712201425401</v>
      </c>
      <c r="K306" s="17" t="str">
        <f ca="1">IFERROR(__xludf.DUMMYFUNCTION("""COMPUTED_VALUE"""),"nan")</f>
        <v>nan</v>
      </c>
      <c r="L306" s="17">
        <f ca="1">IFERROR(__xludf.DUMMYFUNCTION("""COMPUTED_VALUE"""),0.245595103069627)</f>
        <v>0.24559510306962701</v>
      </c>
      <c r="M306" s="17">
        <f ca="1">IFERROR(__xludf.DUMMYFUNCTION("""COMPUTED_VALUE"""),0.181808865233347)</f>
        <v>0.18180886523334699</v>
      </c>
      <c r="N306" s="17">
        <f ca="1">IFERROR(__xludf.DUMMYFUNCTION("""COMPUTED_VALUE"""),0.209963617538203)</f>
        <v>0.209963617538203</v>
      </c>
      <c r="O306" s="17">
        <f ca="1">IFERROR(__xludf.DUMMYFUNCTION("""COMPUTED_VALUE"""),0.861442011241581)</f>
        <v>0.86144201124158104</v>
      </c>
      <c r="P306" s="17">
        <f ca="1">IFERROR(__xludf.DUMMYFUNCTION("""COMPUTED_VALUE"""),1.03632193622381)</f>
        <v>1.0363219362238101</v>
      </c>
      <c r="Q306" s="17">
        <f ca="1">IFERROR(__xludf.DUMMYFUNCTION("""COMPUTED_VALUE"""),0.696587600955422)</f>
        <v>0.69658760095542205</v>
      </c>
      <c r="R306" s="17">
        <f ca="1">IFERROR(__xludf.DUMMYFUNCTION("""COMPUTED_VALUE"""),0.723718297362045)</f>
        <v>0.72371829736204496</v>
      </c>
      <c r="S306" s="17">
        <f ca="1">IFERROR(__xludf.DUMMYFUNCTION("""COMPUTED_VALUE"""),0.672982378521166)</f>
        <v>0.67298237852116605</v>
      </c>
      <c r="T306" s="17">
        <f ca="1">IFERROR(__xludf.DUMMYFUNCTION("""COMPUTED_VALUE"""),0.378067408625629)</f>
        <v>0.37806740862562899</v>
      </c>
      <c r="U306" s="17">
        <f ca="1">IFERROR(__xludf.DUMMYFUNCTION("""COMPUTED_VALUE"""),0.277916632298614)</f>
        <v>0.27791663229861402</v>
      </c>
      <c r="V306" s="17">
        <f ca="1">IFERROR(__xludf.DUMMYFUNCTION("""COMPUTED_VALUE"""),0.274818862614609)</f>
        <v>0.27481886261460903</v>
      </c>
      <c r="W306" s="17">
        <f ca="1">IFERROR(__xludf.DUMMYFUNCTION("""COMPUTED_VALUE"""),0.275918791070925)</f>
        <v>0.27591879107092498</v>
      </c>
      <c r="X306" s="17">
        <f ca="1">IFERROR(__xludf.DUMMYFUNCTION("""COMPUTED_VALUE"""),0.453832466917014)</f>
        <v>0.45383246691701401</v>
      </c>
      <c r="Y306" s="17">
        <f ca="1">IFERROR(__xludf.DUMMYFUNCTION("""COMPUTED_VALUE"""),0.217319966757485)</f>
        <v>0.21731996675748499</v>
      </c>
      <c r="Z306" s="17">
        <f ca="1">IFERROR(__xludf.DUMMYFUNCTION("""COMPUTED_VALUE"""),0.312180756671521)</f>
        <v>0.31218075667152101</v>
      </c>
      <c r="AA306" s="17">
        <f ca="1">IFERROR(__xludf.DUMMYFUNCTION("""COMPUTED_VALUE"""),0.208423742890653)</f>
        <v>0.20842374289065299</v>
      </c>
      <c r="AB306" s="17">
        <f ca="1">IFERROR(__xludf.DUMMYFUNCTION("""COMPUTED_VALUE"""),1.53338459107987)</f>
        <v>1.53338459107987</v>
      </c>
      <c r="AC306" s="17">
        <f ca="1">IFERROR(__xludf.DUMMYFUNCTION("""COMPUTED_VALUE"""),0.428729114347634)</f>
        <v>0.428729114347634</v>
      </c>
      <c r="AD306" s="17">
        <f ca="1">IFERROR(__xludf.DUMMYFUNCTION("""COMPUTED_VALUE"""),0.29307918020027)</f>
        <v>0.29307918020027002</v>
      </c>
      <c r="AE306" s="17">
        <f ca="1">IFERROR(__xludf.DUMMYFUNCTION("""COMPUTED_VALUE"""),0.934680930884433)</f>
        <v>0.93468093088443305</v>
      </c>
      <c r="AF306" s="17">
        <f ca="1">IFERROR(__xludf.DUMMYFUNCTION("""COMPUTED_VALUE"""),0.233925370042506)</f>
        <v>0.23392537004250599</v>
      </c>
      <c r="AG306" s="17">
        <f ca="1">IFERROR(__xludf.DUMMYFUNCTION("""COMPUTED_VALUE"""),0.350160476368058)</f>
        <v>0.35016047636805803</v>
      </c>
      <c r="AH306" s="17">
        <f ca="1">IFERROR(__xludf.DUMMYFUNCTION("""COMPUTED_VALUE"""),0.346689551221186)</f>
        <v>0.346689551221186</v>
      </c>
      <c r="AI306" s="17">
        <f ca="1">IFERROR(__xludf.DUMMYFUNCTION("""COMPUTED_VALUE"""),0.382077845641272)</f>
        <v>0.38207784564127201</v>
      </c>
      <c r="AJ306" s="17">
        <f ca="1">IFERROR(__xludf.DUMMYFUNCTION("""COMPUTED_VALUE"""),0.339875135936651)</f>
        <v>0.33987513593665097</v>
      </c>
    </row>
    <row r="307" spans="2:36" ht="15.75" customHeight="1" x14ac:dyDescent="0.45">
      <c r="B307" s="10" t="str">
        <f ca="1">IFERROR(__xludf.DUMMYFUNCTION("""COMPUTED_VALUE"""),"Fish")</f>
        <v>Fish</v>
      </c>
      <c r="C307" s="10" t="str">
        <f ca="1">IFERROR(__xludf.DUMMYFUNCTION("""COMPUTED_VALUE"""),"aligned_timestamps")</f>
        <v>aligned_timestamps</v>
      </c>
      <c r="D307" s="10">
        <f ca="1">IFERROR(__xludf.DUMMYFUNCTION("""COMPUTED_VALUE"""),0.1)</f>
        <v>0.1</v>
      </c>
      <c r="E307" s="17">
        <f ca="1">IFERROR(__xludf.DUMMYFUNCTION("""COMPUTED_VALUE"""),0.611443554053092)</f>
        <v>0.61144355405309203</v>
      </c>
      <c r="F307" s="17">
        <f ca="1">IFERROR(__xludf.DUMMYFUNCTION("""COMPUTED_VALUE"""),0.121657939826356)</f>
        <v>0.121657939826356</v>
      </c>
      <c r="G307" s="17">
        <f ca="1">IFERROR(__xludf.DUMMYFUNCTION("""COMPUTED_VALUE"""),0.120391150282569)</f>
        <v>0.120391150282569</v>
      </c>
      <c r="H307" s="17">
        <f ca="1">IFERROR(__xludf.DUMMYFUNCTION("""COMPUTED_VALUE"""),0.247897712063026)</f>
        <v>0.24789771206302599</v>
      </c>
      <c r="I307" s="17">
        <f ca="1">IFERROR(__xludf.DUMMYFUNCTION("""COMPUTED_VALUE"""),0.297429526567761)</f>
        <v>0.297429526567761</v>
      </c>
      <c r="J307" s="17">
        <f ca="1">IFERROR(__xludf.DUMMYFUNCTION("""COMPUTED_VALUE"""),0.46281405345104)</f>
        <v>0.46281405345103999</v>
      </c>
      <c r="K307" s="17" t="str">
        <f ca="1">IFERROR(__xludf.DUMMYFUNCTION("""COMPUTED_VALUE"""),"nan")</f>
        <v>nan</v>
      </c>
      <c r="L307" s="17">
        <f ca="1">IFERROR(__xludf.DUMMYFUNCTION("""COMPUTED_VALUE"""),0.132358544724977)</f>
        <v>0.13235854472497699</v>
      </c>
      <c r="M307" s="17">
        <f ca="1">IFERROR(__xludf.DUMMYFUNCTION("""COMPUTED_VALUE"""),0.111418495327578)</f>
        <v>0.111418495327578</v>
      </c>
      <c r="N307" s="17">
        <f ca="1">IFERROR(__xludf.DUMMYFUNCTION("""COMPUTED_VALUE"""),0.199575987632022)</f>
        <v>0.199575987632022</v>
      </c>
      <c r="O307" s="17">
        <f ca="1">IFERROR(__xludf.DUMMYFUNCTION("""COMPUTED_VALUE"""),0.0747718102204628)</f>
        <v>7.4771810220462795E-2</v>
      </c>
      <c r="P307" s="17">
        <f ca="1">IFERROR(__xludf.DUMMYFUNCTION("""COMPUTED_VALUE"""),0.361364596779133)</f>
        <v>0.36136459677913302</v>
      </c>
      <c r="Q307" s="17">
        <f ca="1">IFERROR(__xludf.DUMMYFUNCTION("""COMPUTED_VALUE"""),0.292791358102064)</f>
        <v>0.29279135810206403</v>
      </c>
      <c r="R307" s="17">
        <f ca="1">IFERROR(__xludf.DUMMYFUNCTION("""COMPUTED_VALUE"""),0.29050062697335)</f>
        <v>0.29050062697335</v>
      </c>
      <c r="S307" s="17">
        <f ca="1">IFERROR(__xludf.DUMMYFUNCTION("""COMPUTED_VALUE"""),0.286604491259376)</f>
        <v>0.28660449125937598</v>
      </c>
      <c r="T307" s="17">
        <f ca="1">IFERROR(__xludf.DUMMYFUNCTION("""COMPUTED_VALUE"""),0.161134955752445)</f>
        <v>0.16113495575244499</v>
      </c>
      <c r="U307" s="17">
        <f ca="1">IFERROR(__xludf.DUMMYFUNCTION("""COMPUTED_VALUE"""),0.183854076281077)</f>
        <v>0.183854076281077</v>
      </c>
      <c r="V307" s="17">
        <f ca="1">IFERROR(__xludf.DUMMYFUNCTION("""COMPUTED_VALUE"""),0.122822425639243)</f>
        <v>0.122822425639243</v>
      </c>
      <c r="W307" s="17">
        <f ca="1">IFERROR(__xludf.DUMMYFUNCTION("""COMPUTED_VALUE"""),0.349229976118239)</f>
        <v>0.34922997611823903</v>
      </c>
      <c r="X307" s="17">
        <f ca="1">IFERROR(__xludf.DUMMYFUNCTION("""COMPUTED_VALUE"""),0.261190288426834)</f>
        <v>0.26119028842683401</v>
      </c>
      <c r="Y307" s="17">
        <f ca="1">IFERROR(__xludf.DUMMYFUNCTION("""COMPUTED_VALUE"""),0.139131746294284)</f>
        <v>0.13913174629428399</v>
      </c>
      <c r="Z307" s="17">
        <f ca="1">IFERROR(__xludf.DUMMYFUNCTION("""COMPUTED_VALUE"""),0.125673007096071)</f>
        <v>0.12567300709607099</v>
      </c>
      <c r="AA307" s="17">
        <f ca="1">IFERROR(__xludf.DUMMYFUNCTION("""COMPUTED_VALUE"""),0.0656525049129677)</f>
        <v>6.5652504912967702E-2</v>
      </c>
      <c r="AB307" s="17">
        <f ca="1">IFERROR(__xludf.DUMMYFUNCTION("""COMPUTED_VALUE"""),0.202766453416037)</f>
        <v>0.202766453416037</v>
      </c>
      <c r="AC307" s="17">
        <f ca="1">IFERROR(__xludf.DUMMYFUNCTION("""COMPUTED_VALUE"""),0.141867482444123)</f>
        <v>0.14186748244412301</v>
      </c>
      <c r="AD307" s="17">
        <f ca="1">IFERROR(__xludf.DUMMYFUNCTION("""COMPUTED_VALUE"""),0.166263131794333)</f>
        <v>0.166263131794333</v>
      </c>
      <c r="AE307" s="17">
        <f ca="1">IFERROR(__xludf.DUMMYFUNCTION("""COMPUTED_VALUE"""),0.429505701273317)</f>
        <v>0.429505701273317</v>
      </c>
      <c r="AF307" s="17">
        <f ca="1">IFERROR(__xludf.DUMMYFUNCTION("""COMPUTED_VALUE"""),0.0921558655682935)</f>
        <v>9.2155865568293499E-2</v>
      </c>
      <c r="AG307" s="17">
        <f ca="1">IFERROR(__xludf.DUMMYFUNCTION("""COMPUTED_VALUE"""),0.839417173592477)</f>
        <v>0.83941717359247703</v>
      </c>
      <c r="AH307" s="17">
        <f ca="1">IFERROR(__xludf.DUMMYFUNCTION("""COMPUTED_VALUE"""),0.10408483825633)</f>
        <v>0.10408483825633</v>
      </c>
      <c r="AI307" s="17">
        <f ca="1">IFERROR(__xludf.DUMMYFUNCTION("""COMPUTED_VALUE"""),0.100584632811853)</f>
        <v>0.10058463281185299</v>
      </c>
      <c r="AJ307" s="17">
        <f ca="1">IFERROR(__xludf.DUMMYFUNCTION("""COMPUTED_VALUE"""),0.105541738434544)</f>
        <v>0.10554173843454399</v>
      </c>
    </row>
    <row r="308" spans="2:36" ht="15.75" customHeight="1" x14ac:dyDescent="0.45">
      <c r="B308" s="10" t="str">
        <f ca="1">IFERROR(__xludf.DUMMYFUNCTION("""COMPUTED_VALUE"""),"Fish")</f>
        <v>Fish</v>
      </c>
      <c r="C308" s="10" t="str">
        <f ca="1">IFERROR(__xludf.DUMMYFUNCTION("""COMPUTED_VALUE"""),"aligned_timestamps")</f>
        <v>aligned_timestamps</v>
      </c>
      <c r="D308" s="10">
        <f ca="1">IFERROR(__xludf.DUMMYFUNCTION("""COMPUTED_VALUE"""),0.2)</f>
        <v>0.2</v>
      </c>
      <c r="E308" s="17">
        <f ca="1">IFERROR(__xludf.DUMMYFUNCTION("""COMPUTED_VALUE"""),0.764509967239656)</f>
        <v>0.76450996723965603</v>
      </c>
      <c r="F308" s="17">
        <f ca="1">IFERROR(__xludf.DUMMYFUNCTION("""COMPUTED_VALUE"""),0.137335203969293)</f>
        <v>0.137335203969293</v>
      </c>
      <c r="G308" s="17">
        <f ca="1">IFERROR(__xludf.DUMMYFUNCTION("""COMPUTED_VALUE"""),0.139966565453785)</f>
        <v>0.139966565453785</v>
      </c>
      <c r="H308" s="17">
        <f ca="1">IFERROR(__xludf.DUMMYFUNCTION("""COMPUTED_VALUE"""),0.220818696119572)</f>
        <v>0.220818696119572</v>
      </c>
      <c r="I308" s="17">
        <f ca="1">IFERROR(__xludf.DUMMYFUNCTION("""COMPUTED_VALUE"""),0.380268381718308)</f>
        <v>0.38026838171830801</v>
      </c>
      <c r="J308" s="17">
        <f ca="1">IFERROR(__xludf.DUMMYFUNCTION("""COMPUTED_VALUE"""),1.5622195978897)</f>
        <v>1.5622195978897</v>
      </c>
      <c r="K308" s="17" t="str">
        <f ca="1">IFERROR(__xludf.DUMMYFUNCTION("""COMPUTED_VALUE"""),"nan")</f>
        <v>nan</v>
      </c>
      <c r="L308" s="17">
        <f ca="1">IFERROR(__xludf.DUMMYFUNCTION("""COMPUTED_VALUE"""),0.160968874982972)</f>
        <v>0.16096887498297199</v>
      </c>
      <c r="M308" s="17">
        <f ca="1">IFERROR(__xludf.DUMMYFUNCTION("""COMPUTED_VALUE"""),0.136526909049818)</f>
        <v>0.13652690904981801</v>
      </c>
      <c r="N308" s="17">
        <f ca="1">IFERROR(__xludf.DUMMYFUNCTION("""COMPUTED_VALUE"""),0.198226839970229)</f>
        <v>0.198226839970229</v>
      </c>
      <c r="O308" s="17">
        <f ca="1">IFERROR(__xludf.DUMMYFUNCTION("""COMPUTED_VALUE"""),0.109383064281854)</f>
        <v>0.109383064281854</v>
      </c>
      <c r="P308" s="17">
        <f ca="1">IFERROR(__xludf.DUMMYFUNCTION("""COMPUTED_VALUE"""),0.495100057117809)</f>
        <v>0.49510005711780902</v>
      </c>
      <c r="Q308" s="17">
        <f ca="1">IFERROR(__xludf.DUMMYFUNCTION("""COMPUTED_VALUE"""),0.272791969716719)</f>
        <v>0.27279196971671898</v>
      </c>
      <c r="R308" s="17">
        <f ca="1">IFERROR(__xludf.DUMMYFUNCTION("""COMPUTED_VALUE"""),0.443479625932932)</f>
        <v>0.443479625932932</v>
      </c>
      <c r="S308" s="17">
        <f ca="1">IFERROR(__xludf.DUMMYFUNCTION("""COMPUTED_VALUE"""),0.323139503208652)</f>
        <v>0.32313950320865198</v>
      </c>
      <c r="T308" s="17">
        <f ca="1">IFERROR(__xludf.DUMMYFUNCTION("""COMPUTED_VALUE"""),0.261409720447769)</f>
        <v>0.261409720447769</v>
      </c>
      <c r="U308" s="17">
        <f ca="1">IFERROR(__xludf.DUMMYFUNCTION("""COMPUTED_VALUE"""),0.202942067814985)</f>
        <v>0.202942067814985</v>
      </c>
      <c r="V308" s="17">
        <f ca="1">IFERROR(__xludf.DUMMYFUNCTION("""COMPUTED_VALUE"""),0.161950883142394)</f>
        <v>0.161950883142394</v>
      </c>
      <c r="W308" s="17">
        <f ca="1">IFERROR(__xludf.DUMMYFUNCTION("""COMPUTED_VALUE"""),0.294604470722768)</f>
        <v>0.29460447072276802</v>
      </c>
      <c r="X308" s="17">
        <f ca="1">IFERROR(__xludf.DUMMYFUNCTION("""COMPUTED_VALUE"""),0.231559212278112)</f>
        <v>0.23155921227811199</v>
      </c>
      <c r="Y308" s="17">
        <f ca="1">IFERROR(__xludf.DUMMYFUNCTION("""COMPUTED_VALUE"""),0.181226326295985)</f>
        <v>0.18122632629598501</v>
      </c>
      <c r="Z308" s="17">
        <f ca="1">IFERROR(__xludf.DUMMYFUNCTION("""COMPUTED_VALUE"""),0.19630185669424)</f>
        <v>0.19630185669424</v>
      </c>
      <c r="AA308" s="17">
        <f ca="1">IFERROR(__xludf.DUMMYFUNCTION("""COMPUTED_VALUE"""),0.1312507484408)</f>
        <v>0.13125074844080001</v>
      </c>
      <c r="AB308" s="17">
        <f ca="1">IFERROR(__xludf.DUMMYFUNCTION("""COMPUTED_VALUE"""),0.3764539600887)</f>
        <v>0.37645396008870002</v>
      </c>
      <c r="AC308" s="17">
        <f ca="1">IFERROR(__xludf.DUMMYFUNCTION("""COMPUTED_VALUE"""),0.316230126304329)</f>
        <v>0.31623012630432901</v>
      </c>
      <c r="AD308" s="17">
        <f ca="1">IFERROR(__xludf.DUMMYFUNCTION("""COMPUTED_VALUE"""),0.268543991391097)</f>
        <v>0.26854399139109703</v>
      </c>
      <c r="AE308" s="17">
        <f ca="1">IFERROR(__xludf.DUMMYFUNCTION("""COMPUTED_VALUE"""),0.905088732767838)</f>
        <v>0.90508873276783797</v>
      </c>
      <c r="AF308" s="17">
        <f ca="1">IFERROR(__xludf.DUMMYFUNCTION("""COMPUTED_VALUE"""),0.148353807067534)</f>
        <v>0.14835380706753401</v>
      </c>
      <c r="AG308" s="17">
        <f ca="1">IFERROR(__xludf.DUMMYFUNCTION("""COMPUTED_VALUE"""),0.335632894104855)</f>
        <v>0.33563289410485497</v>
      </c>
      <c r="AH308" s="17">
        <f ca="1">IFERROR(__xludf.DUMMYFUNCTION("""COMPUTED_VALUE"""),0.333971856499469)</f>
        <v>0.33397185649946898</v>
      </c>
      <c r="AI308" s="17">
        <f ca="1">IFERROR(__xludf.DUMMYFUNCTION("""COMPUTED_VALUE"""),0.368130792773954)</f>
        <v>0.368130792773954</v>
      </c>
      <c r="AJ308" s="17">
        <f ca="1">IFERROR(__xludf.DUMMYFUNCTION("""COMPUTED_VALUE"""),0.261450031315139)</f>
        <v>0.261450031315139</v>
      </c>
    </row>
    <row r="309" spans="2:36" ht="15.75" customHeight="1" x14ac:dyDescent="0.45">
      <c r="B309" s="10" t="str">
        <f ca="1">IFERROR(__xludf.DUMMYFUNCTION("""COMPUTED_VALUE"""),"Fish")</f>
        <v>Fish</v>
      </c>
      <c r="C309" s="10" t="str">
        <f ca="1">IFERROR(__xludf.DUMMYFUNCTION("""COMPUTED_VALUE"""),"aligned_timestamps")</f>
        <v>aligned_timestamps</v>
      </c>
      <c r="D309" s="10">
        <f ca="1">IFERROR(__xludf.DUMMYFUNCTION("""COMPUTED_VALUE"""),0.4)</f>
        <v>0.4</v>
      </c>
      <c r="E309" s="17">
        <f ca="1">IFERROR(__xludf.DUMMYFUNCTION("""COMPUTED_VALUE"""),0.847023749911751)</f>
        <v>0.847023749911751</v>
      </c>
      <c r="F309" s="17">
        <f ca="1">IFERROR(__xludf.DUMMYFUNCTION("""COMPUTED_VALUE"""),0.139959232632273)</f>
        <v>0.139959232632273</v>
      </c>
      <c r="G309" s="17">
        <f ca="1">IFERROR(__xludf.DUMMYFUNCTION("""COMPUTED_VALUE"""),0.137624151745846)</f>
        <v>0.137624151745846</v>
      </c>
      <c r="H309" s="17">
        <f ca="1">IFERROR(__xludf.DUMMYFUNCTION("""COMPUTED_VALUE"""),0.239382002021877)</f>
        <v>0.23938200202187701</v>
      </c>
      <c r="I309" s="17">
        <f ca="1">IFERROR(__xludf.DUMMYFUNCTION("""COMPUTED_VALUE"""),0.334232089511231)</f>
        <v>0.33423208951123101</v>
      </c>
      <c r="J309" s="17">
        <f ca="1">IFERROR(__xludf.DUMMYFUNCTION("""COMPUTED_VALUE"""),1.6682794562435)</f>
        <v>1.6682794562434999</v>
      </c>
      <c r="K309" s="17" t="str">
        <f ca="1">IFERROR(__xludf.DUMMYFUNCTION("""COMPUTED_VALUE"""),"nan")</f>
        <v>nan</v>
      </c>
      <c r="L309" s="17">
        <f ca="1">IFERROR(__xludf.DUMMYFUNCTION("""COMPUTED_VALUE"""),0.171384210878583)</f>
        <v>0.17138421087858299</v>
      </c>
      <c r="M309" s="17">
        <f ca="1">IFERROR(__xludf.DUMMYFUNCTION("""COMPUTED_VALUE"""),1.29461040726329)</f>
        <v>1.29461040726329</v>
      </c>
      <c r="N309" s="17">
        <f ca="1">IFERROR(__xludf.DUMMYFUNCTION("""COMPUTED_VALUE"""),0.242939399526482)</f>
        <v>0.242939399526482</v>
      </c>
      <c r="O309" s="17">
        <f ca="1">IFERROR(__xludf.DUMMYFUNCTION("""COMPUTED_VALUE"""),0.152935927580332)</f>
        <v>0.152935927580332</v>
      </c>
      <c r="P309" s="17">
        <f ca="1">IFERROR(__xludf.DUMMYFUNCTION("""COMPUTED_VALUE"""),0.768905763053101)</f>
        <v>0.76890576305310099</v>
      </c>
      <c r="Q309" s="17">
        <f ca="1">IFERROR(__xludf.DUMMYFUNCTION("""COMPUTED_VALUE"""),0.318543820219968)</f>
        <v>0.31854382021996802</v>
      </c>
      <c r="R309" s="17">
        <f ca="1">IFERROR(__xludf.DUMMYFUNCTION("""COMPUTED_VALUE"""),0.461825601332563)</f>
        <v>0.46182560133256301</v>
      </c>
      <c r="S309" s="17">
        <f ca="1">IFERROR(__xludf.DUMMYFUNCTION("""COMPUTED_VALUE"""),0.317170228443077)</f>
        <v>0.31717022844307702</v>
      </c>
      <c r="T309" s="17">
        <f ca="1">IFERROR(__xludf.DUMMYFUNCTION("""COMPUTED_VALUE"""),0.368311695389027)</f>
        <v>0.36831169538902703</v>
      </c>
      <c r="U309" s="17">
        <f ca="1">IFERROR(__xludf.DUMMYFUNCTION("""COMPUTED_VALUE"""),0.243624840528917)</f>
        <v>0.243624840528917</v>
      </c>
      <c r="V309" s="17">
        <f ca="1">IFERROR(__xludf.DUMMYFUNCTION("""COMPUTED_VALUE"""),0.390894176846676)</f>
        <v>0.39089417684667599</v>
      </c>
      <c r="W309" s="17">
        <f ca="1">IFERROR(__xludf.DUMMYFUNCTION("""COMPUTED_VALUE"""),0.623748469741163)</f>
        <v>0.62374846974116305</v>
      </c>
      <c r="X309" s="17">
        <f ca="1">IFERROR(__xludf.DUMMYFUNCTION("""COMPUTED_VALUE"""),0.359423723473393)</f>
        <v>0.35942372347339302</v>
      </c>
      <c r="Y309" s="17">
        <f ca="1">IFERROR(__xludf.DUMMYFUNCTION("""COMPUTED_VALUE"""),0.320473211986033)</f>
        <v>0.32047321198603301</v>
      </c>
      <c r="Z309" s="17">
        <f ca="1">IFERROR(__xludf.DUMMYFUNCTION("""COMPUTED_VALUE"""),0.706700057647571)</f>
        <v>0.70670005764757104</v>
      </c>
      <c r="AA309" s="17">
        <f ca="1">IFERROR(__xludf.DUMMYFUNCTION("""COMPUTED_VALUE"""),0.249093289112285)</f>
        <v>0.24909328911228501</v>
      </c>
      <c r="AB309" s="17">
        <f ca="1">IFERROR(__xludf.DUMMYFUNCTION("""COMPUTED_VALUE"""),0.566615762347981)</f>
        <v>0.56661576234798094</v>
      </c>
      <c r="AC309" s="17">
        <f ca="1">IFERROR(__xludf.DUMMYFUNCTION("""COMPUTED_VALUE"""),0.762194577850313)</f>
        <v>0.76219457785031297</v>
      </c>
      <c r="AD309" s="17">
        <f ca="1">IFERROR(__xludf.DUMMYFUNCTION("""COMPUTED_VALUE"""),0.820032082989135)</f>
        <v>0.82003208298913499</v>
      </c>
      <c r="AE309" s="17">
        <f ca="1">IFERROR(__xludf.DUMMYFUNCTION("""COMPUTED_VALUE"""),1.15367265790584)</f>
        <v>1.1536726579058401</v>
      </c>
      <c r="AF309" s="17">
        <f ca="1">IFERROR(__xludf.DUMMYFUNCTION("""COMPUTED_VALUE"""),0.302172274763664)</f>
        <v>0.30217227476366398</v>
      </c>
      <c r="AG309" s="17">
        <f ca="1">IFERROR(__xludf.DUMMYFUNCTION("""COMPUTED_VALUE"""),1.34391987785452)</f>
        <v>1.3439198778545201</v>
      </c>
      <c r="AH309" s="17">
        <f ca="1">IFERROR(__xludf.DUMMYFUNCTION("""COMPUTED_VALUE"""),1.35606931009262)</f>
        <v>1.35606931009262</v>
      </c>
      <c r="AI309" s="17" t="str">
        <f ca="1">IFERROR(__xludf.DUMMYFUNCTION("""COMPUTED_VALUE"""),"nan")</f>
        <v>nan</v>
      </c>
      <c r="AJ309" s="17">
        <f ca="1">IFERROR(__xludf.DUMMYFUNCTION("""COMPUTED_VALUE"""),1.26186873768941)</f>
        <v>1.26186873768941</v>
      </c>
    </row>
    <row r="310" spans="2:36" ht="15.75" customHeight="1" x14ac:dyDescent="0.45">
      <c r="B310" s="10" t="str">
        <f ca="1">IFERROR(__xludf.DUMMYFUNCTION("""COMPUTED_VALUE"""),"Fish")</f>
        <v>Fish</v>
      </c>
      <c r="C310" s="10" t="str">
        <f ca="1">IFERROR(__xludf.DUMMYFUNCTION("""COMPUTED_VALUE"""),"aligned_timestamps")</f>
        <v>aligned_timestamps</v>
      </c>
      <c r="D310" s="10">
        <f ca="1">IFERROR(__xludf.DUMMYFUNCTION("""COMPUTED_VALUE"""),0.6)</f>
        <v>0.6</v>
      </c>
      <c r="E310" s="17">
        <f ca="1">IFERROR(__xludf.DUMMYFUNCTION("""COMPUTED_VALUE"""),0.874101149743368)</f>
        <v>0.87410114974336794</v>
      </c>
      <c r="F310" s="17">
        <f ca="1">IFERROR(__xludf.DUMMYFUNCTION("""COMPUTED_VALUE"""),0.170283257628748)</f>
        <v>0.17028325762874799</v>
      </c>
      <c r="G310" s="17">
        <f ca="1">IFERROR(__xludf.DUMMYFUNCTION("""COMPUTED_VALUE"""),0.165730449912112)</f>
        <v>0.165730449912112</v>
      </c>
      <c r="H310" s="17">
        <f ca="1">IFERROR(__xludf.DUMMYFUNCTION("""COMPUTED_VALUE"""),0.242304338052646)</f>
        <v>0.24230433805264601</v>
      </c>
      <c r="I310" s="17">
        <f ca="1">IFERROR(__xludf.DUMMYFUNCTION("""COMPUTED_VALUE"""),0.266774080874973)</f>
        <v>0.26677408087497301</v>
      </c>
      <c r="J310" s="17">
        <f ca="1">IFERROR(__xludf.DUMMYFUNCTION("""COMPUTED_VALUE"""),1.441290943623)</f>
        <v>1.4412909436229999</v>
      </c>
      <c r="K310" s="17" t="str">
        <f ca="1">IFERROR(__xludf.DUMMYFUNCTION("""COMPUTED_VALUE"""),"nan")</f>
        <v>nan</v>
      </c>
      <c r="L310" s="17">
        <f ca="1">IFERROR(__xludf.DUMMYFUNCTION("""COMPUTED_VALUE"""),0.199510847916966)</f>
        <v>0.19951084791696599</v>
      </c>
      <c r="M310" s="17">
        <f ca="1">IFERROR(__xludf.DUMMYFUNCTION("""COMPUTED_VALUE"""),1.81354784671625)</f>
        <v>1.81354784671625</v>
      </c>
      <c r="N310" s="17">
        <f ca="1">IFERROR(__xludf.DUMMYFUNCTION("""COMPUTED_VALUE"""),0.253907775359716)</f>
        <v>0.25390777535971598</v>
      </c>
      <c r="O310" s="17">
        <f ca="1">IFERROR(__xludf.DUMMYFUNCTION("""COMPUTED_VALUE"""),0.234473949859669)</f>
        <v>0.23447394985966899</v>
      </c>
      <c r="P310" s="17">
        <f ca="1">IFERROR(__xludf.DUMMYFUNCTION("""COMPUTED_VALUE"""),1.00047884621725)</f>
        <v>1.00047884621725</v>
      </c>
      <c r="Q310" s="17">
        <f ca="1">IFERROR(__xludf.DUMMYFUNCTION("""COMPUTED_VALUE"""),0.329965454015056)</f>
        <v>0.329965454015056</v>
      </c>
      <c r="R310" s="17">
        <f ca="1">IFERROR(__xludf.DUMMYFUNCTION("""COMPUTED_VALUE"""),0.405259057163824)</f>
        <v>0.40525905716382399</v>
      </c>
      <c r="S310" s="17">
        <f ca="1">IFERROR(__xludf.DUMMYFUNCTION("""COMPUTED_VALUE"""),0.376137747007676)</f>
        <v>0.37613774700767599</v>
      </c>
      <c r="T310" s="17">
        <f ca="1">IFERROR(__xludf.DUMMYFUNCTION("""COMPUTED_VALUE"""),0.26278650642621)</f>
        <v>0.26278650642620999</v>
      </c>
      <c r="U310" s="17">
        <f ca="1">IFERROR(__xludf.DUMMYFUNCTION("""COMPUTED_VALUE"""),0.257721279363589)</f>
        <v>0.25772127936358902</v>
      </c>
      <c r="V310" s="17">
        <f ca="1">IFERROR(__xludf.DUMMYFUNCTION("""COMPUTED_VALUE"""),0.299270297761506)</f>
        <v>0.29927029776150599</v>
      </c>
      <c r="W310" s="17">
        <f ca="1">IFERROR(__xludf.DUMMYFUNCTION("""COMPUTED_VALUE"""),0.703751284739648)</f>
        <v>0.70375128473964799</v>
      </c>
      <c r="X310" s="17">
        <f ca="1">IFERROR(__xludf.DUMMYFUNCTION("""COMPUTED_VALUE"""),0.219857122394354)</f>
        <v>0.21985712239435401</v>
      </c>
      <c r="Y310" s="17">
        <f ca="1">IFERROR(__xludf.DUMMYFUNCTION("""COMPUTED_VALUE"""),0.253474654753657)</f>
        <v>0.25347465475365699</v>
      </c>
      <c r="Z310" s="17">
        <f ca="1">IFERROR(__xludf.DUMMYFUNCTION("""COMPUTED_VALUE"""),0.77445610966307)</f>
        <v>0.77445610966306999</v>
      </c>
      <c r="AA310" s="17">
        <f ca="1">IFERROR(__xludf.DUMMYFUNCTION("""COMPUTED_VALUE"""),0.307670388652673)</f>
        <v>0.30767038865267299</v>
      </c>
      <c r="AB310" s="17">
        <f ca="1">IFERROR(__xludf.DUMMYFUNCTION("""COMPUTED_VALUE"""),0.563266866733044)</f>
        <v>0.56326686673304405</v>
      </c>
      <c r="AC310" s="17">
        <f ca="1">IFERROR(__xludf.DUMMYFUNCTION("""COMPUTED_VALUE"""),0.833367143920518)</f>
        <v>0.83336714392051803</v>
      </c>
      <c r="AD310" s="17">
        <f ca="1">IFERROR(__xludf.DUMMYFUNCTION("""COMPUTED_VALUE"""),0.608640184541335)</f>
        <v>0.60864018454133495</v>
      </c>
      <c r="AE310" s="17" t="str">
        <f ca="1">IFERROR(__xludf.DUMMYFUNCTION("""COMPUTED_VALUE"""),"nan")</f>
        <v>nan</v>
      </c>
      <c r="AF310" s="17">
        <f ca="1">IFERROR(__xludf.DUMMYFUNCTION("""COMPUTED_VALUE"""),0.305207558150035)</f>
        <v>0.30520755815003497</v>
      </c>
      <c r="AG310" s="17">
        <f ca="1">IFERROR(__xludf.DUMMYFUNCTION("""COMPUTED_VALUE"""),0.954383409187915)</f>
        <v>0.95438340918791498</v>
      </c>
      <c r="AH310" s="17">
        <f ca="1">IFERROR(__xludf.DUMMYFUNCTION("""COMPUTED_VALUE"""),0.926572766362573)</f>
        <v>0.92657276636257302</v>
      </c>
      <c r="AI310" s="17" t="str">
        <f ca="1">IFERROR(__xludf.DUMMYFUNCTION("""COMPUTED_VALUE"""),"nan")</f>
        <v>nan</v>
      </c>
      <c r="AJ310" s="17">
        <f ca="1">IFERROR(__xludf.DUMMYFUNCTION("""COMPUTED_VALUE"""),0.878397172219843)</f>
        <v>0.87839717221984304</v>
      </c>
    </row>
    <row r="311" spans="2:36" ht="15.75" customHeight="1" x14ac:dyDescent="0.45">
      <c r="B311" s="10" t="str">
        <f ca="1">IFERROR(__xludf.DUMMYFUNCTION("""COMPUTED_VALUE"""),"Fish")</f>
        <v>Fish</v>
      </c>
      <c r="C311" s="10" t="str">
        <f ca="1">IFERROR(__xludf.DUMMYFUNCTION("""COMPUTED_VALUE"""),"aligned_timestamps")</f>
        <v>aligned_timestamps</v>
      </c>
      <c r="D311" s="10">
        <f ca="1">IFERROR(__xludf.DUMMYFUNCTION("""COMPUTED_VALUE"""),0.8)</f>
        <v>0.8</v>
      </c>
      <c r="E311" s="17">
        <f ca="1">IFERROR(__xludf.DUMMYFUNCTION("""COMPUTED_VALUE"""),0.953430648181353)</f>
        <v>0.95343064818135304</v>
      </c>
      <c r="F311" s="17">
        <f ca="1">IFERROR(__xludf.DUMMYFUNCTION("""COMPUTED_VALUE"""),0.206265882775922)</f>
        <v>0.206265882775922</v>
      </c>
      <c r="G311" s="17">
        <f ca="1">IFERROR(__xludf.DUMMYFUNCTION("""COMPUTED_VALUE"""),0.434572500686903)</f>
        <v>0.43457250068690301</v>
      </c>
      <c r="H311" s="17">
        <f ca="1">IFERROR(__xludf.DUMMYFUNCTION("""COMPUTED_VALUE"""),0.243077254019947)</f>
        <v>0.24307725401994701</v>
      </c>
      <c r="I311" s="17">
        <f ca="1">IFERROR(__xludf.DUMMYFUNCTION("""COMPUTED_VALUE"""),0.401456354555454)</f>
        <v>0.40145635455545398</v>
      </c>
      <c r="J311" s="17">
        <f ca="1">IFERROR(__xludf.DUMMYFUNCTION("""COMPUTED_VALUE"""),1.68012856803913)</f>
        <v>1.68012856803913</v>
      </c>
      <c r="K311" s="17" t="str">
        <f ca="1">IFERROR(__xludf.DUMMYFUNCTION("""COMPUTED_VALUE"""),"nan")</f>
        <v>nan</v>
      </c>
      <c r="L311" s="17">
        <f ca="1">IFERROR(__xludf.DUMMYFUNCTION("""COMPUTED_VALUE"""),0.207856518637951)</f>
        <v>0.20785651863795099</v>
      </c>
      <c r="M311" s="17">
        <f ca="1">IFERROR(__xludf.DUMMYFUNCTION("""COMPUTED_VALUE"""),0.949676321705976)</f>
        <v>0.94967632170597605</v>
      </c>
      <c r="N311" s="17">
        <f ca="1">IFERROR(__xludf.DUMMYFUNCTION("""COMPUTED_VALUE"""),0.248367600215835)</f>
        <v>0.24836760021583501</v>
      </c>
      <c r="O311" s="17">
        <f ca="1">IFERROR(__xludf.DUMMYFUNCTION("""COMPUTED_VALUE"""),0.669810214195734)</f>
        <v>0.66981021419573405</v>
      </c>
      <c r="P311" s="17">
        <f ca="1">IFERROR(__xludf.DUMMYFUNCTION("""COMPUTED_VALUE"""),1.62984135563907)</f>
        <v>1.6298413556390701</v>
      </c>
      <c r="Q311" s="17">
        <f ca="1">IFERROR(__xludf.DUMMYFUNCTION("""COMPUTED_VALUE"""),0.321390707222838)</f>
        <v>0.32139070722283802</v>
      </c>
      <c r="R311" s="17">
        <f ca="1">IFERROR(__xludf.DUMMYFUNCTION("""COMPUTED_VALUE"""),0.891129794910457)</f>
        <v>0.89112979491045696</v>
      </c>
      <c r="S311" s="17">
        <f ca="1">IFERROR(__xludf.DUMMYFUNCTION("""COMPUTED_VALUE"""),0.550007996602252)</f>
        <v>0.55000799660225197</v>
      </c>
      <c r="T311" s="17">
        <f ca="1">IFERROR(__xludf.DUMMYFUNCTION("""COMPUTED_VALUE"""),0.329329440668152)</f>
        <v>0.32932944066815201</v>
      </c>
      <c r="U311" s="17">
        <f ca="1">IFERROR(__xludf.DUMMYFUNCTION("""COMPUTED_VALUE"""),0.359045956544977)</f>
        <v>0.35904595654497701</v>
      </c>
      <c r="V311" s="17">
        <f ca="1">IFERROR(__xludf.DUMMYFUNCTION("""COMPUTED_VALUE"""),0.828451294655451)</f>
        <v>0.82845129465545098</v>
      </c>
      <c r="W311" s="17">
        <f ca="1">IFERROR(__xludf.DUMMYFUNCTION("""COMPUTED_VALUE"""),0.73829944492486)</f>
        <v>0.73829944492485999</v>
      </c>
      <c r="X311" s="17">
        <f ca="1">IFERROR(__xludf.DUMMYFUNCTION("""COMPUTED_VALUE"""),0.226365198058859)</f>
        <v>0.22636519805885899</v>
      </c>
      <c r="Y311" s="17">
        <f ca="1">IFERROR(__xludf.DUMMYFUNCTION("""COMPUTED_VALUE"""),0.560448318565597)</f>
        <v>0.56044831856559696</v>
      </c>
      <c r="Z311" s="17">
        <f ca="1">IFERROR(__xludf.DUMMYFUNCTION("""COMPUTED_VALUE"""),0.909998323108079)</f>
        <v>0.90999832310807904</v>
      </c>
      <c r="AA311" s="17">
        <f ca="1">IFERROR(__xludf.DUMMYFUNCTION("""COMPUTED_VALUE"""),0.291967906809895)</f>
        <v>0.29196790680989498</v>
      </c>
      <c r="AB311" s="17">
        <f ca="1">IFERROR(__xludf.DUMMYFUNCTION("""COMPUTED_VALUE"""),1.0676673541457)</f>
        <v>1.0676673541457</v>
      </c>
      <c r="AC311" s="17">
        <f ca="1">IFERROR(__xludf.DUMMYFUNCTION("""COMPUTED_VALUE"""),0.877073355784282)</f>
        <v>0.87707335578428203</v>
      </c>
      <c r="AD311" s="17">
        <f ca="1">IFERROR(__xludf.DUMMYFUNCTION("""COMPUTED_VALUE"""),0.695998342446085)</f>
        <v>0.69599834244608505</v>
      </c>
      <c r="AE311" s="17" t="str">
        <f ca="1">IFERROR(__xludf.DUMMYFUNCTION("""COMPUTED_VALUE"""),"nan")</f>
        <v>nan</v>
      </c>
      <c r="AF311" s="17">
        <f ca="1">IFERROR(__xludf.DUMMYFUNCTION("""COMPUTED_VALUE"""),1.08268302692193)</f>
        <v>1.0826830269219301</v>
      </c>
      <c r="AG311" s="17">
        <f ca="1">IFERROR(__xludf.DUMMYFUNCTION("""COMPUTED_VALUE"""),1.07482656214786)</f>
        <v>1.0748265621478601</v>
      </c>
      <c r="AH311" s="17">
        <f ca="1">IFERROR(__xludf.DUMMYFUNCTION("""COMPUTED_VALUE"""),0.982961468131702)</f>
        <v>0.98296146813170204</v>
      </c>
      <c r="AI311" s="17" t="str">
        <f ca="1">IFERROR(__xludf.DUMMYFUNCTION("""COMPUTED_VALUE"""),"nan")</f>
        <v>nan</v>
      </c>
      <c r="AJ311" s="17">
        <f ca="1">IFERROR(__xludf.DUMMYFUNCTION("""COMPUTED_VALUE"""),1.1444349422597)</f>
        <v>1.1444349422597</v>
      </c>
    </row>
    <row r="312" spans="2:36" ht="15.75" customHeight="1" x14ac:dyDescent="0.45">
      <c r="B312" s="10" t="str">
        <f ca="1">IFERROR(__xludf.DUMMYFUNCTION("""COMPUTED_VALUE"""),"Fish")</f>
        <v>Fish</v>
      </c>
      <c r="C312" s="10" t="str">
        <f ca="1">IFERROR(__xludf.DUMMYFUNCTION("""COMPUTED_VALUE"""),"mcar")</f>
        <v>mcar</v>
      </c>
      <c r="D312" s="10">
        <f ca="1">IFERROR(__xludf.DUMMYFUNCTION("""COMPUTED_VALUE"""),0.1)</f>
        <v>0.1</v>
      </c>
      <c r="E312" s="17">
        <f ca="1">IFERROR(__xludf.DUMMYFUNCTION("""COMPUTED_VALUE"""),0.983890117148814)</f>
        <v>0.98389011714881403</v>
      </c>
      <c r="F312" s="17">
        <f ca="1">IFERROR(__xludf.DUMMYFUNCTION("""COMPUTED_VALUE"""),0.155875143004068)</f>
        <v>0.15587514300406799</v>
      </c>
      <c r="G312" s="17">
        <f ca="1">IFERROR(__xludf.DUMMYFUNCTION("""COMPUTED_VALUE"""),0.15466696610131)</f>
        <v>0.15466696610131</v>
      </c>
      <c r="H312" s="17">
        <f ca="1">IFERROR(__xludf.DUMMYFUNCTION("""COMPUTED_VALUE"""),0.220828755270944)</f>
        <v>0.220828755270944</v>
      </c>
      <c r="I312" s="17">
        <f ca="1">IFERROR(__xludf.DUMMYFUNCTION("""COMPUTED_VALUE"""),0.468500030931016)</f>
        <v>0.468500030931016</v>
      </c>
      <c r="J312" s="17">
        <f ca="1">IFERROR(__xludf.DUMMYFUNCTION("""COMPUTED_VALUE"""),0.146424906159481)</f>
        <v>0.14642490615948101</v>
      </c>
      <c r="K312" s="17" t="str">
        <f ca="1">IFERROR(__xludf.DUMMYFUNCTION("""COMPUTED_VALUE"""),"nan")</f>
        <v>nan</v>
      </c>
      <c r="L312" s="17">
        <f ca="1">IFERROR(__xludf.DUMMYFUNCTION("""COMPUTED_VALUE"""),0.179078495648298)</f>
        <v>0.179078495648298</v>
      </c>
      <c r="M312" s="17">
        <f ca="1">IFERROR(__xludf.DUMMYFUNCTION("""COMPUTED_VALUE"""),0.158907039457144)</f>
        <v>0.15890703945714399</v>
      </c>
      <c r="N312" s="17">
        <f ca="1">IFERROR(__xludf.DUMMYFUNCTION("""COMPUTED_VALUE"""),0.131460832868967)</f>
        <v>0.13146083286896701</v>
      </c>
      <c r="O312" s="17">
        <f ca="1">IFERROR(__xludf.DUMMYFUNCTION("""COMPUTED_VALUE"""),0.147945438841079)</f>
        <v>0.147945438841079</v>
      </c>
      <c r="P312" s="17">
        <f ca="1">IFERROR(__xludf.DUMMYFUNCTION("""COMPUTED_VALUE"""),0.534544864220266)</f>
        <v>0.53454486422026604</v>
      </c>
      <c r="Q312" s="17">
        <f ca="1">IFERROR(__xludf.DUMMYFUNCTION("""COMPUTED_VALUE"""),0.296345756399715)</f>
        <v>0.296345756399715</v>
      </c>
      <c r="R312" s="17">
        <f ca="1">IFERROR(__xludf.DUMMYFUNCTION("""COMPUTED_VALUE"""),0.0923588052746642)</f>
        <v>9.2358805274664196E-2</v>
      </c>
      <c r="S312" s="17">
        <f ca="1">IFERROR(__xludf.DUMMYFUNCTION("""COMPUTED_VALUE"""),0.24091499289469)</f>
        <v>0.24091499289469001</v>
      </c>
      <c r="T312" s="17">
        <f ca="1">IFERROR(__xludf.DUMMYFUNCTION("""COMPUTED_VALUE"""),0.168252733513176)</f>
        <v>0.16825273351317599</v>
      </c>
      <c r="U312" s="17">
        <f ca="1">IFERROR(__xludf.DUMMYFUNCTION("""COMPUTED_VALUE"""),0.20085074542244)</f>
        <v>0.20085074542244</v>
      </c>
      <c r="V312" s="17">
        <f ca="1">IFERROR(__xludf.DUMMYFUNCTION("""COMPUTED_VALUE"""),0.144185874315262)</f>
        <v>0.144185874315262</v>
      </c>
      <c r="W312" s="17">
        <f ca="1">IFERROR(__xludf.DUMMYFUNCTION("""COMPUTED_VALUE"""),0.277393025184861)</f>
        <v>0.27739302518486098</v>
      </c>
      <c r="X312" s="17">
        <f ca="1">IFERROR(__xludf.DUMMYFUNCTION("""COMPUTED_VALUE"""),0.212675459883656)</f>
        <v>0.21267545988365599</v>
      </c>
      <c r="Y312" s="17">
        <f ca="1">IFERROR(__xludf.DUMMYFUNCTION("""COMPUTED_VALUE"""),0.173429819918011)</f>
        <v>0.17342981991801101</v>
      </c>
      <c r="Z312" s="17">
        <f ca="1">IFERROR(__xludf.DUMMYFUNCTION("""COMPUTED_VALUE"""),0.175199158029255)</f>
        <v>0.17519915802925501</v>
      </c>
      <c r="AA312" s="17">
        <f ca="1">IFERROR(__xludf.DUMMYFUNCTION("""COMPUTED_VALUE"""),0.0538946446684218)</f>
        <v>5.3894644668421803E-2</v>
      </c>
      <c r="AB312" s="17">
        <f ca="1">IFERROR(__xludf.DUMMYFUNCTION("""COMPUTED_VALUE"""),0.163108437411632)</f>
        <v>0.163108437411632</v>
      </c>
      <c r="AC312" s="17">
        <f ca="1">IFERROR(__xludf.DUMMYFUNCTION("""COMPUTED_VALUE"""),0.424481615753497)</f>
        <v>0.42448161575349702</v>
      </c>
      <c r="AD312" s="17">
        <f ca="1">IFERROR(__xludf.DUMMYFUNCTION("""COMPUTED_VALUE"""),0.182883994176204)</f>
        <v>0.18288399417620399</v>
      </c>
      <c r="AE312" s="17">
        <f ca="1">IFERROR(__xludf.DUMMYFUNCTION("""COMPUTED_VALUE"""),0.982348592628605)</f>
        <v>0.98234859262860497</v>
      </c>
      <c r="AF312" s="17">
        <f ca="1">IFERROR(__xludf.DUMMYFUNCTION("""COMPUTED_VALUE"""),0.232992474340009)</f>
        <v>0.232992474340009</v>
      </c>
      <c r="AG312" s="17">
        <f ca="1">IFERROR(__xludf.DUMMYFUNCTION("""COMPUTED_VALUE"""),0.572423041538263)</f>
        <v>0.57242304153826296</v>
      </c>
      <c r="AH312" s="17">
        <f ca="1">IFERROR(__xludf.DUMMYFUNCTION("""COMPUTED_VALUE"""),0.153849645222101)</f>
        <v>0.15384964522210101</v>
      </c>
      <c r="AI312" s="17">
        <f ca="1">IFERROR(__xludf.DUMMYFUNCTION("""COMPUTED_VALUE"""),0.355118243779558)</f>
        <v>0.35511824377955797</v>
      </c>
      <c r="AJ312" s="17">
        <f ca="1">IFERROR(__xludf.DUMMYFUNCTION("""COMPUTED_VALUE"""),0.243805129771796)</f>
        <v>0.243805129771796</v>
      </c>
    </row>
    <row r="313" spans="2:36" ht="15.75" customHeight="1" x14ac:dyDescent="0.45">
      <c r="B313" s="10" t="str">
        <f ca="1">IFERROR(__xludf.DUMMYFUNCTION("""COMPUTED_VALUE"""),"Fish")</f>
        <v>Fish</v>
      </c>
      <c r="C313" s="10" t="str">
        <f ca="1">IFERROR(__xludf.DUMMYFUNCTION("""COMPUTED_VALUE"""),"mcar")</f>
        <v>mcar</v>
      </c>
      <c r="D313" s="10">
        <f ca="1">IFERROR(__xludf.DUMMYFUNCTION("""COMPUTED_VALUE"""),0.2)</f>
        <v>0.2</v>
      </c>
      <c r="E313" s="17">
        <f ca="1">IFERROR(__xludf.DUMMYFUNCTION("""COMPUTED_VALUE"""),0.969866471127338)</f>
        <v>0.96986647112733804</v>
      </c>
      <c r="F313" s="17">
        <f ca="1">IFERROR(__xludf.DUMMYFUNCTION("""COMPUTED_VALUE"""),0.148487203316034)</f>
        <v>0.14848720331603399</v>
      </c>
      <c r="G313" s="17">
        <f ca="1">IFERROR(__xludf.DUMMYFUNCTION("""COMPUTED_VALUE"""),0.14815408069359)</f>
        <v>0.14815408069359001</v>
      </c>
      <c r="H313" s="17">
        <f ca="1">IFERROR(__xludf.DUMMYFUNCTION("""COMPUTED_VALUE"""),0.212410041568359)</f>
        <v>0.21241004156835899</v>
      </c>
      <c r="I313" s="17">
        <f ca="1">IFERROR(__xludf.DUMMYFUNCTION("""COMPUTED_VALUE"""),0.438513182990255)</f>
        <v>0.43851318299025499</v>
      </c>
      <c r="J313" s="17">
        <f ca="1">IFERROR(__xludf.DUMMYFUNCTION("""COMPUTED_VALUE"""),0.136052291981839)</f>
        <v>0.13605229198183899</v>
      </c>
      <c r="K313" s="17" t="str">
        <f ca="1">IFERROR(__xludf.DUMMYFUNCTION("""COMPUTED_VALUE"""),"nan")</f>
        <v>nan</v>
      </c>
      <c r="L313" s="17">
        <f ca="1">IFERROR(__xludf.DUMMYFUNCTION("""COMPUTED_VALUE"""),0.170420175461161)</f>
        <v>0.17042017546116101</v>
      </c>
      <c r="M313" s="17">
        <f ca="1">IFERROR(__xludf.DUMMYFUNCTION("""COMPUTED_VALUE"""),0.151085305948869)</f>
        <v>0.15108530594886899</v>
      </c>
      <c r="N313" s="17">
        <f ca="1">IFERROR(__xludf.DUMMYFUNCTION("""COMPUTED_VALUE"""),0.144375414107382)</f>
        <v>0.144375414107382</v>
      </c>
      <c r="O313" s="17">
        <f ca="1">IFERROR(__xludf.DUMMYFUNCTION("""COMPUTED_VALUE"""),0.13711376067202)</f>
        <v>0.13711376067202</v>
      </c>
      <c r="P313" s="17">
        <f ca="1">IFERROR(__xludf.DUMMYFUNCTION("""COMPUTED_VALUE"""),0.524001025634649)</f>
        <v>0.52400102563464901</v>
      </c>
      <c r="Q313" s="17">
        <f ca="1">IFERROR(__xludf.DUMMYFUNCTION("""COMPUTED_VALUE"""),0.323118138792649)</f>
        <v>0.323118138792649</v>
      </c>
      <c r="R313" s="17">
        <f ca="1">IFERROR(__xludf.DUMMYFUNCTION("""COMPUTED_VALUE"""),0.093875207122778)</f>
        <v>9.3875207122777998E-2</v>
      </c>
      <c r="S313" s="17">
        <f ca="1">IFERROR(__xludf.DUMMYFUNCTION("""COMPUTED_VALUE"""),0.24368646380513)</f>
        <v>0.24368646380513001</v>
      </c>
      <c r="T313" s="17">
        <f ca="1">IFERROR(__xludf.DUMMYFUNCTION("""COMPUTED_VALUE"""),0.159986043128347)</f>
        <v>0.15998604312834699</v>
      </c>
      <c r="U313" s="17">
        <f ca="1">IFERROR(__xludf.DUMMYFUNCTION("""COMPUTED_VALUE"""),0.178950916697056)</f>
        <v>0.17895091669705601</v>
      </c>
      <c r="V313" s="17">
        <f ca="1">IFERROR(__xludf.DUMMYFUNCTION("""COMPUTED_VALUE"""),0.179591391901815)</f>
        <v>0.179591391901815</v>
      </c>
      <c r="W313" s="17">
        <f ca="1">IFERROR(__xludf.DUMMYFUNCTION("""COMPUTED_VALUE"""),0.333535708669383)</f>
        <v>0.33353570866938298</v>
      </c>
      <c r="X313" s="17">
        <f ca="1">IFERROR(__xludf.DUMMYFUNCTION("""COMPUTED_VALUE"""),0.198798300054746)</f>
        <v>0.198798300054746</v>
      </c>
      <c r="Y313" s="17">
        <f ca="1">IFERROR(__xludf.DUMMYFUNCTION("""COMPUTED_VALUE"""),0.170245697604838)</f>
        <v>0.17024569760483799</v>
      </c>
      <c r="Z313" s="17">
        <f ca="1">IFERROR(__xludf.DUMMYFUNCTION("""COMPUTED_VALUE"""),0.177749758204605)</f>
        <v>0.17774975820460501</v>
      </c>
      <c r="AA313" s="17">
        <f ca="1">IFERROR(__xludf.DUMMYFUNCTION("""COMPUTED_VALUE"""),0.0656599791901721)</f>
        <v>6.5659979190172094E-2</v>
      </c>
      <c r="AB313" s="17">
        <f ca="1">IFERROR(__xludf.DUMMYFUNCTION("""COMPUTED_VALUE"""),0.198236238098451)</f>
        <v>0.19823623809845101</v>
      </c>
      <c r="AC313" s="17">
        <f ca="1">IFERROR(__xludf.DUMMYFUNCTION("""COMPUTED_VALUE"""),0.419524321800231)</f>
        <v>0.41952432180023103</v>
      </c>
      <c r="AD313" s="17">
        <f ca="1">IFERROR(__xludf.DUMMYFUNCTION("""COMPUTED_VALUE"""),0.178929144006036)</f>
        <v>0.17892914400603599</v>
      </c>
      <c r="AE313" s="17">
        <f ca="1">IFERROR(__xludf.DUMMYFUNCTION("""COMPUTED_VALUE"""),0.856132407064664)</f>
        <v>0.85613240706466398</v>
      </c>
      <c r="AF313" s="17">
        <f ca="1">IFERROR(__xludf.DUMMYFUNCTION("""COMPUTED_VALUE"""),0.21683222914363)</f>
        <v>0.21683222914363001</v>
      </c>
      <c r="AG313" s="17">
        <f ca="1">IFERROR(__xludf.DUMMYFUNCTION("""COMPUTED_VALUE"""),0.636046960933205)</f>
        <v>0.63604696093320501</v>
      </c>
      <c r="AH313" s="17">
        <f ca="1">IFERROR(__xludf.DUMMYFUNCTION("""COMPUTED_VALUE"""),0.285476860939129)</f>
        <v>0.285476860939129</v>
      </c>
      <c r="AI313" s="17">
        <f ca="1">IFERROR(__xludf.DUMMYFUNCTION("""COMPUTED_VALUE"""),0.763363933670097)</f>
        <v>0.76336393367009703</v>
      </c>
      <c r="AJ313" s="17">
        <f ca="1">IFERROR(__xludf.DUMMYFUNCTION("""COMPUTED_VALUE"""),0.502481788168664)</f>
        <v>0.50248178816866396</v>
      </c>
    </row>
    <row r="314" spans="2:36" ht="15.75" customHeight="1" x14ac:dyDescent="0.45">
      <c r="B314" s="10" t="str">
        <f ca="1">IFERROR(__xludf.DUMMYFUNCTION("""COMPUTED_VALUE"""),"Fish")</f>
        <v>Fish</v>
      </c>
      <c r="C314" s="10" t="str">
        <f ca="1">IFERROR(__xludf.DUMMYFUNCTION("""COMPUTED_VALUE"""),"mcar")</f>
        <v>mcar</v>
      </c>
      <c r="D314" s="10">
        <f ca="1">IFERROR(__xludf.DUMMYFUNCTION("""COMPUTED_VALUE"""),0.4)</f>
        <v>0.4</v>
      </c>
      <c r="E314" s="17">
        <f ca="1">IFERROR(__xludf.DUMMYFUNCTION("""COMPUTED_VALUE"""),0.982540705052608)</f>
        <v>0.98254070505260804</v>
      </c>
      <c r="F314" s="17">
        <f ca="1">IFERROR(__xludf.DUMMYFUNCTION("""COMPUTED_VALUE"""),0.147088944538096)</f>
        <v>0.14708894453809601</v>
      </c>
      <c r="G314" s="17">
        <f ca="1">IFERROR(__xludf.DUMMYFUNCTION("""COMPUTED_VALUE"""),0.144179600158765)</f>
        <v>0.14417960015876499</v>
      </c>
      <c r="H314" s="17">
        <f ca="1">IFERROR(__xludf.DUMMYFUNCTION("""COMPUTED_VALUE"""),0.211180971197744)</f>
        <v>0.21118097119774401</v>
      </c>
      <c r="I314" s="17">
        <f ca="1">IFERROR(__xludf.DUMMYFUNCTION("""COMPUTED_VALUE"""),0.242477674638359)</f>
        <v>0.24247767463835901</v>
      </c>
      <c r="J314" s="17">
        <f ca="1">IFERROR(__xludf.DUMMYFUNCTION("""COMPUTED_VALUE"""),0.143573784253231)</f>
        <v>0.143573784253231</v>
      </c>
      <c r="K314" s="17" t="str">
        <f ca="1">IFERROR(__xludf.DUMMYFUNCTION("""COMPUTED_VALUE"""),"nan")</f>
        <v>nan</v>
      </c>
      <c r="L314" s="17">
        <f ca="1">IFERROR(__xludf.DUMMYFUNCTION("""COMPUTED_VALUE"""),0.170399971889264)</f>
        <v>0.17039997188926401</v>
      </c>
      <c r="M314" s="17">
        <f ca="1">IFERROR(__xludf.DUMMYFUNCTION("""COMPUTED_VALUE"""),0.14651504711031)</f>
        <v>0.14651504711030999</v>
      </c>
      <c r="N314" s="17">
        <f ca="1">IFERROR(__xludf.DUMMYFUNCTION("""COMPUTED_VALUE"""),0.161966941363554)</f>
        <v>0.161966941363554</v>
      </c>
      <c r="O314" s="17">
        <f ca="1">IFERROR(__xludf.DUMMYFUNCTION("""COMPUTED_VALUE"""),0.129455635821508)</f>
        <v>0.12945563582150801</v>
      </c>
      <c r="P314" s="17">
        <f ca="1">IFERROR(__xludf.DUMMYFUNCTION("""COMPUTED_VALUE"""),0.55655951226476)</f>
        <v>0.55655951226475997</v>
      </c>
      <c r="Q314" s="17">
        <f ca="1">IFERROR(__xludf.DUMMYFUNCTION("""COMPUTED_VALUE"""),0.371249607502503)</f>
        <v>0.37124960750250302</v>
      </c>
      <c r="R314" s="17">
        <f ca="1">IFERROR(__xludf.DUMMYFUNCTION("""COMPUTED_VALUE"""),0.112642626085762)</f>
        <v>0.112642626085762</v>
      </c>
      <c r="S314" s="17">
        <f ca="1">IFERROR(__xludf.DUMMYFUNCTION("""COMPUTED_VALUE"""),0.349304404149549)</f>
        <v>0.349304404149549</v>
      </c>
      <c r="T314" s="17">
        <f ca="1">IFERROR(__xludf.DUMMYFUNCTION("""COMPUTED_VALUE"""),0.165901180669985)</f>
        <v>0.16590118066998499</v>
      </c>
      <c r="U314" s="17">
        <f ca="1">IFERROR(__xludf.DUMMYFUNCTION("""COMPUTED_VALUE"""),0.185373870724797)</f>
        <v>0.185373870724797</v>
      </c>
      <c r="V314" s="17">
        <f ca="1">IFERROR(__xludf.DUMMYFUNCTION("""COMPUTED_VALUE"""),0.161079100349404)</f>
        <v>0.16107910034940401</v>
      </c>
      <c r="W314" s="17">
        <f ca="1">IFERROR(__xludf.DUMMYFUNCTION("""COMPUTED_VALUE"""),0.285370318315269)</f>
        <v>0.28537031831526899</v>
      </c>
      <c r="X314" s="17">
        <f ca="1">IFERROR(__xludf.DUMMYFUNCTION("""COMPUTED_VALUE"""),0.192065114358613)</f>
        <v>0.19206511435861301</v>
      </c>
      <c r="Y314" s="17">
        <f ca="1">IFERROR(__xludf.DUMMYFUNCTION("""COMPUTED_VALUE"""),0.179106146370972)</f>
        <v>0.179106146370972</v>
      </c>
      <c r="Z314" s="17">
        <f ca="1">IFERROR(__xludf.DUMMYFUNCTION("""COMPUTED_VALUE"""),0.214670577114125)</f>
        <v>0.21467057711412499</v>
      </c>
      <c r="AA314" s="17">
        <f ca="1">IFERROR(__xludf.DUMMYFUNCTION("""COMPUTED_VALUE"""),0.0949283758416508)</f>
        <v>9.49283758416508E-2</v>
      </c>
      <c r="AB314" s="17">
        <f ca="1">IFERROR(__xludf.DUMMYFUNCTION("""COMPUTED_VALUE"""),0.194661934918889)</f>
        <v>0.194661934918889</v>
      </c>
      <c r="AC314" s="17">
        <f ca="1">IFERROR(__xludf.DUMMYFUNCTION("""COMPUTED_VALUE"""),0.398087344916228)</f>
        <v>0.39808734491622799</v>
      </c>
      <c r="AD314" s="17">
        <f ca="1">IFERROR(__xludf.DUMMYFUNCTION("""COMPUTED_VALUE"""),0.188660217060175)</f>
        <v>0.188660217060175</v>
      </c>
      <c r="AE314" s="17">
        <f ca="1">IFERROR(__xludf.DUMMYFUNCTION("""COMPUTED_VALUE"""),0.989201402374104)</f>
        <v>0.98920140237410403</v>
      </c>
      <c r="AF314" s="17">
        <f ca="1">IFERROR(__xludf.DUMMYFUNCTION("""COMPUTED_VALUE"""),0.293817202104237)</f>
        <v>0.29381720210423701</v>
      </c>
      <c r="AG314" s="17">
        <f ca="1">IFERROR(__xludf.DUMMYFUNCTION("""COMPUTED_VALUE"""),0.905558441705596)</f>
        <v>0.90555844170559596</v>
      </c>
      <c r="AH314" s="17">
        <f ca="1">IFERROR(__xludf.DUMMYFUNCTION("""COMPUTED_VALUE"""),0.465475826321233)</f>
        <v>0.46547582632123302</v>
      </c>
      <c r="AI314" s="17" t="str">
        <f ca="1">IFERROR(__xludf.DUMMYFUNCTION("""COMPUTED_VALUE"""),"nan")</f>
        <v>nan</v>
      </c>
      <c r="AJ314" s="17">
        <f ca="1">IFERROR(__xludf.DUMMYFUNCTION("""COMPUTED_VALUE"""),0.580685548241602)</f>
        <v>0.58068554824160201</v>
      </c>
    </row>
    <row r="315" spans="2:36" ht="15.75" customHeight="1" x14ac:dyDescent="0.45">
      <c r="B315" s="10" t="str">
        <f ca="1">IFERROR(__xludf.DUMMYFUNCTION("""COMPUTED_VALUE"""),"Fish")</f>
        <v>Fish</v>
      </c>
      <c r="C315" s="10" t="str">
        <f ca="1">IFERROR(__xludf.DUMMYFUNCTION("""COMPUTED_VALUE"""),"mcar")</f>
        <v>mcar</v>
      </c>
      <c r="D315" s="10">
        <f ca="1">IFERROR(__xludf.DUMMYFUNCTION("""COMPUTED_VALUE"""),0.6)</f>
        <v>0.6</v>
      </c>
      <c r="E315" s="17">
        <f ca="1">IFERROR(__xludf.DUMMYFUNCTION("""COMPUTED_VALUE"""),0.961165042739205)</f>
        <v>0.961165042739205</v>
      </c>
      <c r="F315" s="17">
        <f ca="1">IFERROR(__xludf.DUMMYFUNCTION("""COMPUTED_VALUE"""),0.157360013973647)</f>
        <v>0.15736001397364699</v>
      </c>
      <c r="G315" s="17">
        <f ca="1">IFERROR(__xludf.DUMMYFUNCTION("""COMPUTED_VALUE"""),0.149818988428649)</f>
        <v>0.14981898842864899</v>
      </c>
      <c r="H315" s="17">
        <f ca="1">IFERROR(__xludf.DUMMYFUNCTION("""COMPUTED_VALUE"""),0.219464446664593)</f>
        <v>0.219464446664593</v>
      </c>
      <c r="I315" s="17">
        <f ca="1">IFERROR(__xludf.DUMMYFUNCTION("""COMPUTED_VALUE"""),0.189005236470839)</f>
        <v>0.189005236470839</v>
      </c>
      <c r="J315" s="17">
        <f ca="1">IFERROR(__xludf.DUMMYFUNCTION("""COMPUTED_VALUE"""),0.293135759522855)</f>
        <v>0.29313575952285498</v>
      </c>
      <c r="K315" s="17" t="str">
        <f ca="1">IFERROR(__xludf.DUMMYFUNCTION("""COMPUTED_VALUE"""),"nan")</f>
        <v>nan</v>
      </c>
      <c r="L315" s="17">
        <f ca="1">IFERROR(__xludf.DUMMYFUNCTION("""COMPUTED_VALUE"""),0.178820423497026)</f>
        <v>0.17882042349702601</v>
      </c>
      <c r="M315" s="17">
        <f ca="1">IFERROR(__xludf.DUMMYFUNCTION("""COMPUTED_VALUE"""),0.155948578768154)</f>
        <v>0.15594857876815399</v>
      </c>
      <c r="N315" s="17">
        <f ca="1">IFERROR(__xludf.DUMMYFUNCTION("""COMPUTED_VALUE"""),0.192518824014707)</f>
        <v>0.19251882401470699</v>
      </c>
      <c r="O315" s="17">
        <f ca="1">IFERROR(__xludf.DUMMYFUNCTION("""COMPUTED_VALUE"""),0.140205964815884)</f>
        <v>0.14020596481588399</v>
      </c>
      <c r="P315" s="17">
        <f ca="1">IFERROR(__xludf.DUMMYFUNCTION("""COMPUTED_VALUE"""),0.622624027987511)</f>
        <v>0.62262402798751104</v>
      </c>
      <c r="Q315" s="17">
        <f ca="1">IFERROR(__xludf.DUMMYFUNCTION("""COMPUTED_VALUE"""),0.474122732798652)</f>
        <v>0.47412273279865202</v>
      </c>
      <c r="R315" s="17">
        <f ca="1">IFERROR(__xludf.DUMMYFUNCTION("""COMPUTED_VALUE"""),0.1704262931791)</f>
        <v>0.17042629317909999</v>
      </c>
      <c r="S315" s="17">
        <f ca="1">IFERROR(__xludf.DUMMYFUNCTION("""COMPUTED_VALUE"""),1.17073858557122)</f>
        <v>1.17073858557122</v>
      </c>
      <c r="T315" s="17">
        <f ca="1">IFERROR(__xludf.DUMMYFUNCTION("""COMPUTED_VALUE"""),0.211908379133622)</f>
        <v>0.21190837913362201</v>
      </c>
      <c r="U315" s="17">
        <f ca="1">IFERROR(__xludf.DUMMYFUNCTION("""COMPUTED_VALUE"""),0.208008844928588)</f>
        <v>0.20800884492858801</v>
      </c>
      <c r="V315" s="17">
        <f ca="1">IFERROR(__xludf.DUMMYFUNCTION("""COMPUTED_VALUE"""),0.371772541702256)</f>
        <v>0.37177254170225599</v>
      </c>
      <c r="W315" s="17">
        <f ca="1">IFERROR(__xludf.DUMMYFUNCTION("""COMPUTED_VALUE"""),0.30453023664859)</f>
        <v>0.30453023664859002</v>
      </c>
      <c r="X315" s="17">
        <f ca="1">IFERROR(__xludf.DUMMYFUNCTION("""COMPUTED_VALUE"""),0.193638476953304)</f>
        <v>0.193638476953304</v>
      </c>
      <c r="Y315" s="17">
        <f ca="1">IFERROR(__xludf.DUMMYFUNCTION("""COMPUTED_VALUE"""),0.204182851007642)</f>
        <v>0.204182851007642</v>
      </c>
      <c r="Z315" s="17">
        <f ca="1">IFERROR(__xludf.DUMMYFUNCTION("""COMPUTED_VALUE"""),0.399400352348473)</f>
        <v>0.39940035234847299</v>
      </c>
      <c r="AA315" s="17">
        <f ca="1">IFERROR(__xludf.DUMMYFUNCTION("""COMPUTED_VALUE"""),0.139887848094652)</f>
        <v>0.13988784809465199</v>
      </c>
      <c r="AB315" s="17">
        <f ca="1">IFERROR(__xludf.DUMMYFUNCTION("""COMPUTED_VALUE"""),0.234582941280031)</f>
        <v>0.23458294128003099</v>
      </c>
      <c r="AC315" s="17">
        <f ca="1">IFERROR(__xludf.DUMMYFUNCTION("""COMPUTED_VALUE"""),0.452929154924212)</f>
        <v>0.45292915492421199</v>
      </c>
      <c r="AD315" s="17">
        <f ca="1">IFERROR(__xludf.DUMMYFUNCTION("""COMPUTED_VALUE"""),0.253345160705794)</f>
        <v>0.25334516070579399</v>
      </c>
      <c r="AE315" s="17">
        <f ca="1">IFERROR(__xludf.DUMMYFUNCTION("""COMPUTED_VALUE"""),1.09706483416357)</f>
        <v>1.09706483416357</v>
      </c>
      <c r="AF315" s="17">
        <f ca="1">IFERROR(__xludf.DUMMYFUNCTION("""COMPUTED_VALUE"""),0.435824752021026)</f>
        <v>0.435824752021026</v>
      </c>
      <c r="AG315" s="17">
        <f ca="1">IFERROR(__xludf.DUMMYFUNCTION("""COMPUTED_VALUE"""),0.909708410324006)</f>
        <v>0.90970841032400596</v>
      </c>
      <c r="AH315" s="17">
        <f ca="1">IFERROR(__xludf.DUMMYFUNCTION("""COMPUTED_VALUE"""),0.823379931072311)</f>
        <v>0.823379931072311</v>
      </c>
      <c r="AI315" s="17" t="str">
        <f ca="1">IFERROR(__xludf.DUMMYFUNCTION("""COMPUTED_VALUE"""),"nan")</f>
        <v>nan</v>
      </c>
      <c r="AJ315" s="17">
        <f ca="1">IFERROR(__xludf.DUMMYFUNCTION("""COMPUTED_VALUE"""),0.780711908038767)</f>
        <v>0.780711908038767</v>
      </c>
    </row>
    <row r="316" spans="2:36" ht="15.75" customHeight="1" x14ac:dyDescent="0.45">
      <c r="B316" s="10" t="str">
        <f ca="1">IFERROR(__xludf.DUMMYFUNCTION("""COMPUTED_VALUE"""),"Fish")</f>
        <v>Fish</v>
      </c>
      <c r="C316" s="10" t="str">
        <f ca="1">IFERROR(__xludf.DUMMYFUNCTION("""COMPUTED_VALUE"""),"mcar")</f>
        <v>mcar</v>
      </c>
      <c r="D316" s="10">
        <f ca="1">IFERROR(__xludf.DUMMYFUNCTION("""COMPUTED_VALUE"""),0.8)</f>
        <v>0.8</v>
      </c>
      <c r="E316" s="17">
        <f ca="1">IFERROR(__xludf.DUMMYFUNCTION("""COMPUTED_VALUE"""),0.961235306925222)</f>
        <v>0.96123530692522197</v>
      </c>
      <c r="F316" s="17">
        <f ca="1">IFERROR(__xludf.DUMMYFUNCTION("""COMPUTED_VALUE"""),0.182484642051121)</f>
        <v>0.182484642051121</v>
      </c>
      <c r="G316" s="17">
        <f ca="1">IFERROR(__xludf.DUMMYFUNCTION("""COMPUTED_VALUE"""),0.157971099591145)</f>
        <v>0.157971099591145</v>
      </c>
      <c r="H316" s="17">
        <f ca="1">IFERROR(__xludf.DUMMYFUNCTION("""COMPUTED_VALUE"""),0.228420349303074)</f>
        <v>0.22842034930307401</v>
      </c>
      <c r="I316" s="17">
        <f ca="1">IFERROR(__xludf.DUMMYFUNCTION("""COMPUTED_VALUE"""),0.202066743832696)</f>
        <v>0.20206674383269599</v>
      </c>
      <c r="J316" s="17">
        <f ca="1">IFERROR(__xludf.DUMMYFUNCTION("""COMPUTED_VALUE"""),0.799442633563892)</f>
        <v>0.799442633563892</v>
      </c>
      <c r="K316" s="17" t="str">
        <f ca="1">IFERROR(__xludf.DUMMYFUNCTION("""COMPUTED_VALUE"""),"nan")</f>
        <v>nan</v>
      </c>
      <c r="L316" s="17">
        <f ca="1">IFERROR(__xludf.DUMMYFUNCTION("""COMPUTED_VALUE"""),0.185982393735202)</f>
        <v>0.18598239373520201</v>
      </c>
      <c r="M316" s="17">
        <f ca="1">IFERROR(__xludf.DUMMYFUNCTION("""COMPUTED_VALUE"""),0.428793462226666)</f>
        <v>0.42879346222666598</v>
      </c>
      <c r="N316" s="17">
        <f ca="1">IFERROR(__xludf.DUMMYFUNCTION("""COMPUTED_VALUE"""),0.222212550091272)</f>
        <v>0.222212550091272</v>
      </c>
      <c r="O316" s="17">
        <f ca="1">IFERROR(__xludf.DUMMYFUNCTION("""COMPUTED_VALUE"""),0.165369575583109)</f>
        <v>0.165369575583109</v>
      </c>
      <c r="P316" s="17">
        <f ca="1">IFERROR(__xludf.DUMMYFUNCTION("""COMPUTED_VALUE"""),0.78654489968619)</f>
        <v>0.78654489968619001</v>
      </c>
      <c r="Q316" s="17">
        <f ca="1">IFERROR(__xludf.DUMMYFUNCTION("""COMPUTED_VALUE"""),0.556277604913157)</f>
        <v>0.55627760491315703</v>
      </c>
      <c r="R316" s="17">
        <f ca="1">IFERROR(__xludf.DUMMYFUNCTION("""COMPUTED_VALUE"""),0.231039110900038)</f>
        <v>0.23103911090003801</v>
      </c>
      <c r="S316" s="17">
        <f ca="1">IFERROR(__xludf.DUMMYFUNCTION("""COMPUTED_VALUE"""),1.62254217572632)</f>
        <v>1.6225421757263201</v>
      </c>
      <c r="T316" s="17">
        <f ca="1">IFERROR(__xludf.DUMMYFUNCTION("""COMPUTED_VALUE"""),0.371839755499545)</f>
        <v>0.37183975549954501</v>
      </c>
      <c r="U316" s="17">
        <f ca="1">IFERROR(__xludf.DUMMYFUNCTION("""COMPUTED_VALUE"""),0.289289172265269)</f>
        <v>0.28928917226526901</v>
      </c>
      <c r="V316" s="17">
        <f ca="1">IFERROR(__xludf.DUMMYFUNCTION("""COMPUTED_VALUE"""),0.386566962553444)</f>
        <v>0.38656696255344403</v>
      </c>
      <c r="W316" s="17">
        <f ca="1">IFERROR(__xludf.DUMMYFUNCTION("""COMPUTED_VALUE"""),0.412808708155689)</f>
        <v>0.41280870815568899</v>
      </c>
      <c r="X316" s="17">
        <f ca="1">IFERROR(__xludf.DUMMYFUNCTION("""COMPUTED_VALUE"""),0.192105843684925)</f>
        <v>0.192105843684925</v>
      </c>
      <c r="Y316" s="17">
        <f ca="1">IFERROR(__xludf.DUMMYFUNCTION("""COMPUTED_VALUE"""),0.278881117092336)</f>
        <v>0.27888111709233598</v>
      </c>
      <c r="Z316" s="17">
        <f ca="1">IFERROR(__xludf.DUMMYFUNCTION("""COMPUTED_VALUE"""),0.572070879713274)</f>
        <v>0.57207087971327397</v>
      </c>
      <c r="AA316" s="17">
        <f ca="1">IFERROR(__xludf.DUMMYFUNCTION("""COMPUTED_VALUE"""),0.159011713770273)</f>
        <v>0.15901171377027301</v>
      </c>
      <c r="AB316" s="17">
        <f ca="1">IFERROR(__xludf.DUMMYFUNCTION("""COMPUTED_VALUE"""),0.819986216441909)</f>
        <v>0.81998621644190905</v>
      </c>
      <c r="AC316" s="17">
        <f ca="1">IFERROR(__xludf.DUMMYFUNCTION("""COMPUTED_VALUE"""),0.588187475637482)</f>
        <v>0.58818747563748197</v>
      </c>
      <c r="AD316" s="17">
        <f ca="1">IFERROR(__xludf.DUMMYFUNCTION("""COMPUTED_VALUE"""),0.436643322408028)</f>
        <v>0.436643322408028</v>
      </c>
      <c r="AE316" s="17" t="str">
        <f ca="1">IFERROR(__xludf.DUMMYFUNCTION("""COMPUTED_VALUE"""),"nan")</f>
        <v>nan</v>
      </c>
      <c r="AF316" s="17">
        <f ca="1">IFERROR(__xludf.DUMMYFUNCTION("""COMPUTED_VALUE"""),0.706760882291213)</f>
        <v>0.70676088229121303</v>
      </c>
      <c r="AG316" s="17">
        <f ca="1">IFERROR(__xludf.DUMMYFUNCTION("""COMPUTED_VALUE"""),1.08646690039501)</f>
        <v>1.08646690039501</v>
      </c>
      <c r="AH316" s="17">
        <f ca="1">IFERROR(__xludf.DUMMYFUNCTION("""COMPUTED_VALUE"""),0.982470239989751)</f>
        <v>0.98247023998975103</v>
      </c>
      <c r="AI316" s="17" t="str">
        <f ca="1">IFERROR(__xludf.DUMMYFUNCTION("""COMPUTED_VALUE"""),"nan")</f>
        <v>nan</v>
      </c>
      <c r="AJ316" s="17">
        <f ca="1">IFERROR(__xludf.DUMMYFUNCTION("""COMPUTED_VALUE"""),1.05386028959468)</f>
        <v>1.05386028959468</v>
      </c>
    </row>
    <row r="317" spans="2:36" ht="15.75" customHeight="1" x14ac:dyDescent="0.45">
      <c r="B317" s="10" t="str">
        <f ca="1">IFERROR(__xludf.DUMMYFUNCTION("""COMPUTED_VALUE"""),"FreezerRegularTrain")</f>
        <v>FreezerRegularTrain</v>
      </c>
      <c r="C317" s="10" t="str">
        <f ca="1">IFERROR(__xludf.DUMMYFUNCTION("""COMPUTED_VALUE"""),"aligned_series")</f>
        <v>aligned_series</v>
      </c>
      <c r="D317" s="10">
        <f ca="1">IFERROR(__xludf.DUMMYFUNCTION("""COMPUTED_VALUE"""),0.1)</f>
        <v>0.1</v>
      </c>
      <c r="E317" s="17">
        <f ca="1">IFERROR(__xludf.DUMMYFUNCTION("""COMPUTED_VALUE"""),1.43702762734826)</f>
        <v>1.4370276273482601</v>
      </c>
      <c r="F317" s="17">
        <f ca="1">IFERROR(__xludf.DUMMYFUNCTION("""COMPUTED_VALUE"""),0.2403386739935)</f>
        <v>0.24033867399350001</v>
      </c>
      <c r="G317" s="17">
        <f ca="1">IFERROR(__xludf.DUMMYFUNCTION("""COMPUTED_VALUE"""),0.232913170376124)</f>
        <v>0.232913170376124</v>
      </c>
      <c r="H317" s="17">
        <f ca="1">IFERROR(__xludf.DUMMYFUNCTION("""COMPUTED_VALUE"""),0.619213201914041)</f>
        <v>0.61921320191404094</v>
      </c>
      <c r="I317" s="17">
        <f ca="1">IFERROR(__xludf.DUMMYFUNCTION("""COMPUTED_VALUE"""),0.175269421095522)</f>
        <v>0.17526942109552199</v>
      </c>
      <c r="J317" s="17">
        <f ca="1">IFERROR(__xludf.DUMMYFUNCTION("""COMPUTED_VALUE"""),0.164860187592916)</f>
        <v>0.16486018759291601</v>
      </c>
      <c r="K317" s="17" t="str">
        <f ca="1">IFERROR(__xludf.DUMMYFUNCTION("""COMPUTED_VALUE"""),"nan")</f>
        <v>nan</v>
      </c>
      <c r="L317" s="17">
        <f ca="1">IFERROR(__xludf.DUMMYFUNCTION("""COMPUTED_VALUE"""),0.103243743978816)</f>
        <v>0.103243743978816</v>
      </c>
      <c r="M317" s="17">
        <f ca="1">IFERROR(__xludf.DUMMYFUNCTION("""COMPUTED_VALUE"""),0.33731626842718)</f>
        <v>0.33731626842717999</v>
      </c>
      <c r="N317" s="17">
        <f ca="1">IFERROR(__xludf.DUMMYFUNCTION("""COMPUTED_VALUE"""),0.465560265898826)</f>
        <v>0.46556026589882599</v>
      </c>
      <c r="O317" s="17">
        <f ca="1">IFERROR(__xludf.DUMMYFUNCTION("""COMPUTED_VALUE"""),0.139104615164536)</f>
        <v>0.13910461516453601</v>
      </c>
      <c r="P317" s="17">
        <f ca="1">IFERROR(__xludf.DUMMYFUNCTION("""COMPUTED_VALUE"""),1.18786985090419)</f>
        <v>1.1878698509041901</v>
      </c>
      <c r="Q317" s="17">
        <f ca="1">IFERROR(__xludf.DUMMYFUNCTION("""COMPUTED_VALUE"""),0.538873792576194)</f>
        <v>0.53887379257619406</v>
      </c>
      <c r="R317" s="17">
        <f ca="1">IFERROR(__xludf.DUMMYFUNCTION("""COMPUTED_VALUE"""),0.607740660479395)</f>
        <v>0.60774066047939501</v>
      </c>
      <c r="S317" s="17">
        <f ca="1">IFERROR(__xludf.DUMMYFUNCTION("""COMPUTED_VALUE"""),0.157533910695907)</f>
        <v>0.157533910695907</v>
      </c>
      <c r="T317" s="17">
        <f ca="1">IFERROR(__xludf.DUMMYFUNCTION("""COMPUTED_VALUE"""),0.478452143576206)</f>
        <v>0.47845214357620602</v>
      </c>
      <c r="U317" s="17">
        <f ca="1">IFERROR(__xludf.DUMMYFUNCTION("""COMPUTED_VALUE"""),0.288267949560487)</f>
        <v>0.28826794956048701</v>
      </c>
      <c r="V317" s="17">
        <f ca="1">IFERROR(__xludf.DUMMYFUNCTION("""COMPUTED_VALUE"""),0.0843096178171991)</f>
        <v>8.4309617817199103E-2</v>
      </c>
      <c r="W317" s="17">
        <f ca="1">IFERROR(__xludf.DUMMYFUNCTION("""COMPUTED_VALUE"""),0.660686769745045)</f>
        <v>0.66068676974504503</v>
      </c>
      <c r="X317" s="17">
        <f ca="1">IFERROR(__xludf.DUMMYFUNCTION("""COMPUTED_VALUE"""),0.53206420380012)</f>
        <v>0.53206420380011998</v>
      </c>
      <c r="Y317" s="17">
        <f ca="1">IFERROR(__xludf.DUMMYFUNCTION("""COMPUTED_VALUE"""),0.114459531856073)</f>
        <v>0.11445953185607299</v>
      </c>
      <c r="Z317" s="17">
        <f ca="1">IFERROR(__xludf.DUMMYFUNCTION("""COMPUTED_VALUE"""),0.0691248727748747)</f>
        <v>6.9124872774874696E-2</v>
      </c>
      <c r="AA317" s="17">
        <f ca="1">IFERROR(__xludf.DUMMYFUNCTION("""COMPUTED_VALUE"""),0.0504306736514101)</f>
        <v>5.0430673651410102E-2</v>
      </c>
      <c r="AB317" s="17">
        <f ca="1">IFERROR(__xludf.DUMMYFUNCTION("""COMPUTED_VALUE"""),0.166593857719385)</f>
        <v>0.16659385771938501</v>
      </c>
      <c r="AC317" s="17">
        <f ca="1">IFERROR(__xludf.DUMMYFUNCTION("""COMPUTED_VALUE"""),1.07988741409935)</f>
        <v>1.07988741409935</v>
      </c>
      <c r="AD317" s="17">
        <f ca="1">IFERROR(__xludf.DUMMYFUNCTION("""COMPUTED_VALUE"""),0.377684192870824)</f>
        <v>0.377684192870824</v>
      </c>
      <c r="AE317" s="17">
        <f ca="1">IFERROR(__xludf.DUMMYFUNCTION("""COMPUTED_VALUE"""),1.50939991381848)</f>
        <v>1.5093999138184799</v>
      </c>
      <c r="AF317" s="17">
        <f ca="1">IFERROR(__xludf.DUMMYFUNCTION("""COMPUTED_VALUE"""),0.360031179173524)</f>
        <v>0.36003117917352401</v>
      </c>
      <c r="AG317" s="17">
        <f ca="1">IFERROR(__xludf.DUMMYFUNCTION("""COMPUTED_VALUE"""),1.43167144160261)</f>
        <v>1.43167144160261</v>
      </c>
      <c r="AH317" s="17">
        <f ca="1">IFERROR(__xludf.DUMMYFUNCTION("""COMPUTED_VALUE"""),0.990198079914601)</f>
        <v>0.99019807991460096</v>
      </c>
      <c r="AI317" s="17">
        <f ca="1">IFERROR(__xludf.DUMMYFUNCTION("""COMPUTED_VALUE"""),1.05268609866279)</f>
        <v>1.0526860986627899</v>
      </c>
      <c r="AJ317" s="17">
        <f ca="1">IFERROR(__xludf.DUMMYFUNCTION("""COMPUTED_VALUE"""),0.897792584522527)</f>
        <v>0.89779258452252697</v>
      </c>
    </row>
    <row r="318" spans="2:36" ht="15.75" customHeight="1" x14ac:dyDescent="0.45">
      <c r="B318" s="10" t="str">
        <f ca="1">IFERROR(__xludf.DUMMYFUNCTION("""COMPUTED_VALUE"""),"FreezerRegularTrain")</f>
        <v>FreezerRegularTrain</v>
      </c>
      <c r="C318" s="10" t="str">
        <f ca="1">IFERROR(__xludf.DUMMYFUNCTION("""COMPUTED_VALUE"""),"aligned_series")</f>
        <v>aligned_series</v>
      </c>
      <c r="D318" s="10">
        <f ca="1">IFERROR(__xludf.DUMMYFUNCTION("""COMPUTED_VALUE"""),0.2)</f>
        <v>0.2</v>
      </c>
      <c r="E318" s="17">
        <f ca="1">IFERROR(__xludf.DUMMYFUNCTION("""COMPUTED_VALUE"""),1.42509255802369)</f>
        <v>1.4250925580236899</v>
      </c>
      <c r="F318" s="17">
        <f ca="1">IFERROR(__xludf.DUMMYFUNCTION("""COMPUTED_VALUE"""),0.29934502995323)</f>
        <v>0.29934502995322998</v>
      </c>
      <c r="G318" s="17">
        <f ca="1">IFERROR(__xludf.DUMMYFUNCTION("""COMPUTED_VALUE"""),0.281765725668942)</f>
        <v>0.28176572566894198</v>
      </c>
      <c r="H318" s="17">
        <f ca="1">IFERROR(__xludf.DUMMYFUNCTION("""COMPUTED_VALUE"""),0.660942184399124)</f>
        <v>0.660942184399124</v>
      </c>
      <c r="I318" s="17">
        <f ca="1">IFERROR(__xludf.DUMMYFUNCTION("""COMPUTED_VALUE"""),0.317865594175528)</f>
        <v>0.31786559417552801</v>
      </c>
      <c r="J318" s="17">
        <f ca="1">IFERROR(__xludf.DUMMYFUNCTION("""COMPUTED_VALUE"""),0.898310266227965)</f>
        <v>0.89831026622796495</v>
      </c>
      <c r="K318" s="17" t="str">
        <f ca="1">IFERROR(__xludf.DUMMYFUNCTION("""COMPUTED_VALUE"""),"nan")</f>
        <v>nan</v>
      </c>
      <c r="L318" s="17">
        <f ca="1">IFERROR(__xludf.DUMMYFUNCTION("""COMPUTED_VALUE"""),0.133674683982802)</f>
        <v>0.133674683982802</v>
      </c>
      <c r="M318" s="17">
        <f ca="1">IFERROR(__xludf.DUMMYFUNCTION("""COMPUTED_VALUE"""),0.409693774601224)</f>
        <v>0.40969377460122403</v>
      </c>
      <c r="N318" s="17">
        <f ca="1">IFERROR(__xludf.DUMMYFUNCTION("""COMPUTED_VALUE"""),0.477653898870109)</f>
        <v>0.47765389887010901</v>
      </c>
      <c r="O318" s="17">
        <f ca="1">IFERROR(__xludf.DUMMYFUNCTION("""COMPUTED_VALUE"""),0.170826080609611)</f>
        <v>0.17082608060961099</v>
      </c>
      <c r="P318" s="17">
        <f ca="1">IFERROR(__xludf.DUMMYFUNCTION("""COMPUTED_VALUE"""),1.17336935027905)</f>
        <v>1.1733693502790501</v>
      </c>
      <c r="Q318" s="17">
        <f ca="1">IFERROR(__xludf.DUMMYFUNCTION("""COMPUTED_VALUE"""),0.439246296520181)</f>
        <v>0.43924629652018099</v>
      </c>
      <c r="R318" s="17">
        <f ca="1">IFERROR(__xludf.DUMMYFUNCTION("""COMPUTED_VALUE"""),0.484903987002664)</f>
        <v>0.48490398700266402</v>
      </c>
      <c r="S318" s="17">
        <f ca="1">IFERROR(__xludf.DUMMYFUNCTION("""COMPUTED_VALUE"""),0.266880452273819)</f>
        <v>0.26688045227381901</v>
      </c>
      <c r="T318" s="17">
        <f ca="1">IFERROR(__xludf.DUMMYFUNCTION("""COMPUTED_VALUE"""),0.679911632603327)</f>
        <v>0.67991163260332699</v>
      </c>
      <c r="U318" s="17">
        <f ca="1">IFERROR(__xludf.DUMMYFUNCTION("""COMPUTED_VALUE"""),0.302288873480238)</f>
        <v>0.30228887348023797</v>
      </c>
      <c r="V318" s="17">
        <f ca="1">IFERROR(__xludf.DUMMYFUNCTION("""COMPUTED_VALUE"""),0.268910892814526)</f>
        <v>0.26891089281452601</v>
      </c>
      <c r="W318" s="17">
        <f ca="1">IFERROR(__xludf.DUMMYFUNCTION("""COMPUTED_VALUE"""),0.631188489314346)</f>
        <v>0.63118848931434601</v>
      </c>
      <c r="X318" s="17">
        <f ca="1">IFERROR(__xludf.DUMMYFUNCTION("""COMPUTED_VALUE"""),0.544769299128511)</f>
        <v>0.54476929912851102</v>
      </c>
      <c r="Y318" s="17">
        <f ca="1">IFERROR(__xludf.DUMMYFUNCTION("""COMPUTED_VALUE"""),0.164862428465314)</f>
        <v>0.16486242846531399</v>
      </c>
      <c r="Z318" s="17">
        <f ca="1">IFERROR(__xludf.DUMMYFUNCTION("""COMPUTED_VALUE"""),0.0991708073272893)</f>
        <v>9.9170807327289306E-2</v>
      </c>
      <c r="AA318" s="17">
        <f ca="1">IFERROR(__xludf.DUMMYFUNCTION("""COMPUTED_VALUE"""),0.0681446961521423)</f>
        <v>6.8144696152142303E-2</v>
      </c>
      <c r="AB318" s="17">
        <f ca="1">IFERROR(__xludf.DUMMYFUNCTION("""COMPUTED_VALUE"""),0.416094359416434)</f>
        <v>0.41609435941643402</v>
      </c>
      <c r="AC318" s="17">
        <f ca="1">IFERROR(__xludf.DUMMYFUNCTION("""COMPUTED_VALUE"""),1.05318925023479)</f>
        <v>1.0531892502347899</v>
      </c>
      <c r="AD318" s="17">
        <f ca="1">IFERROR(__xludf.DUMMYFUNCTION("""COMPUTED_VALUE"""),0.342661683598262)</f>
        <v>0.34266168359826199</v>
      </c>
      <c r="AE318" s="17">
        <f ca="1">IFERROR(__xludf.DUMMYFUNCTION("""COMPUTED_VALUE"""),1.47311905990245)</f>
        <v>1.47311905990245</v>
      </c>
      <c r="AF318" s="17">
        <f ca="1">IFERROR(__xludf.DUMMYFUNCTION("""COMPUTED_VALUE"""),0.447658717183666)</f>
        <v>0.44765871718366601</v>
      </c>
      <c r="AG318" s="17">
        <f ca="1">IFERROR(__xludf.DUMMYFUNCTION("""COMPUTED_VALUE"""),1.46219864415395)</f>
        <v>1.4621986441539501</v>
      </c>
      <c r="AH318" s="17">
        <f ca="1">IFERROR(__xludf.DUMMYFUNCTION("""COMPUTED_VALUE"""),0.992465515150735)</f>
        <v>0.992465515150735</v>
      </c>
      <c r="AI318" s="17">
        <f ca="1">IFERROR(__xludf.DUMMYFUNCTION("""COMPUTED_VALUE"""),1.05860468972728)</f>
        <v>1.0586046897272801</v>
      </c>
      <c r="AJ318" s="17">
        <f ca="1">IFERROR(__xludf.DUMMYFUNCTION("""COMPUTED_VALUE"""),0.904422216138475)</f>
        <v>0.90442221613847495</v>
      </c>
    </row>
    <row r="319" spans="2:36" ht="15.75" customHeight="1" x14ac:dyDescent="0.45">
      <c r="B319" s="10" t="str">
        <f ca="1">IFERROR(__xludf.DUMMYFUNCTION("""COMPUTED_VALUE"""),"FreezerRegularTrain")</f>
        <v>FreezerRegularTrain</v>
      </c>
      <c r="C319" s="10" t="str">
        <f ca="1">IFERROR(__xludf.DUMMYFUNCTION("""COMPUTED_VALUE"""),"aligned_series")</f>
        <v>aligned_series</v>
      </c>
      <c r="D319" s="10">
        <f ca="1">IFERROR(__xludf.DUMMYFUNCTION("""COMPUTED_VALUE"""),0.4)</f>
        <v>0.4</v>
      </c>
      <c r="E319" s="17">
        <f ca="1">IFERROR(__xludf.DUMMYFUNCTION("""COMPUTED_VALUE"""),1.41372044275107)</f>
        <v>1.4137204427510699</v>
      </c>
      <c r="F319" s="17">
        <f ca="1">IFERROR(__xludf.DUMMYFUNCTION("""COMPUTED_VALUE"""),0.272329064210627)</f>
        <v>0.27232906421062703</v>
      </c>
      <c r="G319" s="17">
        <f ca="1">IFERROR(__xludf.DUMMYFUNCTION("""COMPUTED_VALUE"""),0.252985322577222)</f>
        <v>0.252985322577222</v>
      </c>
      <c r="H319" s="17">
        <f ca="1">IFERROR(__xludf.DUMMYFUNCTION("""COMPUTED_VALUE"""),0.573931080042528)</f>
        <v>0.57393108004252802</v>
      </c>
      <c r="I319" s="17">
        <f ca="1">IFERROR(__xludf.DUMMYFUNCTION("""COMPUTED_VALUE"""),0.610100426813596)</f>
        <v>0.610100426813596</v>
      </c>
      <c r="J319" s="17">
        <f ca="1">IFERROR(__xludf.DUMMYFUNCTION("""COMPUTED_VALUE"""),1.16413461555461)</f>
        <v>1.16413461555461</v>
      </c>
      <c r="K319" s="17" t="str">
        <f ca="1">IFERROR(__xludf.DUMMYFUNCTION("""COMPUTED_VALUE"""),"nan")</f>
        <v>nan</v>
      </c>
      <c r="L319" s="17">
        <f ca="1">IFERROR(__xludf.DUMMYFUNCTION("""COMPUTED_VALUE"""),0.148861854114841)</f>
        <v>0.14886185411484101</v>
      </c>
      <c r="M319" s="17">
        <f ca="1">IFERROR(__xludf.DUMMYFUNCTION("""COMPUTED_VALUE"""),0.415842900013016)</f>
        <v>0.41584290001301599</v>
      </c>
      <c r="N319" s="17">
        <f ca="1">IFERROR(__xludf.DUMMYFUNCTION("""COMPUTED_VALUE"""),0.441886943351662)</f>
        <v>0.44188694335166201</v>
      </c>
      <c r="O319" s="17">
        <f ca="1">IFERROR(__xludf.DUMMYFUNCTION("""COMPUTED_VALUE"""),0.160491665880287)</f>
        <v>0.16049166588028699</v>
      </c>
      <c r="P319" s="17">
        <f ca="1">IFERROR(__xludf.DUMMYFUNCTION("""COMPUTED_VALUE"""),1.30691494613267)</f>
        <v>1.3069149461326699</v>
      </c>
      <c r="Q319" s="17">
        <f ca="1">IFERROR(__xludf.DUMMYFUNCTION("""COMPUTED_VALUE"""),0.391179861652599)</f>
        <v>0.39117986165259899</v>
      </c>
      <c r="R319" s="17">
        <f ca="1">IFERROR(__xludf.DUMMYFUNCTION("""COMPUTED_VALUE"""),0.708454346403303)</f>
        <v>0.70845434640330296</v>
      </c>
      <c r="S319" s="17">
        <f ca="1">IFERROR(__xludf.DUMMYFUNCTION("""COMPUTED_VALUE"""),0.554321402270714)</f>
        <v>0.55432140227071403</v>
      </c>
      <c r="T319" s="17">
        <f ca="1">IFERROR(__xludf.DUMMYFUNCTION("""COMPUTED_VALUE"""),0.554681376459018)</f>
        <v>0.55468137645901805</v>
      </c>
      <c r="U319" s="17">
        <f ca="1">IFERROR(__xludf.DUMMYFUNCTION("""COMPUTED_VALUE"""),0.353261332870573)</f>
        <v>0.35326133287057299</v>
      </c>
      <c r="V319" s="17">
        <f ca="1">IFERROR(__xludf.DUMMYFUNCTION("""COMPUTED_VALUE"""),0.15307811051611)</f>
        <v>0.15307811051611001</v>
      </c>
      <c r="W319" s="17">
        <f ca="1">IFERROR(__xludf.DUMMYFUNCTION("""COMPUTED_VALUE"""),0.633957974172264)</f>
        <v>0.63395797417226396</v>
      </c>
      <c r="X319" s="17">
        <f ca="1">IFERROR(__xludf.DUMMYFUNCTION("""COMPUTED_VALUE"""),0.542781028236414)</f>
        <v>0.54278102823641405</v>
      </c>
      <c r="Y319" s="17">
        <f ca="1">IFERROR(__xludf.DUMMYFUNCTION("""COMPUTED_VALUE"""),0.219138714338492)</f>
        <v>0.219138714338492</v>
      </c>
      <c r="Z319" s="17">
        <f ca="1">IFERROR(__xludf.DUMMYFUNCTION("""COMPUTED_VALUE"""),0.151417397854246)</f>
        <v>0.15141739785424599</v>
      </c>
      <c r="AA319" s="17">
        <f ca="1">IFERROR(__xludf.DUMMYFUNCTION("""COMPUTED_VALUE"""),0.0405563657357166)</f>
        <v>4.0556365735716603E-2</v>
      </c>
      <c r="AB319" s="17">
        <f ca="1">IFERROR(__xludf.DUMMYFUNCTION("""COMPUTED_VALUE"""),1.03012347433199)</f>
        <v>1.03012347433199</v>
      </c>
      <c r="AC319" s="17">
        <f ca="1">IFERROR(__xludf.DUMMYFUNCTION("""COMPUTED_VALUE"""),0.982005952022436)</f>
        <v>0.98200595202243601</v>
      </c>
      <c r="AD319" s="17">
        <f ca="1">IFERROR(__xludf.DUMMYFUNCTION("""COMPUTED_VALUE"""),0.332702671892672)</f>
        <v>0.332702671892672</v>
      </c>
      <c r="AE319" s="17">
        <f ca="1">IFERROR(__xludf.DUMMYFUNCTION("""COMPUTED_VALUE"""),1.46452887910523)</f>
        <v>1.46452887910523</v>
      </c>
      <c r="AF319" s="17">
        <f ca="1">IFERROR(__xludf.DUMMYFUNCTION("""COMPUTED_VALUE"""),0.493833868049771)</f>
        <v>0.49383386804977097</v>
      </c>
      <c r="AG319" s="17">
        <f ca="1">IFERROR(__xludf.DUMMYFUNCTION("""COMPUTED_VALUE"""),1.40250740619372)</f>
        <v>1.4025074061937199</v>
      </c>
      <c r="AH319" s="17">
        <f ca="1">IFERROR(__xludf.DUMMYFUNCTION("""COMPUTED_VALUE"""),0.985853951538594)</f>
        <v>0.98585395153859401</v>
      </c>
      <c r="AI319" s="17">
        <f ca="1">IFERROR(__xludf.DUMMYFUNCTION("""COMPUTED_VALUE"""),1.05320878870007)</f>
        <v>1.0532087887000701</v>
      </c>
      <c r="AJ319" s="17">
        <f ca="1">IFERROR(__xludf.DUMMYFUNCTION("""COMPUTED_VALUE"""),1.08309338909269)</f>
        <v>1.0830933890926899</v>
      </c>
    </row>
    <row r="320" spans="2:36" ht="15.75" customHeight="1" x14ac:dyDescent="0.45">
      <c r="B320" s="10" t="str">
        <f ca="1">IFERROR(__xludf.DUMMYFUNCTION("""COMPUTED_VALUE"""),"FreezerRegularTrain")</f>
        <v>FreezerRegularTrain</v>
      </c>
      <c r="C320" s="10" t="str">
        <f ca="1">IFERROR(__xludf.DUMMYFUNCTION("""COMPUTED_VALUE"""),"aligned_series")</f>
        <v>aligned_series</v>
      </c>
      <c r="D320" s="10">
        <f ca="1">IFERROR(__xludf.DUMMYFUNCTION("""COMPUTED_VALUE"""),0.6)</f>
        <v>0.6</v>
      </c>
      <c r="E320" s="17">
        <f ca="1">IFERROR(__xludf.DUMMYFUNCTION("""COMPUTED_VALUE"""),1.39597263814847)</f>
        <v>1.3959726381484701</v>
      </c>
      <c r="F320" s="17">
        <f ca="1">IFERROR(__xludf.DUMMYFUNCTION("""COMPUTED_VALUE"""),0.28272923730102)</f>
        <v>0.28272923730102001</v>
      </c>
      <c r="G320" s="17">
        <f ca="1">IFERROR(__xludf.DUMMYFUNCTION("""COMPUTED_VALUE"""),0.251646800133934)</f>
        <v>0.25164680013393398</v>
      </c>
      <c r="H320" s="17">
        <f ca="1">IFERROR(__xludf.DUMMYFUNCTION("""COMPUTED_VALUE"""),0.545952805904099)</f>
        <v>0.545952805904099</v>
      </c>
      <c r="I320" s="17">
        <f ca="1">IFERROR(__xludf.DUMMYFUNCTION("""COMPUTED_VALUE"""),0.797360171168746)</f>
        <v>0.79736017116874602</v>
      </c>
      <c r="J320" s="17">
        <f ca="1">IFERROR(__xludf.DUMMYFUNCTION("""COMPUTED_VALUE"""),1.64257908705033)</f>
        <v>1.6425790870503301</v>
      </c>
      <c r="K320" s="17" t="str">
        <f ca="1">IFERROR(__xludf.DUMMYFUNCTION("""COMPUTED_VALUE"""),"nan")</f>
        <v>nan</v>
      </c>
      <c r="L320" s="17">
        <f ca="1">IFERROR(__xludf.DUMMYFUNCTION("""COMPUTED_VALUE"""),0.168872574634626)</f>
        <v>0.16887257463462599</v>
      </c>
      <c r="M320" s="17">
        <f ca="1">IFERROR(__xludf.DUMMYFUNCTION("""COMPUTED_VALUE"""),0.481982460481535)</f>
        <v>0.48198246048153498</v>
      </c>
      <c r="N320" s="17">
        <f ca="1">IFERROR(__xludf.DUMMYFUNCTION("""COMPUTED_VALUE"""),0.421415515990939)</f>
        <v>0.42141551599093902</v>
      </c>
      <c r="O320" s="17">
        <f ca="1">IFERROR(__xludf.DUMMYFUNCTION("""COMPUTED_VALUE"""),0.168311352155431)</f>
        <v>0.168311352155431</v>
      </c>
      <c r="P320" s="17">
        <f ca="1">IFERROR(__xludf.DUMMYFUNCTION("""COMPUTED_VALUE"""),1.39198836007298)</f>
        <v>1.3919883600729801</v>
      </c>
      <c r="Q320" s="17">
        <f ca="1">IFERROR(__xludf.DUMMYFUNCTION("""COMPUTED_VALUE"""),0.946254792187067)</f>
        <v>0.94625479218706698</v>
      </c>
      <c r="R320" s="17">
        <f ca="1">IFERROR(__xludf.DUMMYFUNCTION("""COMPUTED_VALUE"""),0.971466177477823)</f>
        <v>0.97146617747782305</v>
      </c>
      <c r="S320" s="17">
        <f ca="1">IFERROR(__xludf.DUMMYFUNCTION("""COMPUTED_VALUE"""),0.762942812581863)</f>
        <v>0.76294281258186303</v>
      </c>
      <c r="T320" s="17">
        <f ca="1">IFERROR(__xludf.DUMMYFUNCTION("""COMPUTED_VALUE"""),0.578621267628106)</f>
        <v>0.57862126762810595</v>
      </c>
      <c r="U320" s="17">
        <f ca="1">IFERROR(__xludf.DUMMYFUNCTION("""COMPUTED_VALUE"""),0.39152754446942)</f>
        <v>0.39152754446942001</v>
      </c>
      <c r="V320" s="17">
        <f ca="1">IFERROR(__xludf.DUMMYFUNCTION("""COMPUTED_VALUE"""),0.249586316655062)</f>
        <v>0.24958631665506201</v>
      </c>
      <c r="W320" s="17">
        <f ca="1">IFERROR(__xludf.DUMMYFUNCTION("""COMPUTED_VALUE"""),0.882570745714044)</f>
        <v>0.88257074571404404</v>
      </c>
      <c r="X320" s="17">
        <f ca="1">IFERROR(__xludf.DUMMYFUNCTION("""COMPUTED_VALUE"""),0.499943410976808)</f>
        <v>0.499943410976808</v>
      </c>
      <c r="Y320" s="17">
        <f ca="1">IFERROR(__xludf.DUMMYFUNCTION("""COMPUTED_VALUE"""),0.358994729474186)</f>
        <v>0.35899472947418598</v>
      </c>
      <c r="Z320" s="17">
        <f ca="1">IFERROR(__xludf.DUMMYFUNCTION("""COMPUTED_VALUE"""),0.119513595282194)</f>
        <v>0.119513595282194</v>
      </c>
      <c r="AA320" s="17">
        <f ca="1">IFERROR(__xludf.DUMMYFUNCTION("""COMPUTED_VALUE"""),0.0530660064539476)</f>
        <v>5.3066006453947601E-2</v>
      </c>
      <c r="AB320" s="17">
        <f ca="1">IFERROR(__xludf.DUMMYFUNCTION("""COMPUTED_VALUE"""),1.5356875913104)</f>
        <v>1.5356875913104</v>
      </c>
      <c r="AC320" s="17">
        <f ca="1">IFERROR(__xludf.DUMMYFUNCTION("""COMPUTED_VALUE"""),0.915473122533619)</f>
        <v>0.91547312253361901</v>
      </c>
      <c r="AD320" s="17">
        <f ca="1">IFERROR(__xludf.DUMMYFUNCTION("""COMPUTED_VALUE"""),0.33055954329855)</f>
        <v>0.33055954329854997</v>
      </c>
      <c r="AE320" s="17">
        <f ca="1">IFERROR(__xludf.DUMMYFUNCTION("""COMPUTED_VALUE"""),1.42869572257335)</f>
        <v>1.4286957225733501</v>
      </c>
      <c r="AF320" s="17">
        <f ca="1">IFERROR(__xludf.DUMMYFUNCTION("""COMPUTED_VALUE"""),0.637689969386492)</f>
        <v>0.63768996938649203</v>
      </c>
      <c r="AG320" s="17">
        <f ca="1">IFERROR(__xludf.DUMMYFUNCTION("""COMPUTED_VALUE"""),1.39492323999514)</f>
        <v>1.3949232399951399</v>
      </c>
      <c r="AH320" s="17">
        <f ca="1">IFERROR(__xludf.DUMMYFUNCTION("""COMPUTED_VALUE"""),0.980647975434868)</f>
        <v>0.98064797543486804</v>
      </c>
      <c r="AI320" s="17">
        <f ca="1">IFERROR(__xludf.DUMMYFUNCTION("""COMPUTED_VALUE"""),1.04732791147095)</f>
        <v>1.0473279114709499</v>
      </c>
      <c r="AJ320" s="17">
        <f ca="1">IFERROR(__xludf.DUMMYFUNCTION("""COMPUTED_VALUE"""),1.1756101485228)</f>
        <v>1.1756101485228001</v>
      </c>
    </row>
    <row r="321" spans="2:36" ht="15.75" customHeight="1" x14ac:dyDescent="0.45">
      <c r="B321" s="10" t="str">
        <f ca="1">IFERROR(__xludf.DUMMYFUNCTION("""COMPUTED_VALUE"""),"FreezerRegularTrain")</f>
        <v>FreezerRegularTrain</v>
      </c>
      <c r="C321" s="10" t="str">
        <f ca="1">IFERROR(__xludf.DUMMYFUNCTION("""COMPUTED_VALUE"""),"aligned_series")</f>
        <v>aligned_series</v>
      </c>
      <c r="D321" s="10">
        <f ca="1">IFERROR(__xludf.DUMMYFUNCTION("""COMPUTED_VALUE"""),0.8)</f>
        <v>0.8</v>
      </c>
      <c r="E321" s="17">
        <f ca="1">IFERROR(__xludf.DUMMYFUNCTION("""COMPUTED_VALUE"""),1.40000529237173)</f>
        <v>1.4000052923717301</v>
      </c>
      <c r="F321" s="17">
        <f ca="1">IFERROR(__xludf.DUMMYFUNCTION("""COMPUTED_VALUE"""),0.30948210021843)</f>
        <v>0.30948210021842998</v>
      </c>
      <c r="G321" s="17">
        <f ca="1">IFERROR(__xludf.DUMMYFUNCTION("""COMPUTED_VALUE"""),0.24905133101512)</f>
        <v>0.24905133101512</v>
      </c>
      <c r="H321" s="17">
        <f ca="1">IFERROR(__xludf.DUMMYFUNCTION("""COMPUTED_VALUE"""),0.516915398106956)</f>
        <v>0.51691539810695597</v>
      </c>
      <c r="I321" s="17">
        <f ca="1">IFERROR(__xludf.DUMMYFUNCTION("""COMPUTED_VALUE"""),0.989979972782594)</f>
        <v>0.98997997278259398</v>
      </c>
      <c r="J321" s="17">
        <f ca="1">IFERROR(__xludf.DUMMYFUNCTION("""COMPUTED_VALUE"""),1.63165279242243)</f>
        <v>1.63165279242243</v>
      </c>
      <c r="K321" s="17" t="str">
        <f ca="1">IFERROR(__xludf.DUMMYFUNCTION("""COMPUTED_VALUE"""),"nan")</f>
        <v>nan</v>
      </c>
      <c r="L321" s="17">
        <f ca="1">IFERROR(__xludf.DUMMYFUNCTION("""COMPUTED_VALUE"""),0.21562862157846)</f>
        <v>0.21562862157845999</v>
      </c>
      <c r="M321" s="17">
        <f ca="1">IFERROR(__xludf.DUMMYFUNCTION("""COMPUTED_VALUE"""),0.473357729582694)</f>
        <v>0.47335772958269401</v>
      </c>
      <c r="N321" s="17">
        <f ca="1">IFERROR(__xludf.DUMMYFUNCTION("""COMPUTED_VALUE"""),0.420826408325193)</f>
        <v>0.42082640832519302</v>
      </c>
      <c r="O321" s="17">
        <f ca="1">IFERROR(__xludf.DUMMYFUNCTION("""COMPUTED_VALUE"""),0.185882625501416)</f>
        <v>0.18588262550141599</v>
      </c>
      <c r="P321" s="17">
        <f ca="1">IFERROR(__xludf.DUMMYFUNCTION("""COMPUTED_VALUE"""),1.45466990980056)</f>
        <v>1.45466990980056</v>
      </c>
      <c r="Q321" s="17">
        <f ca="1">IFERROR(__xludf.DUMMYFUNCTION("""COMPUTED_VALUE"""),1.43845631606779)</f>
        <v>1.4384563160677899</v>
      </c>
      <c r="R321" s="17">
        <f ca="1">IFERROR(__xludf.DUMMYFUNCTION("""COMPUTED_VALUE"""),1.11827708260055)</f>
        <v>1.1182770826005499</v>
      </c>
      <c r="S321" s="17">
        <f ca="1">IFERROR(__xludf.DUMMYFUNCTION("""COMPUTED_VALUE"""),1.52080294474914)</f>
        <v>1.52080294474914</v>
      </c>
      <c r="T321" s="17">
        <f ca="1">IFERROR(__xludf.DUMMYFUNCTION("""COMPUTED_VALUE"""),0.587244753152729)</f>
        <v>0.58724475315272895</v>
      </c>
      <c r="U321" s="17">
        <f ca="1">IFERROR(__xludf.DUMMYFUNCTION("""COMPUTED_VALUE"""),0.490875856894185)</f>
        <v>0.490875856894185</v>
      </c>
      <c r="V321" s="17">
        <f ca="1">IFERROR(__xludf.DUMMYFUNCTION("""COMPUTED_VALUE"""),0.449518660080037)</f>
        <v>0.44951866008003699</v>
      </c>
      <c r="W321" s="17">
        <f ca="1">IFERROR(__xludf.DUMMYFUNCTION("""COMPUTED_VALUE"""),0.762285977068719)</f>
        <v>0.76228597706871903</v>
      </c>
      <c r="X321" s="17">
        <f ca="1">IFERROR(__xludf.DUMMYFUNCTION("""COMPUTED_VALUE"""),0.616162183819924)</f>
        <v>0.61616218381992405</v>
      </c>
      <c r="Y321" s="17">
        <f ca="1">IFERROR(__xludf.DUMMYFUNCTION("""COMPUTED_VALUE"""),0.66270019453921)</f>
        <v>0.66270019453921003</v>
      </c>
      <c r="Z321" s="17">
        <f ca="1">IFERROR(__xludf.DUMMYFUNCTION("""COMPUTED_VALUE"""),0.277671370348365)</f>
        <v>0.27767137034836498</v>
      </c>
      <c r="AA321" s="17">
        <f ca="1">IFERROR(__xludf.DUMMYFUNCTION("""COMPUTED_VALUE"""),0.0957738466720481)</f>
        <v>9.5773846672048094E-2</v>
      </c>
      <c r="AB321" s="17">
        <f ca="1">IFERROR(__xludf.DUMMYFUNCTION("""COMPUTED_VALUE"""),1.5728812857432)</f>
        <v>1.5728812857432</v>
      </c>
      <c r="AC321" s="17">
        <f ca="1">IFERROR(__xludf.DUMMYFUNCTION("""COMPUTED_VALUE"""),1.01270682485817)</f>
        <v>1.0127068248581701</v>
      </c>
      <c r="AD321" s="17">
        <f ca="1">IFERROR(__xludf.DUMMYFUNCTION("""COMPUTED_VALUE"""),0.399795743568326)</f>
        <v>0.39979574356832598</v>
      </c>
      <c r="AE321" s="17">
        <f ca="1">IFERROR(__xludf.DUMMYFUNCTION("""COMPUTED_VALUE"""),1.42106168599062)</f>
        <v>1.42106168599062</v>
      </c>
      <c r="AF321" s="17">
        <f ca="1">IFERROR(__xludf.DUMMYFUNCTION("""COMPUTED_VALUE"""),0.740141484078447)</f>
        <v>0.74014148407844704</v>
      </c>
      <c r="AG321" s="17">
        <f ca="1">IFERROR(__xludf.DUMMYFUNCTION("""COMPUTED_VALUE"""),1.41095184150637)</f>
        <v>1.41095184150637</v>
      </c>
      <c r="AH321" s="17">
        <f ca="1">IFERROR(__xludf.DUMMYFUNCTION("""COMPUTED_VALUE"""),0.97641101642639)</f>
        <v>0.97641101642639005</v>
      </c>
      <c r="AI321" s="17">
        <f ca="1">IFERROR(__xludf.DUMMYFUNCTION("""COMPUTED_VALUE"""),1.04415753653189)</f>
        <v>1.04415753653189</v>
      </c>
      <c r="AJ321" s="17">
        <f ca="1">IFERROR(__xludf.DUMMYFUNCTION("""COMPUTED_VALUE"""),1.28874555612249)</f>
        <v>1.2887455561224901</v>
      </c>
    </row>
    <row r="322" spans="2:36" ht="15.75" customHeight="1" x14ac:dyDescent="0.45">
      <c r="B322" s="10" t="str">
        <f ca="1">IFERROR(__xludf.DUMMYFUNCTION("""COMPUTED_VALUE"""),"FreezerRegularTrain")</f>
        <v>FreezerRegularTrain</v>
      </c>
      <c r="C322" s="10" t="str">
        <f ca="1">IFERROR(__xludf.DUMMYFUNCTION("""COMPUTED_VALUE"""),"aligned_timestamps")</f>
        <v>aligned_timestamps</v>
      </c>
      <c r="D322" s="10">
        <f ca="1">IFERROR(__xludf.DUMMYFUNCTION("""COMPUTED_VALUE"""),0.1)</f>
        <v>0.1</v>
      </c>
      <c r="E322" s="17">
        <f ca="1">IFERROR(__xludf.DUMMYFUNCTION("""COMPUTED_VALUE"""),1.71966717222222)</f>
        <v>1.7196671722222201</v>
      </c>
      <c r="F322" s="17">
        <f ca="1">IFERROR(__xludf.DUMMYFUNCTION("""COMPUTED_VALUE"""),0.282723571777582)</f>
        <v>0.28272357177758201</v>
      </c>
      <c r="G322" s="17">
        <f ca="1">IFERROR(__xludf.DUMMYFUNCTION("""COMPUTED_VALUE"""),0.256061755519526)</f>
        <v>0.25606175551952598</v>
      </c>
      <c r="H322" s="17">
        <f ca="1">IFERROR(__xludf.DUMMYFUNCTION("""COMPUTED_VALUE"""),0.79796300866109)</f>
        <v>0.79796300866109005</v>
      </c>
      <c r="I322" s="17">
        <f ca="1">IFERROR(__xludf.DUMMYFUNCTION("""COMPUTED_VALUE"""),0.215940207120145)</f>
        <v>0.215940207120145</v>
      </c>
      <c r="J322" s="17">
        <f ca="1">IFERROR(__xludf.DUMMYFUNCTION("""COMPUTED_VALUE"""),0.201290370620327)</f>
        <v>0.20129037062032701</v>
      </c>
      <c r="K322" s="17" t="str">
        <f ca="1">IFERROR(__xludf.DUMMYFUNCTION("""COMPUTED_VALUE"""),"nan")</f>
        <v>nan</v>
      </c>
      <c r="L322" s="17">
        <f ca="1">IFERROR(__xludf.DUMMYFUNCTION("""COMPUTED_VALUE"""),0.112519899613988)</f>
        <v>0.11251989961398801</v>
      </c>
      <c r="M322" s="17">
        <f ca="1">IFERROR(__xludf.DUMMYFUNCTION("""COMPUTED_VALUE"""),0.445753495901641)</f>
        <v>0.44575349590164098</v>
      </c>
      <c r="N322" s="17">
        <f ca="1">IFERROR(__xludf.DUMMYFUNCTION("""COMPUTED_VALUE"""),0.369109007160428)</f>
        <v>0.36910900716042799</v>
      </c>
      <c r="O322" s="17">
        <f ca="1">IFERROR(__xludf.DUMMYFUNCTION("""COMPUTED_VALUE"""),0.166575785418837)</f>
        <v>0.166575785418837</v>
      </c>
      <c r="P322" s="17">
        <f ca="1">IFERROR(__xludf.DUMMYFUNCTION("""COMPUTED_VALUE"""),1.51324590605011)</f>
        <v>1.51324590605011</v>
      </c>
      <c r="Q322" s="17">
        <f ca="1">IFERROR(__xludf.DUMMYFUNCTION("""COMPUTED_VALUE"""),0.544614825429586)</f>
        <v>0.54461482542958595</v>
      </c>
      <c r="R322" s="17">
        <f ca="1">IFERROR(__xludf.DUMMYFUNCTION("""COMPUTED_VALUE"""),0.653555341783567)</f>
        <v>0.653555341783567</v>
      </c>
      <c r="S322" s="17">
        <f ca="1">IFERROR(__xludf.DUMMYFUNCTION("""COMPUTED_VALUE"""),0.000153535209199388)</f>
        <v>1.5353520919938801E-4</v>
      </c>
      <c r="T322" s="17">
        <f ca="1">IFERROR(__xludf.DUMMYFUNCTION("""COMPUTED_VALUE"""),0.669572583671807)</f>
        <v>0.66957258367180705</v>
      </c>
      <c r="U322" s="17">
        <f ca="1">IFERROR(__xludf.DUMMYFUNCTION("""COMPUTED_VALUE"""),0.203050402306012)</f>
        <v>0.20305040230601201</v>
      </c>
      <c r="V322" s="17">
        <f ca="1">IFERROR(__xludf.DUMMYFUNCTION("""COMPUTED_VALUE"""),0.139159911599257)</f>
        <v>0.139159911599257</v>
      </c>
      <c r="W322" s="17">
        <f ca="1">IFERROR(__xludf.DUMMYFUNCTION("""COMPUTED_VALUE"""),0.58421887218564)</f>
        <v>0.58421887218563995</v>
      </c>
      <c r="X322" s="17">
        <f ca="1">IFERROR(__xludf.DUMMYFUNCTION("""COMPUTED_VALUE"""),0.697387643851797)</f>
        <v>0.69738764385179697</v>
      </c>
      <c r="Y322" s="17">
        <f ca="1">IFERROR(__xludf.DUMMYFUNCTION("""COMPUTED_VALUE"""),0.091791201122276)</f>
        <v>9.1791201122275998E-2</v>
      </c>
      <c r="Z322" s="17">
        <f ca="1">IFERROR(__xludf.DUMMYFUNCTION("""COMPUTED_VALUE"""),0.0743244711164371)</f>
        <v>7.4324471116437099E-2</v>
      </c>
      <c r="AA322" s="17">
        <f ca="1">IFERROR(__xludf.DUMMYFUNCTION("""COMPUTED_VALUE"""),0.00854769064384243)</f>
        <v>8.5476906438424292E-3</v>
      </c>
      <c r="AB322" s="17">
        <f ca="1">IFERROR(__xludf.DUMMYFUNCTION("""COMPUTED_VALUE"""),0.0712403686821964)</f>
        <v>7.1240368682196395E-2</v>
      </c>
      <c r="AC322" s="17">
        <f ca="1">IFERROR(__xludf.DUMMYFUNCTION("""COMPUTED_VALUE"""),0.865627493723554)</f>
        <v>0.86562749372355396</v>
      </c>
      <c r="AD322" s="17">
        <f ca="1">IFERROR(__xludf.DUMMYFUNCTION("""COMPUTED_VALUE"""),0.236344520248417)</f>
        <v>0.23634452024841701</v>
      </c>
      <c r="AE322" s="17">
        <f ca="1">IFERROR(__xludf.DUMMYFUNCTION("""COMPUTED_VALUE"""),1.74559680002089)</f>
        <v>1.7455968000208899</v>
      </c>
      <c r="AF322" s="17">
        <f ca="1">IFERROR(__xludf.DUMMYFUNCTION("""COMPUTED_VALUE"""),0.370978856381656)</f>
        <v>0.37097885638165601</v>
      </c>
      <c r="AG322" s="17">
        <f ca="1">IFERROR(__xludf.DUMMYFUNCTION("""COMPUTED_VALUE"""),1.69388116501154)</f>
        <v>1.69388116501154</v>
      </c>
      <c r="AH322" s="17">
        <f ca="1">IFERROR(__xludf.DUMMYFUNCTION("""COMPUTED_VALUE"""),0.750982048268516)</f>
        <v>0.750982048268516</v>
      </c>
      <c r="AI322" s="17">
        <f ca="1">IFERROR(__xludf.DUMMYFUNCTION("""COMPUTED_VALUE"""),0.686616625233244)</f>
        <v>0.68661662523324396</v>
      </c>
      <c r="AJ322" s="17">
        <f ca="1">IFERROR(__xludf.DUMMYFUNCTION("""COMPUTED_VALUE"""),0.582711086532572)</f>
        <v>0.58271108653257198</v>
      </c>
    </row>
    <row r="323" spans="2:36" ht="15.75" customHeight="1" x14ac:dyDescent="0.45">
      <c r="B323" s="10" t="str">
        <f ca="1">IFERROR(__xludf.DUMMYFUNCTION("""COMPUTED_VALUE"""),"FreezerRegularTrain")</f>
        <v>FreezerRegularTrain</v>
      </c>
      <c r="C323" s="10" t="str">
        <f ca="1">IFERROR(__xludf.DUMMYFUNCTION("""COMPUTED_VALUE"""),"aligned_timestamps")</f>
        <v>aligned_timestamps</v>
      </c>
      <c r="D323" s="10">
        <f ca="1">IFERROR(__xludf.DUMMYFUNCTION("""COMPUTED_VALUE"""),0.2)</f>
        <v>0.2</v>
      </c>
      <c r="E323" s="17">
        <f ca="1">IFERROR(__xludf.DUMMYFUNCTION("""COMPUTED_VALUE"""),1.42509255802369)</f>
        <v>1.4250925580236899</v>
      </c>
      <c r="F323" s="17">
        <f ca="1">IFERROR(__xludf.DUMMYFUNCTION("""COMPUTED_VALUE"""),0.29934502995323)</f>
        <v>0.29934502995322998</v>
      </c>
      <c r="G323" s="17">
        <f ca="1">IFERROR(__xludf.DUMMYFUNCTION("""COMPUTED_VALUE"""),0.281765725668942)</f>
        <v>0.28176572566894198</v>
      </c>
      <c r="H323" s="17">
        <f ca="1">IFERROR(__xludf.DUMMYFUNCTION("""COMPUTED_VALUE"""),0.660942184399124)</f>
        <v>0.660942184399124</v>
      </c>
      <c r="I323" s="17">
        <f ca="1">IFERROR(__xludf.DUMMYFUNCTION("""COMPUTED_VALUE"""),0.317865594175528)</f>
        <v>0.31786559417552801</v>
      </c>
      <c r="J323" s="17">
        <f ca="1">IFERROR(__xludf.DUMMYFUNCTION("""COMPUTED_VALUE"""),0.898310266227965)</f>
        <v>0.89831026622796495</v>
      </c>
      <c r="K323" s="17" t="str">
        <f ca="1">IFERROR(__xludf.DUMMYFUNCTION("""COMPUTED_VALUE"""),"nan")</f>
        <v>nan</v>
      </c>
      <c r="L323" s="17">
        <f ca="1">IFERROR(__xludf.DUMMYFUNCTION("""COMPUTED_VALUE"""),0.133674683982802)</f>
        <v>0.133674683982802</v>
      </c>
      <c r="M323" s="17">
        <f ca="1">IFERROR(__xludf.DUMMYFUNCTION("""COMPUTED_VALUE"""),0.409693774601224)</f>
        <v>0.40969377460122403</v>
      </c>
      <c r="N323" s="17">
        <f ca="1">IFERROR(__xludf.DUMMYFUNCTION("""COMPUTED_VALUE"""),0.477653898870109)</f>
        <v>0.47765389887010901</v>
      </c>
      <c r="O323" s="17">
        <f ca="1">IFERROR(__xludf.DUMMYFUNCTION("""COMPUTED_VALUE"""),0.170826080609611)</f>
        <v>0.17082608060961099</v>
      </c>
      <c r="P323" s="17">
        <f ca="1">IFERROR(__xludf.DUMMYFUNCTION("""COMPUTED_VALUE"""),1.17336935027905)</f>
        <v>1.1733693502790501</v>
      </c>
      <c r="Q323" s="17">
        <f ca="1">IFERROR(__xludf.DUMMYFUNCTION("""COMPUTED_VALUE"""),0.439246296520181)</f>
        <v>0.43924629652018099</v>
      </c>
      <c r="R323" s="17">
        <f ca="1">IFERROR(__xludf.DUMMYFUNCTION("""COMPUTED_VALUE"""),0.484903987002664)</f>
        <v>0.48490398700266402</v>
      </c>
      <c r="S323" s="17">
        <f ca="1">IFERROR(__xludf.DUMMYFUNCTION("""COMPUTED_VALUE"""),0.266880452273819)</f>
        <v>0.26688045227381901</v>
      </c>
      <c r="T323" s="17">
        <f ca="1">IFERROR(__xludf.DUMMYFUNCTION("""COMPUTED_VALUE"""),0.679911632603327)</f>
        <v>0.67991163260332699</v>
      </c>
      <c r="U323" s="17">
        <f ca="1">IFERROR(__xludf.DUMMYFUNCTION("""COMPUTED_VALUE"""),0.302288873480238)</f>
        <v>0.30228887348023797</v>
      </c>
      <c r="V323" s="17">
        <f ca="1">IFERROR(__xludf.DUMMYFUNCTION("""COMPUTED_VALUE"""),0.268910892814526)</f>
        <v>0.26891089281452601</v>
      </c>
      <c r="W323" s="17">
        <f ca="1">IFERROR(__xludf.DUMMYFUNCTION("""COMPUTED_VALUE"""),0.637050378562253)</f>
        <v>0.63705037856225299</v>
      </c>
      <c r="X323" s="17">
        <f ca="1">IFERROR(__xludf.DUMMYFUNCTION("""COMPUTED_VALUE"""),0.543889528326569)</f>
        <v>0.54388952832656901</v>
      </c>
      <c r="Y323" s="17">
        <f ca="1">IFERROR(__xludf.DUMMYFUNCTION("""COMPUTED_VALUE"""),0.164862428465314)</f>
        <v>0.16486242846531399</v>
      </c>
      <c r="Z323" s="17">
        <f ca="1">IFERROR(__xludf.DUMMYFUNCTION("""COMPUTED_VALUE"""),0.0991708073272893)</f>
        <v>9.9170807327289306E-2</v>
      </c>
      <c r="AA323" s="17">
        <f ca="1">IFERROR(__xludf.DUMMYFUNCTION("""COMPUTED_VALUE"""),0.0681446961521423)</f>
        <v>6.8144696152142303E-2</v>
      </c>
      <c r="AB323" s="17">
        <f ca="1">IFERROR(__xludf.DUMMYFUNCTION("""COMPUTED_VALUE"""),0.175705714484813)</f>
        <v>0.17570571448481301</v>
      </c>
      <c r="AC323" s="17">
        <f ca="1">IFERROR(__xludf.DUMMYFUNCTION("""COMPUTED_VALUE"""),1.05318925023479)</f>
        <v>1.0531892502347899</v>
      </c>
      <c r="AD323" s="17">
        <f ca="1">IFERROR(__xludf.DUMMYFUNCTION("""COMPUTED_VALUE"""),0.329929494461277)</f>
        <v>0.32992949446127701</v>
      </c>
      <c r="AE323" s="17">
        <f ca="1">IFERROR(__xludf.DUMMYFUNCTION("""COMPUTED_VALUE"""),1.46743733581512)</f>
        <v>1.46743733581512</v>
      </c>
      <c r="AF323" s="17">
        <f ca="1">IFERROR(__xludf.DUMMYFUNCTION("""COMPUTED_VALUE"""),0.447658717183666)</f>
        <v>0.44765871718366601</v>
      </c>
      <c r="AG323" s="17">
        <f ca="1">IFERROR(__xludf.DUMMYFUNCTION("""COMPUTED_VALUE"""),1.39855932374555)</f>
        <v>1.39855932374555</v>
      </c>
      <c r="AH323" s="17">
        <f ca="1">IFERROR(__xludf.DUMMYFUNCTION("""COMPUTED_VALUE"""),0.992465515150735)</f>
        <v>0.992465515150735</v>
      </c>
      <c r="AI323" s="17">
        <f ca="1">IFERROR(__xludf.DUMMYFUNCTION("""COMPUTED_VALUE"""),1.05860468972728)</f>
        <v>1.0586046897272801</v>
      </c>
      <c r="AJ323" s="17">
        <f ca="1">IFERROR(__xludf.DUMMYFUNCTION("""COMPUTED_VALUE"""),0.947191233684665)</f>
        <v>0.94719123368466496</v>
      </c>
    </row>
    <row r="324" spans="2:36" ht="15.75" customHeight="1" x14ac:dyDescent="0.45">
      <c r="B324" s="10" t="str">
        <f ca="1">IFERROR(__xludf.DUMMYFUNCTION("""COMPUTED_VALUE"""),"FreezerRegularTrain")</f>
        <v>FreezerRegularTrain</v>
      </c>
      <c r="C324" s="10" t="str">
        <f ca="1">IFERROR(__xludf.DUMMYFUNCTION("""COMPUTED_VALUE"""),"aligned_timestamps")</f>
        <v>aligned_timestamps</v>
      </c>
      <c r="D324" s="10">
        <f ca="1">IFERROR(__xludf.DUMMYFUNCTION("""COMPUTED_VALUE"""),0.4)</f>
        <v>0.4</v>
      </c>
      <c r="E324" s="17">
        <f ca="1">IFERROR(__xludf.DUMMYFUNCTION("""COMPUTED_VALUE"""),1.12445900912686)</f>
        <v>1.12445900912686</v>
      </c>
      <c r="F324" s="17">
        <f ca="1">IFERROR(__xludf.DUMMYFUNCTION("""COMPUTED_VALUE"""),0.311526678694442)</f>
        <v>0.31152667869444201</v>
      </c>
      <c r="G324" s="17">
        <f ca="1">IFERROR(__xludf.DUMMYFUNCTION("""COMPUTED_VALUE"""),0.302593855982563)</f>
        <v>0.302593855982563</v>
      </c>
      <c r="H324" s="17">
        <f ca="1">IFERROR(__xludf.DUMMYFUNCTION("""COMPUTED_VALUE"""),0.508751939031282)</f>
        <v>0.50875193903128202</v>
      </c>
      <c r="I324" s="17">
        <f ca="1">IFERROR(__xludf.DUMMYFUNCTION("""COMPUTED_VALUE"""),0.379350265857567)</f>
        <v>0.37935026585756698</v>
      </c>
      <c r="J324" s="17">
        <f ca="1">IFERROR(__xludf.DUMMYFUNCTION("""COMPUTED_VALUE"""),1.5321097695887)</f>
        <v>1.5321097695887</v>
      </c>
      <c r="K324" s="17" t="str">
        <f ca="1">IFERROR(__xludf.DUMMYFUNCTION("""COMPUTED_VALUE"""),"nan")</f>
        <v>nan</v>
      </c>
      <c r="L324" s="17">
        <f ca="1">IFERROR(__xludf.DUMMYFUNCTION("""COMPUTED_VALUE"""),0.197328410117505)</f>
        <v>0.19732841011750499</v>
      </c>
      <c r="M324" s="17">
        <f ca="1">IFERROR(__xludf.DUMMYFUNCTION("""COMPUTED_VALUE"""),0.374590041620823)</f>
        <v>0.37459004162082299</v>
      </c>
      <c r="N324" s="17">
        <f ca="1">IFERROR(__xludf.DUMMYFUNCTION("""COMPUTED_VALUE"""),0.362679915871178)</f>
        <v>0.36267991587117798</v>
      </c>
      <c r="O324" s="17">
        <f ca="1">IFERROR(__xludf.DUMMYFUNCTION("""COMPUTED_VALUE"""),0.215611054774547)</f>
        <v>0.21561105477454701</v>
      </c>
      <c r="P324" s="17">
        <f ca="1">IFERROR(__xludf.DUMMYFUNCTION("""COMPUTED_VALUE"""),0.98558119936792)</f>
        <v>0.98558119936791999</v>
      </c>
      <c r="Q324" s="17">
        <f ca="1">IFERROR(__xludf.DUMMYFUNCTION("""COMPUTED_VALUE"""),0.361256177265782)</f>
        <v>0.36125617726578202</v>
      </c>
      <c r="R324" s="17">
        <f ca="1">IFERROR(__xludf.DUMMYFUNCTION("""COMPUTED_VALUE"""),0.413607034134635)</f>
        <v>0.41360703413463501</v>
      </c>
      <c r="S324" s="17">
        <f ca="1">IFERROR(__xludf.DUMMYFUNCTION("""COMPUTED_VALUE"""),0.3726719801079)</f>
        <v>0.37267198010789998</v>
      </c>
      <c r="T324" s="17">
        <f ca="1">IFERROR(__xludf.DUMMYFUNCTION("""COMPUTED_VALUE"""),0.54048183274763)</f>
        <v>0.54048183274762995</v>
      </c>
      <c r="U324" s="17">
        <f ca="1">IFERROR(__xludf.DUMMYFUNCTION("""COMPUTED_VALUE"""),0.320054379572751)</f>
        <v>0.32005437957275101</v>
      </c>
      <c r="V324" s="17">
        <f ca="1">IFERROR(__xludf.DUMMYFUNCTION("""COMPUTED_VALUE"""),0.383333831092437)</f>
        <v>0.38333383109243702</v>
      </c>
      <c r="W324" s="17">
        <f ca="1">IFERROR(__xludf.DUMMYFUNCTION("""COMPUTED_VALUE"""),0.443055028037894)</f>
        <v>0.44305502803789398</v>
      </c>
      <c r="X324" s="17">
        <f ca="1">IFERROR(__xludf.DUMMYFUNCTION("""COMPUTED_VALUE"""),0.419075301797992)</f>
        <v>0.41907530179799202</v>
      </c>
      <c r="Y324" s="17">
        <f ca="1">IFERROR(__xludf.DUMMYFUNCTION("""COMPUTED_VALUE"""),0.466118457887492)</f>
        <v>0.46611845788749201</v>
      </c>
      <c r="Z324" s="17">
        <f ca="1">IFERROR(__xludf.DUMMYFUNCTION("""COMPUTED_VALUE"""),0.592549062525188)</f>
        <v>0.59254906252518802</v>
      </c>
      <c r="AA324" s="17">
        <f ca="1">IFERROR(__xludf.DUMMYFUNCTION("""COMPUTED_VALUE"""),0.265205415149344)</f>
        <v>0.26520541514934398</v>
      </c>
      <c r="AB324" s="17">
        <f ca="1">IFERROR(__xludf.DUMMYFUNCTION("""COMPUTED_VALUE"""),0.706972699427919)</f>
        <v>0.70697269942791896</v>
      </c>
      <c r="AC324" s="17">
        <f ca="1">IFERROR(__xludf.DUMMYFUNCTION("""COMPUTED_VALUE"""),0.823017137470961)</f>
        <v>0.82301713747096095</v>
      </c>
      <c r="AD324" s="17">
        <f ca="1">IFERROR(__xludf.DUMMYFUNCTION("""COMPUTED_VALUE"""),0.26896022190229)</f>
        <v>0.26896022190229002</v>
      </c>
      <c r="AE324" s="17">
        <f ca="1">IFERROR(__xludf.DUMMYFUNCTION("""COMPUTED_VALUE"""),1.13399995396345)</f>
        <v>1.13399995396345</v>
      </c>
      <c r="AF324" s="17">
        <f ca="1">IFERROR(__xludf.DUMMYFUNCTION("""COMPUTED_VALUE"""),0.393633760452948)</f>
        <v>0.39363376045294801</v>
      </c>
      <c r="AG324" s="17">
        <f ca="1">IFERROR(__xludf.DUMMYFUNCTION("""COMPUTED_VALUE"""),1.11814829546217)</f>
        <v>1.11814829546217</v>
      </c>
      <c r="AH324" s="17">
        <f ca="1">IFERROR(__xludf.DUMMYFUNCTION("""COMPUTED_VALUE"""),0.862255564075507)</f>
        <v>0.86225556407550696</v>
      </c>
      <c r="AI324" s="17">
        <f ca="1">IFERROR(__xludf.DUMMYFUNCTION("""COMPUTED_VALUE"""),1.03026333085619)</f>
        <v>1.0302633308561899</v>
      </c>
      <c r="AJ324" s="17">
        <f ca="1">IFERROR(__xludf.DUMMYFUNCTION("""COMPUTED_VALUE"""),0.791878215280844)</f>
        <v>0.79187821528084401</v>
      </c>
    </row>
    <row r="325" spans="2:36" ht="15.75" customHeight="1" x14ac:dyDescent="0.45">
      <c r="B325" s="10" t="str">
        <f ca="1">IFERROR(__xludf.DUMMYFUNCTION("""COMPUTED_VALUE"""),"FreezerRegularTrain")</f>
        <v>FreezerRegularTrain</v>
      </c>
      <c r="C325" s="10" t="str">
        <f ca="1">IFERROR(__xludf.DUMMYFUNCTION("""COMPUTED_VALUE"""),"aligned_timestamps")</f>
        <v>aligned_timestamps</v>
      </c>
      <c r="D325" s="10">
        <f ca="1">IFERROR(__xludf.DUMMYFUNCTION("""COMPUTED_VALUE"""),0.6)</f>
        <v>0.6</v>
      </c>
      <c r="E325" s="17">
        <f ca="1">IFERROR(__xludf.DUMMYFUNCTION("""COMPUTED_VALUE"""),0.993124376627904)</f>
        <v>0.99312437662790398</v>
      </c>
      <c r="F325" s="17">
        <f ca="1">IFERROR(__xludf.DUMMYFUNCTION("""COMPUTED_VALUE"""),0.287954300463554)</f>
        <v>0.28795430046355402</v>
      </c>
      <c r="G325" s="17">
        <f ca="1">IFERROR(__xludf.DUMMYFUNCTION("""COMPUTED_VALUE"""),0.279898448013303)</f>
        <v>0.27989844801330299</v>
      </c>
      <c r="H325" s="17">
        <f ca="1">IFERROR(__xludf.DUMMYFUNCTION("""COMPUTED_VALUE"""),0.420543424137828)</f>
        <v>0.42054342413782803</v>
      </c>
      <c r="I325" s="17">
        <f ca="1">IFERROR(__xludf.DUMMYFUNCTION("""COMPUTED_VALUE"""),0.409513100874809)</f>
        <v>0.40951310087480902</v>
      </c>
      <c r="J325" s="17">
        <f ca="1">IFERROR(__xludf.DUMMYFUNCTION("""COMPUTED_VALUE"""),1.63387035496688)</f>
        <v>1.63387035496688</v>
      </c>
      <c r="K325" s="17" t="str">
        <f ca="1">IFERROR(__xludf.DUMMYFUNCTION("""COMPUTED_VALUE"""),"nan")</f>
        <v>nan</v>
      </c>
      <c r="L325" s="17">
        <f ca="1">IFERROR(__xludf.DUMMYFUNCTION("""COMPUTED_VALUE"""),0.183282371470006)</f>
        <v>0.18328237147000601</v>
      </c>
      <c r="M325" s="17">
        <f ca="1">IFERROR(__xludf.DUMMYFUNCTION("""COMPUTED_VALUE"""),0.345633259766985)</f>
        <v>0.345633259766985</v>
      </c>
      <c r="N325" s="17">
        <f ca="1">IFERROR(__xludf.DUMMYFUNCTION("""COMPUTED_VALUE"""),0.411063096701541)</f>
        <v>0.41106309670154101</v>
      </c>
      <c r="O325" s="17">
        <f ca="1">IFERROR(__xludf.DUMMYFUNCTION("""COMPUTED_VALUE"""),0.193348522120592)</f>
        <v>0.193348522120592</v>
      </c>
      <c r="P325" s="17">
        <f ca="1">IFERROR(__xludf.DUMMYFUNCTION("""COMPUTED_VALUE"""),1.00233033885711)</f>
        <v>1.0023303388571101</v>
      </c>
      <c r="Q325" s="17">
        <f ca="1">IFERROR(__xludf.DUMMYFUNCTION("""COMPUTED_VALUE"""),0.359922982923704)</f>
        <v>0.359922982923704</v>
      </c>
      <c r="R325" s="17">
        <f ca="1">IFERROR(__xludf.DUMMYFUNCTION("""COMPUTED_VALUE"""),0.411430945964995)</f>
        <v>0.41143094596499502</v>
      </c>
      <c r="S325" s="17">
        <f ca="1">IFERROR(__xludf.DUMMYFUNCTION("""COMPUTED_VALUE"""),0.31902541163584)</f>
        <v>0.31902541163583997</v>
      </c>
      <c r="T325" s="17">
        <f ca="1">IFERROR(__xludf.DUMMYFUNCTION("""COMPUTED_VALUE"""),0.473418516074783)</f>
        <v>0.47341851607478302</v>
      </c>
      <c r="U325" s="17">
        <f ca="1">IFERROR(__xludf.DUMMYFUNCTION("""COMPUTED_VALUE"""),0.381357731995436)</f>
        <v>0.38135773199543599</v>
      </c>
      <c r="V325" s="17">
        <f ca="1">IFERROR(__xludf.DUMMYFUNCTION("""COMPUTED_VALUE"""),0.373979756019294)</f>
        <v>0.37397975601929401</v>
      </c>
      <c r="W325" s="17">
        <f ca="1">IFERROR(__xludf.DUMMYFUNCTION("""COMPUTED_VALUE"""),0.44600366664302)</f>
        <v>0.44600366664301999</v>
      </c>
      <c r="X325" s="17">
        <f ca="1">IFERROR(__xludf.DUMMYFUNCTION("""COMPUTED_VALUE"""),0.306970101858055)</f>
        <v>0.30697010185805501</v>
      </c>
      <c r="Y325" s="17">
        <f ca="1">IFERROR(__xludf.DUMMYFUNCTION("""COMPUTED_VALUE"""),0.92640753401386)</f>
        <v>0.92640753401386</v>
      </c>
      <c r="Z325" s="17">
        <f ca="1">IFERROR(__xludf.DUMMYFUNCTION("""COMPUTED_VALUE"""),0.594601206217473)</f>
        <v>0.59460120621747303</v>
      </c>
      <c r="AA325" s="17">
        <f ca="1">IFERROR(__xludf.DUMMYFUNCTION("""COMPUTED_VALUE"""),1.38413139381179)</f>
        <v>1.3841313938117901</v>
      </c>
      <c r="AB325" s="17">
        <f ca="1">IFERROR(__xludf.DUMMYFUNCTION("""COMPUTED_VALUE"""),0.722289712465409)</f>
        <v>0.72228971246540896</v>
      </c>
      <c r="AC325" s="17">
        <f ca="1">IFERROR(__xludf.DUMMYFUNCTION("""COMPUTED_VALUE"""),0.681279022095972)</f>
        <v>0.68127902209597202</v>
      </c>
      <c r="AD325" s="17">
        <f ca="1">IFERROR(__xludf.DUMMYFUNCTION("""COMPUTED_VALUE"""),0.301822267227333)</f>
        <v>0.30182226722733302</v>
      </c>
      <c r="AE325" s="17">
        <f ca="1">IFERROR(__xludf.DUMMYFUNCTION("""COMPUTED_VALUE"""),0.995577369569947)</f>
        <v>0.99557736956994702</v>
      </c>
      <c r="AF325" s="17">
        <f ca="1">IFERROR(__xludf.DUMMYFUNCTION("""COMPUTED_VALUE"""),0.640283915918988)</f>
        <v>0.64028391591898803</v>
      </c>
      <c r="AG325" s="17">
        <f ca="1">IFERROR(__xludf.DUMMYFUNCTION("""COMPUTED_VALUE"""),0.856608130774337)</f>
        <v>0.85660813077433695</v>
      </c>
      <c r="AH325" s="17">
        <f ca="1">IFERROR(__xludf.DUMMYFUNCTION("""COMPUTED_VALUE"""),0.782009666175263)</f>
        <v>0.78200966617526302</v>
      </c>
      <c r="AI325" s="17" t="str">
        <f ca="1">IFERROR(__xludf.DUMMYFUNCTION("""COMPUTED_VALUE"""),"nan")</f>
        <v>nan</v>
      </c>
      <c r="AJ325" s="17">
        <f ca="1">IFERROR(__xludf.DUMMYFUNCTION("""COMPUTED_VALUE"""),0.858241797939359)</f>
        <v>0.85824179793935895</v>
      </c>
    </row>
    <row r="326" spans="2:36" ht="15.75" customHeight="1" x14ac:dyDescent="0.45">
      <c r="B326" s="10" t="str">
        <f ca="1">IFERROR(__xludf.DUMMYFUNCTION("""COMPUTED_VALUE"""),"FreezerRegularTrain")</f>
        <v>FreezerRegularTrain</v>
      </c>
      <c r="C326" s="10" t="str">
        <f ca="1">IFERROR(__xludf.DUMMYFUNCTION("""COMPUTED_VALUE"""),"aligned_timestamps")</f>
        <v>aligned_timestamps</v>
      </c>
      <c r="D326" s="10">
        <f ca="1">IFERROR(__xludf.DUMMYFUNCTION("""COMPUTED_VALUE"""),0.8)</f>
        <v>0.8</v>
      </c>
      <c r="E326" s="17">
        <f ca="1">IFERROR(__xludf.DUMMYFUNCTION("""COMPUTED_VALUE"""),0.924914376088085)</f>
        <v>0.92491437608808502</v>
      </c>
      <c r="F326" s="17">
        <f ca="1">IFERROR(__xludf.DUMMYFUNCTION("""COMPUTED_VALUE"""),0.380972123832476)</f>
        <v>0.38097212383247597</v>
      </c>
      <c r="G326" s="17">
        <f ca="1">IFERROR(__xludf.DUMMYFUNCTION("""COMPUTED_VALUE"""),0.439244887107567)</f>
        <v>0.43924488710756698</v>
      </c>
      <c r="H326" s="17">
        <f ca="1">IFERROR(__xludf.DUMMYFUNCTION("""COMPUTED_VALUE"""),0.46677570876014)</f>
        <v>0.46677570876014002</v>
      </c>
      <c r="I326" s="17">
        <f ca="1">IFERROR(__xludf.DUMMYFUNCTION("""COMPUTED_VALUE"""),0.450594670785016)</f>
        <v>0.45059467078501603</v>
      </c>
      <c r="J326" s="17">
        <f ca="1">IFERROR(__xludf.DUMMYFUNCTION("""COMPUTED_VALUE"""),2.03625038368825)</f>
        <v>2.03625038368825</v>
      </c>
      <c r="K326" s="17" t="str">
        <f ca="1">IFERROR(__xludf.DUMMYFUNCTION("""COMPUTED_VALUE"""),"nan")</f>
        <v>nan</v>
      </c>
      <c r="L326" s="17">
        <f ca="1">IFERROR(__xludf.DUMMYFUNCTION("""COMPUTED_VALUE"""),0.462607850707236)</f>
        <v>0.46260785070723598</v>
      </c>
      <c r="M326" s="17">
        <f ca="1">IFERROR(__xludf.DUMMYFUNCTION("""COMPUTED_VALUE"""),1.10739431134413)</f>
        <v>1.10739431134413</v>
      </c>
      <c r="N326" s="17">
        <f ca="1">IFERROR(__xludf.DUMMYFUNCTION("""COMPUTED_VALUE"""),1.09522517698178)</f>
        <v>1.09522517698178</v>
      </c>
      <c r="O326" s="17">
        <f ca="1">IFERROR(__xludf.DUMMYFUNCTION("""COMPUTED_VALUE"""),0.66457785279573)</f>
        <v>0.66457785279573001</v>
      </c>
      <c r="P326" s="17">
        <f ca="1">IFERROR(__xludf.DUMMYFUNCTION("""COMPUTED_VALUE"""),1.45042410310568)</f>
        <v>1.4504241031056799</v>
      </c>
      <c r="Q326" s="17">
        <f ca="1">IFERROR(__xludf.DUMMYFUNCTION("""COMPUTED_VALUE"""),0.531885733087708)</f>
        <v>0.53188573308770803</v>
      </c>
      <c r="R326" s="17">
        <f ca="1">IFERROR(__xludf.DUMMYFUNCTION("""COMPUTED_VALUE"""),1.23380083589901)</f>
        <v>1.23380083589901</v>
      </c>
      <c r="S326" s="17">
        <f ca="1">IFERROR(__xludf.DUMMYFUNCTION("""COMPUTED_VALUE"""),1.09106096685188)</f>
        <v>1.09106096685188</v>
      </c>
      <c r="T326" s="17">
        <f ca="1">IFERROR(__xludf.DUMMYFUNCTION("""COMPUTED_VALUE"""),0.682556668400209)</f>
        <v>0.68255666840020901</v>
      </c>
      <c r="U326" s="17">
        <f ca="1">IFERROR(__xludf.DUMMYFUNCTION("""COMPUTED_VALUE"""),0.443076836341122)</f>
        <v>0.44307683634112199</v>
      </c>
      <c r="V326" s="17">
        <f ca="1">IFERROR(__xludf.DUMMYFUNCTION("""COMPUTED_VALUE"""),0.974514472702419)</f>
        <v>0.97451447270241898</v>
      </c>
      <c r="W326" s="17">
        <f ca="1">IFERROR(__xludf.DUMMYFUNCTION("""COMPUTED_VALUE"""),0.490639266689469)</f>
        <v>0.490639266689469</v>
      </c>
      <c r="X326" s="17">
        <f ca="1">IFERROR(__xludf.DUMMYFUNCTION("""COMPUTED_VALUE"""),0.348758119308532)</f>
        <v>0.34875811930853201</v>
      </c>
      <c r="Y326" s="17">
        <f ca="1">IFERROR(__xludf.DUMMYFUNCTION("""COMPUTED_VALUE"""),1.43510410488165)</f>
        <v>1.43510410488165</v>
      </c>
      <c r="Z326" s="17">
        <f ca="1">IFERROR(__xludf.DUMMYFUNCTION("""COMPUTED_VALUE"""),0.647932718241741)</f>
        <v>0.64793271824174103</v>
      </c>
      <c r="AA326" s="17">
        <f ca="1">IFERROR(__xludf.DUMMYFUNCTION("""COMPUTED_VALUE"""),2.47067425777107)</f>
        <v>2.4706742577710701</v>
      </c>
      <c r="AB326" s="17">
        <f ca="1">IFERROR(__xludf.DUMMYFUNCTION("""COMPUTED_VALUE"""),1.77494147584041)</f>
        <v>1.7749414758404101</v>
      </c>
      <c r="AC326" s="17">
        <f ca="1">IFERROR(__xludf.DUMMYFUNCTION("""COMPUTED_VALUE"""),0.607514122601465)</f>
        <v>0.60751412260146498</v>
      </c>
      <c r="AD326" s="17">
        <f ca="1">IFERROR(__xludf.DUMMYFUNCTION("""COMPUTED_VALUE"""),0.433705150605795)</f>
        <v>0.43370515060579501</v>
      </c>
      <c r="AE326" s="17" t="str">
        <f ca="1">IFERROR(__xludf.DUMMYFUNCTION("""COMPUTED_VALUE"""),"nan")</f>
        <v>nan</v>
      </c>
      <c r="AF326" s="17">
        <f ca="1">IFERROR(__xludf.DUMMYFUNCTION("""COMPUTED_VALUE"""),1.30636894217221)</f>
        <v>1.30636894217221</v>
      </c>
      <c r="AG326" s="17">
        <f ca="1">IFERROR(__xludf.DUMMYFUNCTION("""COMPUTED_VALUE"""),0.967940922543357)</f>
        <v>0.96794092254335695</v>
      </c>
      <c r="AH326" s="17">
        <f ca="1">IFERROR(__xludf.DUMMYFUNCTION("""COMPUTED_VALUE"""),0.865863188382533)</f>
        <v>0.86586318838253296</v>
      </c>
      <c r="AI326" s="17" t="str">
        <f ca="1">IFERROR(__xludf.DUMMYFUNCTION("""COMPUTED_VALUE"""),"nan")</f>
        <v>nan</v>
      </c>
      <c r="AJ326" s="17">
        <f ca="1">IFERROR(__xludf.DUMMYFUNCTION("""COMPUTED_VALUE"""),0.941301746218664)</f>
        <v>0.94130174621866403</v>
      </c>
    </row>
    <row r="327" spans="2:36" ht="15.75" customHeight="1" x14ac:dyDescent="0.45">
      <c r="B327" s="10" t="str">
        <f ca="1">IFERROR(__xludf.DUMMYFUNCTION("""COMPUTED_VALUE"""),"FreezerRegularTrain")</f>
        <v>FreezerRegularTrain</v>
      </c>
      <c r="C327" s="10" t="str">
        <f ca="1">IFERROR(__xludf.DUMMYFUNCTION("""COMPUTED_VALUE"""),"mcar")</f>
        <v>mcar</v>
      </c>
      <c r="D327" s="10">
        <f ca="1">IFERROR(__xludf.DUMMYFUNCTION("""COMPUTED_VALUE"""),0.1)</f>
        <v>0.1</v>
      </c>
      <c r="E327" s="17">
        <f ca="1">IFERROR(__xludf.DUMMYFUNCTION("""COMPUTED_VALUE"""),1.03051201554558)</f>
        <v>1.03051201554558</v>
      </c>
      <c r="F327" s="17">
        <f ca="1">IFERROR(__xludf.DUMMYFUNCTION("""COMPUTED_VALUE"""),0.3832442586519)</f>
        <v>0.38324425865189998</v>
      </c>
      <c r="G327" s="17">
        <f ca="1">IFERROR(__xludf.DUMMYFUNCTION("""COMPUTED_VALUE"""),0.386068616857474)</f>
        <v>0.38606861685747401</v>
      </c>
      <c r="H327" s="17">
        <f ca="1">IFERROR(__xludf.DUMMYFUNCTION("""COMPUTED_VALUE"""),0.440405699662528)</f>
        <v>0.44040569966252802</v>
      </c>
      <c r="I327" s="17">
        <f ca="1">IFERROR(__xludf.DUMMYFUNCTION("""COMPUTED_VALUE"""),0.143640712232393)</f>
        <v>0.143640712232393</v>
      </c>
      <c r="J327" s="17">
        <f ca="1">IFERROR(__xludf.DUMMYFUNCTION("""COMPUTED_VALUE"""),0.333955667140196)</f>
        <v>0.33395566714019598</v>
      </c>
      <c r="K327" s="17" t="str">
        <f ca="1">IFERROR(__xludf.DUMMYFUNCTION("""COMPUTED_VALUE"""),"nan")</f>
        <v>nan</v>
      </c>
      <c r="L327" s="17">
        <f ca="1">IFERROR(__xludf.DUMMYFUNCTION("""COMPUTED_VALUE"""),0.238543562890263)</f>
        <v>0.23854356289026299</v>
      </c>
      <c r="M327" s="17">
        <f ca="1">IFERROR(__xludf.DUMMYFUNCTION("""COMPUTED_VALUE"""),0.379711815165033)</f>
        <v>0.379711815165033</v>
      </c>
      <c r="N327" s="17">
        <f ca="1">IFERROR(__xludf.DUMMYFUNCTION("""COMPUTED_VALUE"""),0.255794896971567)</f>
        <v>0.25579489697156699</v>
      </c>
      <c r="O327" s="17">
        <f ca="1">IFERROR(__xludf.DUMMYFUNCTION("""COMPUTED_VALUE"""),0.301312582765775)</f>
        <v>0.30131258276577499</v>
      </c>
      <c r="P327" s="17">
        <f ca="1">IFERROR(__xludf.DUMMYFUNCTION("""COMPUTED_VALUE"""),0.545659104458981)</f>
        <v>0.54565910445898103</v>
      </c>
      <c r="Q327" s="17">
        <f ca="1">IFERROR(__xludf.DUMMYFUNCTION("""COMPUTED_VALUE"""),0.655456324057125)</f>
        <v>0.65545632405712495</v>
      </c>
      <c r="R327" s="17">
        <f ca="1">IFERROR(__xludf.DUMMYFUNCTION("""COMPUTED_VALUE"""),0.13296745230101)</f>
        <v>0.13296745230101001</v>
      </c>
      <c r="S327" s="17">
        <f ca="1">IFERROR(__xludf.DUMMYFUNCTION("""COMPUTED_VALUE"""),0.324209921322228)</f>
        <v>0.32420992132222798</v>
      </c>
      <c r="T327" s="17">
        <f ca="1">IFERROR(__xludf.DUMMYFUNCTION("""COMPUTED_VALUE"""),0.259297076996695)</f>
        <v>0.25929707699669502</v>
      </c>
      <c r="U327" s="17">
        <f ca="1">IFERROR(__xludf.DUMMYFUNCTION("""COMPUTED_VALUE"""),0.337936600319744)</f>
        <v>0.33793660031974398</v>
      </c>
      <c r="V327" s="17">
        <f ca="1">IFERROR(__xludf.DUMMYFUNCTION("""COMPUTED_VALUE"""),0.471317529868548)</f>
        <v>0.47131752986854802</v>
      </c>
      <c r="W327" s="17">
        <f ca="1">IFERROR(__xludf.DUMMYFUNCTION("""COMPUTED_VALUE"""),0.415793754312241)</f>
        <v>0.41579375431224103</v>
      </c>
      <c r="X327" s="17">
        <f ca="1">IFERROR(__xludf.DUMMYFUNCTION("""COMPUTED_VALUE"""),0.321146759774129)</f>
        <v>0.32114675977412899</v>
      </c>
      <c r="Y327" s="17">
        <f ca="1">IFERROR(__xludf.DUMMYFUNCTION("""COMPUTED_VALUE"""),0.138177252285345)</f>
        <v>0.138177252285345</v>
      </c>
      <c r="Z327" s="17">
        <f ca="1">IFERROR(__xludf.DUMMYFUNCTION("""COMPUTED_VALUE"""),0.26188733852609)</f>
        <v>0.26188733852608997</v>
      </c>
      <c r="AA327" s="17">
        <f ca="1">IFERROR(__xludf.DUMMYFUNCTION("""COMPUTED_VALUE"""),0.146312933573884)</f>
        <v>0.146312933573884</v>
      </c>
      <c r="AB327" s="17">
        <f ca="1">IFERROR(__xludf.DUMMYFUNCTION("""COMPUTED_VALUE"""),0.22108394576419)</f>
        <v>0.22108394576418999</v>
      </c>
      <c r="AC327" s="17">
        <f ca="1">IFERROR(__xludf.DUMMYFUNCTION("""COMPUTED_VALUE"""),0.445199097239557)</f>
        <v>0.44519909723955697</v>
      </c>
      <c r="AD327" s="17">
        <f ca="1">IFERROR(__xludf.DUMMYFUNCTION("""COMPUTED_VALUE"""),0.286853549418922)</f>
        <v>0.28685354941892199</v>
      </c>
      <c r="AE327" s="17">
        <f ca="1">IFERROR(__xludf.DUMMYFUNCTION("""COMPUTED_VALUE"""),0.672526065854683)</f>
        <v>0.672526065854683</v>
      </c>
      <c r="AF327" s="17">
        <f ca="1">IFERROR(__xludf.DUMMYFUNCTION("""COMPUTED_VALUE"""),0.322821216944341)</f>
        <v>0.32282121694434102</v>
      </c>
      <c r="AG327" s="17">
        <f ca="1">IFERROR(__xludf.DUMMYFUNCTION("""COMPUTED_VALUE"""),0.639601164799339)</f>
        <v>0.63960116479933904</v>
      </c>
      <c r="AH327" s="17">
        <f ca="1">IFERROR(__xludf.DUMMYFUNCTION("""COMPUTED_VALUE"""),0.311858339514454)</f>
        <v>0.31185833951445402</v>
      </c>
      <c r="AI327" s="17">
        <f ca="1">IFERROR(__xludf.DUMMYFUNCTION("""COMPUTED_VALUE"""),0.365601159475428)</f>
        <v>0.36560115947542798</v>
      </c>
      <c r="AJ327" s="17">
        <f ca="1">IFERROR(__xludf.DUMMYFUNCTION("""COMPUTED_VALUE"""),0.36881369118782)</f>
        <v>0.36881369118781998</v>
      </c>
    </row>
    <row r="328" spans="2:36" ht="15.75" customHeight="1" x14ac:dyDescent="0.45">
      <c r="B328" s="10" t="str">
        <f ca="1">IFERROR(__xludf.DUMMYFUNCTION("""COMPUTED_VALUE"""),"FreezerRegularTrain")</f>
        <v>FreezerRegularTrain</v>
      </c>
      <c r="C328" s="10" t="str">
        <f ca="1">IFERROR(__xludf.DUMMYFUNCTION("""COMPUTED_VALUE"""),"mcar")</f>
        <v>mcar</v>
      </c>
      <c r="D328" s="10">
        <f ca="1">IFERROR(__xludf.DUMMYFUNCTION("""COMPUTED_VALUE"""),0.2)</f>
        <v>0.2</v>
      </c>
      <c r="E328" s="17">
        <f ca="1">IFERROR(__xludf.DUMMYFUNCTION("""COMPUTED_VALUE"""),0.946859373450451)</f>
        <v>0.94685937345045101</v>
      </c>
      <c r="F328" s="17">
        <f ca="1">IFERROR(__xludf.DUMMYFUNCTION("""COMPUTED_VALUE"""),0.385391508816334)</f>
        <v>0.38539150881633399</v>
      </c>
      <c r="G328" s="17">
        <f ca="1">IFERROR(__xludf.DUMMYFUNCTION("""COMPUTED_VALUE"""),0.388836860581951)</f>
        <v>0.38883686058195099</v>
      </c>
      <c r="H328" s="17">
        <f ca="1">IFERROR(__xludf.DUMMYFUNCTION("""COMPUTED_VALUE"""),0.438095942925595)</f>
        <v>0.43809594292559501</v>
      </c>
      <c r="I328" s="17">
        <f ca="1">IFERROR(__xludf.DUMMYFUNCTION("""COMPUTED_VALUE"""),0.18832471906813)</f>
        <v>0.18832471906813</v>
      </c>
      <c r="J328" s="17">
        <f ca="1">IFERROR(__xludf.DUMMYFUNCTION("""COMPUTED_VALUE"""),0.40751104785554)</f>
        <v>0.40751104785553999</v>
      </c>
      <c r="K328" s="17" t="str">
        <f ca="1">IFERROR(__xludf.DUMMYFUNCTION("""COMPUTED_VALUE"""),"nan")</f>
        <v>nan</v>
      </c>
      <c r="L328" s="17">
        <f ca="1">IFERROR(__xludf.DUMMYFUNCTION("""COMPUTED_VALUE"""),0.27519685618659)</f>
        <v>0.27519685618659001</v>
      </c>
      <c r="M328" s="17">
        <f ca="1">IFERROR(__xludf.DUMMYFUNCTION("""COMPUTED_VALUE"""),0.393762852034018)</f>
        <v>0.39376285203401801</v>
      </c>
      <c r="N328" s="17">
        <f ca="1">IFERROR(__xludf.DUMMYFUNCTION("""COMPUTED_VALUE"""),0.32143776308988)</f>
        <v>0.32143776308987998</v>
      </c>
      <c r="O328" s="17">
        <f ca="1">IFERROR(__xludf.DUMMYFUNCTION("""COMPUTED_VALUE"""),0.331814537731574)</f>
        <v>0.33181453773157399</v>
      </c>
      <c r="P328" s="17">
        <f ca="1">IFERROR(__xludf.DUMMYFUNCTION("""COMPUTED_VALUE"""),0.527216339384225)</f>
        <v>0.52721633938422496</v>
      </c>
      <c r="Q328" s="17">
        <f ca="1">IFERROR(__xludf.DUMMYFUNCTION("""COMPUTED_VALUE"""),0.74444441012172)</f>
        <v>0.74444441012172002</v>
      </c>
      <c r="R328" s="17">
        <f ca="1">IFERROR(__xludf.DUMMYFUNCTION("""COMPUTED_VALUE"""),0.204725296835457)</f>
        <v>0.20472529683545701</v>
      </c>
      <c r="S328" s="17">
        <f ca="1">IFERROR(__xludf.DUMMYFUNCTION("""COMPUTED_VALUE"""),0.893566924329958)</f>
        <v>0.89356692432995799</v>
      </c>
      <c r="T328" s="17">
        <f ca="1">IFERROR(__xludf.DUMMYFUNCTION("""COMPUTED_VALUE"""),0.300980525013988)</f>
        <v>0.30098052501398798</v>
      </c>
      <c r="U328" s="17">
        <f ca="1">IFERROR(__xludf.DUMMYFUNCTION("""COMPUTED_VALUE"""),0.357074124770458)</f>
        <v>0.35707412477045802</v>
      </c>
      <c r="V328" s="17">
        <f ca="1">IFERROR(__xludf.DUMMYFUNCTION("""COMPUTED_VALUE"""),0.642872798898939)</f>
        <v>0.642872798898939</v>
      </c>
      <c r="W328" s="17">
        <f ca="1">IFERROR(__xludf.DUMMYFUNCTION("""COMPUTED_VALUE"""),0.440301562150191)</f>
        <v>0.44030156215019101</v>
      </c>
      <c r="X328" s="17">
        <f ca="1">IFERROR(__xludf.DUMMYFUNCTION("""COMPUTED_VALUE"""),0.329905683282956)</f>
        <v>0.329905683282956</v>
      </c>
      <c r="Y328" s="17">
        <f ca="1">IFERROR(__xludf.DUMMYFUNCTION("""COMPUTED_VALUE"""),0.192005510460848)</f>
        <v>0.19200551046084799</v>
      </c>
      <c r="Z328" s="17">
        <f ca="1">IFERROR(__xludf.DUMMYFUNCTION("""COMPUTED_VALUE"""),0.344525040289376)</f>
        <v>0.34452504028937603</v>
      </c>
      <c r="AA328" s="17">
        <f ca="1">IFERROR(__xludf.DUMMYFUNCTION("""COMPUTED_VALUE"""),0.204464505606115)</f>
        <v>0.20446450560611501</v>
      </c>
      <c r="AB328" s="17">
        <f ca="1">IFERROR(__xludf.DUMMYFUNCTION("""COMPUTED_VALUE"""),0.312624200050204)</f>
        <v>0.31262420005020403</v>
      </c>
      <c r="AC328" s="17">
        <f ca="1">IFERROR(__xludf.DUMMYFUNCTION("""COMPUTED_VALUE"""),0.596046597475449)</f>
        <v>0.59604659747544897</v>
      </c>
      <c r="AD328" s="17">
        <f ca="1">IFERROR(__xludf.DUMMYFUNCTION("""COMPUTED_VALUE"""),0.436517150685988)</f>
        <v>0.43651715068598801</v>
      </c>
      <c r="AE328" s="17">
        <f ca="1">IFERROR(__xludf.DUMMYFUNCTION("""COMPUTED_VALUE"""),0.661680017119204)</f>
        <v>0.66168001711920399</v>
      </c>
      <c r="AF328" s="17">
        <f ca="1">IFERROR(__xludf.DUMMYFUNCTION("""COMPUTED_VALUE"""),0.581338169568969)</f>
        <v>0.581338169568969</v>
      </c>
      <c r="AG328" s="17">
        <f ca="1">IFERROR(__xludf.DUMMYFUNCTION("""COMPUTED_VALUE"""),0.591623625329915)</f>
        <v>0.59162362532991497</v>
      </c>
      <c r="AH328" s="17">
        <f ca="1">IFERROR(__xludf.DUMMYFUNCTION("""COMPUTED_VALUE"""),0.393954127883513)</f>
        <v>0.39395412788351297</v>
      </c>
      <c r="AI328" s="17">
        <f ca="1">IFERROR(__xludf.DUMMYFUNCTION("""COMPUTED_VALUE"""),0.684342585828013)</f>
        <v>0.68434258582801299</v>
      </c>
      <c r="AJ328" s="17">
        <f ca="1">IFERROR(__xludf.DUMMYFUNCTION("""COMPUTED_VALUE"""),0.372822191419524)</f>
        <v>0.372822191419524</v>
      </c>
    </row>
    <row r="329" spans="2:36" ht="15.75" customHeight="1" x14ac:dyDescent="0.45">
      <c r="B329" s="10" t="str">
        <f ca="1">IFERROR(__xludf.DUMMYFUNCTION("""COMPUTED_VALUE"""),"FreezerRegularTrain")</f>
        <v>FreezerRegularTrain</v>
      </c>
      <c r="C329" s="10" t="str">
        <f ca="1">IFERROR(__xludf.DUMMYFUNCTION("""COMPUTED_VALUE"""),"mcar")</f>
        <v>mcar</v>
      </c>
      <c r="D329" s="10">
        <f ca="1">IFERROR(__xludf.DUMMYFUNCTION("""COMPUTED_VALUE"""),0.4)</f>
        <v>0.4</v>
      </c>
      <c r="E329" s="17">
        <f ca="1">IFERROR(__xludf.DUMMYFUNCTION("""COMPUTED_VALUE"""),0.90836378655737)</f>
        <v>0.90836378655737005</v>
      </c>
      <c r="F329" s="17">
        <f ca="1">IFERROR(__xludf.DUMMYFUNCTION("""COMPUTED_VALUE"""),0.38914664382924)</f>
        <v>0.38914664382924002</v>
      </c>
      <c r="G329" s="17">
        <f ca="1">IFERROR(__xludf.DUMMYFUNCTION("""COMPUTED_VALUE"""),0.391916705163946)</f>
        <v>0.391916705163946</v>
      </c>
      <c r="H329" s="17">
        <f ca="1">IFERROR(__xludf.DUMMYFUNCTION("""COMPUTED_VALUE"""),0.444501851292311)</f>
        <v>0.44450185129231101</v>
      </c>
      <c r="I329" s="17">
        <f ca="1">IFERROR(__xludf.DUMMYFUNCTION("""COMPUTED_VALUE"""),0.202076552316904)</f>
        <v>0.202076552316904</v>
      </c>
      <c r="J329" s="17">
        <f ca="1">IFERROR(__xludf.DUMMYFUNCTION("""COMPUTED_VALUE"""),0.400381423905064)</f>
        <v>0.40038142390506398</v>
      </c>
      <c r="K329" s="17" t="str">
        <f ca="1">IFERROR(__xludf.DUMMYFUNCTION("""COMPUTED_VALUE"""),"nan")</f>
        <v>nan</v>
      </c>
      <c r="L329" s="17">
        <f ca="1">IFERROR(__xludf.DUMMYFUNCTION("""COMPUTED_VALUE"""),0.285134530542631)</f>
        <v>0.28513453054263099</v>
      </c>
      <c r="M329" s="17">
        <f ca="1">IFERROR(__xludf.DUMMYFUNCTION("""COMPUTED_VALUE"""),0.396895902345406)</f>
        <v>0.396895902345406</v>
      </c>
      <c r="N329" s="17">
        <f ca="1">IFERROR(__xludf.DUMMYFUNCTION("""COMPUTED_VALUE"""),0.370697153246127)</f>
        <v>0.37069715324612701</v>
      </c>
      <c r="O329" s="17">
        <f ca="1">IFERROR(__xludf.DUMMYFUNCTION("""COMPUTED_VALUE"""),0.323813887374237)</f>
        <v>0.323813887374237</v>
      </c>
      <c r="P329" s="17">
        <f ca="1">IFERROR(__xludf.DUMMYFUNCTION("""COMPUTED_VALUE"""),0.566604196487144)</f>
        <v>0.566604196487144</v>
      </c>
      <c r="Q329" s="17">
        <f ca="1">IFERROR(__xludf.DUMMYFUNCTION("""COMPUTED_VALUE"""),0.754086285610213)</f>
        <v>0.75408628561021296</v>
      </c>
      <c r="R329" s="17">
        <f ca="1">IFERROR(__xludf.DUMMYFUNCTION("""COMPUTED_VALUE"""),0.230562768373632)</f>
        <v>0.23056276837363199</v>
      </c>
      <c r="S329" s="17">
        <f ca="1">IFERROR(__xludf.DUMMYFUNCTION("""COMPUTED_VALUE"""),2.00903680118714)</f>
        <v>2.0090368011871398</v>
      </c>
      <c r="T329" s="17">
        <f ca="1">IFERROR(__xludf.DUMMYFUNCTION("""COMPUTED_VALUE"""),0.373765306863454)</f>
        <v>0.37376530686345399</v>
      </c>
      <c r="U329" s="17">
        <f ca="1">IFERROR(__xludf.DUMMYFUNCTION("""COMPUTED_VALUE"""),0.379616115085296)</f>
        <v>0.37961611508529602</v>
      </c>
      <c r="V329" s="17">
        <f ca="1">IFERROR(__xludf.DUMMYFUNCTION("""COMPUTED_VALUE"""),0.641230595627834)</f>
        <v>0.64123059562783402</v>
      </c>
      <c r="W329" s="17">
        <f ca="1">IFERROR(__xludf.DUMMYFUNCTION("""COMPUTED_VALUE"""),0.534708970952542)</f>
        <v>0.534708970952542</v>
      </c>
      <c r="X329" s="17">
        <f ca="1">IFERROR(__xludf.DUMMYFUNCTION("""COMPUTED_VALUE"""),0.384702432050493)</f>
        <v>0.38470243205049298</v>
      </c>
      <c r="Y329" s="17">
        <f ca="1">IFERROR(__xludf.DUMMYFUNCTION("""COMPUTED_VALUE"""),0.283485617745257)</f>
        <v>0.28348561774525699</v>
      </c>
      <c r="Z329" s="17">
        <f ca="1">IFERROR(__xludf.DUMMYFUNCTION("""COMPUTED_VALUE"""),0.403705415576373)</f>
        <v>0.40370541557637302</v>
      </c>
      <c r="AA329" s="17">
        <f ca="1">IFERROR(__xludf.DUMMYFUNCTION("""COMPUTED_VALUE"""),0.188968443476074)</f>
        <v>0.188968443476074</v>
      </c>
      <c r="AB329" s="17">
        <f ca="1">IFERROR(__xludf.DUMMYFUNCTION("""COMPUTED_VALUE"""),0.326459555183475)</f>
        <v>0.32645955518347503</v>
      </c>
      <c r="AC329" s="17">
        <f ca="1">IFERROR(__xludf.DUMMYFUNCTION("""COMPUTED_VALUE"""),0.465773166763592)</f>
        <v>0.46577316676359198</v>
      </c>
      <c r="AD329" s="17">
        <f ca="1">IFERROR(__xludf.DUMMYFUNCTION("""COMPUTED_VALUE"""),0.486607699348582)</f>
        <v>0.486607699348582</v>
      </c>
      <c r="AE329" s="17">
        <f ca="1">IFERROR(__xludf.DUMMYFUNCTION("""COMPUTED_VALUE"""),0.727533712167538)</f>
        <v>0.72753371216753804</v>
      </c>
      <c r="AF329" s="17">
        <f ca="1">IFERROR(__xludf.DUMMYFUNCTION("""COMPUTED_VALUE"""),0.488415229147975)</f>
        <v>0.48841522914797503</v>
      </c>
      <c r="AG329" s="17">
        <f ca="1">IFERROR(__xludf.DUMMYFUNCTION("""COMPUTED_VALUE"""),0.848803153474385)</f>
        <v>0.84880315347438495</v>
      </c>
      <c r="AH329" s="17">
        <f ca="1">IFERROR(__xludf.DUMMYFUNCTION("""COMPUTED_VALUE"""),0.612698897597532)</f>
        <v>0.61269889759753204</v>
      </c>
      <c r="AI329" s="17">
        <f ca="1">IFERROR(__xludf.DUMMYFUNCTION("""COMPUTED_VALUE"""),0.823659736848455)</f>
        <v>0.82365973684845495</v>
      </c>
      <c r="AJ329" s="17">
        <f ca="1">IFERROR(__xludf.DUMMYFUNCTION("""COMPUTED_VALUE"""),0.561380912646173)</f>
        <v>0.56138091264617296</v>
      </c>
    </row>
    <row r="330" spans="2:36" ht="15.75" customHeight="1" x14ac:dyDescent="0.45">
      <c r="B330" s="10" t="str">
        <f ca="1">IFERROR(__xludf.DUMMYFUNCTION("""COMPUTED_VALUE"""),"FreezerRegularTrain")</f>
        <v>FreezerRegularTrain</v>
      </c>
      <c r="C330" s="10" t="str">
        <f ca="1">IFERROR(__xludf.DUMMYFUNCTION("""COMPUTED_VALUE"""),"mcar")</f>
        <v>mcar</v>
      </c>
      <c r="D330" s="10">
        <f ca="1">IFERROR(__xludf.DUMMYFUNCTION("""COMPUTED_VALUE"""),0.6)</f>
        <v>0.6</v>
      </c>
      <c r="E330" s="17">
        <f ca="1">IFERROR(__xludf.DUMMYFUNCTION("""COMPUTED_VALUE"""),0.910320927436038)</f>
        <v>0.91032092743603799</v>
      </c>
      <c r="F330" s="17">
        <f ca="1">IFERROR(__xludf.DUMMYFUNCTION("""COMPUTED_VALUE"""),0.381044159563176)</f>
        <v>0.381044159563176</v>
      </c>
      <c r="G330" s="17">
        <f ca="1">IFERROR(__xludf.DUMMYFUNCTION("""COMPUTED_VALUE"""),0.381340111898262)</f>
        <v>0.381340111898262</v>
      </c>
      <c r="H330" s="17">
        <f ca="1">IFERROR(__xludf.DUMMYFUNCTION("""COMPUTED_VALUE"""),0.461886590163251)</f>
        <v>0.46188659016325101</v>
      </c>
      <c r="I330" s="17">
        <f ca="1">IFERROR(__xludf.DUMMYFUNCTION("""COMPUTED_VALUE"""),0.282263507083311)</f>
        <v>0.28226350708331099</v>
      </c>
      <c r="J330" s="17">
        <f ca="1">IFERROR(__xludf.DUMMYFUNCTION("""COMPUTED_VALUE"""),0.41354396441681)</f>
        <v>0.41354396441681002</v>
      </c>
      <c r="K330" s="17" t="str">
        <f ca="1">IFERROR(__xludf.DUMMYFUNCTION("""COMPUTED_VALUE"""),"nan")</f>
        <v>nan</v>
      </c>
      <c r="L330" s="17">
        <f ca="1">IFERROR(__xludf.DUMMYFUNCTION("""COMPUTED_VALUE"""),0.314600840774817)</f>
        <v>0.31460084077481698</v>
      </c>
      <c r="M330" s="17">
        <f ca="1">IFERROR(__xludf.DUMMYFUNCTION("""COMPUTED_VALUE"""),0.392933474611569)</f>
        <v>0.39293347461156902</v>
      </c>
      <c r="N330" s="17">
        <f ca="1">IFERROR(__xludf.DUMMYFUNCTION("""COMPUTED_VALUE"""),0.428525101451302)</f>
        <v>0.42852510145130202</v>
      </c>
      <c r="O330" s="17">
        <f ca="1">IFERROR(__xludf.DUMMYFUNCTION("""COMPUTED_VALUE"""),0.354971657435935)</f>
        <v>0.35497165743593501</v>
      </c>
      <c r="P330" s="17">
        <f ca="1">IFERROR(__xludf.DUMMYFUNCTION("""COMPUTED_VALUE"""),0.609363274253268)</f>
        <v>0.60936327425326797</v>
      </c>
      <c r="Q330" s="17">
        <f ca="1">IFERROR(__xludf.DUMMYFUNCTION("""COMPUTED_VALUE"""),0.806607987619022)</f>
        <v>0.80660798761902197</v>
      </c>
      <c r="R330" s="17">
        <f ca="1">IFERROR(__xludf.DUMMYFUNCTION("""COMPUTED_VALUE"""),0.310363335155439)</f>
        <v>0.31036333515543901</v>
      </c>
      <c r="S330" s="17">
        <f ca="1">IFERROR(__xludf.DUMMYFUNCTION("""COMPUTED_VALUE"""),2.00901339039245)</f>
        <v>2.0090133903924499</v>
      </c>
      <c r="T330" s="17">
        <f ca="1">IFERROR(__xludf.DUMMYFUNCTION("""COMPUTED_VALUE"""),0.441599505737828)</f>
        <v>0.44159950573782802</v>
      </c>
      <c r="U330" s="17">
        <f ca="1">IFERROR(__xludf.DUMMYFUNCTION("""COMPUTED_VALUE"""),0.390715683918686)</f>
        <v>0.390715683918686</v>
      </c>
      <c r="V330" s="17">
        <f ca="1">IFERROR(__xludf.DUMMYFUNCTION("""COMPUTED_VALUE"""),0.552526675326029)</f>
        <v>0.55252667532602895</v>
      </c>
      <c r="W330" s="17">
        <f ca="1">IFERROR(__xludf.DUMMYFUNCTION("""COMPUTED_VALUE"""),0.635508566487202)</f>
        <v>0.635508566487202</v>
      </c>
      <c r="X330" s="17">
        <f ca="1">IFERROR(__xludf.DUMMYFUNCTION("""COMPUTED_VALUE"""),0.346366189034867)</f>
        <v>0.34636618903486699</v>
      </c>
      <c r="Y330" s="17">
        <f ca="1">IFERROR(__xludf.DUMMYFUNCTION("""COMPUTED_VALUE"""),0.38918541672826)</f>
        <v>0.38918541672826001</v>
      </c>
      <c r="Z330" s="17">
        <f ca="1">IFERROR(__xludf.DUMMYFUNCTION("""COMPUTED_VALUE"""),0.441063218966367)</f>
        <v>0.44106321896636702</v>
      </c>
      <c r="AA330" s="17">
        <f ca="1">IFERROR(__xludf.DUMMYFUNCTION("""COMPUTED_VALUE"""),0.34507970853117)</f>
        <v>0.34507970853116998</v>
      </c>
      <c r="AB330" s="17">
        <f ca="1">IFERROR(__xludf.DUMMYFUNCTION("""COMPUTED_VALUE"""),0.468866636690788)</f>
        <v>0.46886663669078799</v>
      </c>
      <c r="AC330" s="17">
        <f ca="1">IFERROR(__xludf.DUMMYFUNCTION("""COMPUTED_VALUE"""),0.531267858457969)</f>
        <v>0.53126785845796898</v>
      </c>
      <c r="AD330" s="17">
        <f ca="1">IFERROR(__xludf.DUMMYFUNCTION("""COMPUTED_VALUE"""),0.488165287102625)</f>
        <v>0.48816528710262502</v>
      </c>
      <c r="AE330" s="17">
        <f ca="1">IFERROR(__xludf.DUMMYFUNCTION("""COMPUTED_VALUE"""),0.859591386412777)</f>
        <v>0.85959138641277699</v>
      </c>
      <c r="AF330" s="17">
        <f ca="1">IFERROR(__xludf.DUMMYFUNCTION("""COMPUTED_VALUE"""),0.609163297523999)</f>
        <v>0.609163297523999</v>
      </c>
      <c r="AG330" s="17">
        <f ca="1">IFERROR(__xludf.DUMMYFUNCTION("""COMPUTED_VALUE"""),0.93863164431451)</f>
        <v>0.93863164431450996</v>
      </c>
      <c r="AH330" s="17">
        <f ca="1">IFERROR(__xludf.DUMMYFUNCTION("""COMPUTED_VALUE"""),0.836398204083873)</f>
        <v>0.836398204083873</v>
      </c>
      <c r="AI330" s="17" t="str">
        <f ca="1">IFERROR(__xludf.DUMMYFUNCTION("""COMPUTED_VALUE"""),"nan")</f>
        <v>nan</v>
      </c>
      <c r="AJ330" s="17">
        <f ca="1">IFERROR(__xludf.DUMMYFUNCTION("""COMPUTED_VALUE"""),1.02055720468601)</f>
        <v>1.0205572046860101</v>
      </c>
    </row>
    <row r="331" spans="2:36" ht="15.75" customHeight="1" x14ac:dyDescent="0.45">
      <c r="B331" s="10" t="str">
        <f ca="1">IFERROR(__xludf.DUMMYFUNCTION("""COMPUTED_VALUE"""),"FreezerRegularTrain")</f>
        <v>FreezerRegularTrain</v>
      </c>
      <c r="C331" s="10" t="str">
        <f ca="1">IFERROR(__xludf.DUMMYFUNCTION("""COMPUTED_VALUE"""),"mcar")</f>
        <v>mcar</v>
      </c>
      <c r="D331" s="10">
        <f ca="1">IFERROR(__xludf.DUMMYFUNCTION("""COMPUTED_VALUE"""),0.8)</f>
        <v>0.8</v>
      </c>
      <c r="E331" s="17">
        <f ca="1">IFERROR(__xludf.DUMMYFUNCTION("""COMPUTED_VALUE"""),0.939046876502603)</f>
        <v>0.93904687650260299</v>
      </c>
      <c r="F331" s="17">
        <f ca="1">IFERROR(__xludf.DUMMYFUNCTION("""COMPUTED_VALUE"""),0.391845420737331)</f>
        <v>0.39184542073733097</v>
      </c>
      <c r="G331" s="17">
        <f ca="1">IFERROR(__xludf.DUMMYFUNCTION("""COMPUTED_VALUE"""),0.406663893468526)</f>
        <v>0.40666389346852599</v>
      </c>
      <c r="H331" s="17">
        <f ca="1">IFERROR(__xludf.DUMMYFUNCTION("""COMPUTED_VALUE"""),0.539519498771294)</f>
        <v>0.53951949877129401</v>
      </c>
      <c r="I331" s="17">
        <f ca="1">IFERROR(__xludf.DUMMYFUNCTION("""COMPUTED_VALUE"""),0.355293365754341)</f>
        <v>0.35529336575434101</v>
      </c>
      <c r="J331" s="17">
        <f ca="1">IFERROR(__xludf.DUMMYFUNCTION("""COMPUTED_VALUE"""),0.544303804663706)</f>
        <v>0.54430380466370598</v>
      </c>
      <c r="K331" s="17" t="str">
        <f ca="1">IFERROR(__xludf.DUMMYFUNCTION("""COMPUTED_VALUE"""),"nan")</f>
        <v>nan</v>
      </c>
      <c r="L331" s="17">
        <f ca="1">IFERROR(__xludf.DUMMYFUNCTION("""COMPUTED_VALUE"""),0.357108382464177)</f>
        <v>0.35710838246417698</v>
      </c>
      <c r="M331" s="17">
        <f ca="1">IFERROR(__xludf.DUMMYFUNCTION("""COMPUTED_VALUE"""),0.410510547148156)</f>
        <v>0.41051054714815599</v>
      </c>
      <c r="N331" s="17">
        <f ca="1">IFERROR(__xludf.DUMMYFUNCTION("""COMPUTED_VALUE"""),0.502628041733425)</f>
        <v>0.50262804173342501</v>
      </c>
      <c r="O331" s="17">
        <f ca="1">IFERROR(__xludf.DUMMYFUNCTION("""COMPUTED_VALUE"""),0.443910694763835)</f>
        <v>0.44391069476383499</v>
      </c>
      <c r="P331" s="17">
        <f ca="1">IFERROR(__xludf.DUMMYFUNCTION("""COMPUTED_VALUE"""),0.852872774937357)</f>
        <v>0.85287277493735703</v>
      </c>
      <c r="Q331" s="17">
        <f ca="1">IFERROR(__xludf.DUMMYFUNCTION("""COMPUTED_VALUE"""),0.976687305144172)</f>
        <v>0.97668730514417201</v>
      </c>
      <c r="R331" s="17">
        <f ca="1">IFERROR(__xludf.DUMMYFUNCTION("""COMPUTED_VALUE"""),0.662172727968989)</f>
        <v>0.66217272796898896</v>
      </c>
      <c r="S331" s="17">
        <f ca="1">IFERROR(__xludf.DUMMYFUNCTION("""COMPUTED_VALUE"""),1.98652871253656)</f>
        <v>1.98652871253656</v>
      </c>
      <c r="T331" s="17">
        <f ca="1">IFERROR(__xludf.DUMMYFUNCTION("""COMPUTED_VALUE"""),0.536348755167779)</f>
        <v>0.53634875516777902</v>
      </c>
      <c r="U331" s="17">
        <f ca="1">IFERROR(__xludf.DUMMYFUNCTION("""COMPUTED_VALUE"""),0.47432182181303)</f>
        <v>0.47432182181303001</v>
      </c>
      <c r="V331" s="17">
        <f ca="1">IFERROR(__xludf.DUMMYFUNCTION("""COMPUTED_VALUE"""),0.59227469088485)</f>
        <v>0.59227469088484996</v>
      </c>
      <c r="W331" s="17">
        <f ca="1">IFERROR(__xludf.DUMMYFUNCTION("""COMPUTED_VALUE"""),0.708041797771874)</f>
        <v>0.70804179777187404</v>
      </c>
      <c r="X331" s="17">
        <f ca="1">IFERROR(__xludf.DUMMYFUNCTION("""COMPUTED_VALUE"""),0.378365044965301)</f>
        <v>0.37836504496530099</v>
      </c>
      <c r="Y331" s="17">
        <f ca="1">IFERROR(__xludf.DUMMYFUNCTION("""COMPUTED_VALUE"""),0.527047266510579)</f>
        <v>0.52704726651057898</v>
      </c>
      <c r="Z331" s="17">
        <f ca="1">IFERROR(__xludf.DUMMYFUNCTION("""COMPUTED_VALUE"""),0.578533148472874)</f>
        <v>0.57853314847287396</v>
      </c>
      <c r="AA331" s="17">
        <f ca="1">IFERROR(__xludf.DUMMYFUNCTION("""COMPUTED_VALUE"""),0.4429535941104)</f>
        <v>0.44295359411039997</v>
      </c>
      <c r="AB331" s="17">
        <f ca="1">IFERROR(__xludf.DUMMYFUNCTION("""COMPUTED_VALUE"""),0.804116457159519)</f>
        <v>0.80411645715951896</v>
      </c>
      <c r="AC331" s="17">
        <f ca="1">IFERROR(__xludf.DUMMYFUNCTION("""COMPUTED_VALUE"""),0.616278385315403)</f>
        <v>0.61627838531540302</v>
      </c>
      <c r="AD331" s="17">
        <f ca="1">IFERROR(__xludf.DUMMYFUNCTION("""COMPUTED_VALUE"""),0.482735962473005)</f>
        <v>0.48273596247300499</v>
      </c>
      <c r="AE331" s="17" t="str">
        <f ca="1">IFERROR(__xludf.DUMMYFUNCTION("""COMPUTED_VALUE"""),"nan")</f>
        <v>nan</v>
      </c>
      <c r="AF331" s="17">
        <f ca="1">IFERROR(__xludf.DUMMYFUNCTION("""COMPUTED_VALUE"""),0.942729527562126)</f>
        <v>0.94272952756212602</v>
      </c>
      <c r="AG331" s="17">
        <f ca="1">IFERROR(__xludf.DUMMYFUNCTION("""COMPUTED_VALUE"""),1.02674703334207)</f>
        <v>1.0267470333420701</v>
      </c>
      <c r="AH331" s="17">
        <f ca="1">IFERROR(__xludf.DUMMYFUNCTION("""COMPUTED_VALUE"""),1.04672118141135)</f>
        <v>1.04672118141135</v>
      </c>
      <c r="AI331" s="17" t="str">
        <f ca="1">IFERROR(__xludf.DUMMYFUNCTION("""COMPUTED_VALUE"""),"nan")</f>
        <v>nan</v>
      </c>
      <c r="AJ331" s="17">
        <f ca="1">IFERROR(__xludf.DUMMYFUNCTION("""COMPUTED_VALUE"""),0.974878394896882)</f>
        <v>0.97487839489688199</v>
      </c>
    </row>
    <row r="332" spans="2:36" ht="15.75" customHeight="1" x14ac:dyDescent="0.45">
      <c r="B332" s="10" t="str">
        <f ca="1">IFERROR(__xludf.DUMMYFUNCTION("""COMPUTED_VALUE"""),"FreezerSmallTrain")</f>
        <v>FreezerSmallTrain</v>
      </c>
      <c r="C332" s="10" t="str">
        <f ca="1">IFERROR(__xludf.DUMMYFUNCTION("""COMPUTED_VALUE"""),"aligned_series")</f>
        <v>aligned_series</v>
      </c>
      <c r="D332" s="10">
        <f ca="1">IFERROR(__xludf.DUMMYFUNCTION("""COMPUTED_VALUE"""),0.1)</f>
        <v>0.1</v>
      </c>
      <c r="E332" s="17">
        <f ca="1">IFERROR(__xludf.DUMMYFUNCTION("""COMPUTED_VALUE"""),1.41428779813663)</f>
        <v>1.41428779813663</v>
      </c>
      <c r="F332" s="17">
        <f ca="1">IFERROR(__xludf.DUMMYFUNCTION("""COMPUTED_VALUE"""),0.129255016891249)</f>
        <v>0.12925501689124899</v>
      </c>
      <c r="G332" s="17">
        <f ca="1">IFERROR(__xludf.DUMMYFUNCTION("""COMPUTED_VALUE"""),0.127310102567147)</f>
        <v>0.127310102567147</v>
      </c>
      <c r="H332" s="17">
        <f ca="1">IFERROR(__xludf.DUMMYFUNCTION("""COMPUTED_VALUE"""),0.198025823438561)</f>
        <v>0.19802582343856101</v>
      </c>
      <c r="I332" s="17">
        <f ca="1">IFERROR(__xludf.DUMMYFUNCTION("""COMPUTED_VALUE"""),0.198590231230747)</f>
        <v>0.19859023123074701</v>
      </c>
      <c r="J332" s="17">
        <f ca="1">IFERROR(__xludf.DUMMYFUNCTION("""COMPUTED_VALUE"""),0.0362741419120873)</f>
        <v>3.6274141912087297E-2</v>
      </c>
      <c r="K332" s="17" t="str">
        <f ca="1">IFERROR(__xludf.DUMMYFUNCTION("""COMPUTED_VALUE"""),"nan")</f>
        <v>nan</v>
      </c>
      <c r="L332" s="17">
        <f ca="1">IFERROR(__xludf.DUMMYFUNCTION("""COMPUTED_VALUE"""),0.139589267298919)</f>
        <v>0.13958926729891899</v>
      </c>
      <c r="M332" s="17">
        <f ca="1">IFERROR(__xludf.DUMMYFUNCTION("""COMPUTED_VALUE"""),0.263297026418084)</f>
        <v>0.263297026418084</v>
      </c>
      <c r="N332" s="17">
        <f ca="1">IFERROR(__xludf.DUMMYFUNCTION("""COMPUTED_VALUE"""),0.321235361143202)</f>
        <v>0.321235361143202</v>
      </c>
      <c r="O332" s="17">
        <f ca="1">IFERROR(__xludf.DUMMYFUNCTION("""COMPUTED_VALUE"""),0.0597908986690032)</f>
        <v>5.9790898669003202E-2</v>
      </c>
      <c r="P332" s="17">
        <f ca="1">IFERROR(__xludf.DUMMYFUNCTION("""COMPUTED_VALUE"""),0.790149321769424)</f>
        <v>0.79014932176942398</v>
      </c>
      <c r="Q332" s="17">
        <f ca="1">IFERROR(__xludf.DUMMYFUNCTION("""COMPUTED_VALUE"""),0.156243476795584)</f>
        <v>0.15624347679558401</v>
      </c>
      <c r="R332" s="17">
        <f ca="1">IFERROR(__xludf.DUMMYFUNCTION("""COMPUTED_VALUE"""),0.153151898369062)</f>
        <v>0.15315189836906201</v>
      </c>
      <c r="S332" s="17">
        <f ca="1">IFERROR(__xludf.DUMMYFUNCTION("""COMPUTED_VALUE"""),0.167934545159455)</f>
        <v>0.167934545159455</v>
      </c>
      <c r="T332" s="17">
        <f ca="1">IFERROR(__xludf.DUMMYFUNCTION("""COMPUTED_VALUE"""),0.376823166866439)</f>
        <v>0.37682316686643902</v>
      </c>
      <c r="U332" s="17">
        <f ca="1">IFERROR(__xludf.DUMMYFUNCTION("""COMPUTED_VALUE"""),0.380914186493146)</f>
        <v>0.38091418649314601</v>
      </c>
      <c r="V332" s="17">
        <f ca="1">IFERROR(__xludf.DUMMYFUNCTION("""COMPUTED_VALUE"""),0.223390901132618)</f>
        <v>0.223390901132618</v>
      </c>
      <c r="W332" s="17">
        <f ca="1">IFERROR(__xludf.DUMMYFUNCTION("""COMPUTED_VALUE"""),0.650492639897946)</f>
        <v>0.65049263989794603</v>
      </c>
      <c r="X332" s="17">
        <f ca="1">IFERROR(__xludf.DUMMYFUNCTION("""COMPUTED_VALUE"""),0.603301636446511)</f>
        <v>0.60330163644651102</v>
      </c>
      <c r="Y332" s="17">
        <f ca="1">IFERROR(__xludf.DUMMYFUNCTION("""COMPUTED_VALUE"""),0.0600819980599937)</f>
        <v>6.0081998059993702E-2</v>
      </c>
      <c r="Z332" s="17">
        <f ca="1">IFERROR(__xludf.DUMMYFUNCTION("""COMPUTED_VALUE"""),0.096001699107527)</f>
        <v>9.6001699107526997E-2</v>
      </c>
      <c r="AA332" s="17">
        <f ca="1">IFERROR(__xludf.DUMMYFUNCTION("""COMPUTED_VALUE"""),0.0434619699937997)</f>
        <v>4.3461969993799698E-2</v>
      </c>
      <c r="AB332" s="17">
        <f ca="1">IFERROR(__xludf.DUMMYFUNCTION("""COMPUTED_VALUE"""),0.31184569726184)</f>
        <v>0.31184569726184003</v>
      </c>
      <c r="AC332" s="17">
        <f ca="1">IFERROR(__xludf.DUMMYFUNCTION("""COMPUTED_VALUE"""),1.06314182230392)</f>
        <v>1.06314182230392</v>
      </c>
      <c r="AD332" s="17">
        <f ca="1">IFERROR(__xludf.DUMMYFUNCTION("""COMPUTED_VALUE"""),0.0991116888746914)</f>
        <v>9.9111688874691406E-2</v>
      </c>
      <c r="AE332" s="17">
        <f ca="1">IFERROR(__xludf.DUMMYFUNCTION("""COMPUTED_VALUE"""),1.50635994342296)</f>
        <v>1.50635994342296</v>
      </c>
      <c r="AF332" s="17">
        <f ca="1">IFERROR(__xludf.DUMMYFUNCTION("""COMPUTED_VALUE"""),0.303507217674138)</f>
        <v>0.30350721767413802</v>
      </c>
      <c r="AG332" s="17">
        <f ca="1">IFERROR(__xludf.DUMMYFUNCTION("""COMPUTED_VALUE"""),1.32020674548871)</f>
        <v>1.3202067454887101</v>
      </c>
      <c r="AH332" s="17">
        <f ca="1">IFERROR(__xludf.DUMMYFUNCTION("""COMPUTED_VALUE"""),0.985487221395239)</f>
        <v>0.98548722139523903</v>
      </c>
      <c r="AI332" s="17">
        <f ca="1">IFERROR(__xludf.DUMMYFUNCTION("""COMPUTED_VALUE"""),1.05269138121579)</f>
        <v>1.0526913812157901</v>
      </c>
      <c r="AJ332" s="17">
        <f ca="1">IFERROR(__xludf.DUMMYFUNCTION("""COMPUTED_VALUE"""),0.908418742705469)</f>
        <v>0.90841874270546896</v>
      </c>
    </row>
    <row r="333" spans="2:36" ht="15.75" customHeight="1" x14ac:dyDescent="0.45">
      <c r="B333" s="10" t="str">
        <f ca="1">IFERROR(__xludf.DUMMYFUNCTION("""COMPUTED_VALUE"""),"FreezerSmallTrain")</f>
        <v>FreezerSmallTrain</v>
      </c>
      <c r="C333" s="10" t="str">
        <f ca="1">IFERROR(__xludf.DUMMYFUNCTION("""COMPUTED_VALUE"""),"aligned_series")</f>
        <v>aligned_series</v>
      </c>
      <c r="D333" s="10">
        <f ca="1">IFERROR(__xludf.DUMMYFUNCTION("""COMPUTED_VALUE"""),0.2)</f>
        <v>0.2</v>
      </c>
      <c r="E333" s="17">
        <f ca="1">IFERROR(__xludf.DUMMYFUNCTION("""COMPUTED_VALUE"""),1.45564311741007)</f>
        <v>1.4556431174100699</v>
      </c>
      <c r="F333" s="17">
        <f ca="1">IFERROR(__xludf.DUMMYFUNCTION("""COMPUTED_VALUE"""),0.155953644650512)</f>
        <v>0.15595364465051201</v>
      </c>
      <c r="G333" s="17">
        <f ca="1">IFERROR(__xludf.DUMMYFUNCTION("""COMPUTED_VALUE"""),0.154307508753064)</f>
        <v>0.15430750875306401</v>
      </c>
      <c r="H333" s="17">
        <f ca="1">IFERROR(__xludf.DUMMYFUNCTION("""COMPUTED_VALUE"""),0.224531486264988)</f>
        <v>0.22453148626498801</v>
      </c>
      <c r="I333" s="17">
        <f ca="1">IFERROR(__xludf.DUMMYFUNCTION("""COMPUTED_VALUE"""),0.407017512075484)</f>
        <v>0.40701751207548398</v>
      </c>
      <c r="J333" s="17">
        <f ca="1">IFERROR(__xludf.DUMMYFUNCTION("""COMPUTED_VALUE"""),0.0413987259114299)</f>
        <v>4.1398725911429901E-2</v>
      </c>
      <c r="K333" s="17" t="str">
        <f ca="1">IFERROR(__xludf.DUMMYFUNCTION("""COMPUTED_VALUE"""),"nan")</f>
        <v>nan</v>
      </c>
      <c r="L333" s="17">
        <f ca="1">IFERROR(__xludf.DUMMYFUNCTION("""COMPUTED_VALUE"""),0.127692919082567)</f>
        <v>0.127692919082567</v>
      </c>
      <c r="M333" s="17">
        <f ca="1">IFERROR(__xludf.DUMMYFUNCTION("""COMPUTED_VALUE"""),0.277801541679084)</f>
        <v>0.277801541679084</v>
      </c>
      <c r="N333" s="17">
        <f ca="1">IFERROR(__xludf.DUMMYFUNCTION("""COMPUTED_VALUE"""),0.2941533539626)</f>
        <v>0.29415335396260001</v>
      </c>
      <c r="O333" s="17">
        <f ca="1">IFERROR(__xludf.DUMMYFUNCTION("""COMPUTED_VALUE"""),0.0751842338007951)</f>
        <v>7.51842338007951E-2</v>
      </c>
      <c r="P333" s="17">
        <f ca="1">IFERROR(__xludf.DUMMYFUNCTION("""COMPUTED_VALUE"""),1.2056837025858)</f>
        <v>1.2056837025858</v>
      </c>
      <c r="Q333" s="17">
        <f ca="1">IFERROR(__xludf.DUMMYFUNCTION("""COMPUTED_VALUE"""),0.149940543046696)</f>
        <v>0.14994054304669599</v>
      </c>
      <c r="R333" s="17">
        <f ca="1">IFERROR(__xludf.DUMMYFUNCTION("""COMPUTED_VALUE"""),0.229048584815598)</f>
        <v>0.22904858481559801</v>
      </c>
      <c r="S333" s="17">
        <f ca="1">IFERROR(__xludf.DUMMYFUNCTION("""COMPUTED_VALUE"""),0.192899408228569)</f>
        <v>0.19289940822856899</v>
      </c>
      <c r="T333" s="17">
        <f ca="1">IFERROR(__xludf.DUMMYFUNCTION("""COMPUTED_VALUE"""),0.409876021278861)</f>
        <v>0.40987602127886102</v>
      </c>
      <c r="U333" s="17">
        <f ca="1">IFERROR(__xludf.DUMMYFUNCTION("""COMPUTED_VALUE"""),0.45108977061889)</f>
        <v>0.45108977061889</v>
      </c>
      <c r="V333" s="17">
        <f ca="1">IFERROR(__xludf.DUMMYFUNCTION("""COMPUTED_VALUE"""),0.212245743058703)</f>
        <v>0.212245743058703</v>
      </c>
      <c r="W333" s="17">
        <f ca="1">IFERROR(__xludf.DUMMYFUNCTION("""COMPUTED_VALUE"""),0.757580275925296)</f>
        <v>0.75758027592529598</v>
      </c>
      <c r="X333" s="17">
        <f ca="1">IFERROR(__xludf.DUMMYFUNCTION("""COMPUTED_VALUE"""),0.61814114358998)</f>
        <v>0.61814114358997996</v>
      </c>
      <c r="Y333" s="17">
        <f ca="1">IFERROR(__xludf.DUMMYFUNCTION("""COMPUTED_VALUE"""),0.0828679549299159)</f>
        <v>8.2867954929915902E-2</v>
      </c>
      <c r="Z333" s="17">
        <f ca="1">IFERROR(__xludf.DUMMYFUNCTION("""COMPUTED_VALUE"""),0.103492220758806)</f>
        <v>0.103492220758806</v>
      </c>
      <c r="AA333" s="17">
        <f ca="1">IFERROR(__xludf.DUMMYFUNCTION("""COMPUTED_VALUE"""),0.072963352762349)</f>
        <v>7.2963352762348999E-2</v>
      </c>
      <c r="AB333" s="17">
        <f ca="1">IFERROR(__xludf.DUMMYFUNCTION("""COMPUTED_VALUE"""),0.167845877418807)</f>
        <v>0.16784587741880699</v>
      </c>
      <c r="AC333" s="17">
        <f ca="1">IFERROR(__xludf.DUMMYFUNCTION("""COMPUTED_VALUE"""),0.774593584730795)</f>
        <v>0.77459358473079498</v>
      </c>
      <c r="AD333" s="17">
        <f ca="1">IFERROR(__xludf.DUMMYFUNCTION("""COMPUTED_VALUE"""),0.111259336267027)</f>
        <v>0.111259336267027</v>
      </c>
      <c r="AE333" s="17">
        <f ca="1">IFERROR(__xludf.DUMMYFUNCTION("""COMPUTED_VALUE"""),1.56214908038162)</f>
        <v>1.56214908038162</v>
      </c>
      <c r="AF333" s="17">
        <f ca="1">IFERROR(__xludf.DUMMYFUNCTION("""COMPUTED_VALUE"""),0.584456930057807)</f>
        <v>0.58445693005780697</v>
      </c>
      <c r="AG333" s="17">
        <f ca="1">IFERROR(__xludf.DUMMYFUNCTION("""COMPUTED_VALUE"""),1.44894266112256)</f>
        <v>1.44894266112256</v>
      </c>
      <c r="AH333" s="17">
        <f ca="1">IFERROR(__xludf.DUMMYFUNCTION("""COMPUTED_VALUE"""),0.992157105416602)</f>
        <v>0.99215710541660196</v>
      </c>
      <c r="AI333" s="17">
        <f ca="1">IFERROR(__xludf.DUMMYFUNCTION("""COMPUTED_VALUE"""),1.05557310251705)</f>
        <v>1.0555731025170501</v>
      </c>
      <c r="AJ333" s="17">
        <f ca="1">IFERROR(__xludf.DUMMYFUNCTION("""COMPUTED_VALUE"""),0.873544924464049)</f>
        <v>0.87354492446404897</v>
      </c>
    </row>
    <row r="334" spans="2:36" ht="15.75" customHeight="1" x14ac:dyDescent="0.45">
      <c r="B334" s="10" t="str">
        <f ca="1">IFERROR(__xludf.DUMMYFUNCTION("""COMPUTED_VALUE"""),"FreezerSmallTrain")</f>
        <v>FreezerSmallTrain</v>
      </c>
      <c r="C334" s="10" t="str">
        <f ca="1">IFERROR(__xludf.DUMMYFUNCTION("""COMPUTED_VALUE"""),"aligned_series")</f>
        <v>aligned_series</v>
      </c>
      <c r="D334" s="10">
        <f ca="1">IFERROR(__xludf.DUMMYFUNCTION("""COMPUTED_VALUE"""),0.4)</f>
        <v>0.4</v>
      </c>
      <c r="E334" s="17">
        <f ca="1">IFERROR(__xludf.DUMMYFUNCTION("""COMPUTED_VALUE"""),1.43030508833259)</f>
        <v>1.4303050883325901</v>
      </c>
      <c r="F334" s="17">
        <f ca="1">IFERROR(__xludf.DUMMYFUNCTION("""COMPUTED_VALUE"""),0.197082827415482)</f>
        <v>0.197082827415482</v>
      </c>
      <c r="G334" s="17">
        <f ca="1">IFERROR(__xludf.DUMMYFUNCTION("""COMPUTED_VALUE"""),0.196548896313163)</f>
        <v>0.196548896313163</v>
      </c>
      <c r="H334" s="17">
        <f ca="1">IFERROR(__xludf.DUMMYFUNCTION("""COMPUTED_VALUE"""),0.283828102666798)</f>
        <v>0.28382810266679798</v>
      </c>
      <c r="I334" s="17">
        <f ca="1">IFERROR(__xludf.DUMMYFUNCTION("""COMPUTED_VALUE"""),0.697721935880593)</f>
        <v>0.69772193588059295</v>
      </c>
      <c r="J334" s="17">
        <f ca="1">IFERROR(__xludf.DUMMYFUNCTION("""COMPUTED_VALUE"""),1.78814237063133)</f>
        <v>1.78814237063133</v>
      </c>
      <c r="K334" s="17" t="str">
        <f ca="1">IFERROR(__xludf.DUMMYFUNCTION("""COMPUTED_VALUE"""),"nan")</f>
        <v>nan</v>
      </c>
      <c r="L334" s="17">
        <f ca="1">IFERROR(__xludf.DUMMYFUNCTION("""COMPUTED_VALUE"""),0.224146510372894)</f>
        <v>0.22414651037289399</v>
      </c>
      <c r="M334" s="17">
        <f ca="1">IFERROR(__xludf.DUMMYFUNCTION("""COMPUTED_VALUE"""),0.342698456428166)</f>
        <v>0.34269845642816599</v>
      </c>
      <c r="N334" s="17">
        <f ca="1">IFERROR(__xludf.DUMMYFUNCTION("""COMPUTED_VALUE"""),0.350839760563685)</f>
        <v>0.35083976056368499</v>
      </c>
      <c r="O334" s="17">
        <f ca="1">IFERROR(__xludf.DUMMYFUNCTION("""COMPUTED_VALUE"""),0.100385969477474)</f>
        <v>0.100385969477474</v>
      </c>
      <c r="P334" s="17">
        <f ca="1">IFERROR(__xludf.DUMMYFUNCTION("""COMPUTED_VALUE"""),1.20794571528036)</f>
        <v>1.2079457152803601</v>
      </c>
      <c r="Q334" s="17">
        <f ca="1">IFERROR(__xludf.DUMMYFUNCTION("""COMPUTED_VALUE"""),0.389487064217321)</f>
        <v>0.38948706421732099</v>
      </c>
      <c r="R334" s="17">
        <f ca="1">IFERROR(__xludf.DUMMYFUNCTION("""COMPUTED_VALUE"""),0.441113036388108)</f>
        <v>0.441113036388108</v>
      </c>
      <c r="S334" s="17">
        <f ca="1">IFERROR(__xludf.DUMMYFUNCTION("""COMPUTED_VALUE"""),1.24736851461932)</f>
        <v>1.2473685146193201</v>
      </c>
      <c r="T334" s="17">
        <f ca="1">IFERROR(__xludf.DUMMYFUNCTION("""COMPUTED_VALUE"""),0.481641989376287)</f>
        <v>0.48164198937628699</v>
      </c>
      <c r="U334" s="17">
        <f ca="1">IFERROR(__xludf.DUMMYFUNCTION("""COMPUTED_VALUE"""),0.442777732033285)</f>
        <v>0.44277773203328502</v>
      </c>
      <c r="V334" s="17">
        <f ca="1">IFERROR(__xludf.DUMMYFUNCTION("""COMPUTED_VALUE"""),0.432697701282545)</f>
        <v>0.43269770128254498</v>
      </c>
      <c r="W334" s="17">
        <f ca="1">IFERROR(__xludf.DUMMYFUNCTION("""COMPUTED_VALUE"""),0.619364106934002)</f>
        <v>0.61936410693400201</v>
      </c>
      <c r="X334" s="17">
        <f ca="1">IFERROR(__xludf.DUMMYFUNCTION("""COMPUTED_VALUE"""),0.6159957225407)</f>
        <v>0.61599572254070001</v>
      </c>
      <c r="Y334" s="17">
        <f ca="1">IFERROR(__xludf.DUMMYFUNCTION("""COMPUTED_VALUE"""),0.162407146682251)</f>
        <v>0.16240714668225101</v>
      </c>
      <c r="Z334" s="17">
        <f ca="1">IFERROR(__xludf.DUMMYFUNCTION("""COMPUTED_VALUE"""),0.164458028282309)</f>
        <v>0.16445802828230899</v>
      </c>
      <c r="AA334" s="17">
        <f ca="1">IFERROR(__xludf.DUMMYFUNCTION("""COMPUTED_VALUE"""),0.258602680653527)</f>
        <v>0.25860268065352698</v>
      </c>
      <c r="AB334" s="17">
        <f ca="1">IFERROR(__xludf.DUMMYFUNCTION("""COMPUTED_VALUE"""),0.372417759313809)</f>
        <v>0.37241775931380899</v>
      </c>
      <c r="AC334" s="17">
        <f ca="1">IFERROR(__xludf.DUMMYFUNCTION("""COMPUTED_VALUE"""),0.967403683988021)</f>
        <v>0.96740368398802101</v>
      </c>
      <c r="AD334" s="17">
        <f ca="1">IFERROR(__xludf.DUMMYFUNCTION("""COMPUTED_VALUE"""),0.17945581435187)</f>
        <v>0.17945581435187</v>
      </c>
      <c r="AE334" s="17">
        <f ca="1">IFERROR(__xludf.DUMMYFUNCTION("""COMPUTED_VALUE"""),1.4687551473157)</f>
        <v>1.4687551473156999</v>
      </c>
      <c r="AF334" s="17">
        <f ca="1">IFERROR(__xludf.DUMMYFUNCTION("""COMPUTED_VALUE"""),0.497482282121376)</f>
        <v>0.49748228212137602</v>
      </c>
      <c r="AG334" s="17">
        <f ca="1">IFERROR(__xludf.DUMMYFUNCTION("""COMPUTED_VALUE"""),1.52801736698499)</f>
        <v>1.5280173669849899</v>
      </c>
      <c r="AH334" s="17">
        <f ca="1">IFERROR(__xludf.DUMMYFUNCTION("""COMPUTED_VALUE"""),0.987037526512632)</f>
        <v>0.98703752651263199</v>
      </c>
      <c r="AI334" s="17">
        <f ca="1">IFERROR(__xludf.DUMMYFUNCTION("""COMPUTED_VALUE"""),1.05175942369696)</f>
        <v>1.0517594236969601</v>
      </c>
      <c r="AJ334" s="17">
        <f ca="1">IFERROR(__xludf.DUMMYFUNCTION("""COMPUTED_VALUE"""),1.10880445247763)</f>
        <v>1.1088044524776299</v>
      </c>
    </row>
    <row r="335" spans="2:36" ht="15.75" customHeight="1" x14ac:dyDescent="0.45">
      <c r="B335" s="10" t="str">
        <f ca="1">IFERROR(__xludf.DUMMYFUNCTION("""COMPUTED_VALUE"""),"FreezerSmallTrain")</f>
        <v>FreezerSmallTrain</v>
      </c>
      <c r="C335" s="10" t="str">
        <f ca="1">IFERROR(__xludf.DUMMYFUNCTION("""COMPUTED_VALUE"""),"aligned_series")</f>
        <v>aligned_series</v>
      </c>
      <c r="D335" s="10">
        <f ca="1">IFERROR(__xludf.DUMMYFUNCTION("""COMPUTED_VALUE"""),0.6)</f>
        <v>0.6</v>
      </c>
      <c r="E335" s="17">
        <f ca="1">IFERROR(__xludf.DUMMYFUNCTION("""COMPUTED_VALUE"""),1.45224089895099)</f>
        <v>1.4522408989509901</v>
      </c>
      <c r="F335" s="17">
        <f ca="1">IFERROR(__xludf.DUMMYFUNCTION("""COMPUTED_VALUE"""),0.221938703982669)</f>
        <v>0.22193870398266899</v>
      </c>
      <c r="G335" s="17">
        <f ca="1">IFERROR(__xludf.DUMMYFUNCTION("""COMPUTED_VALUE"""),0.168753564040447)</f>
        <v>0.168753564040447</v>
      </c>
      <c r="H335" s="17">
        <f ca="1">IFERROR(__xludf.DUMMYFUNCTION("""COMPUTED_VALUE"""),0.471364968316996)</f>
        <v>0.47136496831699598</v>
      </c>
      <c r="I335" s="17">
        <f ca="1">IFERROR(__xludf.DUMMYFUNCTION("""COMPUTED_VALUE"""),0.899833424697601)</f>
        <v>0.89983342469760097</v>
      </c>
      <c r="J335" s="17">
        <f ca="1">IFERROR(__xludf.DUMMYFUNCTION("""COMPUTED_VALUE"""),1.67633795868566)</f>
        <v>1.6763379586856599</v>
      </c>
      <c r="K335" s="17" t="str">
        <f ca="1">IFERROR(__xludf.DUMMYFUNCTION("""COMPUTED_VALUE"""),"nan")</f>
        <v>nan</v>
      </c>
      <c r="L335" s="17">
        <f ca="1">IFERROR(__xludf.DUMMYFUNCTION("""COMPUTED_VALUE"""),0.365064839356652)</f>
        <v>0.36506483935665202</v>
      </c>
      <c r="M335" s="17">
        <f ca="1">IFERROR(__xludf.DUMMYFUNCTION("""COMPUTED_VALUE"""),0.317670314105953)</f>
        <v>0.31767031410595298</v>
      </c>
      <c r="N335" s="17">
        <f ca="1">IFERROR(__xludf.DUMMYFUNCTION("""COMPUTED_VALUE"""),0.362023215139683)</f>
        <v>0.362023215139683</v>
      </c>
      <c r="O335" s="17">
        <f ca="1">IFERROR(__xludf.DUMMYFUNCTION("""COMPUTED_VALUE"""),0.132100753589524)</f>
        <v>0.132100753589524</v>
      </c>
      <c r="P335" s="17">
        <f ca="1">IFERROR(__xludf.DUMMYFUNCTION("""COMPUTED_VALUE"""),1.36923305318214)</f>
        <v>1.3692330531821399</v>
      </c>
      <c r="Q335" s="17">
        <f ca="1">IFERROR(__xludf.DUMMYFUNCTION("""COMPUTED_VALUE"""),1.19067576131001)</f>
        <v>1.1906757613100101</v>
      </c>
      <c r="R335" s="17">
        <f ca="1">IFERROR(__xludf.DUMMYFUNCTION("""COMPUTED_VALUE"""),0.708447432699816)</f>
        <v>0.70844743269981603</v>
      </c>
      <c r="S335" s="17">
        <f ca="1">IFERROR(__xludf.DUMMYFUNCTION("""COMPUTED_VALUE"""),1.26985069162852)</f>
        <v>1.2698506916285199</v>
      </c>
      <c r="T335" s="17">
        <f ca="1">IFERROR(__xludf.DUMMYFUNCTION("""COMPUTED_VALUE"""),0.79697788537405)</f>
        <v>0.79697788537405001</v>
      </c>
      <c r="U335" s="17">
        <f ca="1">IFERROR(__xludf.DUMMYFUNCTION("""COMPUTED_VALUE"""),0.537590985114179)</f>
        <v>0.53759098511417902</v>
      </c>
      <c r="V335" s="17">
        <f ca="1">IFERROR(__xludf.DUMMYFUNCTION("""COMPUTED_VALUE"""),0.709729384310846)</f>
        <v>0.70972938431084598</v>
      </c>
      <c r="W335" s="17">
        <f ca="1">IFERROR(__xludf.DUMMYFUNCTION("""COMPUTED_VALUE"""),0.7315579140697)</f>
        <v>0.73155791406970005</v>
      </c>
      <c r="X335" s="17">
        <f ca="1">IFERROR(__xludf.DUMMYFUNCTION("""COMPUTED_VALUE"""),0.630402065438518)</f>
        <v>0.63040206543851796</v>
      </c>
      <c r="Y335" s="17">
        <f ca="1">IFERROR(__xludf.DUMMYFUNCTION("""COMPUTED_VALUE"""),0.356737941434608)</f>
        <v>0.35673794143460802</v>
      </c>
      <c r="Z335" s="17">
        <f ca="1">IFERROR(__xludf.DUMMYFUNCTION("""COMPUTED_VALUE"""),0.181060866980684)</f>
        <v>0.18106086698068399</v>
      </c>
      <c r="AA335" s="17">
        <f ca="1">IFERROR(__xludf.DUMMYFUNCTION("""COMPUTED_VALUE"""),0.250284518101147)</f>
        <v>0.25028451810114699</v>
      </c>
      <c r="AB335" s="17">
        <f ca="1">IFERROR(__xludf.DUMMYFUNCTION("""COMPUTED_VALUE"""),1.37301251482183)</f>
        <v>1.37301251482183</v>
      </c>
      <c r="AC335" s="17">
        <f ca="1">IFERROR(__xludf.DUMMYFUNCTION("""COMPUTED_VALUE"""),1.12759766627771)</f>
        <v>1.1275976662777101</v>
      </c>
      <c r="AD335" s="17">
        <f ca="1">IFERROR(__xludf.DUMMYFUNCTION("""COMPUTED_VALUE"""),0.275091833265781)</f>
        <v>0.27509183326578102</v>
      </c>
      <c r="AE335" s="17">
        <f ca="1">IFERROR(__xludf.DUMMYFUNCTION("""COMPUTED_VALUE"""),1.48503792319279)</f>
        <v>1.4850379231927899</v>
      </c>
      <c r="AF335" s="17">
        <f ca="1">IFERROR(__xludf.DUMMYFUNCTION("""COMPUTED_VALUE"""),0.471160253763511)</f>
        <v>0.47116025376351101</v>
      </c>
      <c r="AG335" s="17">
        <f ca="1">IFERROR(__xludf.DUMMYFUNCTION("""COMPUTED_VALUE"""),1.5102359431633)</f>
        <v>1.5102359431632999</v>
      </c>
      <c r="AH335" s="17">
        <f ca="1">IFERROR(__xludf.DUMMYFUNCTION("""COMPUTED_VALUE"""),0.988714255904227)</f>
        <v>0.98871425590422701</v>
      </c>
      <c r="AI335" s="17">
        <f ca="1">IFERROR(__xludf.DUMMYFUNCTION("""COMPUTED_VALUE"""),1.05383258850748)</f>
        <v>1.05383258850748</v>
      </c>
      <c r="AJ335" s="17">
        <f ca="1">IFERROR(__xludf.DUMMYFUNCTION("""COMPUTED_VALUE"""),1.1794598921596)</f>
        <v>1.1794598921596</v>
      </c>
    </row>
    <row r="336" spans="2:36" ht="15.75" customHeight="1" x14ac:dyDescent="0.45">
      <c r="B336" s="10" t="str">
        <f ca="1">IFERROR(__xludf.DUMMYFUNCTION("""COMPUTED_VALUE"""),"FreezerSmallTrain")</f>
        <v>FreezerSmallTrain</v>
      </c>
      <c r="C336" s="10" t="str">
        <f ca="1">IFERROR(__xludf.DUMMYFUNCTION("""COMPUTED_VALUE"""),"aligned_series")</f>
        <v>aligned_series</v>
      </c>
      <c r="D336" s="10">
        <f ca="1">IFERROR(__xludf.DUMMYFUNCTION("""COMPUTED_VALUE"""),0.8)</f>
        <v>0.8</v>
      </c>
      <c r="E336" s="17">
        <f ca="1">IFERROR(__xludf.DUMMYFUNCTION("""COMPUTED_VALUE"""),1.46722572426179)</f>
        <v>1.4672257242617901</v>
      </c>
      <c r="F336" s="17">
        <f ca="1">IFERROR(__xludf.DUMMYFUNCTION("""COMPUTED_VALUE"""),0.476219062515587)</f>
        <v>0.47621906251558699</v>
      </c>
      <c r="G336" s="17">
        <f ca="1">IFERROR(__xludf.DUMMYFUNCTION("""COMPUTED_VALUE"""),0.459702498907234)</f>
        <v>0.45970249890723403</v>
      </c>
      <c r="H336" s="17">
        <f ca="1">IFERROR(__xludf.DUMMYFUNCTION("""COMPUTED_VALUE"""),1.46853100675458)</f>
        <v>1.46853100675458</v>
      </c>
      <c r="I336" s="17">
        <f ca="1">IFERROR(__xludf.DUMMYFUNCTION("""COMPUTED_VALUE"""),1.12875064820189)</f>
        <v>1.1287506482018901</v>
      </c>
      <c r="J336" s="17">
        <f ca="1">IFERROR(__xludf.DUMMYFUNCTION("""COMPUTED_VALUE"""),1.69542926680768)</f>
        <v>1.69542926680768</v>
      </c>
      <c r="K336" s="17" t="str">
        <f ca="1">IFERROR(__xludf.DUMMYFUNCTION("""COMPUTED_VALUE"""),"nan")</f>
        <v>nan</v>
      </c>
      <c r="L336" s="17">
        <f ca="1">IFERROR(__xludf.DUMMYFUNCTION("""COMPUTED_VALUE"""),0.490685615100272)</f>
        <v>0.49068561510027198</v>
      </c>
      <c r="M336" s="17">
        <f ca="1">IFERROR(__xludf.DUMMYFUNCTION("""COMPUTED_VALUE"""),0.578075443779671)</f>
        <v>0.57807544377967102</v>
      </c>
      <c r="N336" s="17">
        <f ca="1">IFERROR(__xludf.DUMMYFUNCTION("""COMPUTED_VALUE"""),0.408447077436317)</f>
        <v>0.40844707743631697</v>
      </c>
      <c r="O336" s="17">
        <f ca="1">IFERROR(__xludf.DUMMYFUNCTION("""COMPUTED_VALUE"""),0.505968399108263)</f>
        <v>0.50596839910826297</v>
      </c>
      <c r="P336" s="17">
        <f ca="1">IFERROR(__xludf.DUMMYFUNCTION("""COMPUTED_VALUE"""),1.53479321281454)</f>
        <v>1.5347932128145401</v>
      </c>
      <c r="Q336" s="17">
        <f ca="1">IFERROR(__xludf.DUMMYFUNCTION("""COMPUTED_VALUE"""),1.57308423363486)</f>
        <v>1.5730842336348601</v>
      </c>
      <c r="R336" s="17">
        <f ca="1">IFERROR(__xludf.DUMMYFUNCTION("""COMPUTED_VALUE"""),1.17171244235112)</f>
        <v>1.17171244235112</v>
      </c>
      <c r="S336" s="17">
        <f ca="1">IFERROR(__xludf.DUMMYFUNCTION("""COMPUTED_VALUE"""),1.58999546053174)</f>
        <v>1.5899954605317399</v>
      </c>
      <c r="T336" s="17">
        <f ca="1">IFERROR(__xludf.DUMMYFUNCTION("""COMPUTED_VALUE"""),0.909750365941099)</f>
        <v>0.90975036594109904</v>
      </c>
      <c r="U336" s="17">
        <f ca="1">IFERROR(__xludf.DUMMYFUNCTION("""COMPUTED_VALUE"""),0.619375436322162)</f>
        <v>0.61937543632216197</v>
      </c>
      <c r="V336" s="17">
        <f ca="1">IFERROR(__xludf.DUMMYFUNCTION("""COMPUTED_VALUE"""),0.776484421892475)</f>
        <v>0.77648442189247502</v>
      </c>
      <c r="W336" s="17">
        <f ca="1">IFERROR(__xludf.DUMMYFUNCTION("""COMPUTED_VALUE"""),1.09060461824424)</f>
        <v>1.0906046182442399</v>
      </c>
      <c r="X336" s="17">
        <f ca="1">IFERROR(__xludf.DUMMYFUNCTION("""COMPUTED_VALUE"""),0.630058867145344)</f>
        <v>0.63005886714534398</v>
      </c>
      <c r="Y336" s="17">
        <f ca="1">IFERROR(__xludf.DUMMYFUNCTION("""COMPUTED_VALUE"""),0.630662065988054)</f>
        <v>0.63066206598805397</v>
      </c>
      <c r="Z336" s="17">
        <f ca="1">IFERROR(__xludf.DUMMYFUNCTION("""COMPUTED_VALUE"""),0.542151049698815)</f>
        <v>0.542151049698815</v>
      </c>
      <c r="AA336" s="17">
        <f ca="1">IFERROR(__xludf.DUMMYFUNCTION("""COMPUTED_VALUE"""),0.503171691879021)</f>
        <v>0.503171691879021</v>
      </c>
      <c r="AB336" s="17">
        <f ca="1">IFERROR(__xludf.DUMMYFUNCTION("""COMPUTED_VALUE"""),1.63683687166365)</f>
        <v>1.6368368716636501</v>
      </c>
      <c r="AC336" s="17">
        <f ca="1">IFERROR(__xludf.DUMMYFUNCTION("""COMPUTED_VALUE"""),1.14860523945284)</f>
        <v>1.1486052394528401</v>
      </c>
      <c r="AD336" s="17">
        <f ca="1">IFERROR(__xludf.DUMMYFUNCTION("""COMPUTED_VALUE"""),0.629078928635487)</f>
        <v>0.62907892863548698</v>
      </c>
      <c r="AE336" s="17">
        <f ca="1">IFERROR(__xludf.DUMMYFUNCTION("""COMPUTED_VALUE"""),1.48587827541556)</f>
        <v>1.4858782754155599</v>
      </c>
      <c r="AF336" s="17">
        <f ca="1">IFERROR(__xludf.DUMMYFUNCTION("""COMPUTED_VALUE"""),0.604425389228365)</f>
        <v>0.60442538922836497</v>
      </c>
      <c r="AG336" s="17">
        <f ca="1">IFERROR(__xludf.DUMMYFUNCTION("""COMPUTED_VALUE"""),1.28637635066478)</f>
        <v>1.2863763506647801</v>
      </c>
      <c r="AH336" s="17">
        <f ca="1">IFERROR(__xludf.DUMMYFUNCTION("""COMPUTED_VALUE"""),0.989617305958695)</f>
        <v>0.98961730595869501</v>
      </c>
      <c r="AI336" s="17">
        <f ca="1">IFERROR(__xludf.DUMMYFUNCTION("""COMPUTED_VALUE"""),1.0568059496286)</f>
        <v>1.0568059496286</v>
      </c>
      <c r="AJ336" s="17">
        <f ca="1">IFERROR(__xludf.DUMMYFUNCTION("""COMPUTED_VALUE"""),1.34177582389493)</f>
        <v>1.34177582389493</v>
      </c>
    </row>
    <row r="337" spans="2:36" ht="15.75" customHeight="1" x14ac:dyDescent="0.45">
      <c r="B337" s="10" t="str">
        <f ca="1">IFERROR(__xludf.DUMMYFUNCTION("""COMPUTED_VALUE"""),"FreezerSmallTrain")</f>
        <v>FreezerSmallTrain</v>
      </c>
      <c r="C337" s="10" t="str">
        <f ca="1">IFERROR(__xludf.DUMMYFUNCTION("""COMPUTED_VALUE"""),"aligned_timestamps")</f>
        <v>aligned_timestamps</v>
      </c>
      <c r="D337" s="10">
        <f ca="1">IFERROR(__xludf.DUMMYFUNCTION("""COMPUTED_VALUE"""),0.1)</f>
        <v>0.1</v>
      </c>
      <c r="E337" s="17">
        <f ca="1">IFERROR(__xludf.DUMMYFUNCTION("""COMPUTED_VALUE"""),1.77150113685098)</f>
        <v>1.7715011368509801</v>
      </c>
      <c r="F337" s="17">
        <f ca="1">IFERROR(__xludf.DUMMYFUNCTION("""COMPUTED_VALUE"""),0.148953238658862)</f>
        <v>0.14895323865886201</v>
      </c>
      <c r="G337" s="17">
        <f ca="1">IFERROR(__xludf.DUMMYFUNCTION("""COMPUTED_VALUE"""),0.14298453567762)</f>
        <v>0.14298453567762001</v>
      </c>
      <c r="H337" s="17">
        <f ca="1">IFERROR(__xludf.DUMMYFUNCTION("""COMPUTED_VALUE"""),0.304356911090634)</f>
        <v>0.30435691109063401</v>
      </c>
      <c r="I337" s="17">
        <f ca="1">IFERROR(__xludf.DUMMYFUNCTION("""COMPUTED_VALUE"""),0.308003927596958)</f>
        <v>0.30800392759695799</v>
      </c>
      <c r="J337" s="17">
        <f ca="1">IFERROR(__xludf.DUMMYFUNCTION("""COMPUTED_VALUE"""),0.000165576480111849)</f>
        <v>1.65576480111849E-4</v>
      </c>
      <c r="K337" s="17" t="str">
        <f ca="1">IFERROR(__xludf.DUMMYFUNCTION("""COMPUTED_VALUE"""),"nan")</f>
        <v>nan</v>
      </c>
      <c r="L337" s="17">
        <f ca="1">IFERROR(__xludf.DUMMYFUNCTION("""COMPUTED_VALUE"""),0.1795996539811)</f>
        <v>0.1795996539811</v>
      </c>
      <c r="M337" s="17">
        <f ca="1">IFERROR(__xludf.DUMMYFUNCTION("""COMPUTED_VALUE"""),0.296855262597902)</f>
        <v>0.29685526259790201</v>
      </c>
      <c r="N337" s="17">
        <f ca="1">IFERROR(__xludf.DUMMYFUNCTION("""COMPUTED_VALUE"""),0.200014950424187)</f>
        <v>0.20001495042418699</v>
      </c>
      <c r="O337" s="17">
        <f ca="1">IFERROR(__xludf.DUMMYFUNCTION("""COMPUTED_VALUE"""),0.0310294381882141)</f>
        <v>3.10294381882141E-2</v>
      </c>
      <c r="P337" s="17">
        <f ca="1">IFERROR(__xludf.DUMMYFUNCTION("""COMPUTED_VALUE"""),1.54390024899999)</f>
        <v>1.54390024899999</v>
      </c>
      <c r="Q337" s="17">
        <f ca="1">IFERROR(__xludf.DUMMYFUNCTION("""COMPUTED_VALUE"""),0.188738051011662)</f>
        <v>0.18873805101166199</v>
      </c>
      <c r="R337" s="17">
        <f ca="1">IFERROR(__xludf.DUMMYFUNCTION("""COMPUTED_VALUE"""),0.314261760693311)</f>
        <v>0.31426176069331102</v>
      </c>
      <c r="S337" s="17">
        <f ca="1">IFERROR(__xludf.DUMMYFUNCTION("""COMPUTED_VALUE"""),0.00017893807336815)</f>
        <v>1.7893807336815E-4</v>
      </c>
      <c r="T337" s="17">
        <f ca="1">IFERROR(__xludf.DUMMYFUNCTION("""COMPUTED_VALUE"""),0.430954672429347)</f>
        <v>0.43095467242934699</v>
      </c>
      <c r="U337" s="17">
        <f ca="1">IFERROR(__xludf.DUMMYFUNCTION("""COMPUTED_VALUE"""),0.25480078253269)</f>
        <v>0.25480078253269001</v>
      </c>
      <c r="V337" s="17">
        <f ca="1">IFERROR(__xludf.DUMMYFUNCTION("""COMPUTED_VALUE"""),0.295742312589327)</f>
        <v>0.29574231258932698</v>
      </c>
      <c r="W337" s="17">
        <f ca="1">IFERROR(__xludf.DUMMYFUNCTION("""COMPUTED_VALUE"""),0.66057520793655)</f>
        <v>0.66057520793655</v>
      </c>
      <c r="X337" s="17">
        <f ca="1">IFERROR(__xludf.DUMMYFUNCTION("""COMPUTED_VALUE"""),0.703512946666268)</f>
        <v>0.70351294666626796</v>
      </c>
      <c r="Y337" s="17">
        <f ca="1">IFERROR(__xludf.DUMMYFUNCTION("""COMPUTED_VALUE"""),0.034741012883729)</f>
        <v>3.4741012883729001E-2</v>
      </c>
      <c r="Z337" s="17">
        <f ca="1">IFERROR(__xludf.DUMMYFUNCTION("""COMPUTED_VALUE"""),0.100210744289785)</f>
        <v>0.10021074428978501</v>
      </c>
      <c r="AA337" s="17">
        <f ca="1">IFERROR(__xludf.DUMMYFUNCTION("""COMPUTED_VALUE"""),0.00582761905042371)</f>
        <v>5.8276190504237104E-3</v>
      </c>
      <c r="AB337" s="17">
        <f ca="1">IFERROR(__xludf.DUMMYFUNCTION("""COMPUTED_VALUE"""),0.537972191906237)</f>
        <v>0.53797219190623702</v>
      </c>
      <c r="AC337" s="17">
        <f ca="1">IFERROR(__xludf.DUMMYFUNCTION("""COMPUTED_VALUE"""),0.98842547321236)</f>
        <v>0.98842547321235996</v>
      </c>
      <c r="AD337" s="17">
        <f ca="1">IFERROR(__xludf.DUMMYFUNCTION("""COMPUTED_VALUE"""),0.0921210714985611)</f>
        <v>9.2121071498561094E-2</v>
      </c>
      <c r="AE337" s="17">
        <f ca="1">IFERROR(__xludf.DUMMYFUNCTION("""COMPUTED_VALUE"""),1.81337875980737)</f>
        <v>1.8133787598073701</v>
      </c>
      <c r="AF337" s="17">
        <f ca="1">IFERROR(__xludf.DUMMYFUNCTION("""COMPUTED_VALUE"""),0.378033848207265)</f>
        <v>0.37803384820726499</v>
      </c>
      <c r="AG337" s="17">
        <f ca="1">IFERROR(__xludf.DUMMYFUNCTION("""COMPUTED_VALUE"""),1.36552955674566)</f>
        <v>1.36552955674566</v>
      </c>
      <c r="AH337" s="17">
        <f ca="1">IFERROR(__xludf.DUMMYFUNCTION("""COMPUTED_VALUE"""),0.776118796263282)</f>
        <v>0.77611879626328195</v>
      </c>
      <c r="AI337" s="17">
        <f ca="1">IFERROR(__xludf.DUMMYFUNCTION("""COMPUTED_VALUE"""),0.698035250078923)</f>
        <v>0.69803525007892298</v>
      </c>
      <c r="AJ337" s="17">
        <f ca="1">IFERROR(__xludf.DUMMYFUNCTION("""COMPUTED_VALUE"""),0.525396433825267)</f>
        <v>0.52539643382526702</v>
      </c>
    </row>
    <row r="338" spans="2:36" ht="15.75" customHeight="1" x14ac:dyDescent="0.45">
      <c r="B338" s="10" t="str">
        <f ca="1">IFERROR(__xludf.DUMMYFUNCTION("""COMPUTED_VALUE"""),"FreezerSmallTrain")</f>
        <v>FreezerSmallTrain</v>
      </c>
      <c r="C338" s="10" t="str">
        <f ca="1">IFERROR(__xludf.DUMMYFUNCTION("""COMPUTED_VALUE"""),"aligned_timestamps")</f>
        <v>aligned_timestamps</v>
      </c>
      <c r="D338" s="10">
        <f ca="1">IFERROR(__xludf.DUMMYFUNCTION("""COMPUTED_VALUE"""),0.2)</f>
        <v>0.2</v>
      </c>
      <c r="E338" s="17">
        <f ca="1">IFERROR(__xludf.DUMMYFUNCTION("""COMPUTED_VALUE"""),1.45564311741007)</f>
        <v>1.4556431174100699</v>
      </c>
      <c r="F338" s="17">
        <f ca="1">IFERROR(__xludf.DUMMYFUNCTION("""COMPUTED_VALUE"""),0.155953644650512)</f>
        <v>0.15595364465051201</v>
      </c>
      <c r="G338" s="17">
        <f ca="1">IFERROR(__xludf.DUMMYFUNCTION("""COMPUTED_VALUE"""),0.154307508753064)</f>
        <v>0.15430750875306401</v>
      </c>
      <c r="H338" s="17">
        <f ca="1">IFERROR(__xludf.DUMMYFUNCTION("""COMPUTED_VALUE"""),0.224531486264988)</f>
        <v>0.22453148626498801</v>
      </c>
      <c r="I338" s="17">
        <f ca="1">IFERROR(__xludf.DUMMYFUNCTION("""COMPUTED_VALUE"""),0.407017512075484)</f>
        <v>0.40701751207548398</v>
      </c>
      <c r="J338" s="17">
        <f ca="1">IFERROR(__xludf.DUMMYFUNCTION("""COMPUTED_VALUE"""),0.0413987259114299)</f>
        <v>4.1398725911429901E-2</v>
      </c>
      <c r="K338" s="17" t="str">
        <f ca="1">IFERROR(__xludf.DUMMYFUNCTION("""COMPUTED_VALUE"""),"nan")</f>
        <v>nan</v>
      </c>
      <c r="L338" s="17">
        <f ca="1">IFERROR(__xludf.DUMMYFUNCTION("""COMPUTED_VALUE"""),0.127692919082567)</f>
        <v>0.127692919082567</v>
      </c>
      <c r="M338" s="17">
        <f ca="1">IFERROR(__xludf.DUMMYFUNCTION("""COMPUTED_VALUE"""),0.277801541679084)</f>
        <v>0.277801541679084</v>
      </c>
      <c r="N338" s="17">
        <f ca="1">IFERROR(__xludf.DUMMYFUNCTION("""COMPUTED_VALUE"""),0.2941533539626)</f>
        <v>0.29415335396260001</v>
      </c>
      <c r="O338" s="17">
        <f ca="1">IFERROR(__xludf.DUMMYFUNCTION("""COMPUTED_VALUE"""),0.0751842338007951)</f>
        <v>7.51842338007951E-2</v>
      </c>
      <c r="P338" s="17">
        <f ca="1">IFERROR(__xludf.DUMMYFUNCTION("""COMPUTED_VALUE"""),1.2056837025858)</f>
        <v>1.2056837025858</v>
      </c>
      <c r="Q338" s="17">
        <f ca="1">IFERROR(__xludf.DUMMYFUNCTION("""COMPUTED_VALUE"""),0.149940543046696)</f>
        <v>0.14994054304669599</v>
      </c>
      <c r="R338" s="17">
        <f ca="1">IFERROR(__xludf.DUMMYFUNCTION("""COMPUTED_VALUE"""),0.229048584815598)</f>
        <v>0.22904858481559801</v>
      </c>
      <c r="S338" s="17">
        <f ca="1">IFERROR(__xludf.DUMMYFUNCTION("""COMPUTED_VALUE"""),0.192899408228569)</f>
        <v>0.19289940822856899</v>
      </c>
      <c r="T338" s="17">
        <f ca="1">IFERROR(__xludf.DUMMYFUNCTION("""COMPUTED_VALUE"""),0.409876021278861)</f>
        <v>0.40987602127886102</v>
      </c>
      <c r="U338" s="17">
        <f ca="1">IFERROR(__xludf.DUMMYFUNCTION("""COMPUTED_VALUE"""),0.45108977061889)</f>
        <v>0.45108977061889</v>
      </c>
      <c r="V338" s="17">
        <f ca="1">IFERROR(__xludf.DUMMYFUNCTION("""COMPUTED_VALUE"""),0.212245743058703)</f>
        <v>0.212245743058703</v>
      </c>
      <c r="W338" s="17">
        <f ca="1">IFERROR(__xludf.DUMMYFUNCTION("""COMPUTED_VALUE"""),0.764961343281252)</f>
        <v>0.76496134328125198</v>
      </c>
      <c r="X338" s="17">
        <f ca="1">IFERROR(__xludf.DUMMYFUNCTION("""COMPUTED_VALUE"""),0.904903980661085)</f>
        <v>0.90490398066108502</v>
      </c>
      <c r="Y338" s="17">
        <f ca="1">IFERROR(__xludf.DUMMYFUNCTION("""COMPUTED_VALUE"""),0.0828679549299159)</f>
        <v>8.2867954929915902E-2</v>
      </c>
      <c r="Z338" s="17">
        <f ca="1">IFERROR(__xludf.DUMMYFUNCTION("""COMPUTED_VALUE"""),0.103492220758806)</f>
        <v>0.103492220758806</v>
      </c>
      <c r="AA338" s="17">
        <f ca="1">IFERROR(__xludf.DUMMYFUNCTION("""COMPUTED_VALUE"""),0.072963352762349)</f>
        <v>7.2963352762348999E-2</v>
      </c>
      <c r="AB338" s="17">
        <f ca="1">IFERROR(__xludf.DUMMYFUNCTION("""COMPUTED_VALUE"""),0.602825884456113)</f>
        <v>0.60282588445611296</v>
      </c>
      <c r="AC338" s="17">
        <f ca="1">IFERROR(__xludf.DUMMYFUNCTION("""COMPUTED_VALUE"""),0.774593584730795)</f>
        <v>0.77459358473079498</v>
      </c>
      <c r="AD338" s="17">
        <f ca="1">IFERROR(__xludf.DUMMYFUNCTION("""COMPUTED_VALUE"""),0.108434403254723)</f>
        <v>0.10843440325472301</v>
      </c>
      <c r="AE338" s="17">
        <f ca="1">IFERROR(__xludf.DUMMYFUNCTION("""COMPUTED_VALUE"""),1.54945577845673)</f>
        <v>1.54945577845673</v>
      </c>
      <c r="AF338" s="17">
        <f ca="1">IFERROR(__xludf.DUMMYFUNCTION("""COMPUTED_VALUE"""),0.584456930057807)</f>
        <v>0.58445693005780697</v>
      </c>
      <c r="AG338" s="17">
        <f ca="1">IFERROR(__xludf.DUMMYFUNCTION("""COMPUTED_VALUE"""),1.17907258804739)</f>
        <v>1.17907258804739</v>
      </c>
      <c r="AH338" s="17">
        <f ca="1">IFERROR(__xludf.DUMMYFUNCTION("""COMPUTED_VALUE"""),0.992157105416602)</f>
        <v>0.99215710541660196</v>
      </c>
      <c r="AI338" s="17">
        <f ca="1">IFERROR(__xludf.DUMMYFUNCTION("""COMPUTED_VALUE"""),1.05557310251705)</f>
        <v>1.0555731025170501</v>
      </c>
      <c r="AJ338" s="17">
        <f ca="1">IFERROR(__xludf.DUMMYFUNCTION("""COMPUTED_VALUE"""),0.922010544742675)</f>
        <v>0.92201054474267496</v>
      </c>
    </row>
    <row r="339" spans="2:36" ht="15.75" customHeight="1" x14ac:dyDescent="0.45">
      <c r="B339" s="10" t="str">
        <f ca="1">IFERROR(__xludf.DUMMYFUNCTION("""COMPUTED_VALUE"""),"FreezerSmallTrain")</f>
        <v>FreezerSmallTrain</v>
      </c>
      <c r="C339" s="10" t="str">
        <f ca="1">IFERROR(__xludf.DUMMYFUNCTION("""COMPUTED_VALUE"""),"aligned_timestamps")</f>
        <v>aligned_timestamps</v>
      </c>
      <c r="D339" s="10">
        <f ca="1">IFERROR(__xludf.DUMMYFUNCTION("""COMPUTED_VALUE"""),0.4)</f>
        <v>0.4</v>
      </c>
      <c r="E339" s="17">
        <f ca="1">IFERROR(__xludf.DUMMYFUNCTION("""COMPUTED_VALUE"""),1.13527768461546)</f>
        <v>1.13527768461546</v>
      </c>
      <c r="F339" s="17">
        <f ca="1">IFERROR(__xludf.DUMMYFUNCTION("""COMPUTED_VALUE"""),0.150790658826203)</f>
        <v>0.15079065882620299</v>
      </c>
      <c r="G339" s="17">
        <f ca="1">IFERROR(__xludf.DUMMYFUNCTION("""COMPUTED_VALUE"""),0.151832400966471)</f>
        <v>0.15183240096647099</v>
      </c>
      <c r="H339" s="17">
        <f ca="1">IFERROR(__xludf.DUMMYFUNCTION("""COMPUTED_VALUE"""),0.146346122409232)</f>
        <v>0.146346122409232</v>
      </c>
      <c r="I339" s="17">
        <f ca="1">IFERROR(__xludf.DUMMYFUNCTION("""COMPUTED_VALUE"""),0.38624236591668)</f>
        <v>0.38624236591667999</v>
      </c>
      <c r="J339" s="17">
        <f ca="1">IFERROR(__xludf.DUMMYFUNCTION("""COMPUTED_VALUE"""),2.05818625763766)</f>
        <v>2.0581862576376602</v>
      </c>
      <c r="K339" s="17" t="str">
        <f ca="1">IFERROR(__xludf.DUMMYFUNCTION("""COMPUTED_VALUE"""),"nan")</f>
        <v>nan</v>
      </c>
      <c r="L339" s="17">
        <f ca="1">IFERROR(__xludf.DUMMYFUNCTION("""COMPUTED_VALUE"""),0.135067995692977)</f>
        <v>0.13506799569297701</v>
      </c>
      <c r="M339" s="17">
        <f ca="1">IFERROR(__xludf.DUMMYFUNCTION("""COMPUTED_VALUE"""),0.258526208611139)</f>
        <v>0.25852620861113901</v>
      </c>
      <c r="N339" s="17">
        <f ca="1">IFERROR(__xludf.DUMMYFUNCTION("""COMPUTED_VALUE"""),0.215658539492948)</f>
        <v>0.215658539492948</v>
      </c>
      <c r="O339" s="17">
        <f ca="1">IFERROR(__xludf.DUMMYFUNCTION("""COMPUTED_VALUE"""),0.0625476929232451)</f>
        <v>6.2547692923245093E-2</v>
      </c>
      <c r="P339" s="17">
        <f ca="1">IFERROR(__xludf.DUMMYFUNCTION("""COMPUTED_VALUE"""),1.0377700560693)</f>
        <v>1.0377700560693</v>
      </c>
      <c r="Q339" s="17">
        <f ca="1">IFERROR(__xludf.DUMMYFUNCTION("""COMPUTED_VALUE"""),0.117630646915726)</f>
        <v>0.117630646915726</v>
      </c>
      <c r="R339" s="17">
        <f ca="1">IFERROR(__xludf.DUMMYFUNCTION("""COMPUTED_VALUE"""),0.14102306762807)</f>
        <v>0.14102306762806999</v>
      </c>
      <c r="S339" s="17">
        <f ca="1">IFERROR(__xludf.DUMMYFUNCTION("""COMPUTED_VALUE"""),0.183105716050593)</f>
        <v>0.183105716050593</v>
      </c>
      <c r="T339" s="17">
        <f ca="1">IFERROR(__xludf.DUMMYFUNCTION("""COMPUTED_VALUE"""),0.33144128940625)</f>
        <v>0.33144128940625001</v>
      </c>
      <c r="U339" s="17">
        <f ca="1">IFERROR(__xludf.DUMMYFUNCTION("""COMPUTED_VALUE"""),0.341030560129754)</f>
        <v>0.34103056012975402</v>
      </c>
      <c r="V339" s="17">
        <f ca="1">IFERROR(__xludf.DUMMYFUNCTION("""COMPUTED_VALUE"""),0.336907602376117)</f>
        <v>0.336907602376117</v>
      </c>
      <c r="W339" s="17">
        <f ca="1">IFERROR(__xludf.DUMMYFUNCTION("""COMPUTED_VALUE"""),0.429567939061999)</f>
        <v>0.42956793906199903</v>
      </c>
      <c r="X339" s="17">
        <f ca="1">IFERROR(__xludf.DUMMYFUNCTION("""COMPUTED_VALUE"""),0.453480454544856)</f>
        <v>0.45348045454485603</v>
      </c>
      <c r="Y339" s="17">
        <f ca="1">IFERROR(__xludf.DUMMYFUNCTION("""COMPUTED_VALUE"""),0.158115186858346)</f>
        <v>0.158115186858346</v>
      </c>
      <c r="Z339" s="17">
        <f ca="1">IFERROR(__xludf.DUMMYFUNCTION("""COMPUTED_VALUE"""),0.544399406739108)</f>
        <v>0.54439940673910803</v>
      </c>
      <c r="AA339" s="17">
        <f ca="1">IFERROR(__xludf.DUMMYFUNCTION("""COMPUTED_VALUE"""),0.0707584235194155)</f>
        <v>7.0758423519415498E-2</v>
      </c>
      <c r="AB339" s="17">
        <f ca="1">IFERROR(__xludf.DUMMYFUNCTION("""COMPUTED_VALUE"""),0.609336982306368)</f>
        <v>0.60933698230636801</v>
      </c>
      <c r="AC339" s="17">
        <f ca="1">IFERROR(__xludf.DUMMYFUNCTION("""COMPUTED_VALUE"""),0.726819096386122)</f>
        <v>0.72681909638612197</v>
      </c>
      <c r="AD339" s="17">
        <f ca="1">IFERROR(__xludf.DUMMYFUNCTION("""COMPUTED_VALUE"""),0.100745048227965)</f>
        <v>0.100745048227965</v>
      </c>
      <c r="AE339" s="17">
        <f ca="1">IFERROR(__xludf.DUMMYFUNCTION("""COMPUTED_VALUE"""),1.18463013789135)</f>
        <v>1.18463013789135</v>
      </c>
      <c r="AF339" s="17">
        <f ca="1">IFERROR(__xludf.DUMMYFUNCTION("""COMPUTED_VALUE"""),0.287666434820146)</f>
        <v>0.28766643482014598</v>
      </c>
      <c r="AG339" s="17">
        <f ca="1">IFERROR(__xludf.DUMMYFUNCTION("""COMPUTED_VALUE"""),0.976445875203928)</f>
        <v>0.976445875203928</v>
      </c>
      <c r="AH339" s="17">
        <f ca="1">IFERROR(__xludf.DUMMYFUNCTION("""COMPUTED_VALUE"""),0.853415054416501)</f>
        <v>0.85341505441650101</v>
      </c>
      <c r="AI339" s="17">
        <f ca="1">IFERROR(__xludf.DUMMYFUNCTION("""COMPUTED_VALUE"""),1.02308187651625)</f>
        <v>1.0230818765162499</v>
      </c>
      <c r="AJ339" s="17">
        <f ca="1">IFERROR(__xludf.DUMMYFUNCTION("""COMPUTED_VALUE"""),0.824037670805361)</f>
        <v>0.82403767080536094</v>
      </c>
    </row>
    <row r="340" spans="2:36" ht="15.75" customHeight="1" x14ac:dyDescent="0.45">
      <c r="B340" s="10" t="str">
        <f ca="1">IFERROR(__xludf.DUMMYFUNCTION("""COMPUTED_VALUE"""),"FreezerSmallTrain")</f>
        <v>FreezerSmallTrain</v>
      </c>
      <c r="C340" s="10" t="str">
        <f ca="1">IFERROR(__xludf.DUMMYFUNCTION("""COMPUTED_VALUE"""),"aligned_timestamps")</f>
        <v>aligned_timestamps</v>
      </c>
      <c r="D340" s="10">
        <f ca="1">IFERROR(__xludf.DUMMYFUNCTION("""COMPUTED_VALUE"""),0.6)</f>
        <v>0.6</v>
      </c>
      <c r="E340" s="17">
        <f ca="1">IFERROR(__xludf.DUMMYFUNCTION("""COMPUTED_VALUE"""),1.00381628068985)</f>
        <v>1.0038162806898501</v>
      </c>
      <c r="F340" s="17">
        <f ca="1">IFERROR(__xludf.DUMMYFUNCTION("""COMPUTED_VALUE"""),0.169918492319236)</f>
        <v>0.169918492319236</v>
      </c>
      <c r="G340" s="17">
        <f ca="1">IFERROR(__xludf.DUMMYFUNCTION("""COMPUTED_VALUE"""),0.176283081945317)</f>
        <v>0.176283081945317</v>
      </c>
      <c r="H340" s="17">
        <f ca="1">IFERROR(__xludf.DUMMYFUNCTION("""COMPUTED_VALUE"""),0.132816688612359)</f>
        <v>0.13281668861235901</v>
      </c>
      <c r="I340" s="17">
        <f ca="1">IFERROR(__xludf.DUMMYFUNCTION("""COMPUTED_VALUE"""),0.409162168042907)</f>
        <v>0.409162168042907</v>
      </c>
      <c r="J340" s="17">
        <f ca="1">IFERROR(__xludf.DUMMYFUNCTION("""COMPUTED_VALUE"""),2.13841189797482)</f>
        <v>2.1384118979748199</v>
      </c>
      <c r="K340" s="17" t="str">
        <f ca="1">IFERROR(__xludf.DUMMYFUNCTION("""COMPUTED_VALUE"""),"nan")</f>
        <v>nan</v>
      </c>
      <c r="L340" s="17">
        <f ca="1">IFERROR(__xludf.DUMMYFUNCTION("""COMPUTED_VALUE"""),0.173710364240734)</f>
        <v>0.17371036424073399</v>
      </c>
      <c r="M340" s="17">
        <f ca="1">IFERROR(__xludf.DUMMYFUNCTION("""COMPUTED_VALUE"""),0.361513180022354)</f>
        <v>0.361513180022354</v>
      </c>
      <c r="N340" s="17">
        <f ca="1">IFERROR(__xludf.DUMMYFUNCTION("""COMPUTED_VALUE"""),0.18206674444795)</f>
        <v>0.18206674444795001</v>
      </c>
      <c r="O340" s="17">
        <f ca="1">IFERROR(__xludf.DUMMYFUNCTION("""COMPUTED_VALUE"""),0.0583972456867123)</f>
        <v>5.8397245686712299E-2</v>
      </c>
      <c r="P340" s="17">
        <f ca="1">IFERROR(__xludf.DUMMYFUNCTION("""COMPUTED_VALUE"""),1.00181487413214)</f>
        <v>1.00181487413214</v>
      </c>
      <c r="Q340" s="17">
        <f ca="1">IFERROR(__xludf.DUMMYFUNCTION("""COMPUTED_VALUE"""),0.105726807248739)</f>
        <v>0.10572680724873899</v>
      </c>
      <c r="R340" s="17">
        <f ca="1">IFERROR(__xludf.DUMMYFUNCTION("""COMPUTED_VALUE"""),0.131617007493832)</f>
        <v>0.13161700749383201</v>
      </c>
      <c r="S340" s="17">
        <f ca="1">IFERROR(__xludf.DUMMYFUNCTION("""COMPUTED_VALUE"""),0.165240886002824)</f>
        <v>0.16524088600282399</v>
      </c>
      <c r="T340" s="17">
        <f ca="1">IFERROR(__xludf.DUMMYFUNCTION("""COMPUTED_VALUE"""),0.47049672373684)</f>
        <v>0.47049672373683998</v>
      </c>
      <c r="U340" s="17">
        <f ca="1">IFERROR(__xludf.DUMMYFUNCTION("""COMPUTED_VALUE"""),0.476476076934073)</f>
        <v>0.47647607693407301</v>
      </c>
      <c r="V340" s="17">
        <f ca="1">IFERROR(__xludf.DUMMYFUNCTION("""COMPUTED_VALUE"""),0.299577755606625)</f>
        <v>0.29957775560662497</v>
      </c>
      <c r="W340" s="17">
        <f ca="1">IFERROR(__xludf.DUMMYFUNCTION("""COMPUTED_VALUE"""),0.394096771662383)</f>
        <v>0.39409677166238299</v>
      </c>
      <c r="X340" s="17">
        <f ca="1">IFERROR(__xludf.DUMMYFUNCTION("""COMPUTED_VALUE"""),0.323914072765066)</f>
        <v>0.32391407276506601</v>
      </c>
      <c r="Y340" s="17">
        <f ca="1">IFERROR(__xludf.DUMMYFUNCTION("""COMPUTED_VALUE"""),0.284302954002464)</f>
        <v>0.28430295400246403</v>
      </c>
      <c r="Z340" s="17">
        <f ca="1">IFERROR(__xludf.DUMMYFUNCTION("""COMPUTED_VALUE"""),0.574628460760069)</f>
        <v>0.57462846076006902</v>
      </c>
      <c r="AA340" s="17">
        <f ca="1">IFERROR(__xludf.DUMMYFUNCTION("""COMPUTED_VALUE"""),0.0761691032074959)</f>
        <v>7.6169103207495897E-2</v>
      </c>
      <c r="AB340" s="17">
        <f ca="1">IFERROR(__xludf.DUMMYFUNCTION("""COMPUTED_VALUE"""),0.698012478351901)</f>
        <v>0.69801247835190094</v>
      </c>
      <c r="AC340" s="17">
        <f ca="1">IFERROR(__xludf.DUMMYFUNCTION("""COMPUTED_VALUE"""),0.568535987855714)</f>
        <v>0.56853598785571402</v>
      </c>
      <c r="AD340" s="17">
        <f ca="1">IFERROR(__xludf.DUMMYFUNCTION("""COMPUTED_VALUE"""),0.0858998611569898)</f>
        <v>8.5899861156989804E-2</v>
      </c>
      <c r="AE340" s="17">
        <f ca="1">IFERROR(__xludf.DUMMYFUNCTION("""COMPUTED_VALUE"""),1.00714414086522)</f>
        <v>1.00714414086522</v>
      </c>
      <c r="AF340" s="17">
        <f ca="1">IFERROR(__xludf.DUMMYFUNCTION("""COMPUTED_VALUE"""),0.591300539240731)</f>
        <v>0.591300539240731</v>
      </c>
      <c r="AG340" s="17">
        <f ca="1">IFERROR(__xludf.DUMMYFUNCTION("""COMPUTED_VALUE"""),0.935751749834755)</f>
        <v>0.93575174983475495</v>
      </c>
      <c r="AH340" s="17">
        <f ca="1">IFERROR(__xludf.DUMMYFUNCTION("""COMPUTED_VALUE"""),0.773866941872632)</f>
        <v>0.77386694187263205</v>
      </c>
      <c r="AI340" s="17">
        <f ca="1">IFERROR(__xludf.DUMMYFUNCTION("""COMPUTED_VALUE"""),0.821854713940803)</f>
        <v>0.82185471394080301</v>
      </c>
      <c r="AJ340" s="17">
        <f ca="1">IFERROR(__xludf.DUMMYFUNCTION("""COMPUTED_VALUE"""),0.847760019858606)</f>
        <v>0.84776001985860605</v>
      </c>
    </row>
    <row r="341" spans="2:36" ht="15.75" customHeight="1" x14ac:dyDescent="0.45">
      <c r="B341" s="10" t="str">
        <f ca="1">IFERROR(__xludf.DUMMYFUNCTION("""COMPUTED_VALUE"""),"FreezerSmallTrain")</f>
        <v>FreezerSmallTrain</v>
      </c>
      <c r="C341" s="10" t="str">
        <f ca="1">IFERROR(__xludf.DUMMYFUNCTION("""COMPUTED_VALUE"""),"aligned_timestamps")</f>
        <v>aligned_timestamps</v>
      </c>
      <c r="D341" s="10">
        <f ca="1">IFERROR(__xludf.DUMMYFUNCTION("""COMPUTED_VALUE"""),0.8)</f>
        <v>0.8</v>
      </c>
      <c r="E341" s="17">
        <f ca="1">IFERROR(__xludf.DUMMYFUNCTION("""COMPUTED_VALUE"""),0.937478556906607)</f>
        <v>0.93747855690660697</v>
      </c>
      <c r="F341" s="17">
        <f ca="1">IFERROR(__xludf.DUMMYFUNCTION("""COMPUTED_VALUE"""),0.314556672266499)</f>
        <v>0.31455667226649903</v>
      </c>
      <c r="G341" s="17">
        <f ca="1">IFERROR(__xludf.DUMMYFUNCTION("""COMPUTED_VALUE"""),0.330282836924242)</f>
        <v>0.33028283692424198</v>
      </c>
      <c r="H341" s="17">
        <f ca="1">IFERROR(__xludf.DUMMYFUNCTION("""COMPUTED_VALUE"""),0.269208046826798)</f>
        <v>0.269208046826798</v>
      </c>
      <c r="I341" s="17">
        <f ca="1">IFERROR(__xludf.DUMMYFUNCTION("""COMPUTED_VALUE"""),0.461426481257953)</f>
        <v>0.46142648125795299</v>
      </c>
      <c r="J341" s="17">
        <f ca="1">IFERROR(__xludf.DUMMYFUNCTION("""COMPUTED_VALUE"""),2.04160040577378)</f>
        <v>2.0416004057737802</v>
      </c>
      <c r="K341" s="17" t="str">
        <f ca="1">IFERROR(__xludf.DUMMYFUNCTION("""COMPUTED_VALUE"""),"nan")</f>
        <v>nan</v>
      </c>
      <c r="L341" s="17">
        <f ca="1">IFERROR(__xludf.DUMMYFUNCTION("""COMPUTED_VALUE"""),0.334965481966094)</f>
        <v>0.33496548196609399</v>
      </c>
      <c r="M341" s="17">
        <f ca="1">IFERROR(__xludf.DUMMYFUNCTION("""COMPUTED_VALUE"""),1.29327610319096)</f>
        <v>1.2932761031909601</v>
      </c>
      <c r="N341" s="17">
        <f ca="1">IFERROR(__xludf.DUMMYFUNCTION("""COMPUTED_VALUE"""),1.39120279369401)</f>
        <v>1.3912027936940099</v>
      </c>
      <c r="O341" s="17">
        <f ca="1">IFERROR(__xludf.DUMMYFUNCTION("""COMPUTED_VALUE"""),0.306421426869616)</f>
        <v>0.30642142686961599</v>
      </c>
      <c r="P341" s="17">
        <f ca="1">IFERROR(__xludf.DUMMYFUNCTION("""COMPUTED_VALUE"""),1.52402180242067)</f>
        <v>1.52402180242067</v>
      </c>
      <c r="Q341" s="17">
        <f ca="1">IFERROR(__xludf.DUMMYFUNCTION("""COMPUTED_VALUE"""),0.2925937449962)</f>
        <v>0.2925937449962</v>
      </c>
      <c r="R341" s="17">
        <f ca="1">IFERROR(__xludf.DUMMYFUNCTION("""COMPUTED_VALUE"""),1.27046947993691)</f>
        <v>1.2704694799369101</v>
      </c>
      <c r="S341" s="17">
        <f ca="1">IFERROR(__xludf.DUMMYFUNCTION("""COMPUTED_VALUE"""),1.27197290884492)</f>
        <v>1.2719729088449201</v>
      </c>
      <c r="T341" s="17">
        <f ca="1">IFERROR(__xludf.DUMMYFUNCTION("""COMPUTED_VALUE"""),0.629582065200226)</f>
        <v>0.62958206520022597</v>
      </c>
      <c r="U341" s="17">
        <f ca="1">IFERROR(__xludf.DUMMYFUNCTION("""COMPUTED_VALUE"""),0.492961147568235)</f>
        <v>0.492961147568235</v>
      </c>
      <c r="V341" s="17">
        <f ca="1">IFERROR(__xludf.DUMMYFUNCTION("""COMPUTED_VALUE"""),1.36354440097465)</f>
        <v>1.36354440097465</v>
      </c>
      <c r="W341" s="17">
        <f ca="1">IFERROR(__xludf.DUMMYFUNCTION("""COMPUTED_VALUE"""),0.496379150620026)</f>
        <v>0.49637915062002602</v>
      </c>
      <c r="X341" s="17">
        <f ca="1">IFERROR(__xludf.DUMMYFUNCTION("""COMPUTED_VALUE"""),0.337875306860533)</f>
        <v>0.33787530686053302</v>
      </c>
      <c r="Y341" s="17">
        <f ca="1">IFERROR(__xludf.DUMMYFUNCTION("""COMPUTED_VALUE"""),1.0330020096848)</f>
        <v>1.0330020096848</v>
      </c>
      <c r="Z341" s="17">
        <f ca="1">IFERROR(__xludf.DUMMYFUNCTION("""COMPUTED_VALUE"""),0.637377366006841)</f>
        <v>0.63737736600684103</v>
      </c>
      <c r="AA341" s="17">
        <f ca="1">IFERROR(__xludf.DUMMYFUNCTION("""COMPUTED_VALUE"""),0.328260733738057)</f>
        <v>0.32826073373805698</v>
      </c>
      <c r="AB341" s="17">
        <f ca="1">IFERROR(__xludf.DUMMYFUNCTION("""COMPUTED_VALUE"""),1.27137626935936)</f>
        <v>1.27137626935936</v>
      </c>
      <c r="AC341" s="17">
        <f ca="1">IFERROR(__xludf.DUMMYFUNCTION("""COMPUTED_VALUE"""),0.60018114108239)</f>
        <v>0.60018114108238996</v>
      </c>
      <c r="AD341" s="17">
        <f ca="1">IFERROR(__xludf.DUMMYFUNCTION("""COMPUTED_VALUE"""),0.564416212810273)</f>
        <v>0.56441621281027299</v>
      </c>
      <c r="AE341" s="17" t="str">
        <f ca="1">IFERROR(__xludf.DUMMYFUNCTION("""COMPUTED_VALUE"""),"nan")</f>
        <v>nan</v>
      </c>
      <c r="AF341" s="17">
        <f ca="1">IFERROR(__xludf.DUMMYFUNCTION("""COMPUTED_VALUE"""),1.31054904744438)</f>
        <v>1.3105490474443799</v>
      </c>
      <c r="AG341" s="17">
        <f ca="1">IFERROR(__xludf.DUMMYFUNCTION("""COMPUTED_VALUE"""),1.07956840358775)</f>
        <v>1.07956840358775</v>
      </c>
      <c r="AH341" s="17">
        <f ca="1">IFERROR(__xludf.DUMMYFUNCTION("""COMPUTED_VALUE"""),0.866106781973291)</f>
        <v>0.86610678197329105</v>
      </c>
      <c r="AI341" s="17">
        <f ca="1">IFERROR(__xludf.DUMMYFUNCTION("""COMPUTED_VALUE"""),0.906704843471514)</f>
        <v>0.90670484347151403</v>
      </c>
      <c r="AJ341" s="17">
        <f ca="1">IFERROR(__xludf.DUMMYFUNCTION("""COMPUTED_VALUE"""),1.06082553285326)</f>
        <v>1.0608255328532601</v>
      </c>
    </row>
    <row r="342" spans="2:36" ht="15.75" customHeight="1" x14ac:dyDescent="0.45">
      <c r="B342" s="10" t="str">
        <f ca="1">IFERROR(__xludf.DUMMYFUNCTION("""COMPUTED_VALUE"""),"FreezerSmallTrain")</f>
        <v>FreezerSmallTrain</v>
      </c>
      <c r="C342" s="10" t="str">
        <f ca="1">IFERROR(__xludf.DUMMYFUNCTION("""COMPUTED_VALUE"""),"mcar")</f>
        <v>mcar</v>
      </c>
      <c r="D342" s="10">
        <f ca="1">IFERROR(__xludf.DUMMYFUNCTION("""COMPUTED_VALUE"""),0.1)</f>
        <v>0.1</v>
      </c>
      <c r="E342" s="17">
        <f ca="1">IFERROR(__xludf.DUMMYFUNCTION("""COMPUTED_VALUE"""),0.962804109044987)</f>
        <v>0.96280410904498703</v>
      </c>
      <c r="F342" s="17">
        <f ca="1">IFERROR(__xludf.DUMMYFUNCTION("""COMPUTED_VALUE"""),0.340015908220582)</f>
        <v>0.34001590822058197</v>
      </c>
      <c r="G342" s="17">
        <f ca="1">IFERROR(__xludf.DUMMYFUNCTION("""COMPUTED_VALUE"""),0.329476038167112)</f>
        <v>0.32947603816711202</v>
      </c>
      <c r="H342" s="17">
        <f ca="1">IFERROR(__xludf.DUMMYFUNCTION("""COMPUTED_VALUE"""),0.454605158000316)</f>
        <v>0.45460515800031598</v>
      </c>
      <c r="I342" s="17">
        <f ca="1">IFERROR(__xludf.DUMMYFUNCTION("""COMPUTED_VALUE"""),0.207310512035761)</f>
        <v>0.20731051203576101</v>
      </c>
      <c r="J342" s="17">
        <f ca="1">IFERROR(__xludf.DUMMYFUNCTION("""COMPUTED_VALUE"""),0.234933932241109)</f>
        <v>0.23493393224110901</v>
      </c>
      <c r="K342" s="17" t="str">
        <f ca="1">IFERROR(__xludf.DUMMYFUNCTION("""COMPUTED_VALUE"""),"nan")</f>
        <v>nan</v>
      </c>
      <c r="L342" s="17">
        <f ca="1">IFERROR(__xludf.DUMMYFUNCTION("""COMPUTED_VALUE"""),0.318591198258354)</f>
        <v>0.31859119825835402</v>
      </c>
      <c r="M342" s="17">
        <f ca="1">IFERROR(__xludf.DUMMYFUNCTION("""COMPUTED_VALUE"""),0.328377745017529)</f>
        <v>0.32837774501752898</v>
      </c>
      <c r="N342" s="17">
        <f ca="1">IFERROR(__xludf.DUMMYFUNCTION("""COMPUTED_VALUE"""),0.331855783286216)</f>
        <v>0.33185578328621601</v>
      </c>
      <c r="O342" s="17">
        <f ca="1">IFERROR(__xludf.DUMMYFUNCTION("""COMPUTED_VALUE"""),0.143625917079459)</f>
        <v>0.14362591707945899</v>
      </c>
      <c r="P342" s="17">
        <f ca="1">IFERROR(__xludf.DUMMYFUNCTION("""COMPUTED_VALUE"""),0.500002427328996)</f>
        <v>0.50000242732899602</v>
      </c>
      <c r="Q342" s="17">
        <f ca="1">IFERROR(__xludf.DUMMYFUNCTION("""COMPUTED_VALUE"""),0.715226390660653)</f>
        <v>0.71522639066065297</v>
      </c>
      <c r="R342" s="17">
        <f ca="1">IFERROR(__xludf.DUMMYFUNCTION("""COMPUTED_VALUE"""),0.0920701290380705)</f>
        <v>9.2070129038070506E-2</v>
      </c>
      <c r="S342" s="17">
        <f ca="1">IFERROR(__xludf.DUMMYFUNCTION("""COMPUTED_VALUE"""),0.0709801947825742)</f>
        <v>7.0980194782574196E-2</v>
      </c>
      <c r="T342" s="17">
        <f ca="1">IFERROR(__xludf.DUMMYFUNCTION("""COMPUTED_VALUE"""),0.24878389860869)</f>
        <v>0.24878389860868999</v>
      </c>
      <c r="U342" s="17">
        <f ca="1">IFERROR(__xludf.DUMMYFUNCTION("""COMPUTED_VALUE"""),0.273421975953774)</f>
        <v>0.27342197595377399</v>
      </c>
      <c r="V342" s="17">
        <f ca="1">IFERROR(__xludf.DUMMYFUNCTION("""COMPUTED_VALUE"""),0.440560134959766)</f>
        <v>0.44056013495976598</v>
      </c>
      <c r="W342" s="17">
        <f ca="1">IFERROR(__xludf.DUMMYFUNCTION("""COMPUTED_VALUE"""),0.66542226347565)</f>
        <v>0.66542226347565003</v>
      </c>
      <c r="X342" s="17">
        <f ca="1">IFERROR(__xludf.DUMMYFUNCTION("""COMPUTED_VALUE"""),0.257135328933256)</f>
        <v>0.25713532893325602</v>
      </c>
      <c r="Y342" s="17">
        <f ca="1">IFERROR(__xludf.DUMMYFUNCTION("""COMPUTED_VALUE"""),0.122477002859259)</f>
        <v>0.122477002859259</v>
      </c>
      <c r="Z342" s="17">
        <f ca="1">IFERROR(__xludf.DUMMYFUNCTION("""COMPUTED_VALUE"""),0.164604378238072)</f>
        <v>0.164604378238072</v>
      </c>
      <c r="AA342" s="17">
        <f ca="1">IFERROR(__xludf.DUMMYFUNCTION("""COMPUTED_VALUE"""),0.243299917821924)</f>
        <v>0.24329991782192401</v>
      </c>
      <c r="AB342" s="17">
        <f ca="1">IFERROR(__xludf.DUMMYFUNCTION("""COMPUTED_VALUE"""),0.0360728025843765)</f>
        <v>3.60728025843765E-2</v>
      </c>
      <c r="AC342" s="17">
        <f ca="1">IFERROR(__xludf.DUMMYFUNCTION("""COMPUTED_VALUE"""),0.764308902257109)</f>
        <v>0.76430890225710901</v>
      </c>
      <c r="AD342" s="17">
        <f ca="1">IFERROR(__xludf.DUMMYFUNCTION("""COMPUTED_VALUE"""),0.199857715584454)</f>
        <v>0.199857715584454</v>
      </c>
      <c r="AE342" s="17">
        <f ca="1">IFERROR(__xludf.DUMMYFUNCTION("""COMPUTED_VALUE"""),0.656853310447346)</f>
        <v>0.65685331044734596</v>
      </c>
      <c r="AF342" s="17">
        <f ca="1">IFERROR(__xludf.DUMMYFUNCTION("""COMPUTED_VALUE"""),0.339290344357364)</f>
        <v>0.33929034435736399</v>
      </c>
      <c r="AG342" s="17">
        <f ca="1">IFERROR(__xludf.DUMMYFUNCTION("""COMPUTED_VALUE"""),0.427834867848867)</f>
        <v>0.42783486784886698</v>
      </c>
      <c r="AH342" s="17">
        <f ca="1">IFERROR(__xludf.DUMMYFUNCTION("""COMPUTED_VALUE"""),0.220717487465218)</f>
        <v>0.22071748746521799</v>
      </c>
      <c r="AI342" s="17">
        <f ca="1">IFERROR(__xludf.DUMMYFUNCTION("""COMPUTED_VALUE"""),0.367852458621864)</f>
        <v>0.367852458621864</v>
      </c>
      <c r="AJ342" s="17">
        <f ca="1">IFERROR(__xludf.DUMMYFUNCTION("""COMPUTED_VALUE"""),0.381312698552767)</f>
        <v>0.381312698552767</v>
      </c>
    </row>
    <row r="343" spans="2:36" ht="15.75" customHeight="1" x14ac:dyDescent="0.45">
      <c r="B343" s="10" t="str">
        <f ca="1">IFERROR(__xludf.DUMMYFUNCTION("""COMPUTED_VALUE"""),"FreezerSmallTrain")</f>
        <v>FreezerSmallTrain</v>
      </c>
      <c r="C343" s="10" t="str">
        <f ca="1">IFERROR(__xludf.DUMMYFUNCTION("""COMPUTED_VALUE"""),"mcar")</f>
        <v>mcar</v>
      </c>
      <c r="D343" s="10">
        <f ca="1">IFERROR(__xludf.DUMMYFUNCTION("""COMPUTED_VALUE"""),0.2)</f>
        <v>0.2</v>
      </c>
      <c r="E343" s="17">
        <f ca="1">IFERROR(__xludf.DUMMYFUNCTION("""COMPUTED_VALUE"""),1.09743069442212)</f>
        <v>1.0974306944221199</v>
      </c>
      <c r="F343" s="17">
        <f ca="1">IFERROR(__xludf.DUMMYFUNCTION("""COMPUTED_VALUE"""),0.527907348939617)</f>
        <v>0.52790734893961699</v>
      </c>
      <c r="G343" s="17">
        <f ca="1">IFERROR(__xludf.DUMMYFUNCTION("""COMPUTED_VALUE"""),0.525057677316012)</f>
        <v>0.52505767731601205</v>
      </c>
      <c r="H343" s="17">
        <f ca="1">IFERROR(__xludf.DUMMYFUNCTION("""COMPUTED_VALUE"""),0.594879125551389)</f>
        <v>0.594879125551389</v>
      </c>
      <c r="I343" s="17">
        <f ca="1">IFERROR(__xludf.DUMMYFUNCTION("""COMPUTED_VALUE"""),0.358335149693214)</f>
        <v>0.35833514969321401</v>
      </c>
      <c r="J343" s="17">
        <f ca="1">IFERROR(__xludf.DUMMYFUNCTION("""COMPUTED_VALUE"""),0.307999782388264)</f>
        <v>0.30799978238826398</v>
      </c>
      <c r="K343" s="17" t="str">
        <f ca="1">IFERROR(__xludf.DUMMYFUNCTION("""COMPUTED_VALUE"""),"nan")</f>
        <v>nan</v>
      </c>
      <c r="L343" s="17">
        <f ca="1">IFERROR(__xludf.DUMMYFUNCTION("""COMPUTED_VALUE"""),0.509083881706256)</f>
        <v>0.50908388170625596</v>
      </c>
      <c r="M343" s="17">
        <f ca="1">IFERROR(__xludf.DUMMYFUNCTION("""COMPUTED_VALUE"""),0.477620417884895)</f>
        <v>0.47762041788489501</v>
      </c>
      <c r="N343" s="17">
        <f ca="1">IFERROR(__xludf.DUMMYFUNCTION("""COMPUTED_VALUE"""),0.417973979329803)</f>
        <v>0.41797397932980301</v>
      </c>
      <c r="O343" s="17">
        <f ca="1">IFERROR(__xludf.DUMMYFUNCTION("""COMPUTED_VALUE"""),0.291964064908577)</f>
        <v>0.29196406490857701</v>
      </c>
      <c r="P343" s="17">
        <f ca="1">IFERROR(__xludf.DUMMYFUNCTION("""COMPUTED_VALUE"""),0.648057788551436)</f>
        <v>0.64805778855143603</v>
      </c>
      <c r="Q343" s="17">
        <f ca="1">IFERROR(__xludf.DUMMYFUNCTION("""COMPUTED_VALUE"""),0.758059596435308)</f>
        <v>0.75805959643530796</v>
      </c>
      <c r="R343" s="17">
        <f ca="1">IFERROR(__xludf.DUMMYFUNCTION("""COMPUTED_VALUE"""),0.342571132355721)</f>
        <v>0.34257113235572101</v>
      </c>
      <c r="S343" s="17">
        <f ca="1">IFERROR(__xludf.DUMMYFUNCTION("""COMPUTED_VALUE"""),0.759784833698147)</f>
        <v>0.75978483369814698</v>
      </c>
      <c r="T343" s="17">
        <f ca="1">IFERROR(__xludf.DUMMYFUNCTION("""COMPUTED_VALUE"""),0.357087181858998)</f>
        <v>0.35708718185899802</v>
      </c>
      <c r="U343" s="17">
        <f ca="1">IFERROR(__xludf.DUMMYFUNCTION("""COMPUTED_VALUE"""),0.509638170685461)</f>
        <v>0.50963817068546102</v>
      </c>
      <c r="V343" s="17">
        <f ca="1">IFERROR(__xludf.DUMMYFUNCTION("""COMPUTED_VALUE"""),0.544856233358077)</f>
        <v>0.54485623335807698</v>
      </c>
      <c r="W343" s="17">
        <f ca="1">IFERROR(__xludf.DUMMYFUNCTION("""COMPUTED_VALUE"""),0.831100625044771)</f>
        <v>0.831100625044771</v>
      </c>
      <c r="X343" s="17">
        <f ca="1">IFERROR(__xludf.DUMMYFUNCTION("""COMPUTED_VALUE"""),0.546985346429809)</f>
        <v>0.54698534642980901</v>
      </c>
      <c r="Y343" s="17">
        <f ca="1">IFERROR(__xludf.DUMMYFUNCTION("""COMPUTED_VALUE"""),0.332940432460198)</f>
        <v>0.332940432460198</v>
      </c>
      <c r="Z343" s="17">
        <f ca="1">IFERROR(__xludf.DUMMYFUNCTION("""COMPUTED_VALUE"""),0.507012072681507)</f>
        <v>0.50701207268150705</v>
      </c>
      <c r="AA343" s="17">
        <f ca="1">IFERROR(__xludf.DUMMYFUNCTION("""COMPUTED_VALUE"""),0.300805529433814)</f>
        <v>0.300805529433814</v>
      </c>
      <c r="AB343" s="17">
        <f ca="1">IFERROR(__xludf.DUMMYFUNCTION("""COMPUTED_VALUE"""),0.465790272562175)</f>
        <v>0.46579027256217498</v>
      </c>
      <c r="AC343" s="17">
        <f ca="1">IFERROR(__xludf.DUMMYFUNCTION("""COMPUTED_VALUE"""),0.764864084987128)</f>
        <v>0.76486408498712799</v>
      </c>
      <c r="AD343" s="17">
        <f ca="1">IFERROR(__xludf.DUMMYFUNCTION("""COMPUTED_VALUE"""),0.552121860304563)</f>
        <v>0.55212186030456301</v>
      </c>
      <c r="AE343" s="17">
        <f ca="1">IFERROR(__xludf.DUMMYFUNCTION("""COMPUTED_VALUE"""),0.8847460050923)</f>
        <v>0.88474600509229995</v>
      </c>
      <c r="AF343" s="17">
        <f ca="1">IFERROR(__xludf.DUMMYFUNCTION("""COMPUTED_VALUE"""),0.490919325434753)</f>
        <v>0.49091932543475297</v>
      </c>
      <c r="AG343" s="17">
        <f ca="1">IFERROR(__xludf.DUMMYFUNCTION("""COMPUTED_VALUE"""),0.767700813251309)</f>
        <v>0.76770081325130901</v>
      </c>
      <c r="AH343" s="17">
        <f ca="1">IFERROR(__xludf.DUMMYFUNCTION("""COMPUTED_VALUE"""),0.422853108686297)</f>
        <v>0.422853108686297</v>
      </c>
      <c r="AI343" s="17">
        <f ca="1">IFERROR(__xludf.DUMMYFUNCTION("""COMPUTED_VALUE"""),0.867479120596762)</f>
        <v>0.86747912059676202</v>
      </c>
      <c r="AJ343" s="17">
        <f ca="1">IFERROR(__xludf.DUMMYFUNCTION("""COMPUTED_VALUE"""),0.613206323310418)</f>
        <v>0.61320632331041802</v>
      </c>
    </row>
    <row r="344" spans="2:36" ht="15.75" customHeight="1" x14ac:dyDescent="0.45">
      <c r="B344" s="10" t="str">
        <f ca="1">IFERROR(__xludf.DUMMYFUNCTION("""COMPUTED_VALUE"""),"FreezerSmallTrain")</f>
        <v>FreezerSmallTrain</v>
      </c>
      <c r="C344" s="10" t="str">
        <f ca="1">IFERROR(__xludf.DUMMYFUNCTION("""COMPUTED_VALUE"""),"mcar")</f>
        <v>mcar</v>
      </c>
      <c r="D344" s="10">
        <f ca="1">IFERROR(__xludf.DUMMYFUNCTION("""COMPUTED_VALUE"""),0.4)</f>
        <v>0.4</v>
      </c>
      <c r="E344" s="17">
        <f ca="1">IFERROR(__xludf.DUMMYFUNCTION("""COMPUTED_VALUE"""),1.06667096358727)</f>
        <v>1.06667096358727</v>
      </c>
      <c r="F344" s="17">
        <f ca="1">IFERROR(__xludf.DUMMYFUNCTION("""COMPUTED_VALUE"""),0.47924617812315)</f>
        <v>0.47924617812315001</v>
      </c>
      <c r="G344" s="17">
        <f ca="1">IFERROR(__xludf.DUMMYFUNCTION("""COMPUTED_VALUE"""),0.480598883367143)</f>
        <v>0.48059888336714301</v>
      </c>
      <c r="H344" s="17">
        <f ca="1">IFERROR(__xludf.DUMMYFUNCTION("""COMPUTED_VALUE"""),0.525693327735211)</f>
        <v>0.52569332773521105</v>
      </c>
      <c r="I344" s="17">
        <f ca="1">IFERROR(__xludf.DUMMYFUNCTION("""COMPUTED_VALUE"""),0.360594093351983)</f>
        <v>0.360594093351983</v>
      </c>
      <c r="J344" s="17">
        <f ca="1">IFERROR(__xludf.DUMMYFUNCTION("""COMPUTED_VALUE"""),0.368458913270301)</f>
        <v>0.368458913270301</v>
      </c>
      <c r="K344" s="17" t="str">
        <f ca="1">IFERROR(__xludf.DUMMYFUNCTION("""COMPUTED_VALUE"""),"nan")</f>
        <v>nan</v>
      </c>
      <c r="L344" s="17">
        <f ca="1">IFERROR(__xludf.DUMMYFUNCTION("""COMPUTED_VALUE"""),0.482643903478636)</f>
        <v>0.482643903478636</v>
      </c>
      <c r="M344" s="17">
        <f ca="1">IFERROR(__xludf.DUMMYFUNCTION("""COMPUTED_VALUE"""),0.447759759664913)</f>
        <v>0.44775975966491299</v>
      </c>
      <c r="N344" s="17">
        <f ca="1">IFERROR(__xludf.DUMMYFUNCTION("""COMPUTED_VALUE"""),0.475496950892831)</f>
        <v>0.47549695089283101</v>
      </c>
      <c r="O344" s="17">
        <f ca="1">IFERROR(__xludf.DUMMYFUNCTION("""COMPUTED_VALUE"""),0.255417445819605)</f>
        <v>0.25541744581960502</v>
      </c>
      <c r="P344" s="17">
        <f ca="1">IFERROR(__xludf.DUMMYFUNCTION("""COMPUTED_VALUE"""),0.621005511635955)</f>
        <v>0.62100551163595497</v>
      </c>
      <c r="Q344" s="17">
        <f ca="1">IFERROR(__xludf.DUMMYFUNCTION("""COMPUTED_VALUE"""),0.660131181590359)</f>
        <v>0.660131181590359</v>
      </c>
      <c r="R344" s="17">
        <f ca="1">IFERROR(__xludf.DUMMYFUNCTION("""COMPUTED_VALUE"""),0.457938061668857)</f>
        <v>0.45793806166885698</v>
      </c>
      <c r="S344" s="17">
        <f ca="1">IFERROR(__xludf.DUMMYFUNCTION("""COMPUTED_VALUE"""),0.624134826060628)</f>
        <v>0.62413482606062798</v>
      </c>
      <c r="T344" s="17">
        <f ca="1">IFERROR(__xludf.DUMMYFUNCTION("""COMPUTED_VALUE"""),0.45755155908262)</f>
        <v>0.45755155908262002</v>
      </c>
      <c r="U344" s="17">
        <f ca="1">IFERROR(__xludf.DUMMYFUNCTION("""COMPUTED_VALUE"""),0.564017290185884)</f>
        <v>0.56401729018588398</v>
      </c>
      <c r="V344" s="17">
        <f ca="1">IFERROR(__xludf.DUMMYFUNCTION("""COMPUTED_VALUE"""),0.542870349303109)</f>
        <v>0.54287034930310896</v>
      </c>
      <c r="W344" s="17">
        <f ca="1">IFERROR(__xludf.DUMMYFUNCTION("""COMPUTED_VALUE"""),0.826766867859209)</f>
        <v>0.82676686785920905</v>
      </c>
      <c r="X344" s="17">
        <f ca="1">IFERROR(__xludf.DUMMYFUNCTION("""COMPUTED_VALUE"""),0.464126308996786)</f>
        <v>0.46412630899678597</v>
      </c>
      <c r="Y344" s="17">
        <f ca="1">IFERROR(__xludf.DUMMYFUNCTION("""COMPUTED_VALUE"""),0.394119327220954)</f>
        <v>0.394119327220954</v>
      </c>
      <c r="Z344" s="17">
        <f ca="1">IFERROR(__xludf.DUMMYFUNCTION("""COMPUTED_VALUE"""),0.578086952035805)</f>
        <v>0.57808695203580496</v>
      </c>
      <c r="AA344" s="17">
        <f ca="1">IFERROR(__xludf.DUMMYFUNCTION("""COMPUTED_VALUE"""),0.313416071887894)</f>
        <v>0.313416071887894</v>
      </c>
      <c r="AB344" s="17">
        <f ca="1">IFERROR(__xludf.DUMMYFUNCTION("""COMPUTED_VALUE"""),0.554322470856228)</f>
        <v>0.55432247085622799</v>
      </c>
      <c r="AC344" s="17">
        <f ca="1">IFERROR(__xludf.DUMMYFUNCTION("""COMPUTED_VALUE"""),0.673699245881111)</f>
        <v>0.67369924588111096</v>
      </c>
      <c r="AD344" s="17">
        <f ca="1">IFERROR(__xludf.DUMMYFUNCTION("""COMPUTED_VALUE"""),0.290033798920702)</f>
        <v>0.29003379892070202</v>
      </c>
      <c r="AE344" s="17">
        <f ca="1">IFERROR(__xludf.DUMMYFUNCTION("""COMPUTED_VALUE"""),1.01512931034777)</f>
        <v>1.0151293103477701</v>
      </c>
      <c r="AF344" s="17">
        <f ca="1">IFERROR(__xludf.DUMMYFUNCTION("""COMPUTED_VALUE"""),0.582450914209803)</f>
        <v>0.58245091420980299</v>
      </c>
      <c r="AG344" s="17">
        <f ca="1">IFERROR(__xludf.DUMMYFUNCTION("""COMPUTED_VALUE"""),1.00519036760266)</f>
        <v>1.0051903676026599</v>
      </c>
      <c r="AH344" s="17">
        <f ca="1">IFERROR(__xludf.DUMMYFUNCTION("""COMPUTED_VALUE"""),0.675317117641905)</f>
        <v>0.67531711764190505</v>
      </c>
      <c r="AI344" s="17">
        <f ca="1">IFERROR(__xludf.DUMMYFUNCTION("""COMPUTED_VALUE"""),1.03545105534459)</f>
        <v>1.0354510553445899</v>
      </c>
      <c r="AJ344" s="17">
        <f ca="1">IFERROR(__xludf.DUMMYFUNCTION("""COMPUTED_VALUE"""),0.596307686848011)</f>
        <v>0.59630768684801105</v>
      </c>
    </row>
    <row r="345" spans="2:36" ht="15.75" customHeight="1" x14ac:dyDescent="0.45">
      <c r="B345" s="10" t="str">
        <f ca="1">IFERROR(__xludf.DUMMYFUNCTION("""COMPUTED_VALUE"""),"FreezerSmallTrain")</f>
        <v>FreezerSmallTrain</v>
      </c>
      <c r="C345" s="10" t="str">
        <f ca="1">IFERROR(__xludf.DUMMYFUNCTION("""COMPUTED_VALUE"""),"mcar")</f>
        <v>mcar</v>
      </c>
      <c r="D345" s="10">
        <f ca="1">IFERROR(__xludf.DUMMYFUNCTION("""COMPUTED_VALUE"""),0.6)</f>
        <v>0.6</v>
      </c>
      <c r="E345" s="17">
        <f ca="1">IFERROR(__xludf.DUMMYFUNCTION("""COMPUTED_VALUE"""),1.03284643757521)</f>
        <v>1.03284643757521</v>
      </c>
      <c r="F345" s="17">
        <f ca="1">IFERROR(__xludf.DUMMYFUNCTION("""COMPUTED_VALUE"""),0.450542237436172)</f>
        <v>0.450542237436172</v>
      </c>
      <c r="G345" s="17">
        <f ca="1">IFERROR(__xludf.DUMMYFUNCTION("""COMPUTED_VALUE"""),0.449144459211979)</f>
        <v>0.44914445921197899</v>
      </c>
      <c r="H345" s="17">
        <f ca="1">IFERROR(__xludf.DUMMYFUNCTION("""COMPUTED_VALUE"""),0.502402621350611)</f>
        <v>0.50240262135061098</v>
      </c>
      <c r="I345" s="17">
        <f ca="1">IFERROR(__xludf.DUMMYFUNCTION("""COMPUTED_VALUE"""),0.417409328631629)</f>
        <v>0.417409328631629</v>
      </c>
      <c r="J345" s="17">
        <f ca="1">IFERROR(__xludf.DUMMYFUNCTION("""COMPUTED_VALUE"""),0.488058735869282)</f>
        <v>0.488058735869282</v>
      </c>
      <c r="K345" s="17" t="str">
        <f ca="1">IFERROR(__xludf.DUMMYFUNCTION("""COMPUTED_VALUE"""),"nan")</f>
        <v>nan</v>
      </c>
      <c r="L345" s="17">
        <f ca="1">IFERROR(__xludf.DUMMYFUNCTION("""COMPUTED_VALUE"""),0.459634132493129)</f>
        <v>0.45963413249312901</v>
      </c>
      <c r="M345" s="17">
        <f ca="1">IFERROR(__xludf.DUMMYFUNCTION("""COMPUTED_VALUE"""),0.423306501953617)</f>
        <v>0.42330650195361702</v>
      </c>
      <c r="N345" s="17">
        <f ca="1">IFERROR(__xludf.DUMMYFUNCTION("""COMPUTED_VALUE"""),0.487130123197571)</f>
        <v>0.48713012319757099</v>
      </c>
      <c r="O345" s="17">
        <f ca="1">IFERROR(__xludf.DUMMYFUNCTION("""COMPUTED_VALUE"""),0.283081243002802)</f>
        <v>0.28308124300280202</v>
      </c>
      <c r="P345" s="17">
        <f ca="1">IFERROR(__xludf.DUMMYFUNCTION("""COMPUTED_VALUE"""),0.703525666171385)</f>
        <v>0.70352566617138501</v>
      </c>
      <c r="Q345" s="17">
        <f ca="1">IFERROR(__xludf.DUMMYFUNCTION("""COMPUTED_VALUE"""),0.80500485336236)</f>
        <v>0.80500485336236005</v>
      </c>
      <c r="R345" s="17">
        <f ca="1">IFERROR(__xludf.DUMMYFUNCTION("""COMPUTED_VALUE"""),0.4945391471061)</f>
        <v>0.49453914710609997</v>
      </c>
      <c r="S345" s="17">
        <f ca="1">IFERROR(__xludf.DUMMYFUNCTION("""COMPUTED_VALUE"""),0.582861439342003)</f>
        <v>0.58286143934200296</v>
      </c>
      <c r="T345" s="17">
        <f ca="1">IFERROR(__xludf.DUMMYFUNCTION("""COMPUTED_VALUE"""),0.611489954126765)</f>
        <v>0.61148995412676499</v>
      </c>
      <c r="U345" s="17">
        <f ca="1">IFERROR(__xludf.DUMMYFUNCTION("""COMPUTED_VALUE"""),0.508920526340167)</f>
        <v>0.50892052634016705</v>
      </c>
      <c r="V345" s="17">
        <f ca="1">IFERROR(__xludf.DUMMYFUNCTION("""COMPUTED_VALUE"""),0.479496333083747)</f>
        <v>0.47949633308374701</v>
      </c>
      <c r="W345" s="17">
        <f ca="1">IFERROR(__xludf.DUMMYFUNCTION("""COMPUTED_VALUE"""),0.880303856355569)</f>
        <v>0.88030385635556896</v>
      </c>
      <c r="X345" s="17">
        <f ca="1">IFERROR(__xludf.DUMMYFUNCTION("""COMPUTED_VALUE"""),0.448734633655741)</f>
        <v>0.44873463365574101</v>
      </c>
      <c r="Y345" s="17">
        <f ca="1">IFERROR(__xludf.DUMMYFUNCTION("""COMPUTED_VALUE"""),0.435571580598099)</f>
        <v>0.43557158059809897</v>
      </c>
      <c r="Z345" s="17">
        <f ca="1">IFERROR(__xludf.DUMMYFUNCTION("""COMPUTED_VALUE"""),0.614659444084209)</f>
        <v>0.61465944408420903</v>
      </c>
      <c r="AA345" s="17">
        <f ca="1">IFERROR(__xludf.DUMMYFUNCTION("""COMPUTED_VALUE"""),0.364895172395544)</f>
        <v>0.36489517239554398</v>
      </c>
      <c r="AB345" s="17">
        <f ca="1">IFERROR(__xludf.DUMMYFUNCTION("""COMPUTED_VALUE"""),0.502995333161504)</f>
        <v>0.50299533316150402</v>
      </c>
      <c r="AC345" s="17">
        <f ca="1">IFERROR(__xludf.DUMMYFUNCTION("""COMPUTED_VALUE"""),0.72426299040464)</f>
        <v>0.72426299040464004</v>
      </c>
      <c r="AD345" s="17">
        <f ca="1">IFERROR(__xludf.DUMMYFUNCTION("""COMPUTED_VALUE"""),0.351102025615007)</f>
        <v>0.35110202561500697</v>
      </c>
      <c r="AE345" s="17">
        <f ca="1">IFERROR(__xludf.DUMMYFUNCTION("""COMPUTED_VALUE"""),1.19491411113186)</f>
        <v>1.19491411113186</v>
      </c>
      <c r="AF345" s="17">
        <f ca="1">IFERROR(__xludf.DUMMYFUNCTION("""COMPUTED_VALUE"""),0.550965827847566)</f>
        <v>0.55096582784756598</v>
      </c>
      <c r="AG345" s="17">
        <f ca="1">IFERROR(__xludf.DUMMYFUNCTION("""COMPUTED_VALUE"""),1.24429184107712)</f>
        <v>1.24429184107712</v>
      </c>
      <c r="AH345" s="17">
        <f ca="1">IFERROR(__xludf.DUMMYFUNCTION("""COMPUTED_VALUE"""),0.958068674756025)</f>
        <v>0.95806867475602497</v>
      </c>
      <c r="AI345" s="17">
        <f ca="1">IFERROR(__xludf.DUMMYFUNCTION("""COMPUTED_VALUE"""),1.03647801741523)</f>
        <v>1.0364780174152299</v>
      </c>
      <c r="AJ345" s="17">
        <f ca="1">IFERROR(__xludf.DUMMYFUNCTION("""COMPUTED_VALUE"""),1.10119504671769)</f>
        <v>1.1011950467176901</v>
      </c>
    </row>
    <row r="346" spans="2:36" ht="15.75" customHeight="1" x14ac:dyDescent="0.45">
      <c r="B346" s="10" t="str">
        <f ca="1">IFERROR(__xludf.DUMMYFUNCTION("""COMPUTED_VALUE"""),"FreezerSmallTrain")</f>
        <v>FreezerSmallTrain</v>
      </c>
      <c r="C346" s="10" t="str">
        <f ca="1">IFERROR(__xludf.DUMMYFUNCTION("""COMPUTED_VALUE"""),"mcar")</f>
        <v>mcar</v>
      </c>
      <c r="D346" s="10">
        <f ca="1">IFERROR(__xludf.DUMMYFUNCTION("""COMPUTED_VALUE"""),0.8)</f>
        <v>0.8</v>
      </c>
      <c r="E346" s="17">
        <f ca="1">IFERROR(__xludf.DUMMYFUNCTION("""COMPUTED_VALUE"""),0.984443749564008)</f>
        <v>0.98444374956400804</v>
      </c>
      <c r="F346" s="17">
        <f ca="1">IFERROR(__xludf.DUMMYFUNCTION("""COMPUTED_VALUE"""),0.439559149879701)</f>
        <v>0.43955914987970102</v>
      </c>
      <c r="G346" s="17">
        <f ca="1">IFERROR(__xludf.DUMMYFUNCTION("""COMPUTED_VALUE"""),0.414256802235699)</f>
        <v>0.414256802235699</v>
      </c>
      <c r="H346" s="17">
        <f ca="1">IFERROR(__xludf.DUMMYFUNCTION("""COMPUTED_VALUE"""),0.471812401505782)</f>
        <v>0.47181240150578202</v>
      </c>
      <c r="I346" s="17">
        <f ca="1">IFERROR(__xludf.DUMMYFUNCTION("""COMPUTED_VALUE"""),0.503833296472476)</f>
        <v>0.50383329647247599</v>
      </c>
      <c r="J346" s="17">
        <f ca="1">IFERROR(__xludf.DUMMYFUNCTION("""COMPUTED_VALUE"""),1.07034394829027)</f>
        <v>1.0703439482902699</v>
      </c>
      <c r="K346" s="17" t="str">
        <f ca="1">IFERROR(__xludf.DUMMYFUNCTION("""COMPUTED_VALUE"""),"nan")</f>
        <v>nan</v>
      </c>
      <c r="L346" s="17">
        <f ca="1">IFERROR(__xludf.DUMMYFUNCTION("""COMPUTED_VALUE"""),0.438329091217146)</f>
        <v>0.43832909121714603</v>
      </c>
      <c r="M346" s="17">
        <f ca="1">IFERROR(__xludf.DUMMYFUNCTION("""COMPUTED_VALUE"""),0.591504161748355)</f>
        <v>0.59150416174835496</v>
      </c>
      <c r="N346" s="17">
        <f ca="1">IFERROR(__xludf.DUMMYFUNCTION("""COMPUTED_VALUE"""),0.477877123922547)</f>
        <v>0.477877123922547</v>
      </c>
      <c r="O346" s="17">
        <f ca="1">IFERROR(__xludf.DUMMYFUNCTION("""COMPUTED_VALUE"""),0.445753233844047)</f>
        <v>0.44575323384404703</v>
      </c>
      <c r="P346" s="17">
        <f ca="1">IFERROR(__xludf.DUMMYFUNCTION("""COMPUTED_VALUE"""),0.746466761149709)</f>
        <v>0.746466761149709</v>
      </c>
      <c r="Q346" s="17">
        <f ca="1">IFERROR(__xludf.DUMMYFUNCTION("""COMPUTED_VALUE"""),0.780026166612598)</f>
        <v>0.78002616661259805</v>
      </c>
      <c r="R346" s="17">
        <f ca="1">IFERROR(__xludf.DUMMYFUNCTION("""COMPUTED_VALUE"""),0.506734014830921)</f>
        <v>0.50673401483092095</v>
      </c>
      <c r="S346" s="17">
        <f ca="1">IFERROR(__xludf.DUMMYFUNCTION("""COMPUTED_VALUE"""),1.80520640663798)</f>
        <v>1.80520640663798</v>
      </c>
      <c r="T346" s="17">
        <f ca="1">IFERROR(__xludf.DUMMYFUNCTION("""COMPUTED_VALUE"""),0.597828520930959)</f>
        <v>0.59782852093095895</v>
      </c>
      <c r="U346" s="17">
        <f ca="1">IFERROR(__xludf.DUMMYFUNCTION("""COMPUTED_VALUE"""),0.446927991467436)</f>
        <v>0.446927991467436</v>
      </c>
      <c r="V346" s="17">
        <f ca="1">IFERROR(__xludf.DUMMYFUNCTION("""COMPUTED_VALUE"""),0.871170531562493)</f>
        <v>0.87117053156249302</v>
      </c>
      <c r="W346" s="17">
        <f ca="1">IFERROR(__xludf.DUMMYFUNCTION("""COMPUTED_VALUE"""),0.858886944898157)</f>
        <v>0.85888694489815698</v>
      </c>
      <c r="X346" s="17">
        <f ca="1">IFERROR(__xludf.DUMMYFUNCTION("""COMPUTED_VALUE"""),0.473372321463494)</f>
        <v>0.47337232146349401</v>
      </c>
      <c r="Y346" s="17">
        <f ca="1">IFERROR(__xludf.DUMMYFUNCTION("""COMPUTED_VALUE"""),0.537954320288403)</f>
        <v>0.53795432028840295</v>
      </c>
      <c r="Z346" s="17">
        <f ca="1">IFERROR(__xludf.DUMMYFUNCTION("""COMPUTED_VALUE"""),0.65036072286938)</f>
        <v>0.65036072286937996</v>
      </c>
      <c r="AA346" s="17">
        <f ca="1">IFERROR(__xludf.DUMMYFUNCTION("""COMPUTED_VALUE"""),0.581708940991462)</f>
        <v>0.58170894099146198</v>
      </c>
      <c r="AB346" s="17">
        <f ca="1">IFERROR(__xludf.DUMMYFUNCTION("""COMPUTED_VALUE"""),1.08006064416438)</f>
        <v>1.0800606441643801</v>
      </c>
      <c r="AC346" s="17">
        <f ca="1">IFERROR(__xludf.DUMMYFUNCTION("""COMPUTED_VALUE"""),0.672260900307847)</f>
        <v>0.67226090030784702</v>
      </c>
      <c r="AD346" s="17">
        <f ca="1">IFERROR(__xludf.DUMMYFUNCTION("""COMPUTED_VALUE"""),0.260623310619098)</f>
        <v>0.26062331061909799</v>
      </c>
      <c r="AE346" s="17">
        <f ca="1">IFERROR(__xludf.DUMMYFUNCTION("""COMPUTED_VALUE"""),1.3159240775355)</f>
        <v>1.3159240775354999</v>
      </c>
      <c r="AF346" s="17">
        <f ca="1">IFERROR(__xludf.DUMMYFUNCTION("""COMPUTED_VALUE"""),0.552421716006723)</f>
        <v>0.55242171600672296</v>
      </c>
      <c r="AG346" s="17">
        <f ca="1">IFERROR(__xludf.DUMMYFUNCTION("""COMPUTED_VALUE"""),1.19765913333773)</f>
        <v>1.19765913333773</v>
      </c>
      <c r="AH346" s="17">
        <f ca="1">IFERROR(__xludf.DUMMYFUNCTION("""COMPUTED_VALUE"""),1.06891975230406)</f>
        <v>1.0689197523040599</v>
      </c>
      <c r="AI346" s="17">
        <f ca="1">IFERROR(__xludf.DUMMYFUNCTION("""COMPUTED_VALUE"""),1.10856484456629)</f>
        <v>1.1085648445662899</v>
      </c>
      <c r="AJ346" s="17">
        <f ca="1">IFERROR(__xludf.DUMMYFUNCTION("""COMPUTED_VALUE"""),1.13181053614033)</f>
        <v>1.1318105361403299</v>
      </c>
    </row>
    <row r="347" spans="2:36" ht="15.75" customHeight="1" x14ac:dyDescent="0.45">
      <c r="B347" s="10" t="str">
        <f ca="1">IFERROR(__xludf.DUMMYFUNCTION("""COMPUTED_VALUE"""),"GunPoint")</f>
        <v>GunPoint</v>
      </c>
      <c r="C347" s="10" t="str">
        <f ca="1">IFERROR(__xludf.DUMMYFUNCTION("""COMPUTED_VALUE"""),"aligned_series")</f>
        <v>aligned_series</v>
      </c>
      <c r="D347" s="10">
        <f ca="1">IFERROR(__xludf.DUMMYFUNCTION("""COMPUTED_VALUE"""),0.1)</f>
        <v>0.1</v>
      </c>
      <c r="E347" s="17">
        <f ca="1">IFERROR(__xludf.DUMMYFUNCTION("""COMPUTED_VALUE"""),0.728938239294244)</f>
        <v>0.72893823929424395</v>
      </c>
      <c r="F347" s="17">
        <f ca="1">IFERROR(__xludf.DUMMYFUNCTION("""COMPUTED_VALUE"""),0.137708560845091)</f>
        <v>0.137708560845091</v>
      </c>
      <c r="G347" s="17">
        <f ca="1">IFERROR(__xludf.DUMMYFUNCTION("""COMPUTED_VALUE"""),0.129942533717098)</f>
        <v>0.12994253371709799</v>
      </c>
      <c r="H347" s="17">
        <f ca="1">IFERROR(__xludf.DUMMYFUNCTION("""COMPUTED_VALUE"""),0.418000643025769)</f>
        <v>0.418000643025769</v>
      </c>
      <c r="I347" s="17">
        <f ca="1">IFERROR(__xludf.DUMMYFUNCTION("""COMPUTED_VALUE"""),0.0445252346259769)</f>
        <v>4.4525234625976899E-2</v>
      </c>
      <c r="J347" s="17">
        <f ca="1">IFERROR(__xludf.DUMMYFUNCTION("""COMPUTED_VALUE"""),0.046857603837073)</f>
        <v>4.6857603837072999E-2</v>
      </c>
      <c r="K347" s="17" t="str">
        <f ca="1">IFERROR(__xludf.DUMMYFUNCTION("""COMPUTED_VALUE"""),"nan")</f>
        <v>nan</v>
      </c>
      <c r="L347" s="17">
        <f ca="1">IFERROR(__xludf.DUMMYFUNCTION("""COMPUTED_VALUE"""),0.194115893046364)</f>
        <v>0.19411589304636401</v>
      </c>
      <c r="M347" s="17">
        <f ca="1">IFERROR(__xludf.DUMMYFUNCTION("""COMPUTED_VALUE"""),0.239026899465747)</f>
        <v>0.23902689946574701</v>
      </c>
      <c r="N347" s="17">
        <f ca="1">IFERROR(__xludf.DUMMYFUNCTION("""COMPUTED_VALUE"""),0.233182492302061)</f>
        <v>0.23318249230206101</v>
      </c>
      <c r="O347" s="17">
        <f ca="1">IFERROR(__xludf.DUMMYFUNCTION("""COMPUTED_VALUE"""),0.171891522910944)</f>
        <v>0.17189152291094401</v>
      </c>
      <c r="P347" s="17">
        <f ca="1">IFERROR(__xludf.DUMMYFUNCTION("""COMPUTED_VALUE"""),0.58992805700689)</f>
        <v>0.58992805700688999</v>
      </c>
      <c r="Q347" s="17">
        <f ca="1">IFERROR(__xludf.DUMMYFUNCTION("""COMPUTED_VALUE"""),0.693344375301294)</f>
        <v>0.693344375301294</v>
      </c>
      <c r="R347" s="17">
        <f ca="1">IFERROR(__xludf.DUMMYFUNCTION("""COMPUTED_VALUE"""),0.567827972698573)</f>
        <v>0.56782797269857299</v>
      </c>
      <c r="S347" s="17">
        <f ca="1">IFERROR(__xludf.DUMMYFUNCTION("""COMPUTED_VALUE"""),0.0822796192332592)</f>
        <v>8.2279619233259202E-2</v>
      </c>
      <c r="T347" s="17">
        <f ca="1">IFERROR(__xludf.DUMMYFUNCTION("""COMPUTED_VALUE"""),0.282081502024308)</f>
        <v>0.28208150202430798</v>
      </c>
      <c r="U347" s="17">
        <f ca="1">IFERROR(__xludf.DUMMYFUNCTION("""COMPUTED_VALUE"""),0.191333531338166)</f>
        <v>0.191333531338166</v>
      </c>
      <c r="V347" s="17">
        <f ca="1">IFERROR(__xludf.DUMMYFUNCTION("""COMPUTED_VALUE"""),0.125253598059512)</f>
        <v>0.125253598059512</v>
      </c>
      <c r="W347" s="17">
        <f ca="1">IFERROR(__xludf.DUMMYFUNCTION("""COMPUTED_VALUE"""),0.17014156619384)</f>
        <v>0.17014156619383999</v>
      </c>
      <c r="X347" s="17">
        <f ca="1">IFERROR(__xludf.DUMMYFUNCTION("""COMPUTED_VALUE"""),0.252220381323086)</f>
        <v>0.252220381323086</v>
      </c>
      <c r="Y347" s="17">
        <f ca="1">IFERROR(__xludf.DUMMYFUNCTION("""COMPUTED_VALUE"""),0.148468620024643)</f>
        <v>0.14846862002464301</v>
      </c>
      <c r="Z347" s="17">
        <f ca="1">IFERROR(__xludf.DUMMYFUNCTION("""COMPUTED_VALUE"""),0.146149760026508)</f>
        <v>0.14614976002650801</v>
      </c>
      <c r="AA347" s="17">
        <f ca="1">IFERROR(__xludf.DUMMYFUNCTION("""COMPUTED_VALUE"""),0.0951376396875847)</f>
        <v>9.5137639687584694E-2</v>
      </c>
      <c r="AB347" s="17">
        <f ca="1">IFERROR(__xludf.DUMMYFUNCTION("""COMPUTED_VALUE"""),0.424145098355284)</f>
        <v>0.42414509835528402</v>
      </c>
      <c r="AC347" s="17">
        <f ca="1">IFERROR(__xludf.DUMMYFUNCTION("""COMPUTED_VALUE"""),0.673863751434686)</f>
        <v>0.67386375143468602</v>
      </c>
      <c r="AD347" s="17">
        <f ca="1">IFERROR(__xludf.DUMMYFUNCTION("""COMPUTED_VALUE"""),0.181002778982694)</f>
        <v>0.18100277898269401</v>
      </c>
      <c r="AE347" s="17">
        <f ca="1">IFERROR(__xludf.DUMMYFUNCTION("""COMPUTED_VALUE"""),0.913318348952748)</f>
        <v>0.91331834895274799</v>
      </c>
      <c r="AF347" s="17">
        <f ca="1">IFERROR(__xludf.DUMMYFUNCTION("""COMPUTED_VALUE"""),0.11954486368715)</f>
        <v>0.11954486368715</v>
      </c>
      <c r="AG347" s="17">
        <f ca="1">IFERROR(__xludf.DUMMYFUNCTION("""COMPUTED_VALUE"""),1.0737332456271)</f>
        <v>1.0737332456271</v>
      </c>
      <c r="AH347" s="17">
        <f ca="1">IFERROR(__xludf.DUMMYFUNCTION("""COMPUTED_VALUE"""),0.243129023985638)</f>
        <v>0.24312902398563799</v>
      </c>
      <c r="AI347" s="17">
        <f ca="1">IFERROR(__xludf.DUMMYFUNCTION("""COMPUTED_VALUE"""),0.283592906933751)</f>
        <v>0.283592906933751</v>
      </c>
      <c r="AJ347" s="17">
        <f ca="1">IFERROR(__xludf.DUMMYFUNCTION("""COMPUTED_VALUE"""),0.51678731997425)</f>
        <v>0.51678731997424998</v>
      </c>
    </row>
    <row r="348" spans="2:36" ht="15.75" customHeight="1" x14ac:dyDescent="0.45">
      <c r="B348" s="10" t="str">
        <f ca="1">IFERROR(__xludf.DUMMYFUNCTION("""COMPUTED_VALUE"""),"GunPoint")</f>
        <v>GunPoint</v>
      </c>
      <c r="C348" s="10" t="str">
        <f ca="1">IFERROR(__xludf.DUMMYFUNCTION("""COMPUTED_VALUE"""),"aligned_series")</f>
        <v>aligned_series</v>
      </c>
      <c r="D348" s="10">
        <f ca="1">IFERROR(__xludf.DUMMYFUNCTION("""COMPUTED_VALUE"""),0.2)</f>
        <v>0.2</v>
      </c>
      <c r="E348" s="17">
        <f ca="1">IFERROR(__xludf.DUMMYFUNCTION("""COMPUTED_VALUE"""),0.902574585912882)</f>
        <v>0.90257458591288198</v>
      </c>
      <c r="F348" s="17">
        <f ca="1">IFERROR(__xludf.DUMMYFUNCTION("""COMPUTED_VALUE"""),0.417782246554635)</f>
        <v>0.41778224655463497</v>
      </c>
      <c r="G348" s="17">
        <f ca="1">IFERROR(__xludf.DUMMYFUNCTION("""COMPUTED_VALUE"""),0.415883420629126)</f>
        <v>0.41588342062912598</v>
      </c>
      <c r="H348" s="17">
        <f ca="1">IFERROR(__xludf.DUMMYFUNCTION("""COMPUTED_VALUE"""),0.562559631049008)</f>
        <v>0.56255963104900797</v>
      </c>
      <c r="I348" s="17">
        <f ca="1">IFERROR(__xludf.DUMMYFUNCTION("""COMPUTED_VALUE"""),0.287954318797019)</f>
        <v>0.28795431879701899</v>
      </c>
      <c r="J348" s="17">
        <f ca="1">IFERROR(__xludf.DUMMYFUNCTION("""COMPUTED_VALUE"""),0.317207733399199)</f>
        <v>0.317207733399199</v>
      </c>
      <c r="K348" s="17" t="str">
        <f ca="1">IFERROR(__xludf.DUMMYFUNCTION("""COMPUTED_VALUE"""),"nan")</f>
        <v>nan</v>
      </c>
      <c r="L348" s="17">
        <f ca="1">IFERROR(__xludf.DUMMYFUNCTION("""COMPUTED_VALUE"""),0.292230237223578)</f>
        <v>0.29223023722357799</v>
      </c>
      <c r="M348" s="17">
        <f ca="1">IFERROR(__xludf.DUMMYFUNCTION("""COMPUTED_VALUE"""),0.440122058566479)</f>
        <v>0.44012205856647901</v>
      </c>
      <c r="N348" s="17">
        <f ca="1">IFERROR(__xludf.DUMMYFUNCTION("""COMPUTED_VALUE"""),0.460128584813662)</f>
        <v>0.46012858481366198</v>
      </c>
      <c r="O348" s="17">
        <f ca="1">IFERROR(__xludf.DUMMYFUNCTION("""COMPUTED_VALUE"""),0.279636264695346)</f>
        <v>0.27963626469534603</v>
      </c>
      <c r="P348" s="17">
        <f ca="1">IFERROR(__xludf.DUMMYFUNCTION("""COMPUTED_VALUE"""),0.897263431193135)</f>
        <v>0.89726343119313501</v>
      </c>
      <c r="Q348" s="17">
        <f ca="1">IFERROR(__xludf.DUMMYFUNCTION("""COMPUTED_VALUE"""),0.744461682402659)</f>
        <v>0.74446168240265898</v>
      </c>
      <c r="R348" s="17">
        <f ca="1">IFERROR(__xludf.DUMMYFUNCTION("""COMPUTED_VALUE"""),0.575201055460824)</f>
        <v>0.57520105546082401</v>
      </c>
      <c r="S348" s="17">
        <f ca="1">IFERROR(__xludf.DUMMYFUNCTION("""COMPUTED_VALUE"""),0.560072277337199)</f>
        <v>0.560072277337199</v>
      </c>
      <c r="T348" s="17">
        <f ca="1">IFERROR(__xludf.DUMMYFUNCTION("""COMPUTED_VALUE"""),0.62601731787532)</f>
        <v>0.62601731787532</v>
      </c>
      <c r="U348" s="17">
        <f ca="1">IFERROR(__xludf.DUMMYFUNCTION("""COMPUTED_VALUE"""),0.423299587114715)</f>
        <v>0.42329958711471499</v>
      </c>
      <c r="V348" s="17">
        <f ca="1">IFERROR(__xludf.DUMMYFUNCTION("""COMPUTED_VALUE"""),0.334466465014261)</f>
        <v>0.33446646501426103</v>
      </c>
      <c r="W348" s="17">
        <f ca="1">IFERROR(__xludf.DUMMYFUNCTION("""COMPUTED_VALUE"""),0.561044845386396)</f>
        <v>0.56104484538639599</v>
      </c>
      <c r="X348" s="17">
        <f ca="1">IFERROR(__xludf.DUMMYFUNCTION("""COMPUTED_VALUE"""),0.471698363643369)</f>
        <v>0.47169836364336898</v>
      </c>
      <c r="Y348" s="17">
        <f ca="1">IFERROR(__xludf.DUMMYFUNCTION("""COMPUTED_VALUE"""),0.289061451960557)</f>
        <v>0.28906145196055699</v>
      </c>
      <c r="Z348" s="17">
        <f ca="1">IFERROR(__xludf.DUMMYFUNCTION("""COMPUTED_VALUE"""),0.288547436683622)</f>
        <v>0.28854743668362198</v>
      </c>
      <c r="AA348" s="17">
        <f ca="1">IFERROR(__xludf.DUMMYFUNCTION("""COMPUTED_VALUE"""),0.133642106374535)</f>
        <v>0.133642106374535</v>
      </c>
      <c r="AB348" s="17">
        <f ca="1">IFERROR(__xludf.DUMMYFUNCTION("""COMPUTED_VALUE"""),0.347637925532765)</f>
        <v>0.34763792553276501</v>
      </c>
      <c r="AC348" s="17">
        <f ca="1">IFERROR(__xludf.DUMMYFUNCTION("""COMPUTED_VALUE"""),0.862373793678233)</f>
        <v>0.86237379367823297</v>
      </c>
      <c r="AD348" s="17">
        <f ca="1">IFERROR(__xludf.DUMMYFUNCTION("""COMPUTED_VALUE"""),0.412007460473348)</f>
        <v>0.41200746047334802</v>
      </c>
      <c r="AE348" s="17">
        <f ca="1">IFERROR(__xludf.DUMMYFUNCTION("""COMPUTED_VALUE"""),1.02812087153)</f>
        <v>1.0281208715300001</v>
      </c>
      <c r="AF348" s="17">
        <f ca="1">IFERROR(__xludf.DUMMYFUNCTION("""COMPUTED_VALUE"""),0.325360056362572)</f>
        <v>0.32536005636257198</v>
      </c>
      <c r="AG348" s="17">
        <f ca="1">IFERROR(__xludf.DUMMYFUNCTION("""COMPUTED_VALUE"""),1.14135978441691)</f>
        <v>1.1413597844169101</v>
      </c>
      <c r="AH348" s="17">
        <f ca="1">IFERROR(__xludf.DUMMYFUNCTION("""COMPUTED_VALUE"""),0.43327033304444)</f>
        <v>0.43327033304444001</v>
      </c>
      <c r="AI348" s="17">
        <f ca="1">IFERROR(__xludf.DUMMYFUNCTION("""COMPUTED_VALUE"""),0.486862982018557)</f>
        <v>0.48686298201855699</v>
      </c>
      <c r="AJ348" s="17">
        <f ca="1">IFERROR(__xludf.DUMMYFUNCTION("""COMPUTED_VALUE"""),0.798581766737583)</f>
        <v>0.79858176673758297</v>
      </c>
    </row>
    <row r="349" spans="2:36" ht="15.75" customHeight="1" x14ac:dyDescent="0.45">
      <c r="B349" s="10" t="str">
        <f ca="1">IFERROR(__xludf.DUMMYFUNCTION("""COMPUTED_VALUE"""),"GunPoint")</f>
        <v>GunPoint</v>
      </c>
      <c r="C349" s="10" t="str">
        <f ca="1">IFERROR(__xludf.DUMMYFUNCTION("""COMPUTED_VALUE"""),"aligned_series")</f>
        <v>aligned_series</v>
      </c>
      <c r="D349" s="10">
        <f ca="1">IFERROR(__xludf.DUMMYFUNCTION("""COMPUTED_VALUE"""),0.4)</f>
        <v>0.4</v>
      </c>
      <c r="E349" s="17">
        <f ca="1">IFERROR(__xludf.DUMMYFUNCTION("""COMPUTED_VALUE"""),0.91967887047405)</f>
        <v>0.91967887047404995</v>
      </c>
      <c r="F349" s="17">
        <f ca="1">IFERROR(__xludf.DUMMYFUNCTION("""COMPUTED_VALUE"""),0.357936427580858)</f>
        <v>0.35793642758085797</v>
      </c>
      <c r="G349" s="17">
        <f ca="1">IFERROR(__xludf.DUMMYFUNCTION("""COMPUTED_VALUE"""),0.352322221640301)</f>
        <v>0.35232222164030103</v>
      </c>
      <c r="H349" s="17">
        <f ca="1">IFERROR(__xludf.DUMMYFUNCTION("""COMPUTED_VALUE"""),0.551853729009653)</f>
        <v>0.55185372900965302</v>
      </c>
      <c r="I349" s="17">
        <f ca="1">IFERROR(__xludf.DUMMYFUNCTION("""COMPUTED_VALUE"""),0.244292585155323)</f>
        <v>0.24429258515532301</v>
      </c>
      <c r="J349" s="17">
        <f ca="1">IFERROR(__xludf.DUMMYFUNCTION("""COMPUTED_VALUE"""),0.280516487850763)</f>
        <v>0.280516487850763</v>
      </c>
      <c r="K349" s="17" t="str">
        <f ca="1">IFERROR(__xludf.DUMMYFUNCTION("""COMPUTED_VALUE"""),"nan")</f>
        <v>nan</v>
      </c>
      <c r="L349" s="17">
        <f ca="1">IFERROR(__xludf.DUMMYFUNCTION("""COMPUTED_VALUE"""),0.244238613736589)</f>
        <v>0.24423861373658901</v>
      </c>
      <c r="M349" s="17">
        <f ca="1">IFERROR(__xludf.DUMMYFUNCTION("""COMPUTED_VALUE"""),0.398152853950189)</f>
        <v>0.39815285395018901</v>
      </c>
      <c r="N349" s="17">
        <f ca="1">IFERROR(__xludf.DUMMYFUNCTION("""COMPUTED_VALUE"""),0.40460778883774)</f>
        <v>0.40460778883774001</v>
      </c>
      <c r="O349" s="17">
        <f ca="1">IFERROR(__xludf.DUMMYFUNCTION("""COMPUTED_VALUE"""),0.220958606564593)</f>
        <v>0.22095860656459301</v>
      </c>
      <c r="P349" s="17">
        <f ca="1">IFERROR(__xludf.DUMMYFUNCTION("""COMPUTED_VALUE"""),1.22531535949364)</f>
        <v>1.2253153594936399</v>
      </c>
      <c r="Q349" s="17">
        <f ca="1">IFERROR(__xludf.DUMMYFUNCTION("""COMPUTED_VALUE"""),0.680192120974835)</f>
        <v>0.68019212097483495</v>
      </c>
      <c r="R349" s="17">
        <f ca="1">IFERROR(__xludf.DUMMYFUNCTION("""COMPUTED_VALUE"""),1.36796425588069)</f>
        <v>1.3679642558806899</v>
      </c>
      <c r="S349" s="17">
        <f ca="1">IFERROR(__xludf.DUMMYFUNCTION("""COMPUTED_VALUE"""),0.524445486572093)</f>
        <v>0.524445486572093</v>
      </c>
      <c r="T349" s="17">
        <f ca="1">IFERROR(__xludf.DUMMYFUNCTION("""COMPUTED_VALUE"""),0.481376820979115)</f>
        <v>0.48137682097911499</v>
      </c>
      <c r="U349" s="17">
        <f ca="1">IFERROR(__xludf.DUMMYFUNCTION("""COMPUTED_VALUE"""),0.330583912159794)</f>
        <v>0.33058391215979399</v>
      </c>
      <c r="V349" s="17">
        <f ca="1">IFERROR(__xludf.DUMMYFUNCTION("""COMPUTED_VALUE"""),0.301168389072813)</f>
        <v>0.30116838907281301</v>
      </c>
      <c r="W349" s="17">
        <f ca="1">IFERROR(__xludf.DUMMYFUNCTION("""COMPUTED_VALUE"""),0.398497720428622)</f>
        <v>0.39849772042862203</v>
      </c>
      <c r="X349" s="17">
        <f ca="1">IFERROR(__xludf.DUMMYFUNCTION("""COMPUTED_VALUE"""),0.463412156430469)</f>
        <v>0.46341215643046901</v>
      </c>
      <c r="Y349" s="17">
        <f ca="1">IFERROR(__xludf.DUMMYFUNCTION("""COMPUTED_VALUE"""),0.279474747316249)</f>
        <v>0.27947474731624899</v>
      </c>
      <c r="Z349" s="17">
        <f ca="1">IFERROR(__xludf.DUMMYFUNCTION("""COMPUTED_VALUE"""),0.266290721956283)</f>
        <v>0.26629072195628301</v>
      </c>
      <c r="AA349" s="17">
        <f ca="1">IFERROR(__xludf.DUMMYFUNCTION("""COMPUTED_VALUE"""),0.104196135836918)</f>
        <v>0.104196135836918</v>
      </c>
      <c r="AB349" s="17">
        <f ca="1">IFERROR(__xludf.DUMMYFUNCTION("""COMPUTED_VALUE"""),0.376237533923361)</f>
        <v>0.37623753392336101</v>
      </c>
      <c r="AC349" s="17">
        <f ca="1">IFERROR(__xludf.DUMMYFUNCTION("""COMPUTED_VALUE"""),1.07066148881157)</f>
        <v>1.07066148881157</v>
      </c>
      <c r="AD349" s="17">
        <f ca="1">IFERROR(__xludf.DUMMYFUNCTION("""COMPUTED_VALUE"""),0.34766280501495)</f>
        <v>0.34766280501495</v>
      </c>
      <c r="AE349" s="17">
        <f ca="1">IFERROR(__xludf.DUMMYFUNCTION("""COMPUTED_VALUE"""),1.0092458179832)</f>
        <v>1.0092458179832</v>
      </c>
      <c r="AF349" s="17">
        <f ca="1">IFERROR(__xludf.DUMMYFUNCTION("""COMPUTED_VALUE"""),0.296014900297658)</f>
        <v>0.29601490029765798</v>
      </c>
      <c r="AG349" s="17">
        <f ca="1">IFERROR(__xludf.DUMMYFUNCTION("""COMPUTED_VALUE"""),1.3108695431046)</f>
        <v>1.3108695431046</v>
      </c>
      <c r="AH349" s="17">
        <f ca="1">IFERROR(__xludf.DUMMYFUNCTION("""COMPUTED_VALUE"""),0.435453711018266)</f>
        <v>0.43545371101826602</v>
      </c>
      <c r="AI349" s="17">
        <f ca="1">IFERROR(__xludf.DUMMYFUNCTION("""COMPUTED_VALUE"""),0.491465074196379)</f>
        <v>0.49146507419637903</v>
      </c>
      <c r="AJ349" s="17">
        <f ca="1">IFERROR(__xludf.DUMMYFUNCTION("""COMPUTED_VALUE"""),0.876432625051407)</f>
        <v>0.87643262505140695</v>
      </c>
    </row>
    <row r="350" spans="2:36" ht="15.75" customHeight="1" x14ac:dyDescent="0.45">
      <c r="B350" s="10" t="str">
        <f ca="1">IFERROR(__xludf.DUMMYFUNCTION("""COMPUTED_VALUE"""),"GunPoint")</f>
        <v>GunPoint</v>
      </c>
      <c r="C350" s="10" t="str">
        <f ca="1">IFERROR(__xludf.DUMMYFUNCTION("""COMPUTED_VALUE"""),"aligned_series")</f>
        <v>aligned_series</v>
      </c>
      <c r="D350" s="10">
        <f ca="1">IFERROR(__xludf.DUMMYFUNCTION("""COMPUTED_VALUE"""),0.6)</f>
        <v>0.6</v>
      </c>
      <c r="E350" s="17">
        <f ca="1">IFERROR(__xludf.DUMMYFUNCTION("""COMPUTED_VALUE"""),0.97721236675277)</f>
        <v>0.97721236675277001</v>
      </c>
      <c r="F350" s="17">
        <f ca="1">IFERROR(__xludf.DUMMYFUNCTION("""COMPUTED_VALUE"""),0.410795724024087)</f>
        <v>0.41079572402408698</v>
      </c>
      <c r="G350" s="17">
        <f ca="1">IFERROR(__xludf.DUMMYFUNCTION("""COMPUTED_VALUE"""),0.411936865433509)</f>
        <v>0.41193686543350899</v>
      </c>
      <c r="H350" s="17">
        <f ca="1">IFERROR(__xludf.DUMMYFUNCTION("""COMPUTED_VALUE"""),0.588771139389148)</f>
        <v>0.58877113938914805</v>
      </c>
      <c r="I350" s="17">
        <f ca="1">IFERROR(__xludf.DUMMYFUNCTION("""COMPUTED_VALUE"""),0.391590919435345)</f>
        <v>0.39159091943534502</v>
      </c>
      <c r="J350" s="17">
        <f ca="1">IFERROR(__xludf.DUMMYFUNCTION("""COMPUTED_VALUE"""),0.376657552251252)</f>
        <v>0.37665755225125203</v>
      </c>
      <c r="K350" s="17" t="str">
        <f ca="1">IFERROR(__xludf.DUMMYFUNCTION("""COMPUTED_VALUE"""),"nan")</f>
        <v>nan</v>
      </c>
      <c r="L350" s="17">
        <f ca="1">IFERROR(__xludf.DUMMYFUNCTION("""COMPUTED_VALUE"""),0.367102576246737)</f>
        <v>0.36710257624673698</v>
      </c>
      <c r="M350" s="17">
        <f ca="1">IFERROR(__xludf.DUMMYFUNCTION("""COMPUTED_VALUE"""),0.452759069659138)</f>
        <v>0.45275906965913798</v>
      </c>
      <c r="N350" s="17">
        <f ca="1">IFERROR(__xludf.DUMMYFUNCTION("""COMPUTED_VALUE"""),0.412957570885573)</f>
        <v>0.412957570885573</v>
      </c>
      <c r="O350" s="17">
        <f ca="1">IFERROR(__xludf.DUMMYFUNCTION("""COMPUTED_VALUE"""),0.236108638856717)</f>
        <v>0.23610863885671701</v>
      </c>
      <c r="P350" s="17">
        <f ca="1">IFERROR(__xludf.DUMMYFUNCTION("""COMPUTED_VALUE"""),1.2846769371314)</f>
        <v>1.2846769371314</v>
      </c>
      <c r="Q350" s="17">
        <f ca="1">IFERROR(__xludf.DUMMYFUNCTION("""COMPUTED_VALUE"""),0.822188839381883)</f>
        <v>0.82218883938188303</v>
      </c>
      <c r="R350" s="17">
        <f ca="1">IFERROR(__xludf.DUMMYFUNCTION("""COMPUTED_VALUE"""),1.95004701326366)</f>
        <v>1.95004701326366</v>
      </c>
      <c r="S350" s="17">
        <f ca="1">IFERROR(__xludf.DUMMYFUNCTION("""COMPUTED_VALUE"""),0.779933180214277)</f>
        <v>0.77993318021427704</v>
      </c>
      <c r="T350" s="17">
        <f ca="1">IFERROR(__xludf.DUMMYFUNCTION("""COMPUTED_VALUE"""),0.604221640530136)</f>
        <v>0.60422164053013605</v>
      </c>
      <c r="U350" s="17">
        <f ca="1">IFERROR(__xludf.DUMMYFUNCTION("""COMPUTED_VALUE"""),0.378593113308781)</f>
        <v>0.37859311330878098</v>
      </c>
      <c r="V350" s="17">
        <f ca="1">IFERROR(__xludf.DUMMYFUNCTION("""COMPUTED_VALUE"""),0.496826462592743)</f>
        <v>0.49682646259274299</v>
      </c>
      <c r="W350" s="17">
        <f ca="1">IFERROR(__xludf.DUMMYFUNCTION("""COMPUTED_VALUE"""),0.519839268061428)</f>
        <v>0.51983926806142799</v>
      </c>
      <c r="X350" s="17">
        <f ca="1">IFERROR(__xludf.DUMMYFUNCTION("""COMPUTED_VALUE"""),0.500151991983824)</f>
        <v>0.50015199198382398</v>
      </c>
      <c r="Y350" s="17">
        <f ca="1">IFERROR(__xludf.DUMMYFUNCTION("""COMPUTED_VALUE"""),0.380514866357527)</f>
        <v>0.38051486635752702</v>
      </c>
      <c r="Z350" s="17">
        <f ca="1">IFERROR(__xludf.DUMMYFUNCTION("""COMPUTED_VALUE"""),0.295617079495883)</f>
        <v>0.29561707949588301</v>
      </c>
      <c r="AA350" s="17">
        <f ca="1">IFERROR(__xludf.DUMMYFUNCTION("""COMPUTED_VALUE"""),0.116761850763994)</f>
        <v>0.11676185076399399</v>
      </c>
      <c r="AB350" s="17">
        <f ca="1">IFERROR(__xludf.DUMMYFUNCTION("""COMPUTED_VALUE"""),0.83114182259155)</f>
        <v>0.83114182259155001</v>
      </c>
      <c r="AC350" s="17">
        <f ca="1">IFERROR(__xludf.DUMMYFUNCTION("""COMPUTED_VALUE"""),0.987920794407269)</f>
        <v>0.98792079440726899</v>
      </c>
      <c r="AD350" s="17">
        <f ca="1">IFERROR(__xludf.DUMMYFUNCTION("""COMPUTED_VALUE"""),0.385507922031971)</f>
        <v>0.38550792203197098</v>
      </c>
      <c r="AE350" s="17">
        <f ca="1">IFERROR(__xludf.DUMMYFUNCTION("""COMPUTED_VALUE"""),1.04882740101224)</f>
        <v>1.04882740101224</v>
      </c>
      <c r="AF350" s="17">
        <f ca="1">IFERROR(__xludf.DUMMYFUNCTION("""COMPUTED_VALUE"""),0.361919608421984)</f>
        <v>0.36191960842198401</v>
      </c>
      <c r="AG350" s="17">
        <f ca="1">IFERROR(__xludf.DUMMYFUNCTION("""COMPUTED_VALUE"""),1.39877990290265)</f>
        <v>1.39877990290265</v>
      </c>
      <c r="AH350" s="17">
        <f ca="1">IFERROR(__xludf.DUMMYFUNCTION("""COMPUTED_VALUE"""),0.515759099885082)</f>
        <v>0.51575909988508195</v>
      </c>
      <c r="AI350" s="17">
        <f ca="1">IFERROR(__xludf.DUMMYFUNCTION("""COMPUTED_VALUE"""),0.580927550666515)</f>
        <v>0.58092755066651502</v>
      </c>
      <c r="AJ350" s="17">
        <f ca="1">IFERROR(__xludf.DUMMYFUNCTION("""COMPUTED_VALUE"""),1.05861985353393)</f>
        <v>1.05861985353393</v>
      </c>
    </row>
    <row r="351" spans="2:36" ht="15.75" customHeight="1" x14ac:dyDescent="0.45">
      <c r="B351" s="10" t="str">
        <f ca="1">IFERROR(__xludf.DUMMYFUNCTION("""COMPUTED_VALUE"""),"GunPoint")</f>
        <v>GunPoint</v>
      </c>
      <c r="C351" s="10" t="str">
        <f ca="1">IFERROR(__xludf.DUMMYFUNCTION("""COMPUTED_VALUE"""),"aligned_series")</f>
        <v>aligned_series</v>
      </c>
      <c r="D351" s="10">
        <f ca="1">IFERROR(__xludf.DUMMYFUNCTION("""COMPUTED_VALUE"""),0.8)</f>
        <v>0.8</v>
      </c>
      <c r="E351" s="17">
        <f ca="1">IFERROR(__xludf.DUMMYFUNCTION("""COMPUTED_VALUE"""),1.01325816258741)</f>
        <v>1.01325816258741</v>
      </c>
      <c r="F351" s="17">
        <f ca="1">IFERROR(__xludf.DUMMYFUNCTION("""COMPUTED_VALUE"""),0.460094398694593)</f>
        <v>0.46009439869459301</v>
      </c>
      <c r="G351" s="17">
        <f ca="1">IFERROR(__xludf.DUMMYFUNCTION("""COMPUTED_VALUE"""),0.433758431391051)</f>
        <v>0.43375843139105102</v>
      </c>
      <c r="H351" s="17">
        <f ca="1">IFERROR(__xludf.DUMMYFUNCTION("""COMPUTED_VALUE"""),0.562070149955345)</f>
        <v>0.56207014995534499</v>
      </c>
      <c r="I351" s="17">
        <f ca="1">IFERROR(__xludf.DUMMYFUNCTION("""COMPUTED_VALUE"""),0.563759835143077)</f>
        <v>0.56375983514307704</v>
      </c>
      <c r="J351" s="17">
        <f ca="1">IFERROR(__xludf.DUMMYFUNCTION("""COMPUTED_VALUE"""),0.551416588449928)</f>
        <v>0.55141658844992802</v>
      </c>
      <c r="K351" s="17" t="str">
        <f ca="1">IFERROR(__xludf.DUMMYFUNCTION("""COMPUTED_VALUE"""),"nan")</f>
        <v>nan</v>
      </c>
      <c r="L351" s="17">
        <f ca="1">IFERROR(__xludf.DUMMYFUNCTION("""COMPUTED_VALUE"""),0.471454709271619)</f>
        <v>0.47145470927161898</v>
      </c>
      <c r="M351" s="17">
        <f ca="1">IFERROR(__xludf.DUMMYFUNCTION("""COMPUTED_VALUE"""),0.461189972816263)</f>
        <v>0.46118997281626301</v>
      </c>
      <c r="N351" s="17">
        <f ca="1">IFERROR(__xludf.DUMMYFUNCTION("""COMPUTED_VALUE"""),0.393312085651621)</f>
        <v>0.39331208565162101</v>
      </c>
      <c r="O351" s="17">
        <f ca="1">IFERROR(__xludf.DUMMYFUNCTION("""COMPUTED_VALUE"""),0.267007022200943)</f>
        <v>0.26700702220094302</v>
      </c>
      <c r="P351" s="17">
        <f ca="1">IFERROR(__xludf.DUMMYFUNCTION("""COMPUTED_VALUE"""),1.34936231788045)</f>
        <v>1.3493623178804499</v>
      </c>
      <c r="Q351" s="17">
        <f ca="1">IFERROR(__xludf.DUMMYFUNCTION("""COMPUTED_VALUE"""),1.03134893678425)</f>
        <v>1.0313489367842501</v>
      </c>
      <c r="R351" s="17">
        <f ca="1">IFERROR(__xludf.DUMMYFUNCTION("""COMPUTED_VALUE"""),1.46490461054567)</f>
        <v>1.46490461054567</v>
      </c>
      <c r="S351" s="17">
        <f ca="1">IFERROR(__xludf.DUMMYFUNCTION("""COMPUTED_VALUE"""),0.940731332510457)</f>
        <v>0.94073133251045704</v>
      </c>
      <c r="T351" s="17">
        <f ca="1">IFERROR(__xludf.DUMMYFUNCTION("""COMPUTED_VALUE"""),0.588233264140529)</f>
        <v>0.58823326414052901</v>
      </c>
      <c r="U351" s="17">
        <f ca="1">IFERROR(__xludf.DUMMYFUNCTION("""COMPUTED_VALUE"""),0.382629947818908)</f>
        <v>0.38262994781890802</v>
      </c>
      <c r="V351" s="17">
        <f ca="1">IFERROR(__xludf.DUMMYFUNCTION("""COMPUTED_VALUE"""),0.598844797572805)</f>
        <v>0.59884479757280495</v>
      </c>
      <c r="W351" s="17">
        <f ca="1">IFERROR(__xludf.DUMMYFUNCTION("""COMPUTED_VALUE"""),0.625744268916072)</f>
        <v>0.62574426891607204</v>
      </c>
      <c r="X351" s="17">
        <f ca="1">IFERROR(__xludf.DUMMYFUNCTION("""COMPUTED_VALUE"""),0.662798330309299)</f>
        <v>0.66279833030929902</v>
      </c>
      <c r="Y351" s="17">
        <f ca="1">IFERROR(__xludf.DUMMYFUNCTION("""COMPUTED_VALUE"""),0.474129007718227)</f>
        <v>0.47412900771822702</v>
      </c>
      <c r="Z351" s="17">
        <f ca="1">IFERROR(__xludf.DUMMYFUNCTION("""COMPUTED_VALUE"""),0.343488907541908)</f>
        <v>0.34348890754190797</v>
      </c>
      <c r="AA351" s="17">
        <f ca="1">IFERROR(__xludf.DUMMYFUNCTION("""COMPUTED_VALUE"""),0.194006047395536)</f>
        <v>0.19400604739553601</v>
      </c>
      <c r="AB351" s="17">
        <f ca="1">IFERROR(__xludf.DUMMYFUNCTION("""COMPUTED_VALUE"""),1.21808692468896)</f>
        <v>1.2180869246889601</v>
      </c>
      <c r="AC351" s="17">
        <f ca="1">IFERROR(__xludf.DUMMYFUNCTION("""COMPUTED_VALUE"""),0.560667856210432)</f>
        <v>0.56066785621043203</v>
      </c>
      <c r="AD351" s="17">
        <f ca="1">IFERROR(__xludf.DUMMYFUNCTION("""COMPUTED_VALUE"""),0.398763445506582)</f>
        <v>0.39876344550658199</v>
      </c>
      <c r="AE351" s="17">
        <f ca="1">IFERROR(__xludf.DUMMYFUNCTION("""COMPUTED_VALUE"""),1.04481773191442)</f>
        <v>1.0448177319144201</v>
      </c>
      <c r="AF351" s="17">
        <f ca="1">IFERROR(__xludf.DUMMYFUNCTION("""COMPUTED_VALUE"""),0.445647217655221)</f>
        <v>0.44564721765522097</v>
      </c>
      <c r="AG351" s="17">
        <f ca="1">IFERROR(__xludf.DUMMYFUNCTION("""COMPUTED_VALUE"""),1.2980688891845)</f>
        <v>1.2980688891845</v>
      </c>
      <c r="AH351" s="17">
        <f ca="1">IFERROR(__xludf.DUMMYFUNCTION("""COMPUTED_VALUE"""),0.511421083423001)</f>
        <v>0.51142108342300097</v>
      </c>
      <c r="AI351" s="17">
        <f ca="1">IFERROR(__xludf.DUMMYFUNCTION("""COMPUTED_VALUE"""),0.577704403382574)</f>
        <v>0.57770440338257401</v>
      </c>
      <c r="AJ351" s="17">
        <f ca="1">IFERROR(__xludf.DUMMYFUNCTION("""COMPUTED_VALUE"""),1.16518576687537)</f>
        <v>1.16518576687537</v>
      </c>
    </row>
    <row r="352" spans="2:36" ht="15.75" customHeight="1" x14ac:dyDescent="0.45">
      <c r="B352" s="10" t="str">
        <f ca="1">IFERROR(__xludf.DUMMYFUNCTION("""COMPUTED_VALUE"""),"GunPoint")</f>
        <v>GunPoint</v>
      </c>
      <c r="C352" s="10" t="str">
        <f ca="1">IFERROR(__xludf.DUMMYFUNCTION("""COMPUTED_VALUE"""),"aligned_timestamps")</f>
        <v>aligned_timestamps</v>
      </c>
      <c r="D352" s="10">
        <f ca="1">IFERROR(__xludf.DUMMYFUNCTION("""COMPUTED_VALUE"""),0.1)</f>
        <v>0.1</v>
      </c>
      <c r="E352" s="17">
        <f ca="1">IFERROR(__xludf.DUMMYFUNCTION("""COMPUTED_VALUE"""),1.02413857080901)</f>
        <v>1.0241385708090101</v>
      </c>
      <c r="F352" s="17">
        <f ca="1">IFERROR(__xludf.DUMMYFUNCTION("""COMPUTED_VALUE"""),0.438131661151192)</f>
        <v>0.43813166115119201</v>
      </c>
      <c r="G352" s="17">
        <f ca="1">IFERROR(__xludf.DUMMYFUNCTION("""COMPUTED_VALUE"""),0.432735315354259)</f>
        <v>0.43273531535425902</v>
      </c>
      <c r="H352" s="17">
        <f ca="1">IFERROR(__xludf.DUMMYFUNCTION("""COMPUTED_VALUE"""),0.558038717619083)</f>
        <v>0.55803871761908297</v>
      </c>
      <c r="I352" s="17">
        <f ca="1">IFERROR(__xludf.DUMMYFUNCTION("""COMPUTED_VALUE"""),0.305705383198858)</f>
        <v>0.30570538319885798</v>
      </c>
      <c r="J352" s="17">
        <f ca="1">IFERROR(__xludf.DUMMYFUNCTION("""COMPUTED_VALUE"""),0.333870519385746)</f>
        <v>0.33387051938574602</v>
      </c>
      <c r="K352" s="17" t="str">
        <f ca="1">IFERROR(__xludf.DUMMYFUNCTION("""COMPUTED_VALUE"""),"nan")</f>
        <v>nan</v>
      </c>
      <c r="L352" s="17">
        <f ca="1">IFERROR(__xludf.DUMMYFUNCTION("""COMPUTED_VALUE"""),0.300079623594198)</f>
        <v>0.30007962359419799</v>
      </c>
      <c r="M352" s="17">
        <f ca="1">IFERROR(__xludf.DUMMYFUNCTION("""COMPUTED_VALUE"""),0.435670237958518)</f>
        <v>0.435670237958518</v>
      </c>
      <c r="N352" s="17">
        <f ca="1">IFERROR(__xludf.DUMMYFUNCTION("""COMPUTED_VALUE"""),0.291556147168992)</f>
        <v>0.29155614716899197</v>
      </c>
      <c r="O352" s="17">
        <f ca="1">IFERROR(__xludf.DUMMYFUNCTION("""COMPUTED_VALUE"""),0.273975243108619)</f>
        <v>0.27397524310861898</v>
      </c>
      <c r="P352" s="17">
        <f ca="1">IFERROR(__xludf.DUMMYFUNCTION("""COMPUTED_VALUE"""),0.864023286906387)</f>
        <v>0.86402328690638697</v>
      </c>
      <c r="Q352" s="17">
        <f ca="1">IFERROR(__xludf.DUMMYFUNCTION("""COMPUTED_VALUE"""),0.427723709484904)</f>
        <v>0.42772370948490401</v>
      </c>
      <c r="R352" s="17">
        <f ca="1">IFERROR(__xludf.DUMMYFUNCTION("""COMPUTED_VALUE"""),0.405598091187755)</f>
        <v>0.40559809118775503</v>
      </c>
      <c r="S352" s="17">
        <f ca="1">IFERROR(__xludf.DUMMYFUNCTION("""COMPUTED_VALUE"""),0.594399332240501)</f>
        <v>0.59439933224050101</v>
      </c>
      <c r="T352" s="17">
        <f ca="1">IFERROR(__xludf.DUMMYFUNCTION("""COMPUTED_VALUE"""),0.411790325578848)</f>
        <v>0.41179032557884798</v>
      </c>
      <c r="U352" s="17">
        <f ca="1">IFERROR(__xludf.DUMMYFUNCTION("""COMPUTED_VALUE"""),0.336765559027571)</f>
        <v>0.33676555902757099</v>
      </c>
      <c r="V352" s="17">
        <f ca="1">IFERROR(__xludf.DUMMYFUNCTION("""COMPUTED_VALUE"""),0.0964568860714075)</f>
        <v>9.6456886071407497E-2</v>
      </c>
      <c r="W352" s="17">
        <f ca="1">IFERROR(__xludf.DUMMYFUNCTION("""COMPUTED_VALUE"""),0.343553215550089)</f>
        <v>0.343553215550089</v>
      </c>
      <c r="X352" s="17">
        <f ca="1">IFERROR(__xludf.DUMMYFUNCTION("""COMPUTED_VALUE"""),0.543126414741389)</f>
        <v>0.54312641474138901</v>
      </c>
      <c r="Y352" s="17">
        <f ca="1">IFERROR(__xludf.DUMMYFUNCTION("""COMPUTED_VALUE"""),0.212997359807685)</f>
        <v>0.212997359807685</v>
      </c>
      <c r="Z352" s="17">
        <f ca="1">IFERROR(__xludf.DUMMYFUNCTION("""COMPUTED_VALUE"""),0.0802024731053464)</f>
        <v>8.0202473105346395E-2</v>
      </c>
      <c r="AA352" s="17">
        <f ca="1">IFERROR(__xludf.DUMMYFUNCTION("""COMPUTED_VALUE"""),0.0594786637212635)</f>
        <v>5.9478663721263501E-2</v>
      </c>
      <c r="AB352" s="17">
        <f ca="1">IFERROR(__xludf.DUMMYFUNCTION("""COMPUTED_VALUE"""),0.228876024258499)</f>
        <v>0.22887602425849901</v>
      </c>
      <c r="AC352" s="17">
        <f ca="1">IFERROR(__xludf.DUMMYFUNCTION("""COMPUTED_VALUE"""),0.550438513544398)</f>
        <v>0.55043851354439799</v>
      </c>
      <c r="AD352" s="17">
        <f ca="1">IFERROR(__xludf.DUMMYFUNCTION("""COMPUTED_VALUE"""),0.221421976992461)</f>
        <v>0.22142197699246099</v>
      </c>
      <c r="AE352" s="17">
        <f ca="1">IFERROR(__xludf.DUMMYFUNCTION("""COMPUTED_VALUE"""),0.86314102768283)</f>
        <v>0.86314102768282996</v>
      </c>
      <c r="AF352" s="17">
        <f ca="1">IFERROR(__xludf.DUMMYFUNCTION("""COMPUTED_VALUE"""),0.14994882098097)</f>
        <v>0.14994882098097001</v>
      </c>
      <c r="AG352" s="17">
        <f ca="1">IFERROR(__xludf.DUMMYFUNCTION("""COMPUTED_VALUE"""),0.841756312670601)</f>
        <v>0.84175631267060103</v>
      </c>
      <c r="AH352" s="17">
        <f ca="1">IFERROR(__xludf.DUMMYFUNCTION("""COMPUTED_VALUE"""),0.207783143395014)</f>
        <v>0.207783143395014</v>
      </c>
      <c r="AI352" s="17">
        <f ca="1">IFERROR(__xludf.DUMMYFUNCTION("""COMPUTED_VALUE"""),0.215550726639592)</f>
        <v>0.21555072663959199</v>
      </c>
      <c r="AJ352" s="17">
        <f ca="1">IFERROR(__xludf.DUMMYFUNCTION("""COMPUTED_VALUE"""),0.42049956378316)</f>
        <v>0.42049956378316</v>
      </c>
    </row>
    <row r="353" spans="2:36" ht="15.75" customHeight="1" x14ac:dyDescent="0.45">
      <c r="B353" s="10" t="str">
        <f ca="1">IFERROR(__xludf.DUMMYFUNCTION("""COMPUTED_VALUE"""),"GunPoint")</f>
        <v>GunPoint</v>
      </c>
      <c r="C353" s="10" t="str">
        <f ca="1">IFERROR(__xludf.DUMMYFUNCTION("""COMPUTED_VALUE"""),"aligned_timestamps")</f>
        <v>aligned_timestamps</v>
      </c>
      <c r="D353" s="10">
        <f ca="1">IFERROR(__xludf.DUMMYFUNCTION("""COMPUTED_VALUE"""),0.2)</f>
        <v>0.2</v>
      </c>
      <c r="E353" s="17">
        <f ca="1">IFERROR(__xludf.DUMMYFUNCTION("""COMPUTED_VALUE"""),0.902574585912882)</f>
        <v>0.90257458591288198</v>
      </c>
      <c r="F353" s="17">
        <f ca="1">IFERROR(__xludf.DUMMYFUNCTION("""COMPUTED_VALUE"""),0.417782246554635)</f>
        <v>0.41778224655463497</v>
      </c>
      <c r="G353" s="17">
        <f ca="1">IFERROR(__xludf.DUMMYFUNCTION("""COMPUTED_VALUE"""),0.415883420629126)</f>
        <v>0.41588342062912598</v>
      </c>
      <c r="H353" s="17">
        <f ca="1">IFERROR(__xludf.DUMMYFUNCTION("""COMPUTED_VALUE"""),0.562559631049008)</f>
        <v>0.56255963104900797</v>
      </c>
      <c r="I353" s="17">
        <f ca="1">IFERROR(__xludf.DUMMYFUNCTION("""COMPUTED_VALUE"""),0.287954318797019)</f>
        <v>0.28795431879701899</v>
      </c>
      <c r="J353" s="17">
        <f ca="1">IFERROR(__xludf.DUMMYFUNCTION("""COMPUTED_VALUE"""),0.317207733399199)</f>
        <v>0.317207733399199</v>
      </c>
      <c r="K353" s="17" t="str">
        <f ca="1">IFERROR(__xludf.DUMMYFUNCTION("""COMPUTED_VALUE"""),"nan")</f>
        <v>nan</v>
      </c>
      <c r="L353" s="17">
        <f ca="1">IFERROR(__xludf.DUMMYFUNCTION("""COMPUTED_VALUE"""),0.292230237223578)</f>
        <v>0.29223023722357799</v>
      </c>
      <c r="M353" s="17">
        <f ca="1">IFERROR(__xludf.DUMMYFUNCTION("""COMPUTED_VALUE"""),0.440122058566479)</f>
        <v>0.44012205856647901</v>
      </c>
      <c r="N353" s="17">
        <f ca="1">IFERROR(__xludf.DUMMYFUNCTION("""COMPUTED_VALUE"""),0.460128584813662)</f>
        <v>0.46012858481366198</v>
      </c>
      <c r="O353" s="17">
        <f ca="1">IFERROR(__xludf.DUMMYFUNCTION("""COMPUTED_VALUE"""),0.279636264695346)</f>
        <v>0.27963626469534603</v>
      </c>
      <c r="P353" s="17">
        <f ca="1">IFERROR(__xludf.DUMMYFUNCTION("""COMPUTED_VALUE"""),0.897263431193135)</f>
        <v>0.89726343119313501</v>
      </c>
      <c r="Q353" s="17">
        <f ca="1">IFERROR(__xludf.DUMMYFUNCTION("""COMPUTED_VALUE"""),0.744461682402659)</f>
        <v>0.74446168240265898</v>
      </c>
      <c r="R353" s="17">
        <f ca="1">IFERROR(__xludf.DUMMYFUNCTION("""COMPUTED_VALUE"""),0.575201055460824)</f>
        <v>0.57520105546082401</v>
      </c>
      <c r="S353" s="17">
        <f ca="1">IFERROR(__xludf.DUMMYFUNCTION("""COMPUTED_VALUE"""),0.560072277337199)</f>
        <v>0.560072277337199</v>
      </c>
      <c r="T353" s="17">
        <f ca="1">IFERROR(__xludf.DUMMYFUNCTION("""COMPUTED_VALUE"""),0.62601731787532)</f>
        <v>0.62601731787532</v>
      </c>
      <c r="U353" s="17">
        <f ca="1">IFERROR(__xludf.DUMMYFUNCTION("""COMPUTED_VALUE"""),0.423299587114715)</f>
        <v>0.42329958711471499</v>
      </c>
      <c r="V353" s="17">
        <f ca="1">IFERROR(__xludf.DUMMYFUNCTION("""COMPUTED_VALUE"""),0.334466465014261)</f>
        <v>0.33446646501426103</v>
      </c>
      <c r="W353" s="17">
        <f ca="1">IFERROR(__xludf.DUMMYFUNCTION("""COMPUTED_VALUE"""),0.54933257080279)</f>
        <v>0.54933257080278997</v>
      </c>
      <c r="X353" s="17">
        <f ca="1">IFERROR(__xludf.DUMMYFUNCTION("""COMPUTED_VALUE"""),0.482035478368654)</f>
        <v>0.48203547836865401</v>
      </c>
      <c r="Y353" s="17">
        <f ca="1">IFERROR(__xludf.DUMMYFUNCTION("""COMPUTED_VALUE"""),0.289061451960557)</f>
        <v>0.28906145196055699</v>
      </c>
      <c r="Z353" s="17">
        <f ca="1">IFERROR(__xludf.DUMMYFUNCTION("""COMPUTED_VALUE"""),0.288547436683622)</f>
        <v>0.28854743668362198</v>
      </c>
      <c r="AA353" s="17">
        <f ca="1">IFERROR(__xludf.DUMMYFUNCTION("""COMPUTED_VALUE"""),0.133642106374535)</f>
        <v>0.133642106374535</v>
      </c>
      <c r="AB353" s="17">
        <f ca="1">IFERROR(__xludf.DUMMYFUNCTION("""COMPUTED_VALUE"""),0.289861091782718)</f>
        <v>0.28986109178271802</v>
      </c>
      <c r="AC353" s="17">
        <f ca="1">IFERROR(__xludf.DUMMYFUNCTION("""COMPUTED_VALUE"""),0.862373793678233)</f>
        <v>0.86237379367823297</v>
      </c>
      <c r="AD353" s="17">
        <f ca="1">IFERROR(__xludf.DUMMYFUNCTION("""COMPUTED_VALUE"""),0.451371808237689)</f>
        <v>0.45137180823768902</v>
      </c>
      <c r="AE353" s="17">
        <f ca="1">IFERROR(__xludf.DUMMYFUNCTION("""COMPUTED_VALUE"""),1.04174451458199)</f>
        <v>1.0417445145819899</v>
      </c>
      <c r="AF353" s="17">
        <f ca="1">IFERROR(__xludf.DUMMYFUNCTION("""COMPUTED_VALUE"""),0.325360056362572)</f>
        <v>0.32536005636257198</v>
      </c>
      <c r="AG353" s="17">
        <f ca="1">IFERROR(__xludf.DUMMYFUNCTION("""COMPUTED_VALUE"""),1.3706143784197)</f>
        <v>1.3706143784197</v>
      </c>
      <c r="AH353" s="17">
        <f ca="1">IFERROR(__xludf.DUMMYFUNCTION("""COMPUTED_VALUE"""),0.43327033304444)</f>
        <v>0.43327033304444001</v>
      </c>
      <c r="AI353" s="17">
        <f ca="1">IFERROR(__xludf.DUMMYFUNCTION("""COMPUTED_VALUE"""),0.486862982018557)</f>
        <v>0.48686298201855699</v>
      </c>
      <c r="AJ353" s="17">
        <f ca="1">IFERROR(__xludf.DUMMYFUNCTION("""COMPUTED_VALUE"""),0.793904531301528)</f>
        <v>0.79390453130152805</v>
      </c>
    </row>
    <row r="354" spans="2:36" ht="15.75" customHeight="1" x14ac:dyDescent="0.45">
      <c r="B354" s="10" t="str">
        <f ca="1">IFERROR(__xludf.DUMMYFUNCTION("""COMPUTED_VALUE"""),"GunPoint")</f>
        <v>GunPoint</v>
      </c>
      <c r="C354" s="10" t="str">
        <f ca="1">IFERROR(__xludf.DUMMYFUNCTION("""COMPUTED_VALUE"""),"aligned_timestamps")</f>
        <v>aligned_timestamps</v>
      </c>
      <c r="D354" s="10">
        <f ca="1">IFERROR(__xludf.DUMMYFUNCTION("""COMPUTED_VALUE"""),0.4)</f>
        <v>0.4</v>
      </c>
      <c r="E354" s="17">
        <f ca="1">IFERROR(__xludf.DUMMYFUNCTION("""COMPUTED_VALUE"""),0.961682716757132)</f>
        <v>0.96168271675713202</v>
      </c>
      <c r="F354" s="17">
        <f ca="1">IFERROR(__xludf.DUMMYFUNCTION("""COMPUTED_VALUE"""),0.448555118124909)</f>
        <v>0.448555118124909</v>
      </c>
      <c r="G354" s="17">
        <f ca="1">IFERROR(__xludf.DUMMYFUNCTION("""COMPUTED_VALUE"""),0.456367991702916)</f>
        <v>0.45636799170291598</v>
      </c>
      <c r="H354" s="17">
        <f ca="1">IFERROR(__xludf.DUMMYFUNCTION("""COMPUTED_VALUE"""),0.609372685210801)</f>
        <v>0.60937268521080101</v>
      </c>
      <c r="I354" s="17">
        <f ca="1">IFERROR(__xludf.DUMMYFUNCTION("""COMPUTED_VALUE"""),0.355234881848199)</f>
        <v>0.35523488184819901</v>
      </c>
      <c r="J354" s="17">
        <f ca="1">IFERROR(__xludf.DUMMYFUNCTION("""COMPUTED_VALUE"""),0.896597126908674)</f>
        <v>0.89659712690867399</v>
      </c>
      <c r="K354" s="17" t="str">
        <f ca="1">IFERROR(__xludf.DUMMYFUNCTION("""COMPUTED_VALUE"""),"nan")</f>
        <v>nan</v>
      </c>
      <c r="L354" s="17">
        <f ca="1">IFERROR(__xludf.DUMMYFUNCTION("""COMPUTED_VALUE"""),0.424390963070175)</f>
        <v>0.42439096307017499</v>
      </c>
      <c r="M354" s="17">
        <f ca="1">IFERROR(__xludf.DUMMYFUNCTION("""COMPUTED_VALUE"""),0.66330979981793)</f>
        <v>0.66330979981793003</v>
      </c>
      <c r="N354" s="17">
        <f ca="1">IFERROR(__xludf.DUMMYFUNCTION("""COMPUTED_VALUE"""),0.52636076555681)</f>
        <v>0.52636076555681</v>
      </c>
      <c r="O354" s="17">
        <f ca="1">IFERROR(__xludf.DUMMYFUNCTION("""COMPUTED_VALUE"""),0.411261174787984)</f>
        <v>0.41126117478798402</v>
      </c>
      <c r="P354" s="17">
        <f ca="1">IFERROR(__xludf.DUMMYFUNCTION("""COMPUTED_VALUE"""),1.07573407878573)</f>
        <v>1.0757340787857299</v>
      </c>
      <c r="Q354" s="17">
        <f ca="1">IFERROR(__xludf.DUMMYFUNCTION("""COMPUTED_VALUE"""),0.785737902815905)</f>
        <v>0.78573790281590505</v>
      </c>
      <c r="R354" s="17">
        <f ca="1">IFERROR(__xludf.DUMMYFUNCTION("""COMPUTED_VALUE"""),0.867647686811076)</f>
        <v>0.86764768681107596</v>
      </c>
      <c r="S354" s="17">
        <f ca="1">IFERROR(__xludf.DUMMYFUNCTION("""COMPUTED_VALUE"""),0.716184502670023)</f>
        <v>0.71618450267002298</v>
      </c>
      <c r="T354" s="17">
        <f ca="1">IFERROR(__xludf.DUMMYFUNCTION("""COMPUTED_VALUE"""),0.67132836972352)</f>
        <v>0.67132836972351995</v>
      </c>
      <c r="U354" s="17">
        <f ca="1">IFERROR(__xludf.DUMMYFUNCTION("""COMPUTED_VALUE"""),0.746167597927954)</f>
        <v>0.74616759792795395</v>
      </c>
      <c r="V354" s="17">
        <f ca="1">IFERROR(__xludf.DUMMYFUNCTION("""COMPUTED_VALUE"""),0.58571240954476)</f>
        <v>0.58571240954476</v>
      </c>
      <c r="W354" s="17">
        <f ca="1">IFERROR(__xludf.DUMMYFUNCTION("""COMPUTED_VALUE"""),0.62315164413511)</f>
        <v>0.62315164413511004</v>
      </c>
      <c r="X354" s="17">
        <f ca="1">IFERROR(__xludf.DUMMYFUNCTION("""COMPUTED_VALUE"""),0.468910708290189)</f>
        <v>0.46891070829018899</v>
      </c>
      <c r="Y354" s="17">
        <f ca="1">IFERROR(__xludf.DUMMYFUNCTION("""COMPUTED_VALUE"""),0.58314069019759)</f>
        <v>0.58314069019758996</v>
      </c>
      <c r="Z354" s="17">
        <f ca="1">IFERROR(__xludf.DUMMYFUNCTION("""COMPUTED_VALUE"""),0.513210227932893)</f>
        <v>0.51321022793289295</v>
      </c>
      <c r="AA354" s="17">
        <f ca="1">IFERROR(__xludf.DUMMYFUNCTION("""COMPUTED_VALUE"""),0.276786153316169)</f>
        <v>0.27678615331616901</v>
      </c>
      <c r="AB354" s="17">
        <f ca="1">IFERROR(__xludf.DUMMYFUNCTION("""COMPUTED_VALUE"""),0.780134065484802)</f>
        <v>0.78013406548480202</v>
      </c>
      <c r="AC354" s="17">
        <f ca="1">IFERROR(__xludf.DUMMYFUNCTION("""COMPUTED_VALUE"""),0.774215584990454)</f>
        <v>0.77421558499045395</v>
      </c>
      <c r="AD354" s="17">
        <f ca="1">IFERROR(__xludf.DUMMYFUNCTION("""COMPUTED_VALUE"""),0.652937510086123)</f>
        <v>0.652937510086123</v>
      </c>
      <c r="AE354" s="17">
        <f ca="1">IFERROR(__xludf.DUMMYFUNCTION("""COMPUTED_VALUE"""),1.01309506024514)</f>
        <v>1.0130950602451401</v>
      </c>
      <c r="AF354" s="17">
        <f ca="1">IFERROR(__xludf.DUMMYFUNCTION("""COMPUTED_VALUE"""),0.395850398538112)</f>
        <v>0.39585039853811199</v>
      </c>
      <c r="AG354" s="17">
        <f ca="1">IFERROR(__xludf.DUMMYFUNCTION("""COMPUTED_VALUE"""),1.34028289514062)</f>
        <v>1.34028289514062</v>
      </c>
      <c r="AH354" s="17">
        <f ca="1">IFERROR(__xludf.DUMMYFUNCTION("""COMPUTED_VALUE"""),1.22753715723243)</f>
        <v>1.2275371572324301</v>
      </c>
      <c r="AI354" s="17">
        <f ca="1">IFERROR(__xludf.DUMMYFUNCTION("""COMPUTED_VALUE"""),1.45495253216016)</f>
        <v>1.45495253216016</v>
      </c>
      <c r="AJ354" s="17">
        <f ca="1">IFERROR(__xludf.DUMMYFUNCTION("""COMPUTED_VALUE"""),1.33753380065696)</f>
        <v>1.3375338006569599</v>
      </c>
    </row>
    <row r="355" spans="2:36" ht="15.75" customHeight="1" x14ac:dyDescent="0.45">
      <c r="B355" s="10" t="str">
        <f ca="1">IFERROR(__xludf.DUMMYFUNCTION("""COMPUTED_VALUE"""),"GunPoint")</f>
        <v>GunPoint</v>
      </c>
      <c r="C355" s="10" t="str">
        <f ca="1">IFERROR(__xludf.DUMMYFUNCTION("""COMPUTED_VALUE"""),"aligned_timestamps")</f>
        <v>aligned_timestamps</v>
      </c>
      <c r="D355" s="10">
        <f ca="1">IFERROR(__xludf.DUMMYFUNCTION("""COMPUTED_VALUE"""),0.6)</f>
        <v>0.6</v>
      </c>
      <c r="E355" s="17">
        <f ca="1">IFERROR(__xludf.DUMMYFUNCTION("""COMPUTED_VALUE"""),1.13411562449805)</f>
        <v>1.1341156244980499</v>
      </c>
      <c r="F355" s="17">
        <f ca="1">IFERROR(__xludf.DUMMYFUNCTION("""COMPUTED_VALUE"""),0.58626399972239)</f>
        <v>0.58626399972238996</v>
      </c>
      <c r="G355" s="17">
        <f ca="1">IFERROR(__xludf.DUMMYFUNCTION("""COMPUTED_VALUE"""),0.646778014422643)</f>
        <v>0.64677801442264304</v>
      </c>
      <c r="H355" s="17">
        <f ca="1">IFERROR(__xludf.DUMMYFUNCTION("""COMPUTED_VALUE"""),0.656097893621435)</f>
        <v>0.656097893621435</v>
      </c>
      <c r="I355" s="17">
        <f ca="1">IFERROR(__xludf.DUMMYFUNCTION("""COMPUTED_VALUE"""),0.685381193234856)</f>
        <v>0.68538119323485602</v>
      </c>
      <c r="J355" s="17">
        <f ca="1">IFERROR(__xludf.DUMMYFUNCTION("""COMPUTED_VALUE"""),1.73166101068256)</f>
        <v>1.7316610106825601</v>
      </c>
      <c r="K355" s="17" t="str">
        <f ca="1">IFERROR(__xludf.DUMMYFUNCTION("""COMPUTED_VALUE"""),"nan")</f>
        <v>nan</v>
      </c>
      <c r="L355" s="17">
        <f ca="1">IFERROR(__xludf.DUMMYFUNCTION("""COMPUTED_VALUE"""),0.50559185844444)</f>
        <v>0.50559185844443999</v>
      </c>
      <c r="M355" s="17">
        <f ca="1">IFERROR(__xludf.DUMMYFUNCTION("""COMPUTED_VALUE"""),1.1648254981918)</f>
        <v>1.1648254981918</v>
      </c>
      <c r="N355" s="17">
        <f ca="1">IFERROR(__xludf.DUMMYFUNCTION("""COMPUTED_VALUE"""),0.664971736075536)</f>
        <v>0.66497173607553595</v>
      </c>
      <c r="O355" s="17">
        <f ca="1">IFERROR(__xludf.DUMMYFUNCTION("""COMPUTED_VALUE"""),0.907272360335032)</f>
        <v>0.907272360335032</v>
      </c>
      <c r="P355" s="17">
        <f ca="1">IFERROR(__xludf.DUMMYFUNCTION("""COMPUTED_VALUE"""),1.3259568574519)</f>
        <v>1.3259568574519001</v>
      </c>
      <c r="Q355" s="17">
        <f ca="1">IFERROR(__xludf.DUMMYFUNCTION("""COMPUTED_VALUE"""),0.716824698504095)</f>
        <v>0.71682469850409503</v>
      </c>
      <c r="R355" s="17">
        <f ca="1">IFERROR(__xludf.DUMMYFUNCTION("""COMPUTED_VALUE"""),1.23732244958294)</f>
        <v>1.23732244958294</v>
      </c>
      <c r="S355" s="17">
        <f ca="1">IFERROR(__xludf.DUMMYFUNCTION("""COMPUTED_VALUE"""),1.00644553703918)</f>
        <v>1.00644553703918</v>
      </c>
      <c r="T355" s="17">
        <f ca="1">IFERROR(__xludf.DUMMYFUNCTION("""COMPUTED_VALUE"""),0.960344927968889)</f>
        <v>0.96034492796888904</v>
      </c>
      <c r="U355" s="17">
        <f ca="1">IFERROR(__xludf.DUMMYFUNCTION("""COMPUTED_VALUE"""),0.835614957372689)</f>
        <v>0.83561495737268898</v>
      </c>
      <c r="V355" s="17">
        <f ca="1">IFERROR(__xludf.DUMMYFUNCTION("""COMPUTED_VALUE"""),1.125483995084)</f>
        <v>1.1254839950840001</v>
      </c>
      <c r="W355" s="17">
        <f ca="1">IFERROR(__xludf.DUMMYFUNCTION("""COMPUTED_VALUE"""),0.759438327936627)</f>
        <v>0.75943832793662702</v>
      </c>
      <c r="X355" s="17">
        <f ca="1">IFERROR(__xludf.DUMMYFUNCTION("""COMPUTED_VALUE"""),0.580249852233629)</f>
        <v>0.58024985223362902</v>
      </c>
      <c r="Y355" s="17">
        <f ca="1">IFERROR(__xludf.DUMMYFUNCTION("""COMPUTED_VALUE"""),1.21657651147828)</f>
        <v>1.2165765114782801</v>
      </c>
      <c r="Z355" s="17">
        <f ca="1">IFERROR(__xludf.DUMMYFUNCTION("""COMPUTED_VALUE"""),0.988385665028478)</f>
        <v>0.98838566502847802</v>
      </c>
      <c r="AA355" s="17">
        <f ca="1">IFERROR(__xludf.DUMMYFUNCTION("""COMPUTED_VALUE"""),0.586711836673505)</f>
        <v>0.58671183667350502</v>
      </c>
      <c r="AB355" s="17">
        <f ca="1">IFERROR(__xludf.DUMMYFUNCTION("""COMPUTED_VALUE"""),1.25369614267011)</f>
        <v>1.2536961426701101</v>
      </c>
      <c r="AC355" s="17">
        <f ca="1">IFERROR(__xludf.DUMMYFUNCTION("""COMPUTED_VALUE"""),1.62626477473703)</f>
        <v>1.62626477473703</v>
      </c>
      <c r="AD355" s="17">
        <f ca="1">IFERROR(__xludf.DUMMYFUNCTION("""COMPUTED_VALUE"""),0.855499293253814)</f>
        <v>0.85549929325381402</v>
      </c>
      <c r="AE355" s="17">
        <f ca="1">IFERROR(__xludf.DUMMYFUNCTION("""COMPUTED_VALUE"""),1.40670239037707)</f>
        <v>1.4067023903770699</v>
      </c>
      <c r="AF355" s="17">
        <f ca="1">IFERROR(__xludf.DUMMYFUNCTION("""COMPUTED_VALUE"""),1.20349443278271)</f>
        <v>1.20349443278271</v>
      </c>
      <c r="AG355" s="17">
        <f ca="1">IFERROR(__xludf.DUMMYFUNCTION("""COMPUTED_VALUE"""),1.40393769965367)</f>
        <v>1.4039376996536701</v>
      </c>
      <c r="AH355" s="17">
        <f ca="1">IFERROR(__xludf.DUMMYFUNCTION("""COMPUTED_VALUE"""),1.19287636146278)</f>
        <v>1.19287636146278</v>
      </c>
      <c r="AI355" s="17">
        <f ca="1">IFERROR(__xludf.DUMMYFUNCTION("""COMPUTED_VALUE"""),1.25207083655257)</f>
        <v>1.2520708365525699</v>
      </c>
      <c r="AJ355" s="17">
        <f ca="1">IFERROR(__xludf.DUMMYFUNCTION("""COMPUTED_VALUE"""),1.26294551962986)</f>
        <v>1.26294551962986</v>
      </c>
    </row>
    <row r="356" spans="2:36" ht="15.75" customHeight="1" x14ac:dyDescent="0.45">
      <c r="B356" s="10" t="str">
        <f ca="1">IFERROR(__xludf.DUMMYFUNCTION("""COMPUTED_VALUE"""),"GunPoint")</f>
        <v>GunPoint</v>
      </c>
      <c r="C356" s="10" t="str">
        <f ca="1">IFERROR(__xludf.DUMMYFUNCTION("""COMPUTED_VALUE"""),"aligned_timestamps")</f>
        <v>aligned_timestamps</v>
      </c>
      <c r="D356" s="10">
        <f ca="1">IFERROR(__xludf.DUMMYFUNCTION("""COMPUTED_VALUE"""),0.8)</f>
        <v>0.8</v>
      </c>
      <c r="E356" s="17">
        <f ca="1">IFERROR(__xludf.DUMMYFUNCTION("""COMPUTED_VALUE"""),1.03010993717095)</f>
        <v>1.0301099371709499</v>
      </c>
      <c r="F356" s="17">
        <f ca="1">IFERROR(__xludf.DUMMYFUNCTION("""COMPUTED_VALUE"""),0.703263504535034)</f>
        <v>0.70326350453503395</v>
      </c>
      <c r="G356" s="17">
        <f ca="1">IFERROR(__xludf.DUMMYFUNCTION("""COMPUTED_VALUE"""),1.05753825015769)</f>
        <v>1.05753825015769</v>
      </c>
      <c r="H356" s="17">
        <f ca="1">IFERROR(__xludf.DUMMYFUNCTION("""COMPUTED_VALUE"""),0.682703993083618)</f>
        <v>0.68270399308361795</v>
      </c>
      <c r="I356" s="17">
        <f ca="1">IFERROR(__xludf.DUMMYFUNCTION("""COMPUTED_VALUE"""),0.720402214382991)</f>
        <v>0.72040221438299101</v>
      </c>
      <c r="J356" s="17">
        <f ca="1">IFERROR(__xludf.DUMMYFUNCTION("""COMPUTED_VALUE"""),1.63203663422075)</f>
        <v>1.63203663422075</v>
      </c>
      <c r="K356" s="17" t="str">
        <f ca="1">IFERROR(__xludf.DUMMYFUNCTION("""COMPUTED_VALUE"""),"nan")</f>
        <v>nan</v>
      </c>
      <c r="L356" s="17">
        <f ca="1">IFERROR(__xludf.DUMMYFUNCTION("""COMPUTED_VALUE"""),0.568312601286769)</f>
        <v>0.56831260128676897</v>
      </c>
      <c r="M356" s="17">
        <f ca="1">IFERROR(__xludf.DUMMYFUNCTION("""COMPUTED_VALUE"""),1.4491807277693)</f>
        <v>1.4491807277693001</v>
      </c>
      <c r="N356" s="17">
        <f ca="1">IFERROR(__xludf.DUMMYFUNCTION("""COMPUTED_VALUE"""),0.81807504860831)</f>
        <v>0.81807504860831004</v>
      </c>
      <c r="O356" s="17">
        <f ca="1">IFERROR(__xludf.DUMMYFUNCTION("""COMPUTED_VALUE"""),0.749822762957622)</f>
        <v>0.74982276295762196</v>
      </c>
      <c r="P356" s="17">
        <f ca="1">IFERROR(__xludf.DUMMYFUNCTION("""COMPUTED_VALUE"""),1.45014626402018)</f>
        <v>1.4501462640201801</v>
      </c>
      <c r="Q356" s="17">
        <f ca="1">IFERROR(__xludf.DUMMYFUNCTION("""COMPUTED_VALUE"""),0.710666319398423)</f>
        <v>0.71066631939842295</v>
      </c>
      <c r="R356" s="17">
        <f ca="1">IFERROR(__xludf.DUMMYFUNCTION("""COMPUTED_VALUE"""),3.95001095585274)</f>
        <v>3.9500109558527399</v>
      </c>
      <c r="S356" s="17">
        <f ca="1">IFERROR(__xludf.DUMMYFUNCTION("""COMPUTED_VALUE"""),1.4238441513715)</f>
        <v>1.4238441513715001</v>
      </c>
      <c r="T356" s="17">
        <f ca="1">IFERROR(__xludf.DUMMYFUNCTION("""COMPUTED_VALUE"""),0.877715007677542)</f>
        <v>0.87771500767754196</v>
      </c>
      <c r="U356" s="17">
        <f ca="1">IFERROR(__xludf.DUMMYFUNCTION("""COMPUTED_VALUE"""),0.80014253924718)</f>
        <v>0.80014253924718004</v>
      </c>
      <c r="V356" s="17">
        <f ca="1">IFERROR(__xludf.DUMMYFUNCTION("""COMPUTED_VALUE"""),1.42142851292872)</f>
        <v>1.4214285129287201</v>
      </c>
      <c r="W356" s="17">
        <f ca="1">IFERROR(__xludf.DUMMYFUNCTION("""COMPUTED_VALUE"""),0.862918804249027)</f>
        <v>0.862918804249027</v>
      </c>
      <c r="X356" s="17">
        <f ca="1">IFERROR(__xludf.DUMMYFUNCTION("""COMPUTED_VALUE"""),0.55419393625775)</f>
        <v>0.55419393625775004</v>
      </c>
      <c r="Y356" s="17">
        <f ca="1">IFERROR(__xludf.DUMMYFUNCTION("""COMPUTED_VALUE"""),0.833882750433503)</f>
        <v>0.83388275043350302</v>
      </c>
      <c r="Z356" s="17">
        <f ca="1">IFERROR(__xludf.DUMMYFUNCTION("""COMPUTED_VALUE"""),0.935947266339285)</f>
        <v>0.93594726633928504</v>
      </c>
      <c r="AA356" s="17">
        <f ca="1">IFERROR(__xludf.DUMMYFUNCTION("""COMPUTED_VALUE"""),0.633004561275272)</f>
        <v>0.63300456127527205</v>
      </c>
      <c r="AB356" s="17">
        <f ca="1">IFERROR(__xludf.DUMMYFUNCTION("""COMPUTED_VALUE"""),1.41986091134507)</f>
        <v>1.41986091134507</v>
      </c>
      <c r="AC356" s="17">
        <f ca="1">IFERROR(__xludf.DUMMYFUNCTION("""COMPUTED_VALUE"""),0.928486094291848)</f>
        <v>0.92848609429184803</v>
      </c>
      <c r="AD356" s="17">
        <f ca="1">IFERROR(__xludf.DUMMYFUNCTION("""COMPUTED_VALUE"""),0.80576836222254)</f>
        <v>0.80576836222254</v>
      </c>
      <c r="AE356" s="17">
        <f ca="1">IFERROR(__xludf.DUMMYFUNCTION("""COMPUTED_VALUE"""),1.8585307174914)</f>
        <v>1.8585307174914001</v>
      </c>
      <c r="AF356" s="17">
        <f ca="1">IFERROR(__xludf.DUMMYFUNCTION("""COMPUTED_VALUE"""),1.40911195576329)</f>
        <v>1.4091119557632901</v>
      </c>
      <c r="AG356" s="17">
        <f ca="1">IFERROR(__xludf.DUMMYFUNCTION("""COMPUTED_VALUE"""),1.14040619430787)</f>
        <v>1.14040619430787</v>
      </c>
      <c r="AH356" s="17">
        <f ca="1">IFERROR(__xludf.DUMMYFUNCTION("""COMPUTED_VALUE"""),1.0743898452074)</f>
        <v>1.0743898452074001</v>
      </c>
      <c r="AI356" s="17">
        <f ca="1">IFERROR(__xludf.DUMMYFUNCTION("""COMPUTED_VALUE"""),1.15862329184038)</f>
        <v>1.15862329184038</v>
      </c>
      <c r="AJ356" s="17">
        <f ca="1">IFERROR(__xludf.DUMMYFUNCTION("""COMPUTED_VALUE"""),1.22749471982429)</f>
        <v>1.22749471982429</v>
      </c>
    </row>
    <row r="357" spans="2:36" ht="15.75" customHeight="1" x14ac:dyDescent="0.45">
      <c r="B357" s="10" t="str">
        <f ca="1">IFERROR(__xludf.DUMMYFUNCTION("""COMPUTED_VALUE"""),"GunPoint")</f>
        <v>GunPoint</v>
      </c>
      <c r="C357" s="10" t="str">
        <f ca="1">IFERROR(__xludf.DUMMYFUNCTION("""COMPUTED_VALUE"""),"mcar")</f>
        <v>mcar</v>
      </c>
      <c r="D357" s="10">
        <f ca="1">IFERROR(__xludf.DUMMYFUNCTION("""COMPUTED_VALUE"""),0.1)</f>
        <v>0.1</v>
      </c>
      <c r="E357" s="17">
        <f ca="1">IFERROR(__xludf.DUMMYFUNCTION("""COMPUTED_VALUE"""),0.844189233366096)</f>
        <v>0.84418923336609597</v>
      </c>
      <c r="F357" s="17">
        <f ca="1">IFERROR(__xludf.DUMMYFUNCTION("""COMPUTED_VALUE"""),0.39798852213693)</f>
        <v>0.39798852213692998</v>
      </c>
      <c r="G357" s="17">
        <f ca="1">IFERROR(__xludf.DUMMYFUNCTION("""COMPUTED_VALUE"""),0.398488674299465)</f>
        <v>0.398488674299465</v>
      </c>
      <c r="H357" s="17">
        <f ca="1">IFERROR(__xludf.DUMMYFUNCTION("""COMPUTED_VALUE"""),0.605342777216651)</f>
        <v>0.60534277721665097</v>
      </c>
      <c r="I357" s="17">
        <f ca="1">IFERROR(__xludf.DUMMYFUNCTION("""COMPUTED_VALUE"""),0.127109145882261)</f>
        <v>0.12710914588226099</v>
      </c>
      <c r="J357" s="17">
        <f ca="1">IFERROR(__xludf.DUMMYFUNCTION("""COMPUTED_VALUE"""),0.280394036190531)</f>
        <v>0.28039403619053099</v>
      </c>
      <c r="K357" s="17" t="str">
        <f ca="1">IFERROR(__xludf.DUMMYFUNCTION("""COMPUTED_VALUE"""),"nan")</f>
        <v>nan</v>
      </c>
      <c r="L357" s="17">
        <f ca="1">IFERROR(__xludf.DUMMYFUNCTION("""COMPUTED_VALUE"""),0.3672998419126)</f>
        <v>0.36729984191260001</v>
      </c>
      <c r="M357" s="17">
        <f ca="1">IFERROR(__xludf.DUMMYFUNCTION("""COMPUTED_VALUE"""),0.386733752818059)</f>
        <v>0.386733752818059</v>
      </c>
      <c r="N357" s="17">
        <f ca="1">IFERROR(__xludf.DUMMYFUNCTION("""COMPUTED_VALUE"""),0.277654671153962)</f>
        <v>0.27765467115396197</v>
      </c>
      <c r="O357" s="17">
        <f ca="1">IFERROR(__xludf.DUMMYFUNCTION("""COMPUTED_VALUE"""),0.296584175115356)</f>
        <v>0.29658417511535601</v>
      </c>
      <c r="P357" s="17">
        <f ca="1">IFERROR(__xludf.DUMMYFUNCTION("""COMPUTED_VALUE"""),0.492793068227785)</f>
        <v>0.49279306822778501</v>
      </c>
      <c r="Q357" s="17">
        <f ca="1">IFERROR(__xludf.DUMMYFUNCTION("""COMPUTED_VALUE"""),0.558430677483534)</f>
        <v>0.55843067748353403</v>
      </c>
      <c r="R357" s="17">
        <f ca="1">IFERROR(__xludf.DUMMYFUNCTION("""COMPUTED_VALUE"""),0.0803588680430611)</f>
        <v>8.0358868043061096E-2</v>
      </c>
      <c r="S357" s="17">
        <f ca="1">IFERROR(__xludf.DUMMYFUNCTION("""COMPUTED_VALUE"""),0.213567496434849)</f>
        <v>0.21356749643484901</v>
      </c>
      <c r="T357" s="17">
        <f ca="1">IFERROR(__xludf.DUMMYFUNCTION("""COMPUTED_VALUE"""),0.359027548315395)</f>
        <v>0.35902754831539502</v>
      </c>
      <c r="U357" s="17">
        <f ca="1">IFERROR(__xludf.DUMMYFUNCTION("""COMPUTED_VALUE"""),0.277918914611473)</f>
        <v>0.277918914611473</v>
      </c>
      <c r="V357" s="17">
        <f ca="1">IFERROR(__xludf.DUMMYFUNCTION("""COMPUTED_VALUE"""),0.290578267875533)</f>
        <v>0.29057826787553298</v>
      </c>
      <c r="W357" s="17">
        <f ca="1">IFERROR(__xludf.DUMMYFUNCTION("""COMPUTED_VALUE"""),0.380690799863876)</f>
        <v>0.38069079986387599</v>
      </c>
      <c r="X357" s="17">
        <f ca="1">IFERROR(__xludf.DUMMYFUNCTION("""COMPUTED_VALUE"""),0.464126514259676)</f>
        <v>0.46412651425967599</v>
      </c>
      <c r="Y357" s="17">
        <f ca="1">IFERROR(__xludf.DUMMYFUNCTION("""COMPUTED_VALUE"""),0.231132518478034)</f>
        <v>0.23113251847803401</v>
      </c>
      <c r="Z357" s="17">
        <f ca="1">IFERROR(__xludf.DUMMYFUNCTION("""COMPUTED_VALUE"""),0.22712213018792)</f>
        <v>0.22712213018791999</v>
      </c>
      <c r="AA357" s="17">
        <f ca="1">IFERROR(__xludf.DUMMYFUNCTION("""COMPUTED_VALUE"""),0.11351395062819)</f>
        <v>0.11351395062819</v>
      </c>
      <c r="AB357" s="17">
        <f ca="1">IFERROR(__xludf.DUMMYFUNCTION("""COMPUTED_VALUE"""),0.279504939559407)</f>
        <v>0.27950493955940697</v>
      </c>
      <c r="AC357" s="17">
        <f ca="1">IFERROR(__xludf.DUMMYFUNCTION("""COMPUTED_VALUE"""),0.450642164158746)</f>
        <v>0.45064216415874597</v>
      </c>
      <c r="AD357" s="17">
        <f ca="1">IFERROR(__xludf.DUMMYFUNCTION("""COMPUTED_VALUE"""),0.215897660529145)</f>
        <v>0.215897660529145</v>
      </c>
      <c r="AE357" s="17">
        <f ca="1">IFERROR(__xludf.DUMMYFUNCTION("""COMPUTED_VALUE"""),0.495122424651434)</f>
        <v>0.49512242465143402</v>
      </c>
      <c r="AF357" s="17">
        <f ca="1">IFERROR(__xludf.DUMMYFUNCTION("""COMPUTED_VALUE"""),0.1081695392484)</f>
        <v>0.1081695392484</v>
      </c>
      <c r="AG357" s="17">
        <f ca="1">IFERROR(__xludf.DUMMYFUNCTION("""COMPUTED_VALUE"""),1.05691280121372)</f>
        <v>1.0569128012137201</v>
      </c>
      <c r="AH357" s="17">
        <f ca="1">IFERROR(__xludf.DUMMYFUNCTION("""COMPUTED_VALUE"""),0.246825223958481)</f>
        <v>0.246825223958481</v>
      </c>
      <c r="AI357" s="17">
        <f ca="1">IFERROR(__xludf.DUMMYFUNCTION("""COMPUTED_VALUE"""),0.233801543779806)</f>
        <v>0.233801543779806</v>
      </c>
      <c r="AJ357" s="17">
        <f ca="1">IFERROR(__xludf.DUMMYFUNCTION("""COMPUTED_VALUE"""),0.508798913811513)</f>
        <v>0.50879891381151299</v>
      </c>
    </row>
    <row r="358" spans="2:36" ht="15.75" customHeight="1" x14ac:dyDescent="0.45">
      <c r="B358" s="10" t="str">
        <f ca="1">IFERROR(__xludf.DUMMYFUNCTION("""COMPUTED_VALUE"""),"GunPoint")</f>
        <v>GunPoint</v>
      </c>
      <c r="C358" s="10" t="str">
        <f ca="1">IFERROR(__xludf.DUMMYFUNCTION("""COMPUTED_VALUE"""),"mcar")</f>
        <v>mcar</v>
      </c>
      <c r="D358" s="10">
        <f ca="1">IFERROR(__xludf.DUMMYFUNCTION("""COMPUTED_VALUE"""),0.2)</f>
        <v>0.2</v>
      </c>
      <c r="E358" s="17">
        <f ca="1">IFERROR(__xludf.DUMMYFUNCTION("""COMPUTED_VALUE"""),0.885826497997828)</f>
        <v>0.88582649799782798</v>
      </c>
      <c r="F358" s="17">
        <f ca="1">IFERROR(__xludf.DUMMYFUNCTION("""COMPUTED_VALUE"""),0.344289152795673)</f>
        <v>0.34428915279567301</v>
      </c>
      <c r="G358" s="17">
        <f ca="1">IFERROR(__xludf.DUMMYFUNCTION("""COMPUTED_VALUE"""),0.341511484380853)</f>
        <v>0.34151148438085299</v>
      </c>
      <c r="H358" s="17">
        <f ca="1">IFERROR(__xludf.DUMMYFUNCTION("""COMPUTED_VALUE"""),0.487575465836491)</f>
        <v>0.48757546583649097</v>
      </c>
      <c r="I358" s="17">
        <f ca="1">IFERROR(__xludf.DUMMYFUNCTION("""COMPUTED_VALUE"""),0.128424930749828)</f>
        <v>0.128424930749828</v>
      </c>
      <c r="J358" s="17">
        <f ca="1">IFERROR(__xludf.DUMMYFUNCTION("""COMPUTED_VALUE"""),0.250337345391423)</f>
        <v>0.25033734539142299</v>
      </c>
      <c r="K358" s="17" t="str">
        <f ca="1">IFERROR(__xludf.DUMMYFUNCTION("""COMPUTED_VALUE"""),"nan")</f>
        <v>nan</v>
      </c>
      <c r="L358" s="17">
        <f ca="1">IFERROR(__xludf.DUMMYFUNCTION("""COMPUTED_VALUE"""),0.290426506935054)</f>
        <v>0.29042650693505401</v>
      </c>
      <c r="M358" s="17">
        <f ca="1">IFERROR(__xludf.DUMMYFUNCTION("""COMPUTED_VALUE"""),0.353172428868515)</f>
        <v>0.35317242886851502</v>
      </c>
      <c r="N358" s="17">
        <f ca="1">IFERROR(__xludf.DUMMYFUNCTION("""COMPUTED_VALUE"""),0.256108864815056)</f>
        <v>0.25610886481505601</v>
      </c>
      <c r="O358" s="17">
        <f ca="1">IFERROR(__xludf.DUMMYFUNCTION("""COMPUTED_VALUE"""),0.271756640052029)</f>
        <v>0.27175664005202899</v>
      </c>
      <c r="P358" s="17">
        <f ca="1">IFERROR(__xludf.DUMMYFUNCTION("""COMPUTED_VALUE"""),0.557860621046851)</f>
        <v>0.55786062104685097</v>
      </c>
      <c r="Q358" s="17">
        <f ca="1">IFERROR(__xludf.DUMMYFUNCTION("""COMPUTED_VALUE"""),0.600828529258751)</f>
        <v>0.60082852925875097</v>
      </c>
      <c r="R358" s="17">
        <f ca="1">IFERROR(__xludf.DUMMYFUNCTION("""COMPUTED_VALUE"""),0.0874100356769762)</f>
        <v>8.7410035676976194E-2</v>
      </c>
      <c r="S358" s="17">
        <f ca="1">IFERROR(__xludf.DUMMYFUNCTION("""COMPUTED_VALUE"""),0.328751924912344)</f>
        <v>0.32875192491234401</v>
      </c>
      <c r="T358" s="17">
        <f ca="1">IFERROR(__xludf.DUMMYFUNCTION("""COMPUTED_VALUE"""),0.192280770054556)</f>
        <v>0.19228077005455599</v>
      </c>
      <c r="U358" s="17">
        <f ca="1">IFERROR(__xludf.DUMMYFUNCTION("""COMPUTED_VALUE"""),0.228615607300577)</f>
        <v>0.22861560730057701</v>
      </c>
      <c r="V358" s="17">
        <f ca="1">IFERROR(__xludf.DUMMYFUNCTION("""COMPUTED_VALUE"""),0.307277637059278)</f>
        <v>0.30727763705927802</v>
      </c>
      <c r="W358" s="17">
        <f ca="1">IFERROR(__xludf.DUMMYFUNCTION("""COMPUTED_VALUE"""),0.442756549610701)</f>
        <v>0.44275654961070099</v>
      </c>
      <c r="X358" s="17">
        <f ca="1">IFERROR(__xludf.DUMMYFUNCTION("""COMPUTED_VALUE"""),0.35826426831475)</f>
        <v>0.35826426831475</v>
      </c>
      <c r="Y358" s="17">
        <f ca="1">IFERROR(__xludf.DUMMYFUNCTION("""COMPUTED_VALUE"""),0.202472647776626)</f>
        <v>0.20247264777662599</v>
      </c>
      <c r="Z358" s="17">
        <f ca="1">IFERROR(__xludf.DUMMYFUNCTION("""COMPUTED_VALUE"""),0.203350984512248)</f>
        <v>0.20335098451224801</v>
      </c>
      <c r="AA358" s="17">
        <f ca="1">IFERROR(__xludf.DUMMYFUNCTION("""COMPUTED_VALUE"""),0.0659568357182048)</f>
        <v>6.5956835718204807E-2</v>
      </c>
      <c r="AB358" s="17">
        <f ca="1">IFERROR(__xludf.DUMMYFUNCTION("""COMPUTED_VALUE"""),0.201898418428547)</f>
        <v>0.201898418428547</v>
      </c>
      <c r="AC358" s="17">
        <f ca="1">IFERROR(__xludf.DUMMYFUNCTION("""COMPUTED_VALUE"""),0.484943304900934)</f>
        <v>0.48494330490093401</v>
      </c>
      <c r="AD358" s="17">
        <f ca="1">IFERROR(__xludf.DUMMYFUNCTION("""COMPUTED_VALUE"""),0.201557186751413)</f>
        <v>0.20155718675141299</v>
      </c>
      <c r="AE358" s="17">
        <f ca="1">IFERROR(__xludf.DUMMYFUNCTION("""COMPUTED_VALUE"""),0.613385307599244)</f>
        <v>0.61338530759924403</v>
      </c>
      <c r="AF358" s="17">
        <f ca="1">IFERROR(__xludf.DUMMYFUNCTION("""COMPUTED_VALUE"""),0.188930505383181)</f>
        <v>0.18893050538318101</v>
      </c>
      <c r="AG358" s="17">
        <f ca="1">IFERROR(__xludf.DUMMYFUNCTION("""COMPUTED_VALUE"""),0.955303634330303)</f>
        <v>0.95530363433030296</v>
      </c>
      <c r="AH358" s="17">
        <f ca="1">IFERROR(__xludf.DUMMYFUNCTION("""COMPUTED_VALUE"""),0.284392326557565)</f>
        <v>0.28439232655756502</v>
      </c>
      <c r="AI358" s="17">
        <f ca="1">IFERROR(__xludf.DUMMYFUNCTION("""COMPUTED_VALUE"""),0.37770973822735)</f>
        <v>0.37770973822734999</v>
      </c>
      <c r="AJ358" s="17">
        <f ca="1">IFERROR(__xludf.DUMMYFUNCTION("""COMPUTED_VALUE"""),0.440242297878568)</f>
        <v>0.440242297878568</v>
      </c>
    </row>
    <row r="359" spans="2:36" ht="15.75" customHeight="1" x14ac:dyDescent="0.45">
      <c r="B359" s="10" t="str">
        <f ca="1">IFERROR(__xludf.DUMMYFUNCTION("""COMPUTED_VALUE"""),"GunPoint")</f>
        <v>GunPoint</v>
      </c>
      <c r="C359" s="10" t="str">
        <f ca="1">IFERROR(__xludf.DUMMYFUNCTION("""COMPUTED_VALUE"""),"mcar")</f>
        <v>mcar</v>
      </c>
      <c r="D359" s="10">
        <f ca="1">IFERROR(__xludf.DUMMYFUNCTION("""COMPUTED_VALUE"""),0.4)</f>
        <v>0.4</v>
      </c>
      <c r="E359" s="17">
        <f ca="1">IFERROR(__xludf.DUMMYFUNCTION("""COMPUTED_VALUE"""),1.01795821303467)</f>
        <v>1.01795821303467</v>
      </c>
      <c r="F359" s="17">
        <f ca="1">IFERROR(__xludf.DUMMYFUNCTION("""COMPUTED_VALUE"""),0.383498296142297)</f>
        <v>0.38349829614229702</v>
      </c>
      <c r="G359" s="17">
        <f ca="1">IFERROR(__xludf.DUMMYFUNCTION("""COMPUTED_VALUE"""),0.38150996435455)</f>
        <v>0.38150996435454998</v>
      </c>
      <c r="H359" s="17">
        <f ca="1">IFERROR(__xludf.DUMMYFUNCTION("""COMPUTED_VALUE"""),0.581424132597353)</f>
        <v>0.58142413259735304</v>
      </c>
      <c r="I359" s="17">
        <f ca="1">IFERROR(__xludf.DUMMYFUNCTION("""COMPUTED_VALUE"""),0.231332521111674)</f>
        <v>0.23133252111167399</v>
      </c>
      <c r="J359" s="17">
        <f ca="1">IFERROR(__xludf.DUMMYFUNCTION("""COMPUTED_VALUE"""),0.330806131008659)</f>
        <v>0.33080613100865902</v>
      </c>
      <c r="K359" s="17" t="str">
        <f ca="1">IFERROR(__xludf.DUMMYFUNCTION("""COMPUTED_VALUE"""),"nan")</f>
        <v>nan</v>
      </c>
      <c r="L359" s="17">
        <f ca="1">IFERROR(__xludf.DUMMYFUNCTION("""COMPUTED_VALUE"""),0.314629043606834)</f>
        <v>0.31462904360683402</v>
      </c>
      <c r="M359" s="17">
        <f ca="1">IFERROR(__xludf.DUMMYFUNCTION("""COMPUTED_VALUE"""),0.489959145135822)</f>
        <v>0.48995914513582201</v>
      </c>
      <c r="N359" s="17">
        <f ca="1">IFERROR(__xludf.DUMMYFUNCTION("""COMPUTED_VALUE"""),0.390623575899845)</f>
        <v>0.39062357589984498</v>
      </c>
      <c r="O359" s="17">
        <f ca="1">IFERROR(__xludf.DUMMYFUNCTION("""COMPUTED_VALUE"""),0.308102288978813)</f>
        <v>0.30810228897881298</v>
      </c>
      <c r="P359" s="17">
        <f ca="1">IFERROR(__xludf.DUMMYFUNCTION("""COMPUTED_VALUE"""),0.660675019829893)</f>
        <v>0.66067501982989296</v>
      </c>
      <c r="Q359" s="17">
        <f ca="1">IFERROR(__xludf.DUMMYFUNCTION("""COMPUTED_VALUE"""),0.705732355092678)</f>
        <v>0.70573235509267795</v>
      </c>
      <c r="R359" s="17">
        <f ca="1">IFERROR(__xludf.DUMMYFUNCTION("""COMPUTED_VALUE"""),0.168325126585373)</f>
        <v>0.16832512658537299</v>
      </c>
      <c r="S359" s="17">
        <f ca="1">IFERROR(__xludf.DUMMYFUNCTION("""COMPUTED_VALUE"""),0.882118109255885)</f>
        <v>0.88211810925588496</v>
      </c>
      <c r="T359" s="17">
        <f ca="1">IFERROR(__xludf.DUMMYFUNCTION("""COMPUTED_VALUE"""),0.238882708766797)</f>
        <v>0.23888270876679699</v>
      </c>
      <c r="U359" s="17">
        <f ca="1">IFERROR(__xludf.DUMMYFUNCTION("""COMPUTED_VALUE"""),0.353700389458512)</f>
        <v>0.35370038945851201</v>
      </c>
      <c r="V359" s="17">
        <f ca="1">IFERROR(__xludf.DUMMYFUNCTION("""COMPUTED_VALUE"""),0.372774944977168)</f>
        <v>0.37277494497716801</v>
      </c>
      <c r="W359" s="17">
        <f ca="1">IFERROR(__xludf.DUMMYFUNCTION("""COMPUTED_VALUE"""),0.550489555023999)</f>
        <v>0.55048955502399899</v>
      </c>
      <c r="X359" s="17">
        <f ca="1">IFERROR(__xludf.DUMMYFUNCTION("""COMPUTED_VALUE"""),0.390960313209368)</f>
        <v>0.39096031320936803</v>
      </c>
      <c r="Y359" s="17">
        <f ca="1">IFERROR(__xludf.DUMMYFUNCTION("""COMPUTED_VALUE"""),0.278973199035078)</f>
        <v>0.278973199035078</v>
      </c>
      <c r="Z359" s="17">
        <f ca="1">IFERROR(__xludf.DUMMYFUNCTION("""COMPUTED_VALUE"""),0.548550081662296)</f>
        <v>0.54855008166229602</v>
      </c>
      <c r="AA359" s="17">
        <f ca="1">IFERROR(__xludf.DUMMYFUNCTION("""COMPUTED_VALUE"""),0.13717289791044)</f>
        <v>0.13717289791043999</v>
      </c>
      <c r="AB359" s="17">
        <f ca="1">IFERROR(__xludf.DUMMYFUNCTION("""COMPUTED_VALUE"""),0.311586789903835)</f>
        <v>0.31158678990383498</v>
      </c>
      <c r="AC359" s="17">
        <f ca="1">IFERROR(__xludf.DUMMYFUNCTION("""COMPUTED_VALUE"""),0.555451603395421)</f>
        <v>0.55545160339542099</v>
      </c>
      <c r="AD359" s="17">
        <f ca="1">IFERROR(__xludf.DUMMYFUNCTION("""COMPUTED_VALUE"""),0.519860299397989)</f>
        <v>0.51986029939798895</v>
      </c>
      <c r="AE359" s="17">
        <f ca="1">IFERROR(__xludf.DUMMYFUNCTION("""COMPUTED_VALUE"""),0.805151750016685)</f>
        <v>0.80515175001668504</v>
      </c>
      <c r="AF359" s="17">
        <f ca="1">IFERROR(__xludf.DUMMYFUNCTION("""COMPUTED_VALUE"""),0.475285145710804)</f>
        <v>0.47528514571080399</v>
      </c>
      <c r="AG359" s="17">
        <f ca="1">IFERROR(__xludf.DUMMYFUNCTION("""COMPUTED_VALUE"""),0.836039575337896)</f>
        <v>0.83603957533789597</v>
      </c>
      <c r="AH359" s="17">
        <f ca="1">IFERROR(__xludf.DUMMYFUNCTION("""COMPUTED_VALUE"""),0.589594790121142)</f>
        <v>0.58959479012114202</v>
      </c>
      <c r="AI359" s="17">
        <f ca="1">IFERROR(__xludf.DUMMYFUNCTION("""COMPUTED_VALUE"""),1.03323946127081)</f>
        <v>1.03323946127081</v>
      </c>
      <c r="AJ359" s="17">
        <f ca="1">IFERROR(__xludf.DUMMYFUNCTION("""COMPUTED_VALUE"""),0.732433471358058)</f>
        <v>0.73243347135805803</v>
      </c>
    </row>
    <row r="360" spans="2:36" ht="15.75" customHeight="1" x14ac:dyDescent="0.45">
      <c r="B360" s="10" t="str">
        <f ca="1">IFERROR(__xludf.DUMMYFUNCTION("""COMPUTED_VALUE"""),"GunPoint")</f>
        <v>GunPoint</v>
      </c>
      <c r="C360" s="10" t="str">
        <f ca="1">IFERROR(__xludf.DUMMYFUNCTION("""COMPUTED_VALUE"""),"mcar")</f>
        <v>mcar</v>
      </c>
      <c r="D360" s="10">
        <f ca="1">IFERROR(__xludf.DUMMYFUNCTION("""COMPUTED_VALUE"""),0.6)</f>
        <v>0.6</v>
      </c>
      <c r="E360" s="17">
        <f ca="1">IFERROR(__xludf.DUMMYFUNCTION("""COMPUTED_VALUE"""),0.987236714718811)</f>
        <v>0.98723671471881103</v>
      </c>
      <c r="F360" s="17">
        <f ca="1">IFERROR(__xludf.DUMMYFUNCTION("""COMPUTED_VALUE"""),0.422704067960934)</f>
        <v>0.42270406796093402</v>
      </c>
      <c r="G360" s="17">
        <f ca="1">IFERROR(__xludf.DUMMYFUNCTION("""COMPUTED_VALUE"""),0.436559268121227)</f>
        <v>0.43655926812122697</v>
      </c>
      <c r="H360" s="17">
        <f ca="1">IFERROR(__xludf.DUMMYFUNCTION("""COMPUTED_VALUE"""),0.648263478996939)</f>
        <v>0.64826347899693904</v>
      </c>
      <c r="I360" s="17">
        <f ca="1">IFERROR(__xludf.DUMMYFUNCTION("""COMPUTED_VALUE"""),0.301484011018193)</f>
        <v>0.301484011018193</v>
      </c>
      <c r="J360" s="17">
        <f ca="1">IFERROR(__xludf.DUMMYFUNCTION("""COMPUTED_VALUE"""),0.46070337853755)</f>
        <v>0.46070337853755</v>
      </c>
      <c r="K360" s="17" t="str">
        <f ca="1">IFERROR(__xludf.DUMMYFUNCTION("""COMPUTED_VALUE"""),"nan")</f>
        <v>nan</v>
      </c>
      <c r="L360" s="17">
        <f ca="1">IFERROR(__xludf.DUMMYFUNCTION("""COMPUTED_VALUE"""),0.325924536296539)</f>
        <v>0.325924536296539</v>
      </c>
      <c r="M360" s="17">
        <f ca="1">IFERROR(__xludf.DUMMYFUNCTION("""COMPUTED_VALUE"""),0.527184627117175)</f>
        <v>0.52718462711717495</v>
      </c>
      <c r="N360" s="17">
        <f ca="1">IFERROR(__xludf.DUMMYFUNCTION("""COMPUTED_VALUE"""),0.453438086080104)</f>
        <v>0.453438086080104</v>
      </c>
      <c r="O360" s="17">
        <f ca="1">IFERROR(__xludf.DUMMYFUNCTION("""COMPUTED_VALUE"""),0.308337787691236)</f>
        <v>0.30833778769123599</v>
      </c>
      <c r="P360" s="17">
        <f ca="1">IFERROR(__xludf.DUMMYFUNCTION("""COMPUTED_VALUE"""),0.825256247938811)</f>
        <v>0.82525624793881103</v>
      </c>
      <c r="Q360" s="17">
        <f ca="1">IFERROR(__xludf.DUMMYFUNCTION("""COMPUTED_VALUE"""),0.679544106449177)</f>
        <v>0.67954410644917695</v>
      </c>
      <c r="R360" s="17">
        <f ca="1">IFERROR(__xludf.DUMMYFUNCTION("""COMPUTED_VALUE"""),0.474703402323938)</f>
        <v>0.47470340232393798</v>
      </c>
      <c r="S360" s="17">
        <f ca="1">IFERROR(__xludf.DUMMYFUNCTION("""COMPUTED_VALUE"""),1.43435101607991)</f>
        <v>1.43435101607991</v>
      </c>
      <c r="T360" s="17">
        <f ca="1">IFERROR(__xludf.DUMMYFUNCTION("""COMPUTED_VALUE"""),0.519980169391729)</f>
        <v>0.51998016939172897</v>
      </c>
      <c r="U360" s="17">
        <f ca="1">IFERROR(__xludf.DUMMYFUNCTION("""COMPUTED_VALUE"""),0.35510022936048)</f>
        <v>0.35510022936048002</v>
      </c>
      <c r="V360" s="17">
        <f ca="1">IFERROR(__xludf.DUMMYFUNCTION("""COMPUTED_VALUE"""),0.590241198970557)</f>
        <v>0.59024119897055705</v>
      </c>
      <c r="W360" s="17">
        <f ca="1">IFERROR(__xludf.DUMMYFUNCTION("""COMPUTED_VALUE"""),0.566024124712382)</f>
        <v>0.56602412471238195</v>
      </c>
      <c r="X360" s="17">
        <f ca="1">IFERROR(__xludf.DUMMYFUNCTION("""COMPUTED_VALUE"""),0.415678042657548)</f>
        <v>0.41567804265754799</v>
      </c>
      <c r="Y360" s="17">
        <f ca="1">IFERROR(__xludf.DUMMYFUNCTION("""COMPUTED_VALUE"""),0.415097666766662)</f>
        <v>0.41509766676666199</v>
      </c>
      <c r="Z360" s="17">
        <f ca="1">IFERROR(__xludf.DUMMYFUNCTION("""COMPUTED_VALUE"""),0.651365329210062)</f>
        <v>0.65136532921006196</v>
      </c>
      <c r="AA360" s="17">
        <f ca="1">IFERROR(__xludf.DUMMYFUNCTION("""COMPUTED_VALUE"""),0.246764033741256)</f>
        <v>0.24676403374125599</v>
      </c>
      <c r="AB360" s="17">
        <f ca="1">IFERROR(__xludf.DUMMYFUNCTION("""COMPUTED_VALUE"""),0.663002966792204)</f>
        <v>0.66300296679220405</v>
      </c>
      <c r="AC360" s="17">
        <f ca="1">IFERROR(__xludf.DUMMYFUNCTION("""COMPUTED_VALUE"""),0.59565344540321)</f>
        <v>0.59565344540320997</v>
      </c>
      <c r="AD360" s="17">
        <f ca="1">IFERROR(__xludf.DUMMYFUNCTION("""COMPUTED_VALUE"""),0.630687247334112)</f>
        <v>0.63068724733411197</v>
      </c>
      <c r="AE360" s="17">
        <f ca="1">IFERROR(__xludf.DUMMYFUNCTION("""COMPUTED_VALUE"""),0.95388613780802)</f>
        <v>0.95388613780802001</v>
      </c>
      <c r="AF360" s="17">
        <f ca="1">IFERROR(__xludf.DUMMYFUNCTION("""COMPUTED_VALUE"""),0.778820081440082)</f>
        <v>0.77882008144008197</v>
      </c>
      <c r="AG360" s="17">
        <f ca="1">IFERROR(__xludf.DUMMYFUNCTION("""COMPUTED_VALUE"""),1.19373276307266)</f>
        <v>1.19373276307266</v>
      </c>
      <c r="AH360" s="17">
        <f ca="1">IFERROR(__xludf.DUMMYFUNCTION("""COMPUTED_VALUE"""),1.03675803451292)</f>
        <v>1.0367580345129199</v>
      </c>
      <c r="AI360" s="17">
        <f ca="1">IFERROR(__xludf.DUMMYFUNCTION("""COMPUTED_VALUE"""),1.06070490761193)</f>
        <v>1.0607049076119299</v>
      </c>
      <c r="AJ360" s="17">
        <f ca="1">IFERROR(__xludf.DUMMYFUNCTION("""COMPUTED_VALUE"""),1.15272525667531)</f>
        <v>1.1527252566753099</v>
      </c>
    </row>
    <row r="361" spans="2:36" ht="15.75" customHeight="1" x14ac:dyDescent="0.45">
      <c r="B361" s="10" t="str">
        <f ca="1">IFERROR(__xludf.DUMMYFUNCTION("""COMPUTED_VALUE"""),"GunPoint")</f>
        <v>GunPoint</v>
      </c>
      <c r="C361" s="10" t="str">
        <f ca="1">IFERROR(__xludf.DUMMYFUNCTION("""COMPUTED_VALUE"""),"mcar")</f>
        <v>mcar</v>
      </c>
      <c r="D361" s="10">
        <f ca="1">IFERROR(__xludf.DUMMYFUNCTION("""COMPUTED_VALUE"""),0.8)</f>
        <v>0.8</v>
      </c>
      <c r="E361" s="17">
        <f ca="1">IFERROR(__xludf.DUMMYFUNCTION("""COMPUTED_VALUE"""),0.994983434437777)</f>
        <v>0.99498343443777704</v>
      </c>
      <c r="F361" s="17">
        <f ca="1">IFERROR(__xludf.DUMMYFUNCTION("""COMPUTED_VALUE"""),0.504083602392409)</f>
        <v>0.50408360239240901</v>
      </c>
      <c r="G361" s="17">
        <f ca="1">IFERROR(__xludf.DUMMYFUNCTION("""COMPUTED_VALUE"""),0.566238683348165)</f>
        <v>0.56623868334816496</v>
      </c>
      <c r="H361" s="17">
        <f ca="1">IFERROR(__xludf.DUMMYFUNCTION("""COMPUTED_VALUE"""),0.701334605872644)</f>
        <v>0.70133460587264396</v>
      </c>
      <c r="I361" s="17">
        <f ca="1">IFERROR(__xludf.DUMMYFUNCTION("""COMPUTED_VALUE"""),0.486240834847046)</f>
        <v>0.486240834847046</v>
      </c>
      <c r="J361" s="17">
        <f ca="1">IFERROR(__xludf.DUMMYFUNCTION("""COMPUTED_VALUE"""),0.977221212829331)</f>
        <v>0.97722121282933105</v>
      </c>
      <c r="K361" s="17" t="str">
        <f ca="1">IFERROR(__xludf.DUMMYFUNCTION("""COMPUTED_VALUE"""),"nan")</f>
        <v>nan</v>
      </c>
      <c r="L361" s="17">
        <f ca="1">IFERROR(__xludf.DUMMYFUNCTION("""COMPUTED_VALUE"""),0.429053864023217)</f>
        <v>0.42905386402321699</v>
      </c>
      <c r="M361" s="17">
        <f ca="1">IFERROR(__xludf.DUMMYFUNCTION("""COMPUTED_VALUE"""),0.817174032468985)</f>
        <v>0.81717403246898501</v>
      </c>
      <c r="N361" s="17">
        <f ca="1">IFERROR(__xludf.DUMMYFUNCTION("""COMPUTED_VALUE"""),0.634606859572751)</f>
        <v>0.63460685957275098</v>
      </c>
      <c r="O361" s="17">
        <f ca="1">IFERROR(__xludf.DUMMYFUNCTION("""COMPUTED_VALUE"""),0.357958329431158)</f>
        <v>0.35795832943115802</v>
      </c>
      <c r="P361" s="17">
        <f ca="1">IFERROR(__xludf.DUMMYFUNCTION("""COMPUTED_VALUE"""),0.859279520062657)</f>
        <v>0.85927952006265695</v>
      </c>
      <c r="Q361" s="17">
        <f ca="1">IFERROR(__xludf.DUMMYFUNCTION("""COMPUTED_VALUE"""),0.750002227494324)</f>
        <v>0.75000222749432399</v>
      </c>
      <c r="R361" s="17">
        <f ca="1">IFERROR(__xludf.DUMMYFUNCTION("""COMPUTED_VALUE"""),0.599919264318298)</f>
        <v>0.59991926431829801</v>
      </c>
      <c r="S361" s="17">
        <f ca="1">IFERROR(__xludf.DUMMYFUNCTION("""COMPUTED_VALUE"""),1.42171194621672)</f>
        <v>1.42171194621672</v>
      </c>
      <c r="T361" s="17">
        <f ca="1">IFERROR(__xludf.DUMMYFUNCTION("""COMPUTED_VALUE"""),0.587553399351715)</f>
        <v>0.58755339935171502</v>
      </c>
      <c r="U361" s="17">
        <f ca="1">IFERROR(__xludf.DUMMYFUNCTION("""COMPUTED_VALUE"""),0.5648174720485)</f>
        <v>0.56481747204849997</v>
      </c>
      <c r="V361" s="17">
        <f ca="1">IFERROR(__xludf.DUMMYFUNCTION("""COMPUTED_VALUE"""),0.633478144087277)</f>
        <v>0.63347814408727698</v>
      </c>
      <c r="W361" s="17">
        <f ca="1">IFERROR(__xludf.DUMMYFUNCTION("""COMPUTED_VALUE"""),0.825072440117751)</f>
        <v>0.82507244011775105</v>
      </c>
      <c r="X361" s="17">
        <f ca="1">IFERROR(__xludf.DUMMYFUNCTION("""COMPUTED_VALUE"""),0.497451651258974)</f>
        <v>0.497451651258974</v>
      </c>
      <c r="Y361" s="17">
        <f ca="1">IFERROR(__xludf.DUMMYFUNCTION("""COMPUTED_VALUE"""),0.800296496754837)</f>
        <v>0.80029649675483705</v>
      </c>
      <c r="Z361" s="17">
        <f ca="1">IFERROR(__xludf.DUMMYFUNCTION("""COMPUTED_VALUE"""),0.865088705305336)</f>
        <v>0.86508870530533599</v>
      </c>
      <c r="AA361" s="17">
        <f ca="1">IFERROR(__xludf.DUMMYFUNCTION("""COMPUTED_VALUE"""),0.454779526362187)</f>
        <v>0.45477952636218699</v>
      </c>
      <c r="AB361" s="17">
        <f ca="1">IFERROR(__xludf.DUMMYFUNCTION("""COMPUTED_VALUE"""),0.82097948668539)</f>
        <v>0.82097948668539</v>
      </c>
      <c r="AC361" s="17">
        <f ca="1">IFERROR(__xludf.DUMMYFUNCTION("""COMPUTED_VALUE"""),0.927324581560491)</f>
        <v>0.92732458156049102</v>
      </c>
      <c r="AD361" s="17">
        <f ca="1">IFERROR(__xludf.DUMMYFUNCTION("""COMPUTED_VALUE"""),0.665584752560217)</f>
        <v>0.66558475256021699</v>
      </c>
      <c r="AE361" s="17">
        <f ca="1">IFERROR(__xludf.DUMMYFUNCTION("""COMPUTED_VALUE"""),2.14550366922617)</f>
        <v>2.1455036692261702</v>
      </c>
      <c r="AF361" s="17">
        <f ca="1">IFERROR(__xludf.DUMMYFUNCTION("""COMPUTED_VALUE"""),0.813219130114679)</f>
        <v>0.81321913011467895</v>
      </c>
      <c r="AG361" s="17">
        <f ca="1">IFERROR(__xludf.DUMMYFUNCTION("""COMPUTED_VALUE"""),1.2349214246658)</f>
        <v>1.2349214246658</v>
      </c>
      <c r="AH361" s="17">
        <f ca="1">IFERROR(__xludf.DUMMYFUNCTION("""COMPUTED_VALUE"""),1.29658457240445)</f>
        <v>1.29658457240445</v>
      </c>
      <c r="AI361" s="17">
        <f ca="1">IFERROR(__xludf.DUMMYFUNCTION("""COMPUTED_VALUE"""),1.03664322160178)</f>
        <v>1.03664322160178</v>
      </c>
      <c r="AJ361" s="17">
        <f ca="1">IFERROR(__xludf.DUMMYFUNCTION("""COMPUTED_VALUE"""),1.14552866682506)</f>
        <v>1.1455286668250599</v>
      </c>
    </row>
    <row r="362" spans="2:36" ht="15.75" customHeight="1" x14ac:dyDescent="0.45">
      <c r="B362" s="10" t="str">
        <f ca="1">IFERROR(__xludf.DUMMYFUNCTION("""COMPUTED_VALUE"""),"GunPointAgeSpan")</f>
        <v>GunPointAgeSpan</v>
      </c>
      <c r="C362" s="10" t="str">
        <f ca="1">IFERROR(__xludf.DUMMYFUNCTION("""COMPUTED_VALUE"""),"aligned_series")</f>
        <v>aligned_series</v>
      </c>
      <c r="D362" s="10">
        <f ca="1">IFERROR(__xludf.DUMMYFUNCTION("""COMPUTED_VALUE"""),0.1)</f>
        <v>0.1</v>
      </c>
      <c r="E362" s="17">
        <f ca="1">IFERROR(__xludf.DUMMYFUNCTION("""COMPUTED_VALUE"""),0.718258934650392)</f>
        <v>0.71825893465039203</v>
      </c>
      <c r="F362" s="17">
        <f ca="1">IFERROR(__xludf.DUMMYFUNCTION("""COMPUTED_VALUE"""),0.424868179062211)</f>
        <v>0.42486817906221103</v>
      </c>
      <c r="G362" s="17">
        <f ca="1">IFERROR(__xludf.DUMMYFUNCTION("""COMPUTED_VALUE"""),0.448343592071077)</f>
        <v>0.44834359207107699</v>
      </c>
      <c r="H362" s="17">
        <f ca="1">IFERROR(__xludf.DUMMYFUNCTION("""COMPUTED_VALUE"""),0.513081205729256)</f>
        <v>0.51308120572925597</v>
      </c>
      <c r="I362" s="17">
        <f ca="1">IFERROR(__xludf.DUMMYFUNCTION("""COMPUTED_VALUE"""),0.179132388272223)</f>
        <v>0.179132388272223</v>
      </c>
      <c r="J362" s="17">
        <f ca="1">IFERROR(__xludf.DUMMYFUNCTION("""COMPUTED_VALUE"""),0.381046134780123)</f>
        <v>0.381046134780123</v>
      </c>
      <c r="K362" s="17" t="str">
        <f ca="1">IFERROR(__xludf.DUMMYFUNCTION("""COMPUTED_VALUE"""),"nan")</f>
        <v>nan</v>
      </c>
      <c r="L362" s="17">
        <f ca="1">IFERROR(__xludf.DUMMYFUNCTION("""COMPUTED_VALUE"""),0.355350960231106)</f>
        <v>0.35535096023110602</v>
      </c>
      <c r="M362" s="17">
        <f ca="1">IFERROR(__xludf.DUMMYFUNCTION("""COMPUTED_VALUE"""),0.518620283590491)</f>
        <v>0.51862028359049095</v>
      </c>
      <c r="N362" s="17">
        <f ca="1">IFERROR(__xludf.DUMMYFUNCTION("""COMPUTED_VALUE"""),0.542303268721342)</f>
        <v>0.54230326872134205</v>
      </c>
      <c r="O362" s="17">
        <f ca="1">IFERROR(__xludf.DUMMYFUNCTION("""COMPUTED_VALUE"""),0.441066668207511)</f>
        <v>0.441066668207511</v>
      </c>
      <c r="P362" s="17">
        <f ca="1">IFERROR(__xludf.DUMMYFUNCTION("""COMPUTED_VALUE"""),0.989487230470583)</f>
        <v>0.98948723047058296</v>
      </c>
      <c r="Q362" s="17">
        <f ca="1">IFERROR(__xludf.DUMMYFUNCTION("""COMPUTED_VALUE"""),0.83056617450188)</f>
        <v>0.83056617450187997</v>
      </c>
      <c r="R362" s="17">
        <f ca="1">IFERROR(__xludf.DUMMYFUNCTION("""COMPUTED_VALUE"""),0.568472366655757)</f>
        <v>0.56847236665575696</v>
      </c>
      <c r="S362" s="17">
        <f ca="1">IFERROR(__xludf.DUMMYFUNCTION("""COMPUTED_VALUE"""),0.516636866301709)</f>
        <v>0.51663686630170902</v>
      </c>
      <c r="T362" s="17">
        <f ca="1">IFERROR(__xludf.DUMMYFUNCTION("""COMPUTED_VALUE"""),0.397950863341708)</f>
        <v>0.39795086334170798</v>
      </c>
      <c r="U362" s="17">
        <f ca="1">IFERROR(__xludf.DUMMYFUNCTION("""COMPUTED_VALUE"""),0.392213132699455)</f>
        <v>0.39221313269945501</v>
      </c>
      <c r="V362" s="17">
        <f ca="1">IFERROR(__xludf.DUMMYFUNCTION("""COMPUTED_VALUE"""),0.327401775896537)</f>
        <v>0.32740177589653702</v>
      </c>
      <c r="W362" s="17">
        <f ca="1">IFERROR(__xludf.DUMMYFUNCTION("""COMPUTED_VALUE"""),0.448946982926383)</f>
        <v>0.44894698292638302</v>
      </c>
      <c r="X362" s="17">
        <f ca="1">IFERROR(__xludf.DUMMYFUNCTION("""COMPUTED_VALUE"""),0.345820814517696)</f>
        <v>0.34582081451769597</v>
      </c>
      <c r="Y362" s="17">
        <f ca="1">IFERROR(__xludf.DUMMYFUNCTION("""COMPUTED_VALUE"""),0.378975867547864)</f>
        <v>0.378975867547864</v>
      </c>
      <c r="Z362" s="17">
        <f ca="1">IFERROR(__xludf.DUMMYFUNCTION("""COMPUTED_VALUE"""),0.404093851932086)</f>
        <v>0.40409385193208602</v>
      </c>
      <c r="AA362" s="17">
        <f ca="1">IFERROR(__xludf.DUMMYFUNCTION("""COMPUTED_VALUE"""),0.224907225239264)</f>
        <v>0.22490722523926401</v>
      </c>
      <c r="AB362" s="17">
        <f ca="1">IFERROR(__xludf.DUMMYFUNCTION("""COMPUTED_VALUE"""),0.510162078248231)</f>
        <v>0.51016207824823101</v>
      </c>
      <c r="AC362" s="17">
        <f ca="1">IFERROR(__xludf.DUMMYFUNCTION("""COMPUTED_VALUE"""),0.718781606672077)</f>
        <v>0.71878160667207702</v>
      </c>
      <c r="AD362" s="17">
        <f ca="1">IFERROR(__xludf.DUMMYFUNCTION("""COMPUTED_VALUE"""),0.460601012445964)</f>
        <v>0.46060101244596402</v>
      </c>
      <c r="AE362" s="17">
        <f ca="1">IFERROR(__xludf.DUMMYFUNCTION("""COMPUTED_VALUE"""),0.837201404580116)</f>
        <v>0.83720140458011605</v>
      </c>
      <c r="AF362" s="17">
        <f ca="1">IFERROR(__xludf.DUMMYFUNCTION("""COMPUTED_VALUE"""),0.416919289437231)</f>
        <v>0.416919289437231</v>
      </c>
      <c r="AG362" s="17">
        <f ca="1">IFERROR(__xludf.DUMMYFUNCTION("""COMPUTED_VALUE"""),1.20560637554643)</f>
        <v>1.2056063755464299</v>
      </c>
      <c r="AH362" s="17">
        <f ca="1">IFERROR(__xludf.DUMMYFUNCTION("""COMPUTED_VALUE"""),0.522798970010571)</f>
        <v>0.52279897001057096</v>
      </c>
      <c r="AI362" s="17">
        <f ca="1">IFERROR(__xludf.DUMMYFUNCTION("""COMPUTED_VALUE"""),0.581836194301694)</f>
        <v>0.58183619430169398</v>
      </c>
      <c r="AJ362" s="17">
        <f ca="1">IFERROR(__xludf.DUMMYFUNCTION("""COMPUTED_VALUE"""),0.920427601473742)</f>
        <v>0.92042760147374203</v>
      </c>
    </row>
    <row r="363" spans="2:36" ht="15.75" customHeight="1" x14ac:dyDescent="0.45">
      <c r="B363" s="10" t="str">
        <f ca="1">IFERROR(__xludf.DUMMYFUNCTION("""COMPUTED_VALUE"""),"GunPointAgeSpan")</f>
        <v>GunPointAgeSpan</v>
      </c>
      <c r="C363" s="10" t="str">
        <f ca="1">IFERROR(__xludf.DUMMYFUNCTION("""COMPUTED_VALUE"""),"aligned_series")</f>
        <v>aligned_series</v>
      </c>
      <c r="D363" s="10">
        <f ca="1">IFERROR(__xludf.DUMMYFUNCTION("""COMPUTED_VALUE"""),0.2)</f>
        <v>0.2</v>
      </c>
      <c r="E363" s="17">
        <f ca="1">IFERROR(__xludf.DUMMYFUNCTION("""COMPUTED_VALUE"""),0.73639807642372)</f>
        <v>0.73639807642372002</v>
      </c>
      <c r="F363" s="17">
        <f ca="1">IFERROR(__xludf.DUMMYFUNCTION("""COMPUTED_VALUE"""),0.397747250238158)</f>
        <v>0.39774725023815799</v>
      </c>
      <c r="G363" s="17">
        <f ca="1">IFERROR(__xludf.DUMMYFUNCTION("""COMPUTED_VALUE"""),0.417755966854275)</f>
        <v>0.41775596685427502</v>
      </c>
      <c r="H363" s="17">
        <f ca="1">IFERROR(__xludf.DUMMYFUNCTION("""COMPUTED_VALUE"""),0.405473087798206)</f>
        <v>0.40547308779820601</v>
      </c>
      <c r="I363" s="17">
        <f ca="1">IFERROR(__xludf.DUMMYFUNCTION("""COMPUTED_VALUE"""),0.181703122409889)</f>
        <v>0.18170312240988901</v>
      </c>
      <c r="J363" s="17">
        <f ca="1">IFERROR(__xludf.DUMMYFUNCTION("""COMPUTED_VALUE"""),0.358221335003897)</f>
        <v>0.35822133500389702</v>
      </c>
      <c r="K363" s="17" t="str">
        <f ca="1">IFERROR(__xludf.DUMMYFUNCTION("""COMPUTED_VALUE"""),"nan")</f>
        <v>nan</v>
      </c>
      <c r="L363" s="17">
        <f ca="1">IFERROR(__xludf.DUMMYFUNCTION("""COMPUTED_VALUE"""),0.319736952543954)</f>
        <v>0.31973695254395401</v>
      </c>
      <c r="M363" s="17">
        <f ca="1">IFERROR(__xludf.DUMMYFUNCTION("""COMPUTED_VALUE"""),0.443282820261812)</f>
        <v>0.44328282026181198</v>
      </c>
      <c r="N363" s="17">
        <f ca="1">IFERROR(__xludf.DUMMYFUNCTION("""COMPUTED_VALUE"""),0.505667090664926)</f>
        <v>0.50566709066492599</v>
      </c>
      <c r="O363" s="17">
        <f ca="1">IFERROR(__xludf.DUMMYFUNCTION("""COMPUTED_VALUE"""),0.392998668604914)</f>
        <v>0.392998668604914</v>
      </c>
      <c r="P363" s="17">
        <f ca="1">IFERROR(__xludf.DUMMYFUNCTION("""COMPUTED_VALUE"""),0.995603608852291)</f>
        <v>0.99560360885229104</v>
      </c>
      <c r="Q363" s="17">
        <f ca="1">IFERROR(__xludf.DUMMYFUNCTION("""COMPUTED_VALUE"""),0.868546107424649)</f>
        <v>0.86854610742464899</v>
      </c>
      <c r="R363" s="17">
        <f ca="1">IFERROR(__xludf.DUMMYFUNCTION("""COMPUTED_VALUE"""),0.543510548652237)</f>
        <v>0.54351054865223702</v>
      </c>
      <c r="S363" s="17">
        <f ca="1">IFERROR(__xludf.DUMMYFUNCTION("""COMPUTED_VALUE"""),0.538765127221871)</f>
        <v>0.53876512722187098</v>
      </c>
      <c r="T363" s="17">
        <f ca="1">IFERROR(__xludf.DUMMYFUNCTION("""COMPUTED_VALUE"""),0.425338119196177)</f>
        <v>0.42533811919617698</v>
      </c>
      <c r="U363" s="17">
        <f ca="1">IFERROR(__xludf.DUMMYFUNCTION("""COMPUTED_VALUE"""),0.275614297608488)</f>
        <v>0.27561429760848799</v>
      </c>
      <c r="V363" s="17">
        <f ca="1">IFERROR(__xludf.DUMMYFUNCTION("""COMPUTED_VALUE"""),0.345605381612299)</f>
        <v>0.34560538161229898</v>
      </c>
      <c r="W363" s="17">
        <f ca="1">IFERROR(__xludf.DUMMYFUNCTION("""COMPUTED_VALUE"""),0.391804368483311)</f>
        <v>0.39180436848331102</v>
      </c>
      <c r="X363" s="17">
        <f ca="1">IFERROR(__xludf.DUMMYFUNCTION("""COMPUTED_VALUE"""),0.412736989885531)</f>
        <v>0.41273698988553098</v>
      </c>
      <c r="Y363" s="17">
        <f ca="1">IFERROR(__xludf.DUMMYFUNCTION("""COMPUTED_VALUE"""),0.382528528768571)</f>
        <v>0.38252852876857102</v>
      </c>
      <c r="Z363" s="17">
        <f ca="1">IFERROR(__xludf.DUMMYFUNCTION("""COMPUTED_VALUE"""),0.373897782496659)</f>
        <v>0.373897782496659</v>
      </c>
      <c r="AA363" s="17">
        <f ca="1">IFERROR(__xludf.DUMMYFUNCTION("""COMPUTED_VALUE"""),0.241833907143133)</f>
        <v>0.24183390714313299</v>
      </c>
      <c r="AB363" s="17">
        <f ca="1">IFERROR(__xludf.DUMMYFUNCTION("""COMPUTED_VALUE"""),0.556170730632863)</f>
        <v>0.55617073063286304</v>
      </c>
      <c r="AC363" s="17">
        <f ca="1">IFERROR(__xludf.DUMMYFUNCTION("""COMPUTED_VALUE"""),0.763601293428649)</f>
        <v>0.76360129342864902</v>
      </c>
      <c r="AD363" s="17">
        <f ca="1">IFERROR(__xludf.DUMMYFUNCTION("""COMPUTED_VALUE"""),0.421180099660794)</f>
        <v>0.42118009966079401</v>
      </c>
      <c r="AE363" s="17">
        <f ca="1">IFERROR(__xludf.DUMMYFUNCTION("""COMPUTED_VALUE"""),0.829678976210122)</f>
        <v>0.82967897621012199</v>
      </c>
      <c r="AF363" s="17">
        <f ca="1">IFERROR(__xludf.DUMMYFUNCTION("""COMPUTED_VALUE"""),0.483109483576123)</f>
        <v>0.48310948357612299</v>
      </c>
      <c r="AG363" s="17">
        <f ca="1">IFERROR(__xludf.DUMMYFUNCTION("""COMPUTED_VALUE"""),1.23420506174853)</f>
        <v>1.2342050617485301</v>
      </c>
      <c r="AH363" s="17">
        <f ca="1">IFERROR(__xludf.DUMMYFUNCTION("""COMPUTED_VALUE"""),0.49443045042639)</f>
        <v>0.49443045042639</v>
      </c>
      <c r="AI363" s="17">
        <f ca="1">IFERROR(__xludf.DUMMYFUNCTION("""COMPUTED_VALUE"""),0.558777245885979)</f>
        <v>0.55877724588597899</v>
      </c>
      <c r="AJ363" s="17">
        <f ca="1">IFERROR(__xludf.DUMMYFUNCTION("""COMPUTED_VALUE"""),0.84169774805326)</f>
        <v>0.84169774805326003</v>
      </c>
    </row>
    <row r="364" spans="2:36" ht="15.75" customHeight="1" x14ac:dyDescent="0.45">
      <c r="B364" s="10" t="str">
        <f ca="1">IFERROR(__xludf.DUMMYFUNCTION("""COMPUTED_VALUE"""),"GunPointAgeSpan")</f>
        <v>GunPointAgeSpan</v>
      </c>
      <c r="C364" s="10" t="str">
        <f ca="1">IFERROR(__xludf.DUMMYFUNCTION("""COMPUTED_VALUE"""),"aligned_series")</f>
        <v>aligned_series</v>
      </c>
      <c r="D364" s="10">
        <f ca="1">IFERROR(__xludf.DUMMYFUNCTION("""COMPUTED_VALUE"""),0.4)</f>
        <v>0.4</v>
      </c>
      <c r="E364" s="17">
        <f ca="1">IFERROR(__xludf.DUMMYFUNCTION("""COMPUTED_VALUE"""),0.819884526543721)</f>
        <v>0.81988452654372102</v>
      </c>
      <c r="F364" s="17">
        <f ca="1">IFERROR(__xludf.DUMMYFUNCTION("""COMPUTED_VALUE"""),0.445062544768159)</f>
        <v>0.44506254476815899</v>
      </c>
      <c r="G364" s="17">
        <f ca="1">IFERROR(__xludf.DUMMYFUNCTION("""COMPUTED_VALUE"""),0.456079765020027)</f>
        <v>0.45607976502002701</v>
      </c>
      <c r="H364" s="17">
        <f ca="1">IFERROR(__xludf.DUMMYFUNCTION("""COMPUTED_VALUE"""),0.476202353955428)</f>
        <v>0.47620235395542798</v>
      </c>
      <c r="I364" s="17">
        <f ca="1">IFERROR(__xludf.DUMMYFUNCTION("""COMPUTED_VALUE"""),0.274044323251503)</f>
        <v>0.27404432325150302</v>
      </c>
      <c r="J364" s="17">
        <f ca="1">IFERROR(__xludf.DUMMYFUNCTION("""COMPUTED_VALUE"""),0.472354520724876)</f>
        <v>0.47235452072487599</v>
      </c>
      <c r="K364" s="17" t="str">
        <f ca="1">IFERROR(__xludf.DUMMYFUNCTION("""COMPUTED_VALUE"""),"nan")</f>
        <v>nan</v>
      </c>
      <c r="L364" s="17">
        <f ca="1">IFERROR(__xludf.DUMMYFUNCTION("""COMPUTED_VALUE"""),0.376258742237085)</f>
        <v>0.376258742237085</v>
      </c>
      <c r="M364" s="17">
        <f ca="1">IFERROR(__xludf.DUMMYFUNCTION("""COMPUTED_VALUE"""),0.49094500875186)</f>
        <v>0.49094500875185998</v>
      </c>
      <c r="N364" s="17">
        <f ca="1">IFERROR(__xludf.DUMMYFUNCTION("""COMPUTED_VALUE"""),0.536728865902707)</f>
        <v>0.53672886590270696</v>
      </c>
      <c r="O364" s="17">
        <f ca="1">IFERROR(__xludf.DUMMYFUNCTION("""COMPUTED_VALUE"""),0.406152288886684)</f>
        <v>0.40615228888668398</v>
      </c>
      <c r="P364" s="17">
        <f ca="1">IFERROR(__xludf.DUMMYFUNCTION("""COMPUTED_VALUE"""),1.10981161763605)</f>
        <v>1.10981161763605</v>
      </c>
      <c r="Q364" s="17">
        <f ca="1">IFERROR(__xludf.DUMMYFUNCTION("""COMPUTED_VALUE"""),0.92823223743094)</f>
        <v>0.92823223743093997</v>
      </c>
      <c r="R364" s="17">
        <f ca="1">IFERROR(__xludf.DUMMYFUNCTION("""COMPUTED_VALUE"""),0.707218183828226)</f>
        <v>0.70721818382822599</v>
      </c>
      <c r="S364" s="17">
        <f ca="1">IFERROR(__xludf.DUMMYFUNCTION("""COMPUTED_VALUE"""),0.649813589240195)</f>
        <v>0.64981358924019506</v>
      </c>
      <c r="T364" s="17">
        <f ca="1">IFERROR(__xludf.DUMMYFUNCTION("""COMPUTED_VALUE"""),0.522437980601325)</f>
        <v>0.52243798060132496</v>
      </c>
      <c r="U364" s="17">
        <f ca="1">IFERROR(__xludf.DUMMYFUNCTION("""COMPUTED_VALUE"""),0.375001945350564)</f>
        <v>0.37500194535056403</v>
      </c>
      <c r="V364" s="17">
        <f ca="1">IFERROR(__xludf.DUMMYFUNCTION("""COMPUTED_VALUE"""),0.412653257791663)</f>
        <v>0.41265325779166301</v>
      </c>
      <c r="W364" s="17">
        <f ca="1">IFERROR(__xludf.DUMMYFUNCTION("""COMPUTED_VALUE"""),0.480459389846385)</f>
        <v>0.48045938984638498</v>
      </c>
      <c r="X364" s="17">
        <f ca="1">IFERROR(__xludf.DUMMYFUNCTION("""COMPUTED_VALUE"""),0.415730408650604)</f>
        <v>0.41573040865060401</v>
      </c>
      <c r="Y364" s="17">
        <f ca="1">IFERROR(__xludf.DUMMYFUNCTION("""COMPUTED_VALUE"""),0.407491297526469)</f>
        <v>0.40749129752646901</v>
      </c>
      <c r="Z364" s="17">
        <f ca="1">IFERROR(__xludf.DUMMYFUNCTION("""COMPUTED_VALUE"""),0.438716598216169)</f>
        <v>0.43871659821616898</v>
      </c>
      <c r="AA364" s="17">
        <f ca="1">IFERROR(__xludf.DUMMYFUNCTION("""COMPUTED_VALUE"""),0.259630507994462)</f>
        <v>0.25963050799446202</v>
      </c>
      <c r="AB364" s="17">
        <f ca="1">IFERROR(__xludf.DUMMYFUNCTION("""COMPUTED_VALUE"""),0.744956951173877)</f>
        <v>0.74495695117387695</v>
      </c>
      <c r="AC364" s="17">
        <f ca="1">IFERROR(__xludf.DUMMYFUNCTION("""COMPUTED_VALUE"""),0.985459428745378)</f>
        <v>0.98545942874537795</v>
      </c>
      <c r="AD364" s="17">
        <f ca="1">IFERROR(__xludf.DUMMYFUNCTION("""COMPUTED_VALUE"""),0.479525508095878)</f>
        <v>0.47952550809587802</v>
      </c>
      <c r="AE364" s="17">
        <f ca="1">IFERROR(__xludf.DUMMYFUNCTION("""COMPUTED_VALUE"""),0.862337122238406)</f>
        <v>0.86233712223840597</v>
      </c>
      <c r="AF364" s="17">
        <f ca="1">IFERROR(__xludf.DUMMYFUNCTION("""COMPUTED_VALUE"""),0.565545539773547)</f>
        <v>0.56554553977354705</v>
      </c>
      <c r="AG364" s="17">
        <f ca="1">IFERROR(__xludf.DUMMYFUNCTION("""COMPUTED_VALUE"""),1.33721837920163)</f>
        <v>1.3372183792016299</v>
      </c>
      <c r="AH364" s="17">
        <f ca="1">IFERROR(__xludf.DUMMYFUNCTION("""COMPUTED_VALUE"""),0.564969816575239)</f>
        <v>0.56496981657523904</v>
      </c>
      <c r="AI364" s="17">
        <f ca="1">IFERROR(__xludf.DUMMYFUNCTION("""COMPUTED_VALUE"""),0.634799483395115)</f>
        <v>0.63479948339511505</v>
      </c>
      <c r="AJ364" s="17">
        <f ca="1">IFERROR(__xludf.DUMMYFUNCTION("""COMPUTED_VALUE"""),0.913638244639173)</f>
        <v>0.91363824463917298</v>
      </c>
    </row>
    <row r="365" spans="2:36" ht="15.75" customHeight="1" x14ac:dyDescent="0.45">
      <c r="B365" s="10" t="str">
        <f ca="1">IFERROR(__xludf.DUMMYFUNCTION("""COMPUTED_VALUE"""),"GunPointAgeSpan")</f>
        <v>GunPointAgeSpan</v>
      </c>
      <c r="C365" s="10" t="str">
        <f ca="1">IFERROR(__xludf.DUMMYFUNCTION("""COMPUTED_VALUE"""),"aligned_series")</f>
        <v>aligned_series</v>
      </c>
      <c r="D365" s="10">
        <f ca="1">IFERROR(__xludf.DUMMYFUNCTION("""COMPUTED_VALUE"""),0.6)</f>
        <v>0.6</v>
      </c>
      <c r="E365" s="17">
        <f ca="1">IFERROR(__xludf.DUMMYFUNCTION("""COMPUTED_VALUE"""),0.88788835339537)</f>
        <v>0.88788835339536998</v>
      </c>
      <c r="F365" s="17">
        <f ca="1">IFERROR(__xludf.DUMMYFUNCTION("""COMPUTED_VALUE"""),0.451021843031539)</f>
        <v>0.45102184303153903</v>
      </c>
      <c r="G365" s="17">
        <f ca="1">IFERROR(__xludf.DUMMYFUNCTION("""COMPUTED_VALUE"""),0.461062686300183)</f>
        <v>0.46106268630018299</v>
      </c>
      <c r="H365" s="17">
        <f ca="1">IFERROR(__xludf.DUMMYFUNCTION("""COMPUTED_VALUE"""),0.497656126036212)</f>
        <v>0.49765612603621201</v>
      </c>
      <c r="I365" s="17">
        <f ca="1">IFERROR(__xludf.DUMMYFUNCTION("""COMPUTED_VALUE"""),0.38873804672861)</f>
        <v>0.38873804672861001</v>
      </c>
      <c r="J365" s="17">
        <f ca="1">IFERROR(__xludf.DUMMYFUNCTION("""COMPUTED_VALUE"""),0.63374742198754)</f>
        <v>0.63374742198753997</v>
      </c>
      <c r="K365" s="17" t="str">
        <f ca="1">IFERROR(__xludf.DUMMYFUNCTION("""COMPUTED_VALUE"""),"nan")</f>
        <v>nan</v>
      </c>
      <c r="L365" s="17">
        <f ca="1">IFERROR(__xludf.DUMMYFUNCTION("""COMPUTED_VALUE"""),0.353306470172669)</f>
        <v>0.35330647017266897</v>
      </c>
      <c r="M365" s="17">
        <f ca="1">IFERROR(__xludf.DUMMYFUNCTION("""COMPUTED_VALUE"""),0.495437004097181)</f>
        <v>0.495437004097181</v>
      </c>
      <c r="N365" s="17">
        <f ca="1">IFERROR(__xludf.DUMMYFUNCTION("""COMPUTED_VALUE"""),0.526341927640937)</f>
        <v>0.52634192764093701</v>
      </c>
      <c r="O365" s="17">
        <f ca="1">IFERROR(__xludf.DUMMYFUNCTION("""COMPUTED_VALUE"""),0.407723526192541)</f>
        <v>0.40772352619254099</v>
      </c>
      <c r="P365" s="17">
        <f ca="1">IFERROR(__xludf.DUMMYFUNCTION("""COMPUTED_VALUE"""),1.21100807163701)</f>
        <v>1.21100807163701</v>
      </c>
      <c r="Q365" s="17">
        <f ca="1">IFERROR(__xludf.DUMMYFUNCTION("""COMPUTED_VALUE"""),0.916008307561403)</f>
        <v>0.91600830756140295</v>
      </c>
      <c r="R365" s="17">
        <f ca="1">IFERROR(__xludf.DUMMYFUNCTION("""COMPUTED_VALUE"""),0.835981550842095)</f>
        <v>0.83598155084209502</v>
      </c>
      <c r="S365" s="17">
        <f ca="1">IFERROR(__xludf.DUMMYFUNCTION("""COMPUTED_VALUE"""),0.712732448308814)</f>
        <v>0.71273244830881399</v>
      </c>
      <c r="T365" s="17">
        <f ca="1">IFERROR(__xludf.DUMMYFUNCTION("""COMPUTED_VALUE"""),0.509103780977752)</f>
        <v>0.509103780977752</v>
      </c>
      <c r="U365" s="17">
        <f ca="1">IFERROR(__xludf.DUMMYFUNCTION("""COMPUTED_VALUE"""),0.379220019928096)</f>
        <v>0.37922001992809601</v>
      </c>
      <c r="V365" s="17">
        <f ca="1">IFERROR(__xludf.DUMMYFUNCTION("""COMPUTED_VALUE"""),0.411412907620534)</f>
        <v>0.41141290762053401</v>
      </c>
      <c r="W365" s="17">
        <f ca="1">IFERROR(__xludf.DUMMYFUNCTION("""COMPUTED_VALUE"""),0.46169724246501)</f>
        <v>0.46169724246500998</v>
      </c>
      <c r="X365" s="17">
        <f ca="1">IFERROR(__xludf.DUMMYFUNCTION("""COMPUTED_VALUE"""),0.523217556935082)</f>
        <v>0.52321755693508198</v>
      </c>
      <c r="Y365" s="17">
        <f ca="1">IFERROR(__xludf.DUMMYFUNCTION("""COMPUTED_VALUE"""),0.414938306869116)</f>
        <v>0.41493830686911598</v>
      </c>
      <c r="Z365" s="17">
        <f ca="1">IFERROR(__xludf.DUMMYFUNCTION("""COMPUTED_VALUE"""),0.431784465847334)</f>
        <v>0.43178446584733399</v>
      </c>
      <c r="AA365" s="17">
        <f ca="1">IFERROR(__xludf.DUMMYFUNCTION("""COMPUTED_VALUE"""),0.250858928709517)</f>
        <v>0.25085892870951698</v>
      </c>
      <c r="AB365" s="17">
        <f ca="1">IFERROR(__xludf.DUMMYFUNCTION("""COMPUTED_VALUE"""),1.1152101965831)</f>
        <v>1.1152101965831001</v>
      </c>
      <c r="AC365" s="17">
        <f ca="1">IFERROR(__xludf.DUMMYFUNCTION("""COMPUTED_VALUE"""),0.825499571534714)</f>
        <v>0.82549957153471398</v>
      </c>
      <c r="AD365" s="17">
        <f ca="1">IFERROR(__xludf.DUMMYFUNCTION("""COMPUTED_VALUE"""),0.486845310238555)</f>
        <v>0.48684531023855498</v>
      </c>
      <c r="AE365" s="17">
        <f ca="1">IFERROR(__xludf.DUMMYFUNCTION("""COMPUTED_VALUE"""),0.929042431702148)</f>
        <v>0.92904243170214795</v>
      </c>
      <c r="AF365" s="17">
        <f ca="1">IFERROR(__xludf.DUMMYFUNCTION("""COMPUTED_VALUE"""),0.590681062985993)</f>
        <v>0.59068106298599299</v>
      </c>
      <c r="AG365" s="17">
        <f ca="1">IFERROR(__xludf.DUMMYFUNCTION("""COMPUTED_VALUE"""),1.26837180805131)</f>
        <v>1.26837180805131</v>
      </c>
      <c r="AH365" s="17">
        <f ca="1">IFERROR(__xludf.DUMMYFUNCTION("""COMPUTED_VALUE"""),0.565696302315726)</f>
        <v>0.56569630231572599</v>
      </c>
      <c r="AI365" s="17">
        <f ca="1">IFERROR(__xludf.DUMMYFUNCTION("""COMPUTED_VALUE"""),0.639883410632861)</f>
        <v>0.63988341063286103</v>
      </c>
      <c r="AJ365" s="17">
        <f ca="1">IFERROR(__xludf.DUMMYFUNCTION("""COMPUTED_VALUE"""),0.931539627968541)</f>
        <v>0.93153962796854095</v>
      </c>
    </row>
    <row r="366" spans="2:36" ht="15.75" customHeight="1" x14ac:dyDescent="0.45">
      <c r="B366" s="10" t="str">
        <f ca="1">IFERROR(__xludf.DUMMYFUNCTION("""COMPUTED_VALUE"""),"GunPointAgeSpan")</f>
        <v>GunPointAgeSpan</v>
      </c>
      <c r="C366" s="10" t="str">
        <f ca="1">IFERROR(__xludf.DUMMYFUNCTION("""COMPUTED_VALUE"""),"aligned_series")</f>
        <v>aligned_series</v>
      </c>
      <c r="D366" s="10">
        <f ca="1">IFERROR(__xludf.DUMMYFUNCTION("""COMPUTED_VALUE"""),0.8)</f>
        <v>0.8</v>
      </c>
      <c r="E366" s="17">
        <f ca="1">IFERROR(__xludf.DUMMYFUNCTION("""COMPUTED_VALUE"""),0.926251333477338)</f>
        <v>0.92625133347733801</v>
      </c>
      <c r="F366" s="17">
        <f ca="1">IFERROR(__xludf.DUMMYFUNCTION("""COMPUTED_VALUE"""),0.493941534523751)</f>
        <v>0.493941534523751</v>
      </c>
      <c r="G366" s="17">
        <f ca="1">IFERROR(__xludf.DUMMYFUNCTION("""COMPUTED_VALUE"""),0.477394898905982)</f>
        <v>0.47739489890598202</v>
      </c>
      <c r="H366" s="17">
        <f ca="1">IFERROR(__xludf.DUMMYFUNCTION("""COMPUTED_VALUE"""),0.502941985649999)</f>
        <v>0.50294198564999903</v>
      </c>
      <c r="I366" s="17">
        <f ca="1">IFERROR(__xludf.DUMMYFUNCTION("""COMPUTED_VALUE"""),0.55965095366552)</f>
        <v>0.55965095366551998</v>
      </c>
      <c r="J366" s="17">
        <f ca="1">IFERROR(__xludf.DUMMYFUNCTION("""COMPUTED_VALUE"""),0.814119231567227)</f>
        <v>0.81411923156722699</v>
      </c>
      <c r="K366" s="17" t="str">
        <f ca="1">IFERROR(__xludf.DUMMYFUNCTION("""COMPUTED_VALUE"""),"nan")</f>
        <v>nan</v>
      </c>
      <c r="L366" s="17">
        <f ca="1">IFERROR(__xludf.DUMMYFUNCTION("""COMPUTED_VALUE"""),0.435330833139671)</f>
        <v>0.43533083313967103</v>
      </c>
      <c r="M366" s="17">
        <f ca="1">IFERROR(__xludf.DUMMYFUNCTION("""COMPUTED_VALUE"""),0.50612046755366)</f>
        <v>0.50612046755366003</v>
      </c>
      <c r="N366" s="17">
        <f ca="1">IFERROR(__xludf.DUMMYFUNCTION("""COMPUTED_VALUE"""),0.567815815373178)</f>
        <v>0.56781581537317805</v>
      </c>
      <c r="O366" s="17">
        <f ca="1">IFERROR(__xludf.DUMMYFUNCTION("""COMPUTED_VALUE"""),0.417999133716548)</f>
        <v>0.41799913371654801</v>
      </c>
      <c r="P366" s="17">
        <f ca="1">IFERROR(__xludf.DUMMYFUNCTION("""COMPUTED_VALUE"""),1.24696874657402)</f>
        <v>1.24696874657402</v>
      </c>
      <c r="Q366" s="17">
        <f ca="1">IFERROR(__xludf.DUMMYFUNCTION("""COMPUTED_VALUE"""),0.949689611336444)</f>
        <v>0.94968961133644403</v>
      </c>
      <c r="R366" s="17">
        <f ca="1">IFERROR(__xludf.DUMMYFUNCTION("""COMPUTED_VALUE"""),0.969246586964)</f>
        <v>0.96924658696400001</v>
      </c>
      <c r="S366" s="17">
        <f ca="1">IFERROR(__xludf.DUMMYFUNCTION("""COMPUTED_VALUE"""),0.99244972734326)</f>
        <v>0.99244972734325998</v>
      </c>
      <c r="T366" s="17">
        <f ca="1">IFERROR(__xludf.DUMMYFUNCTION("""COMPUTED_VALUE"""),0.568481730170297)</f>
        <v>0.56848173017029702</v>
      </c>
      <c r="U366" s="17">
        <f ca="1">IFERROR(__xludf.DUMMYFUNCTION("""COMPUTED_VALUE"""),0.434343020302576)</f>
        <v>0.43434302030257599</v>
      </c>
      <c r="V366" s="17">
        <f ca="1">IFERROR(__xludf.DUMMYFUNCTION("""COMPUTED_VALUE"""),0.601466943340692)</f>
        <v>0.60146694334069195</v>
      </c>
      <c r="W366" s="17">
        <f ca="1">IFERROR(__xludf.DUMMYFUNCTION("""COMPUTED_VALUE"""),0.535297014725616)</f>
        <v>0.53529701472561597</v>
      </c>
      <c r="X366" s="17">
        <f ca="1">IFERROR(__xludf.DUMMYFUNCTION("""COMPUTED_VALUE"""),0.534245002298217)</f>
        <v>0.53424500229821703</v>
      </c>
      <c r="Y366" s="17">
        <f ca="1">IFERROR(__xludf.DUMMYFUNCTION("""COMPUTED_VALUE"""),0.45548077509199)</f>
        <v>0.45548077509198998</v>
      </c>
      <c r="Z366" s="17">
        <f ca="1">IFERROR(__xludf.DUMMYFUNCTION("""COMPUTED_VALUE"""),0.506668395190542)</f>
        <v>0.50666839519054196</v>
      </c>
      <c r="AA366" s="17">
        <f ca="1">IFERROR(__xludf.DUMMYFUNCTION("""COMPUTED_VALUE"""),0.221508443311202)</f>
        <v>0.22150844331120201</v>
      </c>
      <c r="AB366" s="17">
        <f ca="1">IFERROR(__xludf.DUMMYFUNCTION("""COMPUTED_VALUE"""),1.12432780660342)</f>
        <v>1.1243278066034199</v>
      </c>
      <c r="AC366" s="17">
        <f ca="1">IFERROR(__xludf.DUMMYFUNCTION("""COMPUTED_VALUE"""),0.727196811432528)</f>
        <v>0.72719681143252801</v>
      </c>
      <c r="AD366" s="17">
        <f ca="1">IFERROR(__xludf.DUMMYFUNCTION("""COMPUTED_VALUE"""),0.541349832787103)</f>
        <v>0.54134983278710302</v>
      </c>
      <c r="AE366" s="17">
        <f ca="1">IFERROR(__xludf.DUMMYFUNCTION("""COMPUTED_VALUE"""),0.954841131159423)</f>
        <v>0.95484113115942304</v>
      </c>
      <c r="AF366" s="17">
        <f ca="1">IFERROR(__xludf.DUMMYFUNCTION("""COMPUTED_VALUE"""),0.784600528085324)</f>
        <v>0.78460052808532399</v>
      </c>
      <c r="AG366" s="17">
        <f ca="1">IFERROR(__xludf.DUMMYFUNCTION("""COMPUTED_VALUE"""),1.36659634333555)</f>
        <v>1.3665963433355499</v>
      </c>
      <c r="AH366" s="17">
        <f ca="1">IFERROR(__xludf.DUMMYFUNCTION("""COMPUTED_VALUE"""),0.569366791481226)</f>
        <v>0.56936679148122604</v>
      </c>
      <c r="AI366" s="17">
        <f ca="1">IFERROR(__xludf.DUMMYFUNCTION("""COMPUTED_VALUE"""),0.644940835248312)</f>
        <v>0.64494083524831203</v>
      </c>
      <c r="AJ366" s="17">
        <f ca="1">IFERROR(__xludf.DUMMYFUNCTION("""COMPUTED_VALUE"""),1.0448036632452)</f>
        <v>1.0448036632452</v>
      </c>
    </row>
    <row r="367" spans="2:36" ht="15.75" customHeight="1" x14ac:dyDescent="0.45">
      <c r="B367" s="10" t="str">
        <f ca="1">IFERROR(__xludf.DUMMYFUNCTION("""COMPUTED_VALUE"""),"GunPointAgeSpan")</f>
        <v>GunPointAgeSpan</v>
      </c>
      <c r="C367" s="10" t="str">
        <f ca="1">IFERROR(__xludf.DUMMYFUNCTION("""COMPUTED_VALUE"""),"aligned_timestamps")</f>
        <v>aligned_timestamps</v>
      </c>
      <c r="D367" s="10">
        <f ca="1">IFERROR(__xludf.DUMMYFUNCTION("""COMPUTED_VALUE"""),0.1)</f>
        <v>0.1</v>
      </c>
      <c r="E367" s="17">
        <f ca="1">IFERROR(__xludf.DUMMYFUNCTION("""COMPUTED_VALUE"""),0.757868761295454)</f>
        <v>0.757868761295454</v>
      </c>
      <c r="F367" s="17">
        <f ca="1">IFERROR(__xludf.DUMMYFUNCTION("""COMPUTED_VALUE"""),0.356909109219678)</f>
        <v>0.356909109219678</v>
      </c>
      <c r="G367" s="17">
        <f ca="1">IFERROR(__xludf.DUMMYFUNCTION("""COMPUTED_VALUE"""),0.368179221757707)</f>
        <v>0.36817922175770701</v>
      </c>
      <c r="H367" s="17">
        <f ca="1">IFERROR(__xludf.DUMMYFUNCTION("""COMPUTED_VALUE"""),0.436875820365)</f>
        <v>0.436875820365</v>
      </c>
      <c r="I367" s="17">
        <f ca="1">IFERROR(__xludf.DUMMYFUNCTION("""COMPUTED_VALUE"""),0.132224401226886)</f>
        <v>0.132224401226886</v>
      </c>
      <c r="J367" s="17">
        <f ca="1">IFERROR(__xludf.DUMMYFUNCTION("""COMPUTED_VALUE"""),0.369477618921936)</f>
        <v>0.36947761892193598</v>
      </c>
      <c r="K367" s="17" t="str">
        <f ca="1">IFERROR(__xludf.DUMMYFUNCTION("""COMPUTED_VALUE"""),"nan")</f>
        <v>nan</v>
      </c>
      <c r="L367" s="17">
        <f ca="1">IFERROR(__xludf.DUMMYFUNCTION("""COMPUTED_VALUE"""),0.235677441168423)</f>
        <v>0.23567744116842301</v>
      </c>
      <c r="M367" s="17">
        <f ca="1">IFERROR(__xludf.DUMMYFUNCTION("""COMPUTED_VALUE"""),0.370237679402562)</f>
        <v>0.37023767940256203</v>
      </c>
      <c r="N367" s="17">
        <f ca="1">IFERROR(__xludf.DUMMYFUNCTION("""COMPUTED_VALUE"""),0.305774657358925)</f>
        <v>0.30577465735892501</v>
      </c>
      <c r="O367" s="17">
        <f ca="1">IFERROR(__xludf.DUMMYFUNCTION("""COMPUTED_VALUE"""),0.37806099030647)</f>
        <v>0.37806099030647</v>
      </c>
      <c r="P367" s="17">
        <f ca="1">IFERROR(__xludf.DUMMYFUNCTION("""COMPUTED_VALUE"""),0.874275360358475)</f>
        <v>0.87427536035847497</v>
      </c>
      <c r="Q367" s="17">
        <f ca="1">IFERROR(__xludf.DUMMYFUNCTION("""COMPUTED_VALUE"""),0.66686432016909)</f>
        <v>0.66686432016909003</v>
      </c>
      <c r="R367" s="17">
        <f ca="1">IFERROR(__xludf.DUMMYFUNCTION("""COMPUTED_VALUE"""),0.521612561956888)</f>
        <v>0.52161256195688799</v>
      </c>
      <c r="S367" s="17">
        <f ca="1">IFERROR(__xludf.DUMMYFUNCTION("""COMPUTED_VALUE"""),0.310135356588945)</f>
        <v>0.31013535658894498</v>
      </c>
      <c r="T367" s="17">
        <f ca="1">IFERROR(__xludf.DUMMYFUNCTION("""COMPUTED_VALUE"""),0.288621585869623)</f>
        <v>0.288621585869623</v>
      </c>
      <c r="U367" s="17">
        <f ca="1">IFERROR(__xludf.DUMMYFUNCTION("""COMPUTED_VALUE"""),0.236950916126669)</f>
        <v>0.23695091612666899</v>
      </c>
      <c r="V367" s="17">
        <f ca="1">IFERROR(__xludf.DUMMYFUNCTION("""COMPUTED_VALUE"""),0.200529897202454)</f>
        <v>0.20052989720245401</v>
      </c>
      <c r="W367" s="17">
        <f ca="1">IFERROR(__xludf.DUMMYFUNCTION("""COMPUTED_VALUE"""),0.307518349319109)</f>
        <v>0.30751834931910899</v>
      </c>
      <c r="X367" s="17">
        <f ca="1">IFERROR(__xludf.DUMMYFUNCTION("""COMPUTED_VALUE"""),0.349742375423268)</f>
        <v>0.34974237542326803</v>
      </c>
      <c r="Y367" s="17">
        <f ca="1">IFERROR(__xludf.DUMMYFUNCTION("""COMPUTED_VALUE"""),0.225048247877578)</f>
        <v>0.22504824787757799</v>
      </c>
      <c r="Z367" s="17">
        <f ca="1">IFERROR(__xludf.DUMMYFUNCTION("""COMPUTED_VALUE"""),0.254647934947386)</f>
        <v>0.25464793494738602</v>
      </c>
      <c r="AA367" s="17">
        <f ca="1">IFERROR(__xludf.DUMMYFUNCTION("""COMPUTED_VALUE"""),0.0971853391204964)</f>
        <v>9.71853391204964E-2</v>
      </c>
      <c r="AB367" s="17">
        <f ca="1">IFERROR(__xludf.DUMMYFUNCTION("""COMPUTED_VALUE"""),0.373091338691475)</f>
        <v>0.37309133869147498</v>
      </c>
      <c r="AC367" s="17">
        <f ca="1">IFERROR(__xludf.DUMMYFUNCTION("""COMPUTED_VALUE"""),0.53162205160118)</f>
        <v>0.53162205160118003</v>
      </c>
      <c r="AD367" s="17">
        <f ca="1">IFERROR(__xludf.DUMMYFUNCTION("""COMPUTED_VALUE"""),0.291187037349905)</f>
        <v>0.29118703734990498</v>
      </c>
      <c r="AE367" s="17">
        <f ca="1">IFERROR(__xludf.DUMMYFUNCTION("""COMPUTED_VALUE"""),0.655873237364457)</f>
        <v>0.65587323736445702</v>
      </c>
      <c r="AF367" s="17">
        <f ca="1">IFERROR(__xludf.DUMMYFUNCTION("""COMPUTED_VALUE"""),0.263299457509631)</f>
        <v>0.26329945750963102</v>
      </c>
      <c r="AG367" s="17">
        <f ca="1">IFERROR(__xludf.DUMMYFUNCTION("""COMPUTED_VALUE"""),1.07881623289084)</f>
        <v>1.0788162328908399</v>
      </c>
      <c r="AH367" s="17">
        <f ca="1">IFERROR(__xludf.DUMMYFUNCTION("""COMPUTED_VALUE"""),0.459850881548284)</f>
        <v>0.45985088154828402</v>
      </c>
      <c r="AI367" s="17">
        <f ca="1">IFERROR(__xludf.DUMMYFUNCTION("""COMPUTED_VALUE"""),0.240684321771373)</f>
        <v>0.240684321771373</v>
      </c>
      <c r="AJ367" s="17">
        <f ca="1">IFERROR(__xludf.DUMMYFUNCTION("""COMPUTED_VALUE"""),0.517304412430464)</f>
        <v>0.51730441243046399</v>
      </c>
    </row>
    <row r="368" spans="2:36" ht="15.75" customHeight="1" x14ac:dyDescent="0.45">
      <c r="B368" s="10" t="str">
        <f ca="1">IFERROR(__xludf.DUMMYFUNCTION("""COMPUTED_VALUE"""),"GunPointAgeSpan")</f>
        <v>GunPointAgeSpan</v>
      </c>
      <c r="C368" s="10" t="str">
        <f ca="1">IFERROR(__xludf.DUMMYFUNCTION("""COMPUTED_VALUE"""),"aligned_timestamps")</f>
        <v>aligned_timestamps</v>
      </c>
      <c r="D368" s="10">
        <f ca="1">IFERROR(__xludf.DUMMYFUNCTION("""COMPUTED_VALUE"""),0.2)</f>
        <v>0.2</v>
      </c>
      <c r="E368" s="17">
        <f ca="1">IFERROR(__xludf.DUMMYFUNCTION("""COMPUTED_VALUE"""),0.73639807642372)</f>
        <v>0.73639807642372002</v>
      </c>
      <c r="F368" s="17">
        <f ca="1">IFERROR(__xludf.DUMMYFUNCTION("""COMPUTED_VALUE"""),0.397747250238158)</f>
        <v>0.39774725023815799</v>
      </c>
      <c r="G368" s="17">
        <f ca="1">IFERROR(__xludf.DUMMYFUNCTION("""COMPUTED_VALUE"""),0.417755966854275)</f>
        <v>0.41775596685427502</v>
      </c>
      <c r="H368" s="17">
        <f ca="1">IFERROR(__xludf.DUMMYFUNCTION("""COMPUTED_VALUE"""),0.405473087798206)</f>
        <v>0.40547308779820601</v>
      </c>
      <c r="I368" s="17">
        <f ca="1">IFERROR(__xludf.DUMMYFUNCTION("""COMPUTED_VALUE"""),0.181703122409889)</f>
        <v>0.18170312240988901</v>
      </c>
      <c r="J368" s="17">
        <f ca="1">IFERROR(__xludf.DUMMYFUNCTION("""COMPUTED_VALUE"""),0.358221335003897)</f>
        <v>0.35822133500389702</v>
      </c>
      <c r="K368" s="17" t="str">
        <f ca="1">IFERROR(__xludf.DUMMYFUNCTION("""COMPUTED_VALUE"""),"nan")</f>
        <v>nan</v>
      </c>
      <c r="L368" s="17">
        <f ca="1">IFERROR(__xludf.DUMMYFUNCTION("""COMPUTED_VALUE"""),0.319736952543954)</f>
        <v>0.31973695254395401</v>
      </c>
      <c r="M368" s="17">
        <f ca="1">IFERROR(__xludf.DUMMYFUNCTION("""COMPUTED_VALUE"""),0.443282820261812)</f>
        <v>0.44328282026181198</v>
      </c>
      <c r="N368" s="17">
        <f ca="1">IFERROR(__xludf.DUMMYFUNCTION("""COMPUTED_VALUE"""),0.505667090664926)</f>
        <v>0.50566709066492599</v>
      </c>
      <c r="O368" s="17">
        <f ca="1">IFERROR(__xludf.DUMMYFUNCTION("""COMPUTED_VALUE"""),0.392998668604914)</f>
        <v>0.392998668604914</v>
      </c>
      <c r="P368" s="17">
        <f ca="1">IFERROR(__xludf.DUMMYFUNCTION("""COMPUTED_VALUE"""),0.995603608852291)</f>
        <v>0.99560360885229104</v>
      </c>
      <c r="Q368" s="17">
        <f ca="1">IFERROR(__xludf.DUMMYFUNCTION("""COMPUTED_VALUE"""),0.868546107424649)</f>
        <v>0.86854610742464899</v>
      </c>
      <c r="R368" s="17">
        <f ca="1">IFERROR(__xludf.DUMMYFUNCTION("""COMPUTED_VALUE"""),0.543510548652237)</f>
        <v>0.54351054865223702</v>
      </c>
      <c r="S368" s="17">
        <f ca="1">IFERROR(__xludf.DUMMYFUNCTION("""COMPUTED_VALUE"""),0.538765127221871)</f>
        <v>0.53876512722187098</v>
      </c>
      <c r="T368" s="17">
        <f ca="1">IFERROR(__xludf.DUMMYFUNCTION("""COMPUTED_VALUE"""),0.425338119196177)</f>
        <v>0.42533811919617698</v>
      </c>
      <c r="U368" s="17">
        <f ca="1">IFERROR(__xludf.DUMMYFUNCTION("""COMPUTED_VALUE"""),0.275614297608488)</f>
        <v>0.27561429760848799</v>
      </c>
      <c r="V368" s="17">
        <f ca="1">IFERROR(__xludf.DUMMYFUNCTION("""COMPUTED_VALUE"""),0.345605381612299)</f>
        <v>0.34560538161229898</v>
      </c>
      <c r="W368" s="17">
        <f ca="1">IFERROR(__xludf.DUMMYFUNCTION("""COMPUTED_VALUE"""),0.411563721204936)</f>
        <v>0.41156372120493601</v>
      </c>
      <c r="X368" s="17">
        <f ca="1">IFERROR(__xludf.DUMMYFUNCTION("""COMPUTED_VALUE"""),0.340446547792618)</f>
        <v>0.34044654779261802</v>
      </c>
      <c r="Y368" s="17">
        <f ca="1">IFERROR(__xludf.DUMMYFUNCTION("""COMPUTED_VALUE"""),0.382528528768571)</f>
        <v>0.38252852876857102</v>
      </c>
      <c r="Z368" s="17">
        <f ca="1">IFERROR(__xludf.DUMMYFUNCTION("""COMPUTED_VALUE"""),0.373897782496659)</f>
        <v>0.373897782496659</v>
      </c>
      <c r="AA368" s="17">
        <f ca="1">IFERROR(__xludf.DUMMYFUNCTION("""COMPUTED_VALUE"""),0.241833907143133)</f>
        <v>0.24183390714313299</v>
      </c>
      <c r="AB368" s="17">
        <f ca="1">IFERROR(__xludf.DUMMYFUNCTION("""COMPUTED_VALUE"""),0.579394204293252)</f>
        <v>0.57939420429325195</v>
      </c>
      <c r="AC368" s="17">
        <f ca="1">IFERROR(__xludf.DUMMYFUNCTION("""COMPUTED_VALUE"""),0.763601293428649)</f>
        <v>0.76360129342864902</v>
      </c>
      <c r="AD368" s="17">
        <f ca="1">IFERROR(__xludf.DUMMYFUNCTION("""COMPUTED_VALUE"""),0.481679357689133)</f>
        <v>0.481679357689133</v>
      </c>
      <c r="AE368" s="17">
        <f ca="1">IFERROR(__xludf.DUMMYFUNCTION("""COMPUTED_VALUE"""),0.822975769049852)</f>
        <v>0.82297576904985204</v>
      </c>
      <c r="AF368" s="17">
        <f ca="1">IFERROR(__xludf.DUMMYFUNCTION("""COMPUTED_VALUE"""),0.483109483576123)</f>
        <v>0.48310948357612299</v>
      </c>
      <c r="AG368" s="17">
        <f ca="1">IFERROR(__xludf.DUMMYFUNCTION("""COMPUTED_VALUE"""),1.22126262649331)</f>
        <v>1.22126262649331</v>
      </c>
      <c r="AH368" s="17">
        <f ca="1">IFERROR(__xludf.DUMMYFUNCTION("""COMPUTED_VALUE"""),0.49443045042639)</f>
        <v>0.49443045042639</v>
      </c>
      <c r="AI368" s="17">
        <f ca="1">IFERROR(__xludf.DUMMYFUNCTION("""COMPUTED_VALUE"""),0.558777245885979)</f>
        <v>0.55877724588597899</v>
      </c>
      <c r="AJ368" s="17">
        <f ca="1">IFERROR(__xludf.DUMMYFUNCTION("""COMPUTED_VALUE"""),0.812707905651199)</f>
        <v>0.81270790565119899</v>
      </c>
    </row>
    <row r="369" spans="2:36" ht="15.75" customHeight="1" x14ac:dyDescent="0.45">
      <c r="B369" s="10" t="str">
        <f ca="1">IFERROR(__xludf.DUMMYFUNCTION("""COMPUTED_VALUE"""),"GunPointAgeSpan")</f>
        <v>GunPointAgeSpan</v>
      </c>
      <c r="C369" s="10" t="str">
        <f ca="1">IFERROR(__xludf.DUMMYFUNCTION("""COMPUTED_VALUE"""),"aligned_timestamps")</f>
        <v>aligned_timestamps</v>
      </c>
      <c r="D369" s="10">
        <f ca="1">IFERROR(__xludf.DUMMYFUNCTION("""COMPUTED_VALUE"""),0.4)</f>
        <v>0.4</v>
      </c>
      <c r="E369" s="17">
        <f ca="1">IFERROR(__xludf.DUMMYFUNCTION("""COMPUTED_VALUE"""),1.00679899850637)</f>
        <v>1.0067989985063699</v>
      </c>
      <c r="F369" s="17">
        <f ca="1">IFERROR(__xludf.DUMMYFUNCTION("""COMPUTED_VALUE"""),0.518954459193652)</f>
        <v>0.51895445919365202</v>
      </c>
      <c r="G369" s="17">
        <f ca="1">IFERROR(__xludf.DUMMYFUNCTION("""COMPUTED_VALUE"""),0.562422170248747)</f>
        <v>0.56242217024874697</v>
      </c>
      <c r="H369" s="17">
        <f ca="1">IFERROR(__xludf.DUMMYFUNCTION("""COMPUTED_VALUE"""),0.515116193565402)</f>
        <v>0.51511619356540195</v>
      </c>
      <c r="I369" s="17">
        <f ca="1">IFERROR(__xludf.DUMMYFUNCTION("""COMPUTED_VALUE"""),0.346253839110161)</f>
        <v>0.346253839110161</v>
      </c>
      <c r="J369" s="17">
        <f ca="1">IFERROR(__xludf.DUMMYFUNCTION("""COMPUTED_VALUE"""),0.496442655451902)</f>
        <v>0.49644265545190203</v>
      </c>
      <c r="K369" s="17" t="str">
        <f ca="1">IFERROR(__xludf.DUMMYFUNCTION("""COMPUTED_VALUE"""),"nan")</f>
        <v>nan</v>
      </c>
      <c r="L369" s="17">
        <f ca="1">IFERROR(__xludf.DUMMYFUNCTION("""COMPUTED_VALUE"""),0.376821264376506)</f>
        <v>0.37682126437650598</v>
      </c>
      <c r="M369" s="17">
        <f ca="1">IFERROR(__xludf.DUMMYFUNCTION("""COMPUTED_VALUE"""),0.715646966690439)</f>
        <v>0.71564696669043903</v>
      </c>
      <c r="N369" s="17">
        <f ca="1">IFERROR(__xludf.DUMMYFUNCTION("""COMPUTED_VALUE"""),0.639167826382846)</f>
        <v>0.63916782638284597</v>
      </c>
      <c r="O369" s="17">
        <f ca="1">IFERROR(__xludf.DUMMYFUNCTION("""COMPUTED_VALUE"""),0.439266617223221)</f>
        <v>0.43926661722322102</v>
      </c>
      <c r="P369" s="17">
        <f ca="1">IFERROR(__xludf.DUMMYFUNCTION("""COMPUTED_VALUE"""),1.23561598656029)</f>
        <v>1.23561598656029</v>
      </c>
      <c r="Q369" s="17">
        <f ca="1">IFERROR(__xludf.DUMMYFUNCTION("""COMPUTED_VALUE"""),0.9167954680272)</f>
        <v>0.91679546802720002</v>
      </c>
      <c r="R369" s="17">
        <f ca="1">IFERROR(__xludf.DUMMYFUNCTION("""COMPUTED_VALUE"""),0.836381709256304)</f>
        <v>0.83638170925630395</v>
      </c>
      <c r="S369" s="17">
        <f ca="1">IFERROR(__xludf.DUMMYFUNCTION("""COMPUTED_VALUE"""),0.741041964025883)</f>
        <v>0.74104196402588296</v>
      </c>
      <c r="T369" s="17">
        <f ca="1">IFERROR(__xludf.DUMMYFUNCTION("""COMPUTED_VALUE"""),0.51692786650373)</f>
        <v>0.51692786650373002</v>
      </c>
      <c r="U369" s="17">
        <f ca="1">IFERROR(__xludf.DUMMYFUNCTION("""COMPUTED_VALUE"""),0.394497049880143)</f>
        <v>0.394497049880143</v>
      </c>
      <c r="V369" s="17">
        <f ca="1">IFERROR(__xludf.DUMMYFUNCTION("""COMPUTED_VALUE"""),0.666984116517682)</f>
        <v>0.66698411651768197</v>
      </c>
      <c r="W369" s="17">
        <f ca="1">IFERROR(__xludf.DUMMYFUNCTION("""COMPUTED_VALUE"""),0.549410397000272)</f>
        <v>0.54941039700027205</v>
      </c>
      <c r="X369" s="17">
        <f ca="1">IFERROR(__xludf.DUMMYFUNCTION("""COMPUTED_VALUE"""),1.14688568056624)</f>
        <v>1.14688568056624</v>
      </c>
      <c r="Y369" s="17">
        <f ca="1">IFERROR(__xludf.DUMMYFUNCTION("""COMPUTED_VALUE"""),0.860708676064599)</f>
        <v>0.860708676064599</v>
      </c>
      <c r="Z369" s="17">
        <f ca="1">IFERROR(__xludf.DUMMYFUNCTION("""COMPUTED_VALUE"""),0.623698532099332)</f>
        <v>0.62369853209933201</v>
      </c>
      <c r="AA369" s="17">
        <f ca="1">IFERROR(__xludf.DUMMYFUNCTION("""COMPUTED_VALUE"""),0.658867663017849)</f>
        <v>0.65886766301784905</v>
      </c>
      <c r="AB369" s="17">
        <f ca="1">IFERROR(__xludf.DUMMYFUNCTION("""COMPUTED_VALUE"""),1.10598910074295)</f>
        <v>1.1059891007429501</v>
      </c>
      <c r="AC369" s="17">
        <f ca="1">IFERROR(__xludf.DUMMYFUNCTION("""COMPUTED_VALUE"""),0.956884417371117)</f>
        <v>0.95688441737111696</v>
      </c>
      <c r="AD369" s="17">
        <f ca="1">IFERROR(__xludf.DUMMYFUNCTION("""COMPUTED_VALUE"""),0.75912904727152)</f>
        <v>0.75912904727151997</v>
      </c>
      <c r="AE369" s="17">
        <f ca="1">IFERROR(__xludf.DUMMYFUNCTION("""COMPUTED_VALUE"""),0.954551675694694)</f>
        <v>0.95455167569469401</v>
      </c>
      <c r="AF369" s="17">
        <f ca="1">IFERROR(__xludf.DUMMYFUNCTION("""COMPUTED_VALUE"""),1.01824271016365)</f>
        <v>1.01824271016365</v>
      </c>
      <c r="AG369" s="17">
        <f ca="1">IFERROR(__xludf.DUMMYFUNCTION("""COMPUTED_VALUE"""),1.21799686308827)</f>
        <v>1.21799686308827</v>
      </c>
      <c r="AH369" s="17">
        <f ca="1">IFERROR(__xludf.DUMMYFUNCTION("""COMPUTED_VALUE"""),1.04823693654003)</f>
        <v>1.0482369365400299</v>
      </c>
      <c r="AI369" s="17">
        <f ca="1">IFERROR(__xludf.DUMMYFUNCTION("""COMPUTED_VALUE"""),1.29415548865043)</f>
        <v>1.2941554886504301</v>
      </c>
      <c r="AJ369" s="17">
        <f ca="1">IFERROR(__xludf.DUMMYFUNCTION("""COMPUTED_VALUE"""),1.18520048206176)</f>
        <v>1.1852004820617601</v>
      </c>
    </row>
    <row r="370" spans="2:36" ht="15.75" customHeight="1" x14ac:dyDescent="0.45">
      <c r="B370" s="10" t="str">
        <f ca="1">IFERROR(__xludf.DUMMYFUNCTION("""COMPUTED_VALUE"""),"GunPointAgeSpan")</f>
        <v>GunPointAgeSpan</v>
      </c>
      <c r="C370" s="10" t="str">
        <f ca="1">IFERROR(__xludf.DUMMYFUNCTION("""COMPUTED_VALUE"""),"aligned_timestamps")</f>
        <v>aligned_timestamps</v>
      </c>
      <c r="D370" s="10">
        <f ca="1">IFERROR(__xludf.DUMMYFUNCTION("""COMPUTED_VALUE"""),0.6)</f>
        <v>0.6</v>
      </c>
      <c r="E370" s="17">
        <f ca="1">IFERROR(__xludf.DUMMYFUNCTION("""COMPUTED_VALUE"""),1.0896799274724)</f>
        <v>1.0896799274724001</v>
      </c>
      <c r="F370" s="17">
        <f ca="1">IFERROR(__xludf.DUMMYFUNCTION("""COMPUTED_VALUE"""),0.74169074529027)</f>
        <v>0.74169074529027001</v>
      </c>
      <c r="G370" s="17">
        <f ca="1">IFERROR(__xludf.DUMMYFUNCTION("""COMPUTED_VALUE"""),0.912961226115294)</f>
        <v>0.91296122611529396</v>
      </c>
      <c r="H370" s="17">
        <f ca="1">IFERROR(__xludf.DUMMYFUNCTION("""COMPUTED_VALUE"""),0.738260972146213)</f>
        <v>0.738260972146213</v>
      </c>
      <c r="I370" s="17">
        <f ca="1">IFERROR(__xludf.DUMMYFUNCTION("""COMPUTED_VALUE"""),0.598915136068815)</f>
        <v>0.59891513606881497</v>
      </c>
      <c r="J370" s="17">
        <f ca="1">IFERROR(__xludf.DUMMYFUNCTION("""COMPUTED_VALUE"""),1.13865205198552)</f>
        <v>1.1386520519855201</v>
      </c>
      <c r="K370" s="17" t="str">
        <f ca="1">IFERROR(__xludf.DUMMYFUNCTION("""COMPUTED_VALUE"""),"nan")</f>
        <v>nan</v>
      </c>
      <c r="L370" s="17">
        <f ca="1">IFERROR(__xludf.DUMMYFUNCTION("""COMPUTED_VALUE"""),0.459322884496922)</f>
        <v>0.45932288449692199</v>
      </c>
      <c r="M370" s="17">
        <f ca="1">IFERROR(__xludf.DUMMYFUNCTION("""COMPUTED_VALUE"""),0.831354030327062)</f>
        <v>0.83135403032706201</v>
      </c>
      <c r="N370" s="17">
        <f ca="1">IFERROR(__xludf.DUMMYFUNCTION("""COMPUTED_VALUE"""),0.838518919798909)</f>
        <v>0.83851891979890902</v>
      </c>
      <c r="O370" s="17">
        <f ca="1">IFERROR(__xludf.DUMMYFUNCTION("""COMPUTED_VALUE"""),0.888290495062593)</f>
        <v>0.88829049506259306</v>
      </c>
      <c r="P370" s="17">
        <f ca="1">IFERROR(__xludf.DUMMYFUNCTION("""COMPUTED_VALUE"""),1.53567297903434)</f>
        <v>1.53567297903434</v>
      </c>
      <c r="Q370" s="17">
        <f ca="1">IFERROR(__xludf.DUMMYFUNCTION("""COMPUTED_VALUE"""),0.972057392672552)</f>
        <v>0.97205739267255198</v>
      </c>
      <c r="R370" s="17">
        <f ca="1">IFERROR(__xludf.DUMMYFUNCTION("""COMPUTED_VALUE"""),1.00077835349858)</f>
        <v>1.0007783534985799</v>
      </c>
      <c r="S370" s="17">
        <f ca="1">IFERROR(__xludf.DUMMYFUNCTION("""COMPUTED_VALUE"""),1.30684096416663)</f>
        <v>1.3068409641666301</v>
      </c>
      <c r="T370" s="17">
        <f ca="1">IFERROR(__xludf.DUMMYFUNCTION("""COMPUTED_VALUE"""),0.917175199949185)</f>
        <v>0.91717519994918495</v>
      </c>
      <c r="U370" s="17">
        <f ca="1">IFERROR(__xludf.DUMMYFUNCTION("""COMPUTED_VALUE"""),0.547268604418235)</f>
        <v>0.54726860441823499</v>
      </c>
      <c r="V370" s="17">
        <f ca="1">IFERROR(__xludf.DUMMYFUNCTION("""COMPUTED_VALUE"""),1.13652439044751)</f>
        <v>1.13652439044751</v>
      </c>
      <c r="W370" s="17">
        <f ca="1">IFERROR(__xludf.DUMMYFUNCTION("""COMPUTED_VALUE"""),0.727843149755425)</f>
        <v>0.72784314975542497</v>
      </c>
      <c r="X370" s="17">
        <f ca="1">IFERROR(__xludf.DUMMYFUNCTION("""COMPUTED_VALUE"""),0.492892381717084)</f>
        <v>0.49289238171708399</v>
      </c>
      <c r="Y370" s="17">
        <f ca="1">IFERROR(__xludf.DUMMYFUNCTION("""COMPUTED_VALUE"""),1.58507670205433)</f>
        <v>1.5850767020543299</v>
      </c>
      <c r="Z370" s="17">
        <f ca="1">IFERROR(__xludf.DUMMYFUNCTION("""COMPUTED_VALUE"""),0.972407362793391)</f>
        <v>0.97240736279339102</v>
      </c>
      <c r="AA370" s="17">
        <f ca="1">IFERROR(__xludf.DUMMYFUNCTION("""COMPUTED_VALUE"""),0.652448333003277)</f>
        <v>0.65244833300327698</v>
      </c>
      <c r="AB370" s="17">
        <f ca="1">IFERROR(__xludf.DUMMYFUNCTION("""COMPUTED_VALUE"""),1.49218898325863)</f>
        <v>1.4921889832586299</v>
      </c>
      <c r="AC370" s="17">
        <f ca="1">IFERROR(__xludf.DUMMYFUNCTION("""COMPUTED_VALUE"""),1.0963775159207)</f>
        <v>1.0963775159207001</v>
      </c>
      <c r="AD370" s="17">
        <f ca="1">IFERROR(__xludf.DUMMYFUNCTION("""COMPUTED_VALUE"""),1.01948605700036)</f>
        <v>1.0194860570003601</v>
      </c>
      <c r="AE370" s="17">
        <f ca="1">IFERROR(__xludf.DUMMYFUNCTION("""COMPUTED_VALUE"""),1.24226644319993)</f>
        <v>1.24226644319993</v>
      </c>
      <c r="AF370" s="17">
        <f ca="1">IFERROR(__xludf.DUMMYFUNCTION("""COMPUTED_VALUE"""),1.4547278204911)</f>
        <v>1.4547278204911001</v>
      </c>
      <c r="AG370" s="17">
        <f ca="1">IFERROR(__xludf.DUMMYFUNCTION("""COMPUTED_VALUE"""),1.27589156177694)</f>
        <v>1.27589156177694</v>
      </c>
      <c r="AH370" s="17">
        <f ca="1">IFERROR(__xludf.DUMMYFUNCTION("""COMPUTED_VALUE"""),1.10607750268538)</f>
        <v>1.10607750268538</v>
      </c>
      <c r="AI370" s="17" t="str">
        <f ca="1">IFERROR(__xludf.DUMMYFUNCTION("""COMPUTED_VALUE"""),"nan")</f>
        <v>nan</v>
      </c>
      <c r="AJ370" s="17">
        <f ca="1">IFERROR(__xludf.DUMMYFUNCTION("""COMPUTED_VALUE"""),1.18529270262704)</f>
        <v>1.1852927026270399</v>
      </c>
    </row>
    <row r="371" spans="2:36" ht="15.75" customHeight="1" x14ac:dyDescent="0.45">
      <c r="B371" s="10" t="str">
        <f ca="1">IFERROR(__xludf.DUMMYFUNCTION("""COMPUTED_VALUE"""),"GunPointAgeSpan")</f>
        <v>GunPointAgeSpan</v>
      </c>
      <c r="C371" s="10" t="str">
        <f ca="1">IFERROR(__xludf.DUMMYFUNCTION("""COMPUTED_VALUE"""),"aligned_timestamps")</f>
        <v>aligned_timestamps</v>
      </c>
      <c r="D371" s="10">
        <f ca="1">IFERROR(__xludf.DUMMYFUNCTION("""COMPUTED_VALUE"""),0.8)</f>
        <v>0.8</v>
      </c>
      <c r="E371" s="17">
        <f ca="1">IFERROR(__xludf.DUMMYFUNCTION("""COMPUTED_VALUE"""),1.02192143288304)</f>
        <v>1.0219214328830399</v>
      </c>
      <c r="F371" s="17">
        <f ca="1">IFERROR(__xludf.DUMMYFUNCTION("""COMPUTED_VALUE"""),0.644099424643385)</f>
        <v>0.64409942464338499</v>
      </c>
      <c r="G371" s="17">
        <f ca="1">IFERROR(__xludf.DUMMYFUNCTION("""COMPUTED_VALUE"""),0.710801416801333)</f>
        <v>0.71080141680133302</v>
      </c>
      <c r="H371" s="17">
        <f ca="1">IFERROR(__xludf.DUMMYFUNCTION("""COMPUTED_VALUE"""),0.894147528875493)</f>
        <v>0.89414752887549298</v>
      </c>
      <c r="I371" s="17">
        <f ca="1">IFERROR(__xludf.DUMMYFUNCTION("""COMPUTED_VALUE"""),0.739993263118067)</f>
        <v>0.73999326311806701</v>
      </c>
      <c r="J371" s="17">
        <f ca="1">IFERROR(__xludf.DUMMYFUNCTION("""COMPUTED_VALUE"""),1.19792863861239)</f>
        <v>1.19792863861239</v>
      </c>
      <c r="K371" s="17" t="str">
        <f ca="1">IFERROR(__xludf.DUMMYFUNCTION("""COMPUTED_VALUE"""),"nan")</f>
        <v>nan</v>
      </c>
      <c r="L371" s="17">
        <f ca="1">IFERROR(__xludf.DUMMYFUNCTION("""COMPUTED_VALUE"""),0.675065298532224)</f>
        <v>0.67506529853222397</v>
      </c>
      <c r="M371" s="17">
        <f ca="1">IFERROR(__xludf.DUMMYFUNCTION("""COMPUTED_VALUE"""),1.5246184645461)</f>
        <v>1.5246184645461001</v>
      </c>
      <c r="N371" s="17">
        <f ca="1">IFERROR(__xludf.DUMMYFUNCTION("""COMPUTED_VALUE"""),1.13940744649576)</f>
        <v>1.13940744649576</v>
      </c>
      <c r="O371" s="17">
        <f ca="1">IFERROR(__xludf.DUMMYFUNCTION("""COMPUTED_VALUE"""),0.693138037090221)</f>
        <v>0.69313803709022104</v>
      </c>
      <c r="P371" s="17">
        <f ca="1">IFERROR(__xludf.DUMMYFUNCTION("""COMPUTED_VALUE"""),1.5447832932079)</f>
        <v>1.5447832932079</v>
      </c>
      <c r="Q371" s="17">
        <f ca="1">IFERROR(__xludf.DUMMYFUNCTION("""COMPUTED_VALUE"""),0.915101675038427)</f>
        <v>0.91510167503842699</v>
      </c>
      <c r="R371" s="17">
        <f ca="1">IFERROR(__xludf.DUMMYFUNCTION("""COMPUTED_VALUE"""),1.37547321821501)</f>
        <v>1.37547321821501</v>
      </c>
      <c r="S371" s="17">
        <f ca="1">IFERROR(__xludf.DUMMYFUNCTION("""COMPUTED_VALUE"""),1.53794757861139)</f>
        <v>1.5379475786113901</v>
      </c>
      <c r="T371" s="17">
        <f ca="1">IFERROR(__xludf.DUMMYFUNCTION("""COMPUTED_VALUE"""),1.04181689064654)</f>
        <v>1.0418168906465399</v>
      </c>
      <c r="U371" s="17">
        <f ca="1">IFERROR(__xludf.DUMMYFUNCTION("""COMPUTED_VALUE"""),0.939638165054477)</f>
        <v>0.93963816505447695</v>
      </c>
      <c r="V371" s="17">
        <f ca="1">IFERROR(__xludf.DUMMYFUNCTION("""COMPUTED_VALUE"""),1.23202734788428)</f>
        <v>1.23202734788428</v>
      </c>
      <c r="W371" s="17">
        <f ca="1">IFERROR(__xludf.DUMMYFUNCTION("""COMPUTED_VALUE"""),1.00660922097365)</f>
        <v>1.0066092209736499</v>
      </c>
      <c r="X371" s="17">
        <f ca="1">IFERROR(__xludf.DUMMYFUNCTION("""COMPUTED_VALUE"""),0.829812808552973)</f>
        <v>0.82981280855297301</v>
      </c>
      <c r="Y371" s="17">
        <f ca="1">IFERROR(__xludf.DUMMYFUNCTION("""COMPUTED_VALUE"""),0.914641476999989)</f>
        <v>0.91464147699998899</v>
      </c>
      <c r="Z371" s="17">
        <f ca="1">IFERROR(__xludf.DUMMYFUNCTION("""COMPUTED_VALUE"""),0.970799693986654)</f>
        <v>0.970799693986654</v>
      </c>
      <c r="AA371" s="17">
        <f ca="1">IFERROR(__xludf.DUMMYFUNCTION("""COMPUTED_VALUE"""),1.00092589836443)</f>
        <v>1.00092589836443</v>
      </c>
      <c r="AB371" s="17">
        <f ca="1">IFERROR(__xludf.DUMMYFUNCTION("""COMPUTED_VALUE"""),1.5731379641826)</f>
        <v>1.5731379641826</v>
      </c>
      <c r="AC371" s="17">
        <f ca="1">IFERROR(__xludf.DUMMYFUNCTION("""COMPUTED_VALUE"""),1.12874720499575)</f>
        <v>1.1287472049957501</v>
      </c>
      <c r="AD371" s="17">
        <f ca="1">IFERROR(__xludf.DUMMYFUNCTION("""COMPUTED_VALUE"""),0.906127521315612)</f>
        <v>0.90612752131561203</v>
      </c>
      <c r="AE371" s="17">
        <f ca="1">IFERROR(__xludf.DUMMYFUNCTION("""COMPUTED_VALUE"""),1.6732416683976)</f>
        <v>1.6732416683975999</v>
      </c>
      <c r="AF371" s="17">
        <f ca="1">IFERROR(__xludf.DUMMYFUNCTION("""COMPUTED_VALUE"""),1.52027524083899)</f>
        <v>1.5202752408389899</v>
      </c>
      <c r="AG371" s="17">
        <f ca="1">IFERROR(__xludf.DUMMYFUNCTION("""COMPUTED_VALUE"""),1.14768285075833)</f>
        <v>1.1476828507583301</v>
      </c>
      <c r="AH371" s="17">
        <f ca="1">IFERROR(__xludf.DUMMYFUNCTION("""COMPUTED_VALUE"""),1.09789757842127)</f>
        <v>1.0978975784212699</v>
      </c>
      <c r="AI371" s="17">
        <f ca="1">IFERROR(__xludf.DUMMYFUNCTION("""COMPUTED_VALUE"""),1.19591135541471)</f>
        <v>1.1959113554147101</v>
      </c>
      <c r="AJ371" s="17">
        <f ca="1">IFERROR(__xludf.DUMMYFUNCTION("""COMPUTED_VALUE"""),1.17872180477745)</f>
        <v>1.1787218047774499</v>
      </c>
    </row>
    <row r="372" spans="2:36" ht="15.75" customHeight="1" x14ac:dyDescent="0.45">
      <c r="B372" s="10" t="str">
        <f ca="1">IFERROR(__xludf.DUMMYFUNCTION("""COMPUTED_VALUE"""),"GunPointAgeSpan")</f>
        <v>GunPointAgeSpan</v>
      </c>
      <c r="C372" s="10" t="str">
        <f ca="1">IFERROR(__xludf.DUMMYFUNCTION("""COMPUTED_VALUE"""),"mcar")</f>
        <v>mcar</v>
      </c>
      <c r="D372" s="10">
        <f ca="1">IFERROR(__xludf.DUMMYFUNCTION("""COMPUTED_VALUE"""),0.1)</f>
        <v>0.1</v>
      </c>
      <c r="E372" s="17">
        <f ca="1">IFERROR(__xludf.DUMMYFUNCTION("""COMPUTED_VALUE"""),1.10575030092965)</f>
        <v>1.1057503009296501</v>
      </c>
      <c r="F372" s="17">
        <f ca="1">IFERROR(__xludf.DUMMYFUNCTION("""COMPUTED_VALUE"""),0.43317253296203)</f>
        <v>0.43317253296203001</v>
      </c>
      <c r="G372" s="17">
        <f ca="1">IFERROR(__xludf.DUMMYFUNCTION("""COMPUTED_VALUE"""),0.425082721524599)</f>
        <v>0.42508272152459903</v>
      </c>
      <c r="H372" s="17">
        <f ca="1">IFERROR(__xludf.DUMMYFUNCTION("""COMPUTED_VALUE"""),0.400255248698345)</f>
        <v>0.400255248698345</v>
      </c>
      <c r="I372" s="17">
        <f ca="1">IFERROR(__xludf.DUMMYFUNCTION("""COMPUTED_VALUE"""),0.0943755884228653)</f>
        <v>9.4375588422865295E-2</v>
      </c>
      <c r="J372" s="17">
        <f ca="1">IFERROR(__xludf.DUMMYFUNCTION("""COMPUTED_VALUE"""),0.371334891140438)</f>
        <v>0.37133489114043799</v>
      </c>
      <c r="K372" s="17" t="str">
        <f ca="1">IFERROR(__xludf.DUMMYFUNCTION("""COMPUTED_VALUE"""),"nan")</f>
        <v>nan</v>
      </c>
      <c r="L372" s="17">
        <f ca="1">IFERROR(__xludf.DUMMYFUNCTION("""COMPUTED_VALUE"""),0.205018798296643)</f>
        <v>0.20501879829664299</v>
      </c>
      <c r="M372" s="17">
        <f ca="1">IFERROR(__xludf.DUMMYFUNCTION("""COMPUTED_VALUE"""),0.402698948592086)</f>
        <v>0.40269894859208599</v>
      </c>
      <c r="N372" s="17">
        <f ca="1">IFERROR(__xludf.DUMMYFUNCTION("""COMPUTED_VALUE"""),0.251462056885714)</f>
        <v>0.25146205688571399</v>
      </c>
      <c r="O372" s="17">
        <f ca="1">IFERROR(__xludf.DUMMYFUNCTION("""COMPUTED_VALUE"""),0.32322143564375)</f>
        <v>0.32322143564375</v>
      </c>
      <c r="P372" s="17">
        <f ca="1">IFERROR(__xludf.DUMMYFUNCTION("""COMPUTED_VALUE"""),0.626384899523571)</f>
        <v>0.62638489952357101</v>
      </c>
      <c r="Q372" s="17">
        <f ca="1">IFERROR(__xludf.DUMMYFUNCTION("""COMPUTED_VALUE"""),0.713428430849944)</f>
        <v>0.71342843084994401</v>
      </c>
      <c r="R372" s="17">
        <f ca="1">IFERROR(__xludf.DUMMYFUNCTION("""COMPUTED_VALUE"""),0.143117285291663)</f>
        <v>0.14311728529166301</v>
      </c>
      <c r="S372" s="17">
        <f ca="1">IFERROR(__xludf.DUMMYFUNCTION("""COMPUTED_VALUE"""),0.411657054786405)</f>
        <v>0.41165705478640502</v>
      </c>
      <c r="T372" s="17">
        <f ca="1">IFERROR(__xludf.DUMMYFUNCTION("""COMPUTED_VALUE"""),0.217992872993011)</f>
        <v>0.21799287299301101</v>
      </c>
      <c r="U372" s="17">
        <f ca="1">IFERROR(__xludf.DUMMYFUNCTION("""COMPUTED_VALUE"""),0.216454982064669)</f>
        <v>0.21645498206466901</v>
      </c>
      <c r="V372" s="17">
        <f ca="1">IFERROR(__xludf.DUMMYFUNCTION("""COMPUTED_VALUE"""),0.231221096597663)</f>
        <v>0.23122109659766299</v>
      </c>
      <c r="W372" s="17">
        <f ca="1">IFERROR(__xludf.DUMMYFUNCTION("""COMPUTED_VALUE"""),0.328411353318373)</f>
        <v>0.32841135331837301</v>
      </c>
      <c r="X372" s="17">
        <f ca="1">IFERROR(__xludf.DUMMYFUNCTION("""COMPUTED_VALUE"""),0.342756894265753)</f>
        <v>0.34275689426575301</v>
      </c>
      <c r="Y372" s="17">
        <f ca="1">IFERROR(__xludf.DUMMYFUNCTION("""COMPUTED_VALUE"""),0.143620369913103)</f>
        <v>0.14362036991310301</v>
      </c>
      <c r="Z372" s="17">
        <f ca="1">IFERROR(__xludf.DUMMYFUNCTION("""COMPUTED_VALUE"""),0.294381291503846)</f>
        <v>0.29438129150384601</v>
      </c>
      <c r="AA372" s="17">
        <f ca="1">IFERROR(__xludf.DUMMYFUNCTION("""COMPUTED_VALUE"""),0.0888607932882377)</f>
        <v>8.8860793288237705E-2</v>
      </c>
      <c r="AB372" s="17">
        <f ca="1">IFERROR(__xludf.DUMMYFUNCTION("""COMPUTED_VALUE"""),0.223484589252022)</f>
        <v>0.223484589252022</v>
      </c>
      <c r="AC372" s="17">
        <f ca="1">IFERROR(__xludf.DUMMYFUNCTION("""COMPUTED_VALUE"""),0.448971105676912)</f>
        <v>0.44897110567691201</v>
      </c>
      <c r="AD372" s="17">
        <f ca="1">IFERROR(__xludf.DUMMYFUNCTION("""COMPUTED_VALUE"""),0.23904581424593)</f>
        <v>0.23904581424592999</v>
      </c>
      <c r="AE372" s="17">
        <f ca="1">IFERROR(__xludf.DUMMYFUNCTION("""COMPUTED_VALUE"""),0.457964976857373)</f>
        <v>0.45796497685737297</v>
      </c>
      <c r="AF372" s="17">
        <f ca="1">IFERROR(__xludf.DUMMYFUNCTION("""COMPUTED_VALUE"""),0.40367478690542)</f>
        <v>0.40367478690542002</v>
      </c>
      <c r="AG372" s="17">
        <f ca="1">IFERROR(__xludf.DUMMYFUNCTION("""COMPUTED_VALUE"""),0.921178119381123)</f>
        <v>0.92117811938112304</v>
      </c>
      <c r="AH372" s="17">
        <f ca="1">IFERROR(__xludf.DUMMYFUNCTION("""COMPUTED_VALUE"""),0.171259720121611)</f>
        <v>0.171259720121611</v>
      </c>
      <c r="AI372" s="17">
        <f ca="1">IFERROR(__xludf.DUMMYFUNCTION("""COMPUTED_VALUE"""),0.340987045355755)</f>
        <v>0.34098704535575503</v>
      </c>
      <c r="AJ372" s="17">
        <f ca="1">IFERROR(__xludf.DUMMYFUNCTION("""COMPUTED_VALUE"""),0.391641094497257)</f>
        <v>0.39164109449725698</v>
      </c>
    </row>
    <row r="373" spans="2:36" ht="15.75" customHeight="1" x14ac:dyDescent="0.45">
      <c r="B373" s="10" t="str">
        <f ca="1">IFERROR(__xludf.DUMMYFUNCTION("""COMPUTED_VALUE"""),"GunPointAgeSpan")</f>
        <v>GunPointAgeSpan</v>
      </c>
      <c r="C373" s="10" t="str">
        <f ca="1">IFERROR(__xludf.DUMMYFUNCTION("""COMPUTED_VALUE"""),"mcar")</f>
        <v>mcar</v>
      </c>
      <c r="D373" s="10">
        <f ca="1">IFERROR(__xludf.DUMMYFUNCTION("""COMPUTED_VALUE"""),0.2)</f>
        <v>0.2</v>
      </c>
      <c r="E373" s="17">
        <f ca="1">IFERROR(__xludf.DUMMYFUNCTION("""COMPUTED_VALUE"""),1.07545610218985)</f>
        <v>1.0754561021898501</v>
      </c>
      <c r="F373" s="17">
        <f ca="1">IFERROR(__xludf.DUMMYFUNCTION("""COMPUTED_VALUE"""),0.470091639805285)</f>
        <v>0.47009163980528501</v>
      </c>
      <c r="G373" s="17">
        <f ca="1">IFERROR(__xludf.DUMMYFUNCTION("""COMPUTED_VALUE"""),0.465464123536778)</f>
        <v>0.46546412353677802</v>
      </c>
      <c r="H373" s="17">
        <f ca="1">IFERROR(__xludf.DUMMYFUNCTION("""COMPUTED_VALUE"""),0.474832604865298)</f>
        <v>0.47483260486529799</v>
      </c>
      <c r="I373" s="17">
        <f ca="1">IFERROR(__xludf.DUMMYFUNCTION("""COMPUTED_VALUE"""),0.160843305109964)</f>
        <v>0.160843305109964</v>
      </c>
      <c r="J373" s="17">
        <f ca="1">IFERROR(__xludf.DUMMYFUNCTION("""COMPUTED_VALUE"""),0.382227846817054)</f>
        <v>0.38222784681705402</v>
      </c>
      <c r="K373" s="17" t="str">
        <f ca="1">IFERROR(__xludf.DUMMYFUNCTION("""COMPUTED_VALUE"""),"nan")</f>
        <v>nan</v>
      </c>
      <c r="L373" s="17">
        <f ca="1">IFERROR(__xludf.DUMMYFUNCTION("""COMPUTED_VALUE"""),0.271512465136841)</f>
        <v>0.27151246513684102</v>
      </c>
      <c r="M373" s="17">
        <f ca="1">IFERROR(__xludf.DUMMYFUNCTION("""COMPUTED_VALUE"""),0.462230394411585)</f>
        <v>0.46223039441158498</v>
      </c>
      <c r="N373" s="17">
        <f ca="1">IFERROR(__xludf.DUMMYFUNCTION("""COMPUTED_VALUE"""),0.447531651722148)</f>
        <v>0.44753165172214798</v>
      </c>
      <c r="O373" s="17">
        <f ca="1">IFERROR(__xludf.DUMMYFUNCTION("""COMPUTED_VALUE"""),0.352409143589434)</f>
        <v>0.35240914358943398</v>
      </c>
      <c r="P373" s="17">
        <f ca="1">IFERROR(__xludf.DUMMYFUNCTION("""COMPUTED_VALUE"""),0.767674297191182)</f>
        <v>0.76767429719118196</v>
      </c>
      <c r="Q373" s="17">
        <f ca="1">IFERROR(__xludf.DUMMYFUNCTION("""COMPUTED_VALUE"""),0.813034120160468)</f>
        <v>0.81303412016046805</v>
      </c>
      <c r="R373" s="17">
        <f ca="1">IFERROR(__xludf.DUMMYFUNCTION("""COMPUTED_VALUE"""),0.16395965547861)</f>
        <v>0.16395965547860999</v>
      </c>
      <c r="S373" s="17">
        <f ca="1">IFERROR(__xludf.DUMMYFUNCTION("""COMPUTED_VALUE"""),1.49356556958042)</f>
        <v>1.49356556958042</v>
      </c>
      <c r="T373" s="17">
        <f ca="1">IFERROR(__xludf.DUMMYFUNCTION("""COMPUTED_VALUE"""),0.433901517411597)</f>
        <v>0.43390151741159699</v>
      </c>
      <c r="U373" s="17">
        <f ca="1">IFERROR(__xludf.DUMMYFUNCTION("""COMPUTED_VALUE"""),0.28655063905387)</f>
        <v>0.28655063905387002</v>
      </c>
      <c r="V373" s="17">
        <f ca="1">IFERROR(__xludf.DUMMYFUNCTION("""COMPUTED_VALUE"""),0.222388303735049)</f>
        <v>0.222388303735049</v>
      </c>
      <c r="W373" s="17">
        <f ca="1">IFERROR(__xludf.DUMMYFUNCTION("""COMPUTED_VALUE"""),0.546022097913708)</f>
        <v>0.54602209791370804</v>
      </c>
      <c r="X373" s="17">
        <f ca="1">IFERROR(__xludf.DUMMYFUNCTION("""COMPUTED_VALUE"""),0.369732379962789)</f>
        <v>0.36973237996278902</v>
      </c>
      <c r="Y373" s="17">
        <f ca="1">IFERROR(__xludf.DUMMYFUNCTION("""COMPUTED_VALUE"""),0.253570124244535)</f>
        <v>0.25357012424453501</v>
      </c>
      <c r="Z373" s="17">
        <f ca="1">IFERROR(__xludf.DUMMYFUNCTION("""COMPUTED_VALUE"""),0.634194349315316)</f>
        <v>0.63419434931531604</v>
      </c>
      <c r="AA373" s="17">
        <f ca="1">IFERROR(__xludf.DUMMYFUNCTION("""COMPUTED_VALUE"""),0.0957108940589428)</f>
        <v>9.57108940589428E-2</v>
      </c>
      <c r="AB373" s="17">
        <f ca="1">IFERROR(__xludf.DUMMYFUNCTION("""COMPUTED_VALUE"""),0.334631236566595)</f>
        <v>0.33463123656659499</v>
      </c>
      <c r="AC373" s="17">
        <f ca="1">IFERROR(__xludf.DUMMYFUNCTION("""COMPUTED_VALUE"""),0.599630579410277)</f>
        <v>0.59963057941027698</v>
      </c>
      <c r="AD373" s="17">
        <f ca="1">IFERROR(__xludf.DUMMYFUNCTION("""COMPUTED_VALUE"""),0.484236123547493)</f>
        <v>0.48423612354749301</v>
      </c>
      <c r="AE373" s="17">
        <f ca="1">IFERROR(__xludf.DUMMYFUNCTION("""COMPUTED_VALUE"""),0.798768979382361)</f>
        <v>0.79876897938236102</v>
      </c>
      <c r="AF373" s="17">
        <f ca="1">IFERROR(__xludf.DUMMYFUNCTION("""COMPUTED_VALUE"""),0.593518638898395)</f>
        <v>0.59351863889839496</v>
      </c>
      <c r="AG373" s="17">
        <f ca="1">IFERROR(__xludf.DUMMYFUNCTION("""COMPUTED_VALUE"""),0.83919674768612)</f>
        <v>0.83919674768611996</v>
      </c>
      <c r="AH373" s="17">
        <f ca="1">IFERROR(__xludf.DUMMYFUNCTION("""COMPUTED_VALUE"""),0.493327895341899)</f>
        <v>0.49332789534189903</v>
      </c>
      <c r="AI373" s="17">
        <f ca="1">IFERROR(__xludf.DUMMYFUNCTION("""COMPUTED_VALUE"""),0.514879132716221)</f>
        <v>0.51487913271622099</v>
      </c>
      <c r="AJ373" s="17">
        <f ca="1">IFERROR(__xludf.DUMMYFUNCTION("""COMPUTED_VALUE"""),0.585986422731672)</f>
        <v>0.58598642273167201</v>
      </c>
    </row>
    <row r="374" spans="2:36" ht="15.75" customHeight="1" x14ac:dyDescent="0.45">
      <c r="B374" s="10" t="str">
        <f ca="1">IFERROR(__xludf.DUMMYFUNCTION("""COMPUTED_VALUE"""),"GunPointAgeSpan")</f>
        <v>GunPointAgeSpan</v>
      </c>
      <c r="C374" s="10" t="str">
        <f ca="1">IFERROR(__xludf.DUMMYFUNCTION("""COMPUTED_VALUE"""),"mcar")</f>
        <v>mcar</v>
      </c>
      <c r="D374" s="10">
        <f ca="1">IFERROR(__xludf.DUMMYFUNCTION("""COMPUTED_VALUE"""),0.4)</f>
        <v>0.4</v>
      </c>
      <c r="E374" s="17">
        <f ca="1">IFERROR(__xludf.DUMMYFUNCTION("""COMPUTED_VALUE"""),1.01371727532349)</f>
        <v>1.01371727532349</v>
      </c>
      <c r="F374" s="17">
        <f ca="1">IFERROR(__xludf.DUMMYFUNCTION("""COMPUTED_VALUE"""),0.456305679450609)</f>
        <v>0.45630567945060901</v>
      </c>
      <c r="G374" s="17">
        <f ca="1">IFERROR(__xludf.DUMMYFUNCTION("""COMPUTED_VALUE"""),0.454475104179773)</f>
        <v>0.45447510417977299</v>
      </c>
      <c r="H374" s="17">
        <f ca="1">IFERROR(__xludf.DUMMYFUNCTION("""COMPUTED_VALUE"""),0.611105424747899)</f>
        <v>0.61110542474789897</v>
      </c>
      <c r="I374" s="17">
        <f ca="1">IFERROR(__xludf.DUMMYFUNCTION("""COMPUTED_VALUE"""),0.259637987698338)</f>
        <v>0.25963798769833801</v>
      </c>
      <c r="J374" s="17">
        <f ca="1">IFERROR(__xludf.DUMMYFUNCTION("""COMPUTED_VALUE"""),0.431091417735166)</f>
        <v>0.43109141773516602</v>
      </c>
      <c r="K374" s="17" t="str">
        <f ca="1">IFERROR(__xludf.DUMMYFUNCTION("""COMPUTED_VALUE"""),"nan")</f>
        <v>nan</v>
      </c>
      <c r="L374" s="17">
        <f ca="1">IFERROR(__xludf.DUMMYFUNCTION("""COMPUTED_VALUE"""),0.31826630568162)</f>
        <v>0.31826630568162001</v>
      </c>
      <c r="M374" s="17">
        <f ca="1">IFERROR(__xludf.DUMMYFUNCTION("""COMPUTED_VALUE"""),0.441706432252673)</f>
        <v>0.44170643225267298</v>
      </c>
      <c r="N374" s="17">
        <f ca="1">IFERROR(__xludf.DUMMYFUNCTION("""COMPUTED_VALUE"""),0.525369058420012)</f>
        <v>0.52536905842001203</v>
      </c>
      <c r="O374" s="17">
        <f ca="1">IFERROR(__xludf.DUMMYFUNCTION("""COMPUTED_VALUE"""),0.383057090136565)</f>
        <v>0.38305709013656503</v>
      </c>
      <c r="P374" s="17">
        <f ca="1">IFERROR(__xludf.DUMMYFUNCTION("""COMPUTED_VALUE"""),0.811641410325449)</f>
        <v>0.81164141032544901</v>
      </c>
      <c r="Q374" s="17">
        <f ca="1">IFERROR(__xludf.DUMMYFUNCTION("""COMPUTED_VALUE"""),0.866771099651299)</f>
        <v>0.86677109965129895</v>
      </c>
      <c r="R374" s="17">
        <f ca="1">IFERROR(__xludf.DUMMYFUNCTION("""COMPUTED_VALUE"""),0.467096500542214)</f>
        <v>0.46709650054221402</v>
      </c>
      <c r="S374" s="17">
        <f ca="1">IFERROR(__xludf.DUMMYFUNCTION("""COMPUTED_VALUE"""),1.41627252074737)</f>
        <v>1.4162725207473701</v>
      </c>
      <c r="T374" s="17">
        <f ca="1">IFERROR(__xludf.DUMMYFUNCTION("""COMPUTED_VALUE"""),0.455590281824821)</f>
        <v>0.45559028182482098</v>
      </c>
      <c r="U374" s="17">
        <f ca="1">IFERROR(__xludf.DUMMYFUNCTION("""COMPUTED_VALUE"""),0.324732090176577)</f>
        <v>0.324732090176577</v>
      </c>
      <c r="V374" s="17">
        <f ca="1">IFERROR(__xludf.DUMMYFUNCTION("""COMPUTED_VALUE"""),0.414870814673031)</f>
        <v>0.414870814673031</v>
      </c>
      <c r="W374" s="17">
        <f ca="1">IFERROR(__xludf.DUMMYFUNCTION("""COMPUTED_VALUE"""),0.557090586145985)</f>
        <v>0.55709058614598495</v>
      </c>
      <c r="X374" s="17">
        <f ca="1">IFERROR(__xludf.DUMMYFUNCTION("""COMPUTED_VALUE"""),0.388253921054421)</f>
        <v>0.38825392105442103</v>
      </c>
      <c r="Y374" s="17">
        <f ca="1">IFERROR(__xludf.DUMMYFUNCTION("""COMPUTED_VALUE"""),0.411484815446298)</f>
        <v>0.411484815446298</v>
      </c>
      <c r="Z374" s="17">
        <f ca="1">IFERROR(__xludf.DUMMYFUNCTION("""COMPUTED_VALUE"""),0.563985148014033)</f>
        <v>0.56398514801403299</v>
      </c>
      <c r="AA374" s="17">
        <f ca="1">IFERROR(__xludf.DUMMYFUNCTION("""COMPUTED_VALUE"""),0.180034111968411)</f>
        <v>0.18003411196841099</v>
      </c>
      <c r="AB374" s="17">
        <f ca="1">IFERROR(__xludf.DUMMYFUNCTION("""COMPUTED_VALUE"""),0.440435615470659)</f>
        <v>0.44043561547065901</v>
      </c>
      <c r="AC374" s="17">
        <f ca="1">IFERROR(__xludf.DUMMYFUNCTION("""COMPUTED_VALUE"""),0.76385488743974)</f>
        <v>0.76385488743973995</v>
      </c>
      <c r="AD374" s="17">
        <f ca="1">IFERROR(__xludf.DUMMYFUNCTION("""COMPUTED_VALUE"""),0.48758257663324)</f>
        <v>0.48758257663324001</v>
      </c>
      <c r="AE374" s="17">
        <f ca="1">IFERROR(__xludf.DUMMYFUNCTION("""COMPUTED_VALUE"""),0.873530605932499)</f>
        <v>0.87353060593249898</v>
      </c>
      <c r="AF374" s="17">
        <f ca="1">IFERROR(__xludf.DUMMYFUNCTION("""COMPUTED_VALUE"""),0.592366474800225)</f>
        <v>0.59236647480022497</v>
      </c>
      <c r="AG374" s="17">
        <f ca="1">IFERROR(__xludf.DUMMYFUNCTION("""COMPUTED_VALUE"""),0.850928042725927)</f>
        <v>0.85092804272592704</v>
      </c>
      <c r="AH374" s="17">
        <f ca="1">IFERROR(__xludf.DUMMYFUNCTION("""COMPUTED_VALUE"""),0.759717453471062)</f>
        <v>0.75971745347106201</v>
      </c>
      <c r="AI374" s="17">
        <f ca="1">IFERROR(__xludf.DUMMYFUNCTION("""COMPUTED_VALUE"""),0.916518422657165)</f>
        <v>0.91651842265716499</v>
      </c>
      <c r="AJ374" s="17">
        <f ca="1">IFERROR(__xludf.DUMMYFUNCTION("""COMPUTED_VALUE"""),0.75043712676235)</f>
        <v>0.75043712676234997</v>
      </c>
    </row>
    <row r="375" spans="2:36" ht="15.75" customHeight="1" x14ac:dyDescent="0.45">
      <c r="B375" s="10" t="str">
        <f ca="1">IFERROR(__xludf.DUMMYFUNCTION("""COMPUTED_VALUE"""),"GunPointAgeSpan")</f>
        <v>GunPointAgeSpan</v>
      </c>
      <c r="C375" s="10" t="str">
        <f ca="1">IFERROR(__xludf.DUMMYFUNCTION("""COMPUTED_VALUE"""),"mcar")</f>
        <v>mcar</v>
      </c>
      <c r="D375" s="10">
        <f ca="1">IFERROR(__xludf.DUMMYFUNCTION("""COMPUTED_VALUE"""),0.6)</f>
        <v>0.6</v>
      </c>
      <c r="E375" s="17">
        <f ca="1">IFERROR(__xludf.DUMMYFUNCTION("""COMPUTED_VALUE"""),0.996010525846459)</f>
        <v>0.99601052584645899</v>
      </c>
      <c r="F375" s="17">
        <f ca="1">IFERROR(__xludf.DUMMYFUNCTION("""COMPUTED_VALUE"""),0.480965156289105)</f>
        <v>0.48096515628910502</v>
      </c>
      <c r="G375" s="17">
        <f ca="1">IFERROR(__xludf.DUMMYFUNCTION("""COMPUTED_VALUE"""),0.498281521764837)</f>
        <v>0.49828152176483698</v>
      </c>
      <c r="H375" s="17">
        <f ca="1">IFERROR(__xludf.DUMMYFUNCTION("""COMPUTED_VALUE"""),0.593548146412884)</f>
        <v>0.593548146412884</v>
      </c>
      <c r="I375" s="17">
        <f ca="1">IFERROR(__xludf.DUMMYFUNCTION("""COMPUTED_VALUE"""),0.322245741306857)</f>
        <v>0.32224574130685701</v>
      </c>
      <c r="J375" s="17">
        <f ca="1">IFERROR(__xludf.DUMMYFUNCTION("""COMPUTED_VALUE"""),0.620899309640825)</f>
        <v>0.62089930964082496</v>
      </c>
      <c r="K375" s="17" t="str">
        <f ca="1">IFERROR(__xludf.DUMMYFUNCTION("""COMPUTED_VALUE"""),"nan")</f>
        <v>nan</v>
      </c>
      <c r="L375" s="17">
        <f ca="1">IFERROR(__xludf.DUMMYFUNCTION("""COMPUTED_VALUE"""),0.339530369496504)</f>
        <v>0.339530369496504</v>
      </c>
      <c r="M375" s="17">
        <f ca="1">IFERROR(__xludf.DUMMYFUNCTION("""COMPUTED_VALUE"""),0.486245166354857)</f>
        <v>0.48624516635485698</v>
      </c>
      <c r="N375" s="17">
        <f ca="1">IFERROR(__xludf.DUMMYFUNCTION("""COMPUTED_VALUE"""),0.512815687504686)</f>
        <v>0.51281568750468598</v>
      </c>
      <c r="O375" s="17">
        <f ca="1">IFERROR(__xludf.DUMMYFUNCTION("""COMPUTED_VALUE"""),0.417361698485849)</f>
        <v>0.41736169848584898</v>
      </c>
      <c r="P375" s="17">
        <f ca="1">IFERROR(__xludf.DUMMYFUNCTION("""COMPUTED_VALUE"""),0.800436826510276)</f>
        <v>0.80043682651027603</v>
      </c>
      <c r="Q375" s="17">
        <f ca="1">IFERROR(__xludf.DUMMYFUNCTION("""COMPUTED_VALUE"""),0.889752987036323)</f>
        <v>0.889752987036323</v>
      </c>
      <c r="R375" s="17">
        <f ca="1">IFERROR(__xludf.DUMMYFUNCTION("""COMPUTED_VALUE"""),0.653887002575192)</f>
        <v>0.65388700257519194</v>
      </c>
      <c r="S375" s="17">
        <f ca="1">IFERROR(__xludf.DUMMYFUNCTION("""COMPUTED_VALUE"""),1.40429637629076)</f>
        <v>1.4042963762907601</v>
      </c>
      <c r="T375" s="17">
        <f ca="1">IFERROR(__xludf.DUMMYFUNCTION("""COMPUTED_VALUE"""),0.485862420383753)</f>
        <v>0.48586242038375299</v>
      </c>
      <c r="U375" s="17">
        <f ca="1">IFERROR(__xludf.DUMMYFUNCTION("""COMPUTED_VALUE"""),0.387495443341676)</f>
        <v>0.38749544334167602</v>
      </c>
      <c r="V375" s="17">
        <f ca="1">IFERROR(__xludf.DUMMYFUNCTION("""COMPUTED_VALUE"""),0.455953370960754)</f>
        <v>0.455953370960754</v>
      </c>
      <c r="W375" s="17">
        <f ca="1">IFERROR(__xludf.DUMMYFUNCTION("""COMPUTED_VALUE"""),0.577909946820088)</f>
        <v>0.57790994682008801</v>
      </c>
      <c r="X375" s="17">
        <f ca="1">IFERROR(__xludf.DUMMYFUNCTION("""COMPUTED_VALUE"""),0.381626652760454)</f>
        <v>0.38162665276045399</v>
      </c>
      <c r="Y375" s="17">
        <f ca="1">IFERROR(__xludf.DUMMYFUNCTION("""COMPUTED_VALUE"""),0.513627048892004)</f>
        <v>0.51362704889200395</v>
      </c>
      <c r="Z375" s="17">
        <f ca="1">IFERROR(__xludf.DUMMYFUNCTION("""COMPUTED_VALUE"""),0.592761781675443)</f>
        <v>0.59276178167544302</v>
      </c>
      <c r="AA375" s="17">
        <f ca="1">IFERROR(__xludf.DUMMYFUNCTION("""COMPUTED_VALUE"""),0.317464038610577)</f>
        <v>0.31746403861057698</v>
      </c>
      <c r="AB375" s="17">
        <f ca="1">IFERROR(__xludf.DUMMYFUNCTION("""COMPUTED_VALUE"""),0.556531059149945)</f>
        <v>0.55653105914994505</v>
      </c>
      <c r="AC375" s="17">
        <f ca="1">IFERROR(__xludf.DUMMYFUNCTION("""COMPUTED_VALUE"""),0.80956415802175)</f>
        <v>0.80956415802174997</v>
      </c>
      <c r="AD375" s="17">
        <f ca="1">IFERROR(__xludf.DUMMYFUNCTION("""COMPUTED_VALUE"""),0.565077101894505)</f>
        <v>0.565077101894505</v>
      </c>
      <c r="AE375" s="17">
        <f ca="1">IFERROR(__xludf.DUMMYFUNCTION("""COMPUTED_VALUE"""),1.07942314064295)</f>
        <v>1.07942314064295</v>
      </c>
      <c r="AF375" s="17">
        <f ca="1">IFERROR(__xludf.DUMMYFUNCTION("""COMPUTED_VALUE"""),0.705922691115124)</f>
        <v>0.70592269111512396</v>
      </c>
      <c r="AG375" s="17">
        <f ca="1">IFERROR(__xludf.DUMMYFUNCTION("""COMPUTED_VALUE"""),1.16377833610776)</f>
        <v>1.16377833610776</v>
      </c>
      <c r="AH375" s="17">
        <f ca="1">IFERROR(__xludf.DUMMYFUNCTION("""COMPUTED_VALUE"""),0.96931344270286)</f>
        <v>0.96931344270286002</v>
      </c>
      <c r="AI375" s="17" t="str">
        <f ca="1">IFERROR(__xludf.DUMMYFUNCTION("""COMPUTED_VALUE"""),"nan")</f>
        <v>nan</v>
      </c>
      <c r="AJ375" s="17">
        <f ca="1">IFERROR(__xludf.DUMMYFUNCTION("""COMPUTED_VALUE"""),1.10658500756809)</f>
        <v>1.1065850075680901</v>
      </c>
    </row>
    <row r="376" spans="2:36" ht="15.75" customHeight="1" x14ac:dyDescent="0.45">
      <c r="B376" s="10" t="str">
        <f ca="1">IFERROR(__xludf.DUMMYFUNCTION("""COMPUTED_VALUE"""),"GunPointAgeSpan")</f>
        <v>GunPointAgeSpan</v>
      </c>
      <c r="C376" s="10" t="str">
        <f ca="1">IFERROR(__xludf.DUMMYFUNCTION("""COMPUTED_VALUE"""),"mcar")</f>
        <v>mcar</v>
      </c>
      <c r="D376" s="10">
        <f ca="1">IFERROR(__xludf.DUMMYFUNCTION("""COMPUTED_VALUE"""),0.8)</f>
        <v>0.8</v>
      </c>
      <c r="E376" s="17">
        <f ca="1">IFERROR(__xludf.DUMMYFUNCTION("""COMPUTED_VALUE"""),1.01095455552661)</f>
        <v>1.01095455552661</v>
      </c>
      <c r="F376" s="17">
        <f ca="1">IFERROR(__xludf.DUMMYFUNCTION("""COMPUTED_VALUE"""),0.52529642081112)</f>
        <v>0.52529642081112005</v>
      </c>
      <c r="G376" s="17">
        <f ca="1">IFERROR(__xludf.DUMMYFUNCTION("""COMPUTED_VALUE"""),0.543676345656958)</f>
        <v>0.54367634565695799</v>
      </c>
      <c r="H376" s="17">
        <f ca="1">IFERROR(__xludf.DUMMYFUNCTION("""COMPUTED_VALUE"""),0.694807884483732)</f>
        <v>0.69480788448373199</v>
      </c>
      <c r="I376" s="17">
        <f ca="1">IFERROR(__xludf.DUMMYFUNCTION("""COMPUTED_VALUE"""),0.558095155510353)</f>
        <v>0.55809515551035305</v>
      </c>
      <c r="J376" s="17">
        <f ca="1">IFERROR(__xludf.DUMMYFUNCTION("""COMPUTED_VALUE"""),0.943156340051312)</f>
        <v>0.94315634005131199</v>
      </c>
      <c r="K376" s="17" t="str">
        <f ca="1">IFERROR(__xludf.DUMMYFUNCTION("""COMPUTED_VALUE"""),"nan")</f>
        <v>nan</v>
      </c>
      <c r="L376" s="17">
        <f ca="1">IFERROR(__xludf.DUMMYFUNCTION("""COMPUTED_VALUE"""),0.480539216769098)</f>
        <v>0.480539216769098</v>
      </c>
      <c r="M376" s="17">
        <f ca="1">IFERROR(__xludf.DUMMYFUNCTION("""COMPUTED_VALUE"""),0.591937768127564)</f>
        <v>0.59193776812756405</v>
      </c>
      <c r="N376" s="17">
        <f ca="1">IFERROR(__xludf.DUMMYFUNCTION("""COMPUTED_VALUE"""),0.814856374415521)</f>
        <v>0.81485637441552095</v>
      </c>
      <c r="O376" s="17">
        <f ca="1">IFERROR(__xludf.DUMMYFUNCTION("""COMPUTED_VALUE"""),0.510172979051357)</f>
        <v>0.51017297905135695</v>
      </c>
      <c r="P376" s="17">
        <f ca="1">IFERROR(__xludf.DUMMYFUNCTION("""COMPUTED_VALUE"""),1.13601000768429)</f>
        <v>1.1360100076842901</v>
      </c>
      <c r="Q376" s="17">
        <f ca="1">IFERROR(__xludf.DUMMYFUNCTION("""COMPUTED_VALUE"""),0.978572791756666)</f>
        <v>0.97857279175666601</v>
      </c>
      <c r="R376" s="17">
        <f ca="1">IFERROR(__xludf.DUMMYFUNCTION("""COMPUTED_VALUE"""),1.05930204725126)</f>
        <v>1.05930204725126</v>
      </c>
      <c r="S376" s="17">
        <f ca="1">IFERROR(__xludf.DUMMYFUNCTION("""COMPUTED_VALUE"""),1.42090728281444)</f>
        <v>1.42090728281444</v>
      </c>
      <c r="T376" s="17">
        <f ca="1">IFERROR(__xludf.DUMMYFUNCTION("""COMPUTED_VALUE"""),0.7574065338505)</f>
        <v>0.75740653385050005</v>
      </c>
      <c r="U376" s="17">
        <f ca="1">IFERROR(__xludf.DUMMYFUNCTION("""COMPUTED_VALUE"""),0.549777619884613)</f>
        <v>0.54977761988461304</v>
      </c>
      <c r="V376" s="17">
        <f ca="1">IFERROR(__xludf.DUMMYFUNCTION("""COMPUTED_VALUE"""),0.924615782747675)</f>
        <v>0.92461578274767497</v>
      </c>
      <c r="W376" s="17">
        <f ca="1">IFERROR(__xludf.DUMMYFUNCTION("""COMPUTED_VALUE"""),0.869524347617338)</f>
        <v>0.86952434761733799</v>
      </c>
      <c r="X376" s="17">
        <f ca="1">IFERROR(__xludf.DUMMYFUNCTION("""COMPUTED_VALUE"""),0.505813012316007)</f>
        <v>0.50581301231600695</v>
      </c>
      <c r="Y376" s="17">
        <f ca="1">IFERROR(__xludf.DUMMYFUNCTION("""COMPUTED_VALUE"""),0.734509784947799)</f>
        <v>0.73450978494779895</v>
      </c>
      <c r="Z376" s="17">
        <f ca="1">IFERROR(__xludf.DUMMYFUNCTION("""COMPUTED_VALUE"""),0.85974389815697)</f>
        <v>0.85974389815697005</v>
      </c>
      <c r="AA376" s="17">
        <f ca="1">IFERROR(__xludf.DUMMYFUNCTION("""COMPUTED_VALUE"""),0.53653952850534)</f>
        <v>0.53653952850534004</v>
      </c>
      <c r="AB376" s="17">
        <f ca="1">IFERROR(__xludf.DUMMYFUNCTION("""COMPUTED_VALUE"""),1.13467477622073)</f>
        <v>1.1346747762207301</v>
      </c>
      <c r="AC376" s="17">
        <f ca="1">IFERROR(__xludf.DUMMYFUNCTION("""COMPUTED_VALUE"""),0.977487123934585)</f>
        <v>0.97748712393458503</v>
      </c>
      <c r="AD376" s="17">
        <f ca="1">IFERROR(__xludf.DUMMYFUNCTION("""COMPUTED_VALUE"""),0.692459536979779)</f>
        <v>0.69245953697977902</v>
      </c>
      <c r="AE376" s="17">
        <f ca="1">IFERROR(__xludf.DUMMYFUNCTION("""COMPUTED_VALUE"""),1.69210151853014)</f>
        <v>1.69210151853014</v>
      </c>
      <c r="AF376" s="17">
        <f ca="1">IFERROR(__xludf.DUMMYFUNCTION("""COMPUTED_VALUE"""),1.07364875679789)</f>
        <v>1.0736487567978901</v>
      </c>
      <c r="AG376" s="17">
        <f ca="1">IFERROR(__xludf.DUMMYFUNCTION("""COMPUTED_VALUE"""),1.13809806046727)</f>
        <v>1.1380980604672699</v>
      </c>
      <c r="AH376" s="17">
        <f ca="1">IFERROR(__xludf.DUMMYFUNCTION("""COMPUTED_VALUE"""),1.06876382792096)</f>
        <v>1.0687638279209599</v>
      </c>
      <c r="AI376" s="17">
        <f ca="1">IFERROR(__xludf.DUMMYFUNCTION("""COMPUTED_VALUE"""),1.05024642999473)</f>
        <v>1.0502464299947301</v>
      </c>
      <c r="AJ376" s="17">
        <f ca="1">IFERROR(__xludf.DUMMYFUNCTION("""COMPUTED_VALUE"""),1.15280878252897)</f>
        <v>1.1528087825289699</v>
      </c>
    </row>
    <row r="377" spans="2:36" ht="15.75" customHeight="1" x14ac:dyDescent="0.45">
      <c r="B377" s="11" t="str">
        <f ca="1">IFERROR(__xludf.DUMMYFUNCTION("""COMPUTED_VALUE"""),"GunPointMaleVersusFemale")</f>
        <v>GunPointMaleVersusFemale</v>
      </c>
      <c r="C377" s="11" t="str">
        <f ca="1">IFERROR(__xludf.DUMMYFUNCTION("""COMPUTED_VALUE"""),"aligned_series")</f>
        <v>aligned_series</v>
      </c>
      <c r="D377" s="11">
        <f ca="1">IFERROR(__xludf.DUMMYFUNCTION("""COMPUTED_VALUE"""),0.1)</f>
        <v>0.1</v>
      </c>
      <c r="E377" s="17">
        <f ca="1">IFERROR(__xludf.DUMMYFUNCTION("""COMPUTED_VALUE"""),0.935630244317177)</f>
        <v>0.93563024431717701</v>
      </c>
      <c r="F377" s="17">
        <f ca="1">IFERROR(__xludf.DUMMYFUNCTION("""COMPUTED_VALUE"""),0.507119963282522)</f>
        <v>0.50711996328252196</v>
      </c>
      <c r="G377" s="17">
        <f ca="1">IFERROR(__xludf.DUMMYFUNCTION("""COMPUTED_VALUE"""),0.502018360991393)</f>
        <v>0.50201836099139296</v>
      </c>
      <c r="H377" s="17">
        <f ca="1">IFERROR(__xludf.DUMMYFUNCTION("""COMPUTED_VALUE"""),0.550416110726863)</f>
        <v>0.55041611072686303</v>
      </c>
      <c r="I377" s="17">
        <f ca="1">IFERROR(__xludf.DUMMYFUNCTION("""COMPUTED_VALUE"""),0.256419659233746)</f>
        <v>0.25641965923374599</v>
      </c>
      <c r="J377" s="17">
        <f ca="1">IFERROR(__xludf.DUMMYFUNCTION("""COMPUTED_VALUE"""),0.356772347128852)</f>
        <v>0.35677234712885197</v>
      </c>
      <c r="K377" s="17" t="str">
        <f ca="1">IFERROR(__xludf.DUMMYFUNCTION("""COMPUTED_VALUE"""),"nan")</f>
        <v>nan</v>
      </c>
      <c r="L377" s="17">
        <f ca="1">IFERROR(__xludf.DUMMYFUNCTION("""COMPUTED_VALUE"""),0.351836307726869)</f>
        <v>0.35183630772686902</v>
      </c>
      <c r="M377" s="17">
        <f ca="1">IFERROR(__xludf.DUMMYFUNCTION("""COMPUTED_VALUE"""),0.59911055551506)</f>
        <v>0.59911055551505998</v>
      </c>
      <c r="N377" s="17">
        <f ca="1">IFERROR(__xludf.DUMMYFUNCTION("""COMPUTED_VALUE"""),0.823235958154108)</f>
        <v>0.82323595815410799</v>
      </c>
      <c r="O377" s="17">
        <f ca="1">IFERROR(__xludf.DUMMYFUNCTION("""COMPUTED_VALUE"""),0.444986191819445)</f>
        <v>0.44498619181944499</v>
      </c>
      <c r="P377" s="17">
        <f ca="1">IFERROR(__xludf.DUMMYFUNCTION("""COMPUTED_VALUE"""),0.933196919784894)</f>
        <v>0.93319691978489405</v>
      </c>
      <c r="Q377" s="17">
        <f ca="1">IFERROR(__xludf.DUMMYFUNCTION("""COMPUTED_VALUE"""),1.1702817777104)</f>
        <v>1.1702817777104</v>
      </c>
      <c r="R377" s="17">
        <f ca="1">IFERROR(__xludf.DUMMYFUNCTION("""COMPUTED_VALUE"""),0.379375199137511)</f>
        <v>0.379375199137511</v>
      </c>
      <c r="S377" s="17">
        <f ca="1">IFERROR(__xludf.DUMMYFUNCTION("""COMPUTED_VALUE"""),0.5719354924604)</f>
        <v>0.57193549246039999</v>
      </c>
      <c r="T377" s="17">
        <f ca="1">IFERROR(__xludf.DUMMYFUNCTION("""COMPUTED_VALUE"""),0.658127239744069)</f>
        <v>0.65812723974406895</v>
      </c>
      <c r="U377" s="17">
        <f ca="1">IFERROR(__xludf.DUMMYFUNCTION("""COMPUTED_VALUE"""),0.515512718011935)</f>
        <v>0.51551271801193499</v>
      </c>
      <c r="V377" s="17">
        <f ca="1">IFERROR(__xludf.DUMMYFUNCTION("""COMPUTED_VALUE"""),0.454612673309857)</f>
        <v>0.454612673309857</v>
      </c>
      <c r="W377" s="17">
        <f ca="1">IFERROR(__xludf.DUMMYFUNCTION("""COMPUTED_VALUE"""),0.569861355791587)</f>
        <v>0.56986135579158703</v>
      </c>
      <c r="X377" s="17">
        <f ca="1">IFERROR(__xludf.DUMMYFUNCTION("""COMPUTED_VALUE"""),0.587876259763774)</f>
        <v>0.587876259763774</v>
      </c>
      <c r="Y377" s="17">
        <f ca="1">IFERROR(__xludf.DUMMYFUNCTION("""COMPUTED_VALUE"""),0.492164476270249)</f>
        <v>0.49216447627024901</v>
      </c>
      <c r="Z377" s="17">
        <f ca="1">IFERROR(__xludf.DUMMYFUNCTION("""COMPUTED_VALUE"""),0.512059580928362)</f>
        <v>0.51205958092836201</v>
      </c>
      <c r="AA377" s="17">
        <f ca="1">IFERROR(__xludf.DUMMYFUNCTION("""COMPUTED_VALUE"""),0.196137318917459)</f>
        <v>0.196137318917459</v>
      </c>
      <c r="AB377" s="17">
        <f ca="1">IFERROR(__xludf.DUMMYFUNCTION("""COMPUTED_VALUE"""),0.601117407827051)</f>
        <v>0.60111740782705103</v>
      </c>
      <c r="AC377" s="17">
        <f ca="1">IFERROR(__xludf.DUMMYFUNCTION("""COMPUTED_VALUE"""),0.902840399219108)</f>
        <v>0.90284039921910797</v>
      </c>
      <c r="AD377" s="17">
        <f ca="1">IFERROR(__xludf.DUMMYFUNCTION("""COMPUTED_VALUE"""),0.696655049314074)</f>
        <v>0.69665504931407396</v>
      </c>
      <c r="AE377" s="17">
        <f ca="1">IFERROR(__xludf.DUMMYFUNCTION("""COMPUTED_VALUE"""),1.02357688214743)</f>
        <v>1.02357688214743</v>
      </c>
      <c r="AF377" s="17">
        <f ca="1">IFERROR(__xludf.DUMMYFUNCTION("""COMPUTED_VALUE"""),0.672890841933063)</f>
        <v>0.67289084193306303</v>
      </c>
      <c r="AG377" s="17">
        <f ca="1">IFERROR(__xludf.DUMMYFUNCTION("""COMPUTED_VALUE"""),1.55848958020112)</f>
        <v>1.5584895802011201</v>
      </c>
      <c r="AH377" s="17">
        <f ca="1">IFERROR(__xludf.DUMMYFUNCTION("""COMPUTED_VALUE"""),0.581121463704302)</f>
        <v>0.58112146370430195</v>
      </c>
      <c r="AI377" s="17">
        <f ca="1">IFERROR(__xludf.DUMMYFUNCTION("""COMPUTED_VALUE"""),0.669427913610177)</f>
        <v>0.66942791361017695</v>
      </c>
      <c r="AJ377" s="17">
        <f ca="1">IFERROR(__xludf.DUMMYFUNCTION("""COMPUTED_VALUE"""),0.89544079022406)</f>
        <v>0.89544079022405998</v>
      </c>
    </row>
    <row r="378" spans="2:36" ht="15.75" customHeight="1" x14ac:dyDescent="0.45">
      <c r="B378" s="10" t="str">
        <f ca="1">IFERROR(__xludf.DUMMYFUNCTION("""COMPUTED_VALUE"""),"GunPointMaleVersusFemale")</f>
        <v>GunPointMaleVersusFemale</v>
      </c>
      <c r="C378" s="10" t="str">
        <f ca="1">IFERROR(__xludf.DUMMYFUNCTION("""COMPUTED_VALUE"""),"aligned_series")</f>
        <v>aligned_series</v>
      </c>
      <c r="D378" s="10">
        <f ca="1">IFERROR(__xludf.DUMMYFUNCTION("""COMPUTED_VALUE"""),0.2)</f>
        <v>0.2</v>
      </c>
      <c r="E378" s="17">
        <f ca="1">IFERROR(__xludf.DUMMYFUNCTION("""COMPUTED_VALUE"""),0.946629606788841)</f>
        <v>0.946629606788841</v>
      </c>
      <c r="F378" s="17">
        <f ca="1">IFERROR(__xludf.DUMMYFUNCTION("""COMPUTED_VALUE"""),0.480144202208649)</f>
        <v>0.48014420220864901</v>
      </c>
      <c r="G378" s="17">
        <f ca="1">IFERROR(__xludf.DUMMYFUNCTION("""COMPUTED_VALUE"""),0.474463930656202)</f>
        <v>0.47446393065620202</v>
      </c>
      <c r="H378" s="17">
        <f ca="1">IFERROR(__xludf.DUMMYFUNCTION("""COMPUTED_VALUE"""),0.524355576611483)</f>
        <v>0.52435557661148302</v>
      </c>
      <c r="I378" s="17">
        <f ca="1">IFERROR(__xludf.DUMMYFUNCTION("""COMPUTED_VALUE"""),0.303402457102365)</f>
        <v>0.30340245710236502</v>
      </c>
      <c r="J378" s="17">
        <f ca="1">IFERROR(__xludf.DUMMYFUNCTION("""COMPUTED_VALUE"""),0.356752102754757)</f>
        <v>0.35675210275475699</v>
      </c>
      <c r="K378" s="17" t="str">
        <f ca="1">IFERROR(__xludf.DUMMYFUNCTION("""COMPUTED_VALUE"""),"nan")</f>
        <v>nan</v>
      </c>
      <c r="L378" s="17">
        <f ca="1">IFERROR(__xludf.DUMMYFUNCTION("""COMPUTED_VALUE"""),0.415157759604814)</f>
        <v>0.41515775960481399</v>
      </c>
      <c r="M378" s="17">
        <f ca="1">IFERROR(__xludf.DUMMYFUNCTION("""COMPUTED_VALUE"""),0.548781516196223)</f>
        <v>0.54878151619622295</v>
      </c>
      <c r="N378" s="17">
        <f ca="1">IFERROR(__xludf.DUMMYFUNCTION("""COMPUTED_VALUE"""),0.694812911457415)</f>
        <v>0.69481291145741497</v>
      </c>
      <c r="O378" s="17">
        <f ca="1">IFERROR(__xludf.DUMMYFUNCTION("""COMPUTED_VALUE"""),0.379389715814416)</f>
        <v>0.379389715814416</v>
      </c>
      <c r="P378" s="17">
        <f ca="1">IFERROR(__xludf.DUMMYFUNCTION("""COMPUTED_VALUE"""),0.925056635362861)</f>
        <v>0.92505663536286098</v>
      </c>
      <c r="Q378" s="17">
        <f ca="1">IFERROR(__xludf.DUMMYFUNCTION("""COMPUTED_VALUE"""),1.125138054422)</f>
        <v>1.125138054422</v>
      </c>
      <c r="R378" s="17">
        <f ca="1">IFERROR(__xludf.DUMMYFUNCTION("""COMPUTED_VALUE"""),0.483329965724729)</f>
        <v>0.48332996572472903</v>
      </c>
      <c r="S378" s="17">
        <f ca="1">IFERROR(__xludf.DUMMYFUNCTION("""COMPUTED_VALUE"""),0.581643075535291)</f>
        <v>0.58164307553529104</v>
      </c>
      <c r="T378" s="17">
        <f ca="1">IFERROR(__xludf.DUMMYFUNCTION("""COMPUTED_VALUE"""),0.561863538912664)</f>
        <v>0.56186353891266405</v>
      </c>
      <c r="U378" s="17">
        <f ca="1">IFERROR(__xludf.DUMMYFUNCTION("""COMPUTED_VALUE"""),0.40535702920638)</f>
        <v>0.40535702920638</v>
      </c>
      <c r="V378" s="17">
        <f ca="1">IFERROR(__xludf.DUMMYFUNCTION("""COMPUTED_VALUE"""),0.389892394913069)</f>
        <v>0.38989239491306898</v>
      </c>
      <c r="W378" s="17">
        <f ca="1">IFERROR(__xludf.DUMMYFUNCTION("""COMPUTED_VALUE"""),0.505741632793221)</f>
        <v>0.50574163279322104</v>
      </c>
      <c r="X378" s="17">
        <f ca="1">IFERROR(__xludf.DUMMYFUNCTION("""COMPUTED_VALUE"""),0.517364348327187)</f>
        <v>0.51736434832718703</v>
      </c>
      <c r="Y378" s="17">
        <f ca="1">IFERROR(__xludf.DUMMYFUNCTION("""COMPUTED_VALUE"""),0.465549953637806)</f>
        <v>0.46554995363780599</v>
      </c>
      <c r="Z378" s="17">
        <f ca="1">IFERROR(__xludf.DUMMYFUNCTION("""COMPUTED_VALUE"""),0.483241306062228)</f>
        <v>0.48324130606222798</v>
      </c>
      <c r="AA378" s="17">
        <f ca="1">IFERROR(__xludf.DUMMYFUNCTION("""COMPUTED_VALUE"""),0.194204418788893)</f>
        <v>0.194204418788893</v>
      </c>
      <c r="AB378" s="17">
        <f ca="1">IFERROR(__xludf.DUMMYFUNCTION("""COMPUTED_VALUE"""),0.618625832974982)</f>
        <v>0.61862583297498197</v>
      </c>
      <c r="AC378" s="17">
        <f ca="1">IFERROR(__xludf.DUMMYFUNCTION("""COMPUTED_VALUE"""),0.969392129270091)</f>
        <v>0.969392129270091</v>
      </c>
      <c r="AD378" s="17">
        <f ca="1">IFERROR(__xludf.DUMMYFUNCTION("""COMPUTED_VALUE"""),0.656747801747419)</f>
        <v>0.65674780174741898</v>
      </c>
      <c r="AE378" s="17">
        <f ca="1">IFERROR(__xludf.DUMMYFUNCTION("""COMPUTED_VALUE"""),0.980571721539436)</f>
        <v>0.98057172153943595</v>
      </c>
      <c r="AF378" s="17">
        <f ca="1">IFERROR(__xludf.DUMMYFUNCTION("""COMPUTED_VALUE"""),0.643795597195008)</f>
        <v>0.64379559719500801</v>
      </c>
      <c r="AG378" s="17">
        <f ca="1">IFERROR(__xludf.DUMMYFUNCTION("""COMPUTED_VALUE"""),1.31417106965501)</f>
        <v>1.31417106965501</v>
      </c>
      <c r="AH378" s="17">
        <f ca="1">IFERROR(__xludf.DUMMYFUNCTION("""COMPUTED_VALUE"""),0.616820777161924)</f>
        <v>0.61682077716192396</v>
      </c>
      <c r="AI378" s="17">
        <f ca="1">IFERROR(__xludf.DUMMYFUNCTION("""COMPUTED_VALUE"""),0.71276590898964)</f>
        <v>0.71276590898963998</v>
      </c>
      <c r="AJ378" s="17">
        <f ca="1">IFERROR(__xludf.DUMMYFUNCTION("""COMPUTED_VALUE"""),0.797578179127355)</f>
        <v>0.79757817912735496</v>
      </c>
    </row>
    <row r="379" spans="2:36" ht="15.75" customHeight="1" x14ac:dyDescent="0.45">
      <c r="B379" s="10" t="str">
        <f ca="1">IFERROR(__xludf.DUMMYFUNCTION("""COMPUTED_VALUE"""),"GunPointMaleVersusFemale")</f>
        <v>GunPointMaleVersusFemale</v>
      </c>
      <c r="C379" s="10" t="str">
        <f ca="1">IFERROR(__xludf.DUMMYFUNCTION("""COMPUTED_VALUE"""),"aligned_series")</f>
        <v>aligned_series</v>
      </c>
      <c r="D379" s="10">
        <f ca="1">IFERROR(__xludf.DUMMYFUNCTION("""COMPUTED_VALUE"""),0.4)</f>
        <v>0.4</v>
      </c>
      <c r="E379" s="17">
        <f ca="1">IFERROR(__xludf.DUMMYFUNCTION("""COMPUTED_VALUE"""),0.921312991451644)</f>
        <v>0.92131299145164403</v>
      </c>
      <c r="F379" s="17">
        <f ca="1">IFERROR(__xludf.DUMMYFUNCTION("""COMPUTED_VALUE"""),0.505891912802689)</f>
        <v>0.50589191280268897</v>
      </c>
      <c r="G379" s="17">
        <f ca="1">IFERROR(__xludf.DUMMYFUNCTION("""COMPUTED_VALUE"""),0.501647279903231)</f>
        <v>0.50164727990323099</v>
      </c>
      <c r="H379" s="17">
        <f ca="1">IFERROR(__xludf.DUMMYFUNCTION("""COMPUTED_VALUE"""),0.542880619109597)</f>
        <v>0.54288061910959695</v>
      </c>
      <c r="I379" s="17">
        <f ca="1">IFERROR(__xludf.DUMMYFUNCTION("""COMPUTED_VALUE"""),0.419299225452839)</f>
        <v>0.41929922545283899</v>
      </c>
      <c r="J379" s="17">
        <f ca="1">IFERROR(__xludf.DUMMYFUNCTION("""COMPUTED_VALUE"""),0.560083624506613)</f>
        <v>0.56008362450661298</v>
      </c>
      <c r="K379" s="17" t="str">
        <f ca="1">IFERROR(__xludf.DUMMYFUNCTION("""COMPUTED_VALUE"""),"nan")</f>
        <v>nan</v>
      </c>
      <c r="L379" s="17">
        <f ca="1">IFERROR(__xludf.DUMMYFUNCTION("""COMPUTED_VALUE"""),0.361464394521022)</f>
        <v>0.36146439452102203</v>
      </c>
      <c r="M379" s="17">
        <f ca="1">IFERROR(__xludf.DUMMYFUNCTION("""COMPUTED_VALUE"""),0.543012948720572)</f>
        <v>0.54301294872057204</v>
      </c>
      <c r="N379" s="17">
        <f ca="1">IFERROR(__xludf.DUMMYFUNCTION("""COMPUTED_VALUE"""),0.708945661626282)</f>
        <v>0.70894566162628203</v>
      </c>
      <c r="O379" s="17">
        <f ca="1">IFERROR(__xludf.DUMMYFUNCTION("""COMPUTED_VALUE"""),0.38114237850592)</f>
        <v>0.38114237850591998</v>
      </c>
      <c r="P379" s="17">
        <f ca="1">IFERROR(__xludf.DUMMYFUNCTION("""COMPUTED_VALUE"""),1.00558144740115)</f>
        <v>1.00558144740115</v>
      </c>
      <c r="Q379" s="17">
        <f ca="1">IFERROR(__xludf.DUMMYFUNCTION("""COMPUTED_VALUE"""),1.03840881672639)</f>
        <v>1.0384088167263901</v>
      </c>
      <c r="R379" s="17">
        <f ca="1">IFERROR(__xludf.DUMMYFUNCTION("""COMPUTED_VALUE"""),0.68016958591624)</f>
        <v>0.68016958591623999</v>
      </c>
      <c r="S379" s="17">
        <f ca="1">IFERROR(__xludf.DUMMYFUNCTION("""COMPUTED_VALUE"""),0.766869246882822)</f>
        <v>0.76686924688282199</v>
      </c>
      <c r="T379" s="17">
        <f ca="1">IFERROR(__xludf.DUMMYFUNCTION("""COMPUTED_VALUE"""),0.552200010396031)</f>
        <v>0.55220001039603095</v>
      </c>
      <c r="U379" s="17">
        <f ca="1">IFERROR(__xludf.DUMMYFUNCTION("""COMPUTED_VALUE"""),0.425474564337302)</f>
        <v>0.42547456433730202</v>
      </c>
      <c r="V379" s="17">
        <f ca="1">IFERROR(__xludf.DUMMYFUNCTION("""COMPUTED_VALUE"""),0.439699429195308)</f>
        <v>0.43969942919530802</v>
      </c>
      <c r="W379" s="17">
        <f ca="1">IFERROR(__xludf.DUMMYFUNCTION("""COMPUTED_VALUE"""),0.465024338514439)</f>
        <v>0.46502433851443897</v>
      </c>
      <c r="X379" s="17">
        <f ca="1">IFERROR(__xludf.DUMMYFUNCTION("""COMPUTED_VALUE"""),0.504144210781704)</f>
        <v>0.50414421078170402</v>
      </c>
      <c r="Y379" s="17">
        <f ca="1">IFERROR(__xludf.DUMMYFUNCTION("""COMPUTED_VALUE"""),0.431370102865269)</f>
        <v>0.431370102865269</v>
      </c>
      <c r="Z379" s="17">
        <f ca="1">IFERROR(__xludf.DUMMYFUNCTION("""COMPUTED_VALUE"""),0.48342106748928)</f>
        <v>0.48342106748927999</v>
      </c>
      <c r="AA379" s="17">
        <f ca="1">IFERROR(__xludf.DUMMYFUNCTION("""COMPUTED_VALUE"""),0.217604986637681)</f>
        <v>0.21760498663768099</v>
      </c>
      <c r="AB379" s="17">
        <f ca="1">IFERROR(__xludf.DUMMYFUNCTION("""COMPUTED_VALUE"""),0.830106742825839)</f>
        <v>0.83010674282583896</v>
      </c>
      <c r="AC379" s="17">
        <f ca="1">IFERROR(__xludf.DUMMYFUNCTION("""COMPUTED_VALUE"""),0.675785793198206)</f>
        <v>0.67578579319820598</v>
      </c>
      <c r="AD379" s="17">
        <f ca="1">IFERROR(__xludf.DUMMYFUNCTION("""COMPUTED_VALUE"""),0.641954221543885)</f>
        <v>0.64195422154388504</v>
      </c>
      <c r="AE379" s="17">
        <f ca="1">IFERROR(__xludf.DUMMYFUNCTION("""COMPUTED_VALUE"""),0.931213919590967)</f>
        <v>0.931213919590967</v>
      </c>
      <c r="AF379" s="17">
        <f ca="1">IFERROR(__xludf.DUMMYFUNCTION("""COMPUTED_VALUE"""),0.771740967042651)</f>
        <v>0.77174096704265105</v>
      </c>
      <c r="AG379" s="17">
        <f ca="1">IFERROR(__xludf.DUMMYFUNCTION("""COMPUTED_VALUE"""),1.28971772424878)</f>
        <v>1.2897177242487801</v>
      </c>
      <c r="AH379" s="17">
        <f ca="1">IFERROR(__xludf.DUMMYFUNCTION("""COMPUTED_VALUE"""),0.65763529623926)</f>
        <v>0.65763529623925998</v>
      </c>
      <c r="AI379" s="17">
        <f ca="1">IFERROR(__xludf.DUMMYFUNCTION("""COMPUTED_VALUE"""),0.757252169668611)</f>
        <v>0.75725216966861097</v>
      </c>
      <c r="AJ379" s="17">
        <f ca="1">IFERROR(__xludf.DUMMYFUNCTION("""COMPUTED_VALUE"""),0.914827371456782)</f>
        <v>0.91482737145678195</v>
      </c>
    </row>
    <row r="380" spans="2:36" ht="15.75" customHeight="1" x14ac:dyDescent="0.45">
      <c r="B380" s="10" t="str">
        <f ca="1">IFERROR(__xludf.DUMMYFUNCTION("""COMPUTED_VALUE"""),"GunPointMaleVersusFemale")</f>
        <v>GunPointMaleVersusFemale</v>
      </c>
      <c r="C380" s="10" t="str">
        <f ca="1">IFERROR(__xludf.DUMMYFUNCTION("""COMPUTED_VALUE"""),"aligned_series")</f>
        <v>aligned_series</v>
      </c>
      <c r="D380" s="10">
        <f ca="1">IFERROR(__xludf.DUMMYFUNCTION("""COMPUTED_VALUE"""),0.6)</f>
        <v>0.6</v>
      </c>
      <c r="E380" s="17">
        <f ca="1">IFERROR(__xludf.DUMMYFUNCTION("""COMPUTED_VALUE"""),0.893323352324104)</f>
        <v>0.89332335232410398</v>
      </c>
      <c r="F380" s="17">
        <f ca="1">IFERROR(__xludf.DUMMYFUNCTION("""COMPUTED_VALUE"""),0.493374625755687)</f>
        <v>0.49337462575568702</v>
      </c>
      <c r="G380" s="17">
        <f ca="1">IFERROR(__xludf.DUMMYFUNCTION("""COMPUTED_VALUE"""),0.492641343127653)</f>
        <v>0.49264134312765301</v>
      </c>
      <c r="H380" s="17">
        <f ca="1">IFERROR(__xludf.DUMMYFUNCTION("""COMPUTED_VALUE"""),0.609818115602602)</f>
        <v>0.60981811560260202</v>
      </c>
      <c r="I380" s="17">
        <f ca="1">IFERROR(__xludf.DUMMYFUNCTION("""COMPUTED_VALUE"""),0.481433443788903)</f>
        <v>0.48143344378890301</v>
      </c>
      <c r="J380" s="17">
        <f ca="1">IFERROR(__xludf.DUMMYFUNCTION("""COMPUTED_VALUE"""),0.849983407879425)</f>
        <v>0.84998340787942495</v>
      </c>
      <c r="K380" s="17" t="str">
        <f ca="1">IFERROR(__xludf.DUMMYFUNCTION("""COMPUTED_VALUE"""),"nan")</f>
        <v>nan</v>
      </c>
      <c r="L380" s="17">
        <f ca="1">IFERROR(__xludf.DUMMYFUNCTION("""COMPUTED_VALUE"""),0.375731150761012)</f>
        <v>0.37573115076101199</v>
      </c>
      <c r="M380" s="17">
        <f ca="1">IFERROR(__xludf.DUMMYFUNCTION("""COMPUTED_VALUE"""),0.48762927148859)</f>
        <v>0.48762927148858998</v>
      </c>
      <c r="N380" s="17">
        <f ca="1">IFERROR(__xludf.DUMMYFUNCTION("""COMPUTED_VALUE"""),0.675583050128136)</f>
        <v>0.67558305012813602</v>
      </c>
      <c r="O380" s="17">
        <f ca="1">IFERROR(__xludf.DUMMYFUNCTION("""COMPUTED_VALUE"""),0.40579118335168)</f>
        <v>0.40579118335168002</v>
      </c>
      <c r="P380" s="17">
        <f ca="1">IFERROR(__xludf.DUMMYFUNCTION("""COMPUTED_VALUE"""),1.12285085937958)</f>
        <v>1.1228508593795801</v>
      </c>
      <c r="Q380" s="17">
        <f ca="1">IFERROR(__xludf.DUMMYFUNCTION("""COMPUTED_VALUE"""),1.08067509161942)</f>
        <v>1.0806750916194201</v>
      </c>
      <c r="R380" s="17">
        <f ca="1">IFERROR(__xludf.DUMMYFUNCTION("""COMPUTED_VALUE"""),0.873016452669923)</f>
        <v>0.873016452669923</v>
      </c>
      <c r="S380" s="17">
        <f ca="1">IFERROR(__xludf.DUMMYFUNCTION("""COMPUTED_VALUE"""),0.940520136065622)</f>
        <v>0.94052013606562201</v>
      </c>
      <c r="T380" s="17">
        <f ca="1">IFERROR(__xludf.DUMMYFUNCTION("""COMPUTED_VALUE"""),0.579491442340011)</f>
        <v>0.57949144234001104</v>
      </c>
      <c r="U380" s="17">
        <f ca="1">IFERROR(__xludf.DUMMYFUNCTION("""COMPUTED_VALUE"""),0.449367809348973)</f>
        <v>0.44936780934897302</v>
      </c>
      <c r="V380" s="17">
        <f ca="1">IFERROR(__xludf.DUMMYFUNCTION("""COMPUTED_VALUE"""),0.45271078458401)</f>
        <v>0.45271078458400998</v>
      </c>
      <c r="W380" s="17">
        <f ca="1">IFERROR(__xludf.DUMMYFUNCTION("""COMPUTED_VALUE"""),0.472770134066478)</f>
        <v>0.472770134066478</v>
      </c>
      <c r="X380" s="17">
        <f ca="1">IFERROR(__xludf.DUMMYFUNCTION("""COMPUTED_VALUE"""),0.521804196187512)</f>
        <v>0.52180419618751195</v>
      </c>
      <c r="Y380" s="17">
        <f ca="1">IFERROR(__xludf.DUMMYFUNCTION("""COMPUTED_VALUE"""),0.445584257225031)</f>
        <v>0.44558425722503098</v>
      </c>
      <c r="Z380" s="17">
        <f ca="1">IFERROR(__xludf.DUMMYFUNCTION("""COMPUTED_VALUE"""),0.468763284707068)</f>
        <v>0.46876328470706802</v>
      </c>
      <c r="AA380" s="17">
        <f ca="1">IFERROR(__xludf.DUMMYFUNCTION("""COMPUTED_VALUE"""),0.275832655174897)</f>
        <v>0.27583265517489702</v>
      </c>
      <c r="AB380" s="17">
        <f ca="1">IFERROR(__xludf.DUMMYFUNCTION("""COMPUTED_VALUE"""),1.04872494172091)</f>
        <v>1.0487249417209099</v>
      </c>
      <c r="AC380" s="17">
        <f ca="1">IFERROR(__xludf.DUMMYFUNCTION("""COMPUTED_VALUE"""),0.688443607847835)</f>
        <v>0.68844360784783498</v>
      </c>
      <c r="AD380" s="17">
        <f ca="1">IFERROR(__xludf.DUMMYFUNCTION("""COMPUTED_VALUE"""),0.580177146925542)</f>
        <v>0.58017714692554201</v>
      </c>
      <c r="AE380" s="17">
        <f ca="1">IFERROR(__xludf.DUMMYFUNCTION("""COMPUTED_VALUE"""),0.912050832234276)</f>
        <v>0.91205083223427597</v>
      </c>
      <c r="AF380" s="17">
        <f ca="1">IFERROR(__xludf.DUMMYFUNCTION("""COMPUTED_VALUE"""),0.702874583999108)</f>
        <v>0.70287458399910796</v>
      </c>
      <c r="AG380" s="17">
        <f ca="1">IFERROR(__xludf.DUMMYFUNCTION("""COMPUTED_VALUE"""),1.27668642228715)</f>
        <v>1.2766864222871499</v>
      </c>
      <c r="AH380" s="17">
        <f ca="1">IFERROR(__xludf.DUMMYFUNCTION("""COMPUTED_VALUE"""),0.631555118400626)</f>
        <v>0.63155511840062595</v>
      </c>
      <c r="AI380" s="17">
        <f ca="1">IFERROR(__xludf.DUMMYFUNCTION("""COMPUTED_VALUE"""),0.723040157132993)</f>
        <v>0.72304015713299297</v>
      </c>
      <c r="AJ380" s="17">
        <f ca="1">IFERROR(__xludf.DUMMYFUNCTION("""COMPUTED_VALUE"""),0.939963814893815)</f>
        <v>0.93996381489381498</v>
      </c>
    </row>
    <row r="381" spans="2:36" ht="15.75" customHeight="1" x14ac:dyDescent="0.45">
      <c r="B381" s="10" t="str">
        <f ca="1">IFERROR(__xludf.DUMMYFUNCTION("""COMPUTED_VALUE"""),"GunPointMaleVersusFemale")</f>
        <v>GunPointMaleVersusFemale</v>
      </c>
      <c r="C381" s="10" t="str">
        <f ca="1">IFERROR(__xludf.DUMMYFUNCTION("""COMPUTED_VALUE"""),"aligned_series")</f>
        <v>aligned_series</v>
      </c>
      <c r="D381" s="10">
        <f ca="1">IFERROR(__xludf.DUMMYFUNCTION("""COMPUTED_VALUE"""),0.8)</f>
        <v>0.8</v>
      </c>
      <c r="E381" s="17">
        <f ca="1">IFERROR(__xludf.DUMMYFUNCTION("""COMPUTED_VALUE"""),0.896884762346877)</f>
        <v>0.89688476234687697</v>
      </c>
      <c r="F381" s="17">
        <f ca="1">IFERROR(__xludf.DUMMYFUNCTION("""COMPUTED_VALUE"""),0.523433295444703)</f>
        <v>0.52343329544470296</v>
      </c>
      <c r="G381" s="17">
        <f ca="1">IFERROR(__xludf.DUMMYFUNCTION("""COMPUTED_VALUE"""),0.500392916868724)</f>
        <v>0.500392916868724</v>
      </c>
      <c r="H381" s="17">
        <f ca="1">IFERROR(__xludf.DUMMYFUNCTION("""COMPUTED_VALUE"""),0.567317441205104)</f>
        <v>0.56731744120510397</v>
      </c>
      <c r="I381" s="17">
        <f ca="1">IFERROR(__xludf.DUMMYFUNCTION("""COMPUTED_VALUE"""),0.59853138733653)</f>
        <v>0.59853138733653</v>
      </c>
      <c r="J381" s="17">
        <f ca="1">IFERROR(__xludf.DUMMYFUNCTION("""COMPUTED_VALUE"""),0.942078260387532)</f>
        <v>0.94207826038753195</v>
      </c>
      <c r="K381" s="17" t="str">
        <f ca="1">IFERROR(__xludf.DUMMYFUNCTION("""COMPUTED_VALUE"""),"nan")</f>
        <v>nan</v>
      </c>
      <c r="L381" s="17">
        <f ca="1">IFERROR(__xludf.DUMMYFUNCTION("""COMPUTED_VALUE"""),0.493233633579282)</f>
        <v>0.49323363357928202</v>
      </c>
      <c r="M381" s="17">
        <f ca="1">IFERROR(__xludf.DUMMYFUNCTION("""COMPUTED_VALUE"""),0.487808825970158)</f>
        <v>0.48780882597015801</v>
      </c>
      <c r="N381" s="17">
        <f ca="1">IFERROR(__xludf.DUMMYFUNCTION("""COMPUTED_VALUE"""),0.665594053155999)</f>
        <v>0.66559405315599895</v>
      </c>
      <c r="O381" s="17">
        <f ca="1">IFERROR(__xludf.DUMMYFUNCTION("""COMPUTED_VALUE"""),0.403072305489799)</f>
        <v>0.403072305489799</v>
      </c>
      <c r="P381" s="17">
        <f ca="1">IFERROR(__xludf.DUMMYFUNCTION("""COMPUTED_VALUE"""),1.20569305544225)</f>
        <v>1.20569305544225</v>
      </c>
      <c r="Q381" s="17">
        <f ca="1">IFERROR(__xludf.DUMMYFUNCTION("""COMPUTED_VALUE"""),1.02061877550811)</f>
        <v>1.02061877550811</v>
      </c>
      <c r="R381" s="17">
        <f ca="1">IFERROR(__xludf.DUMMYFUNCTION("""COMPUTED_VALUE"""),0.963204460757859)</f>
        <v>0.96320446075785904</v>
      </c>
      <c r="S381" s="17">
        <f ca="1">IFERROR(__xludf.DUMMYFUNCTION("""COMPUTED_VALUE"""),1.00507004927655)</f>
        <v>1.0050700492765501</v>
      </c>
      <c r="T381" s="17">
        <f ca="1">IFERROR(__xludf.DUMMYFUNCTION("""COMPUTED_VALUE"""),0.582409305186026)</f>
        <v>0.58240930518602596</v>
      </c>
      <c r="U381" s="17">
        <f ca="1">IFERROR(__xludf.DUMMYFUNCTION("""COMPUTED_VALUE"""),0.46631200469484)</f>
        <v>0.46631200469484002</v>
      </c>
      <c r="V381" s="17">
        <f ca="1">IFERROR(__xludf.DUMMYFUNCTION("""COMPUTED_VALUE"""),0.566978462900276)</f>
        <v>0.56697846290027598</v>
      </c>
      <c r="W381" s="17">
        <f ca="1">IFERROR(__xludf.DUMMYFUNCTION("""COMPUTED_VALUE"""),0.548457454701383)</f>
        <v>0.54845745470138296</v>
      </c>
      <c r="X381" s="17">
        <f ca="1">IFERROR(__xludf.DUMMYFUNCTION("""COMPUTED_VALUE"""),0.579110823575427)</f>
        <v>0.57911082357542698</v>
      </c>
      <c r="Y381" s="17">
        <f ca="1">IFERROR(__xludf.DUMMYFUNCTION("""COMPUTED_VALUE"""),0.528224474626427)</f>
        <v>0.52822447462642697</v>
      </c>
      <c r="Z381" s="17">
        <f ca="1">IFERROR(__xludf.DUMMYFUNCTION("""COMPUTED_VALUE"""),0.552516259660843)</f>
        <v>0.55251625966084295</v>
      </c>
      <c r="AA381" s="17">
        <f ca="1">IFERROR(__xludf.DUMMYFUNCTION("""COMPUTED_VALUE"""),0.283163203988913)</f>
        <v>0.28316320398891298</v>
      </c>
      <c r="AB381" s="17">
        <f ca="1">IFERROR(__xludf.DUMMYFUNCTION("""COMPUTED_VALUE"""),1.26456362514878)</f>
        <v>1.26456362514878</v>
      </c>
      <c r="AC381" s="17">
        <f ca="1">IFERROR(__xludf.DUMMYFUNCTION("""COMPUTED_VALUE"""),0.594823437276669)</f>
        <v>0.59482343727666898</v>
      </c>
      <c r="AD381" s="17">
        <f ca="1">IFERROR(__xludf.DUMMYFUNCTION("""COMPUTED_VALUE"""),0.566474243846386)</f>
        <v>0.56647424384638601</v>
      </c>
      <c r="AE381" s="17">
        <f ca="1">IFERROR(__xludf.DUMMYFUNCTION("""COMPUTED_VALUE"""),0.922024021630952)</f>
        <v>0.92202402163095198</v>
      </c>
      <c r="AF381" s="17">
        <f ca="1">IFERROR(__xludf.DUMMYFUNCTION("""COMPUTED_VALUE"""),0.8497794235775)</f>
        <v>0.84977942357750003</v>
      </c>
      <c r="AG381" s="17">
        <f ca="1">IFERROR(__xludf.DUMMYFUNCTION("""COMPUTED_VALUE"""),1.27784803468578)</f>
        <v>1.2778480346857799</v>
      </c>
      <c r="AH381" s="17">
        <f ca="1">IFERROR(__xludf.DUMMYFUNCTION("""COMPUTED_VALUE"""),0.613697801397966)</f>
        <v>0.61369780139796604</v>
      </c>
      <c r="AI381" s="17">
        <f ca="1">IFERROR(__xludf.DUMMYFUNCTION("""COMPUTED_VALUE"""),0.703008764949279)</f>
        <v>0.703008764949279</v>
      </c>
      <c r="AJ381" s="17">
        <f ca="1">IFERROR(__xludf.DUMMYFUNCTION("""COMPUTED_VALUE"""),1.0960071790325)</f>
        <v>1.0960071790324999</v>
      </c>
    </row>
    <row r="382" spans="2:36" ht="15.75" customHeight="1" x14ac:dyDescent="0.45">
      <c r="B382" s="10" t="str">
        <f ca="1">IFERROR(__xludf.DUMMYFUNCTION("""COMPUTED_VALUE"""),"GunPointMaleVersusFemale")</f>
        <v>GunPointMaleVersusFemale</v>
      </c>
      <c r="C382" s="10" t="str">
        <f ca="1">IFERROR(__xludf.DUMMYFUNCTION("""COMPUTED_VALUE"""),"aligned_timestamps")</f>
        <v>aligned_timestamps</v>
      </c>
      <c r="D382" s="10">
        <f ca="1">IFERROR(__xludf.DUMMYFUNCTION("""COMPUTED_VALUE"""),0.1)</f>
        <v>0.1</v>
      </c>
      <c r="E382" s="17">
        <f ca="1">IFERROR(__xludf.DUMMYFUNCTION("""COMPUTED_VALUE"""),0.844075765288951)</f>
        <v>0.84407576528895101</v>
      </c>
      <c r="F382" s="17">
        <f ca="1">IFERROR(__xludf.DUMMYFUNCTION("""COMPUTED_VALUE"""),0.403743242556905)</f>
        <v>0.40374324255690502</v>
      </c>
      <c r="G382" s="17">
        <f ca="1">IFERROR(__xludf.DUMMYFUNCTION("""COMPUTED_VALUE"""),0.398401449674901)</f>
        <v>0.39840144967490099</v>
      </c>
      <c r="H382" s="17">
        <f ca="1">IFERROR(__xludf.DUMMYFUNCTION("""COMPUTED_VALUE"""),0.419277536376817)</f>
        <v>0.41927753637681697</v>
      </c>
      <c r="I382" s="17">
        <f ca="1">IFERROR(__xludf.DUMMYFUNCTION("""COMPUTED_VALUE"""),0.192905535580638)</f>
        <v>0.192905535580638</v>
      </c>
      <c r="J382" s="17">
        <f ca="1">IFERROR(__xludf.DUMMYFUNCTION("""COMPUTED_VALUE"""),0.379018889888021)</f>
        <v>0.37901888988802102</v>
      </c>
      <c r="K382" s="17" t="str">
        <f ca="1">IFERROR(__xludf.DUMMYFUNCTION("""COMPUTED_VALUE"""),"nan")</f>
        <v>nan</v>
      </c>
      <c r="L382" s="17">
        <f ca="1">IFERROR(__xludf.DUMMYFUNCTION("""COMPUTED_VALUE"""),0.299951883548427)</f>
        <v>0.299951883548427</v>
      </c>
      <c r="M382" s="17">
        <f ca="1">IFERROR(__xludf.DUMMYFUNCTION("""COMPUTED_VALUE"""),0.375344058238414)</f>
        <v>0.37534405823841399</v>
      </c>
      <c r="N382" s="17">
        <f ca="1">IFERROR(__xludf.DUMMYFUNCTION("""COMPUTED_VALUE"""),0.3717957985834)</f>
        <v>0.37179579858340001</v>
      </c>
      <c r="O382" s="17">
        <f ca="1">IFERROR(__xludf.DUMMYFUNCTION("""COMPUTED_VALUE"""),0.339985539281677)</f>
        <v>0.33998553928167702</v>
      </c>
      <c r="P382" s="17">
        <f ca="1">IFERROR(__xludf.DUMMYFUNCTION("""COMPUTED_VALUE"""),0.742779086924451)</f>
        <v>0.74277908692445105</v>
      </c>
      <c r="Q382" s="17">
        <f ca="1">IFERROR(__xludf.DUMMYFUNCTION("""COMPUTED_VALUE"""),0.737736055302473)</f>
        <v>0.73773605530247299</v>
      </c>
      <c r="R382" s="17">
        <f ca="1">IFERROR(__xludf.DUMMYFUNCTION("""COMPUTED_VALUE"""),0.335454461375429)</f>
        <v>0.335454461375429</v>
      </c>
      <c r="S382" s="17">
        <f ca="1">IFERROR(__xludf.DUMMYFUNCTION("""COMPUTED_VALUE"""),0.300834995157291)</f>
        <v>0.30083499515729101</v>
      </c>
      <c r="T382" s="17">
        <f ca="1">IFERROR(__xludf.DUMMYFUNCTION("""COMPUTED_VALUE"""),0.532567890719986)</f>
        <v>0.532567890719986</v>
      </c>
      <c r="U382" s="17">
        <f ca="1">IFERROR(__xludf.DUMMYFUNCTION("""COMPUTED_VALUE"""),0.327878556822763)</f>
        <v>0.32787855682276301</v>
      </c>
      <c r="V382" s="17">
        <f ca="1">IFERROR(__xludf.DUMMYFUNCTION("""COMPUTED_VALUE"""),0.195967980680196)</f>
        <v>0.195967980680196</v>
      </c>
      <c r="W382" s="17">
        <f ca="1">IFERROR(__xludf.DUMMYFUNCTION("""COMPUTED_VALUE"""),0.423477367066415)</f>
        <v>0.42347736706641498</v>
      </c>
      <c r="X382" s="17">
        <f ca="1">IFERROR(__xludf.DUMMYFUNCTION("""COMPUTED_VALUE"""),0.526538114900671)</f>
        <v>0.52653811490067104</v>
      </c>
      <c r="Y382" s="17">
        <f ca="1">IFERROR(__xludf.DUMMYFUNCTION("""COMPUTED_VALUE"""),0.267339227380217)</f>
        <v>0.26733922738021698</v>
      </c>
      <c r="Z382" s="17">
        <f ca="1">IFERROR(__xludf.DUMMYFUNCTION("""COMPUTED_VALUE"""),0.34811207114716)</f>
        <v>0.34811207114715997</v>
      </c>
      <c r="AA382" s="17">
        <f ca="1">IFERROR(__xludf.DUMMYFUNCTION("""COMPUTED_VALUE"""),0.0827475710960735)</f>
        <v>8.2747571096073502E-2</v>
      </c>
      <c r="AB382" s="17">
        <f ca="1">IFERROR(__xludf.DUMMYFUNCTION("""COMPUTED_VALUE"""),0.257875048875554)</f>
        <v>0.25787504887555401</v>
      </c>
      <c r="AC382" s="17">
        <f ca="1">IFERROR(__xludf.DUMMYFUNCTION("""COMPUTED_VALUE"""),0.534326994926943)</f>
        <v>0.53432699492694302</v>
      </c>
      <c r="AD382" s="17">
        <f ca="1">IFERROR(__xludf.DUMMYFUNCTION("""COMPUTED_VALUE"""),0.310691835379381)</f>
        <v>0.310691835379381</v>
      </c>
      <c r="AE382" s="17">
        <f ca="1">IFERROR(__xludf.DUMMYFUNCTION("""COMPUTED_VALUE"""),0.813642039126433)</f>
        <v>0.81364203912643296</v>
      </c>
      <c r="AF382" s="17">
        <f ca="1">IFERROR(__xludf.DUMMYFUNCTION("""COMPUTED_VALUE"""),0.368955097728492)</f>
        <v>0.368955097728492</v>
      </c>
      <c r="AG382" s="17">
        <f ca="1">IFERROR(__xludf.DUMMYFUNCTION("""COMPUTED_VALUE"""),1.20978417115107)</f>
        <v>1.20978417115107</v>
      </c>
      <c r="AH382" s="17">
        <f ca="1">IFERROR(__xludf.DUMMYFUNCTION("""COMPUTED_VALUE"""),0.63796555988515)</f>
        <v>0.63796555988515002</v>
      </c>
      <c r="AI382" s="17">
        <f ca="1">IFERROR(__xludf.DUMMYFUNCTION("""COMPUTED_VALUE"""),0.32581432941615)</f>
        <v>0.32581432941615002</v>
      </c>
      <c r="AJ382" s="17">
        <f ca="1">IFERROR(__xludf.DUMMYFUNCTION("""COMPUTED_VALUE"""),0.631917770504615)</f>
        <v>0.63191777050461495</v>
      </c>
    </row>
    <row r="383" spans="2:36" ht="15.75" customHeight="1" x14ac:dyDescent="0.45">
      <c r="B383" s="10" t="str">
        <f ca="1">IFERROR(__xludf.DUMMYFUNCTION("""COMPUTED_VALUE"""),"GunPointMaleVersusFemale")</f>
        <v>GunPointMaleVersusFemale</v>
      </c>
      <c r="C383" s="10" t="str">
        <f ca="1">IFERROR(__xludf.DUMMYFUNCTION("""COMPUTED_VALUE"""),"aligned_timestamps")</f>
        <v>aligned_timestamps</v>
      </c>
      <c r="D383" s="10">
        <f ca="1">IFERROR(__xludf.DUMMYFUNCTION("""COMPUTED_VALUE"""),0.2)</f>
        <v>0.2</v>
      </c>
      <c r="E383" s="17">
        <f ca="1">IFERROR(__xludf.DUMMYFUNCTION("""COMPUTED_VALUE"""),0.946629606788841)</f>
        <v>0.946629606788841</v>
      </c>
      <c r="F383" s="17">
        <f ca="1">IFERROR(__xludf.DUMMYFUNCTION("""COMPUTED_VALUE"""),0.480144202208649)</f>
        <v>0.48014420220864901</v>
      </c>
      <c r="G383" s="17">
        <f ca="1">IFERROR(__xludf.DUMMYFUNCTION("""COMPUTED_VALUE"""),0.474463930656202)</f>
        <v>0.47446393065620202</v>
      </c>
      <c r="H383" s="17">
        <f ca="1">IFERROR(__xludf.DUMMYFUNCTION("""COMPUTED_VALUE"""),0.524355576611483)</f>
        <v>0.52435557661148302</v>
      </c>
      <c r="I383" s="17">
        <f ca="1">IFERROR(__xludf.DUMMYFUNCTION("""COMPUTED_VALUE"""),0.303402457102365)</f>
        <v>0.30340245710236502</v>
      </c>
      <c r="J383" s="17">
        <f ca="1">IFERROR(__xludf.DUMMYFUNCTION("""COMPUTED_VALUE"""),0.356752102754757)</f>
        <v>0.35675210275475699</v>
      </c>
      <c r="K383" s="17" t="str">
        <f ca="1">IFERROR(__xludf.DUMMYFUNCTION("""COMPUTED_VALUE"""),"nan")</f>
        <v>nan</v>
      </c>
      <c r="L383" s="17">
        <f ca="1">IFERROR(__xludf.DUMMYFUNCTION("""COMPUTED_VALUE"""),0.415157759604814)</f>
        <v>0.41515775960481399</v>
      </c>
      <c r="M383" s="17">
        <f ca="1">IFERROR(__xludf.DUMMYFUNCTION("""COMPUTED_VALUE"""),0.548781516196223)</f>
        <v>0.54878151619622295</v>
      </c>
      <c r="N383" s="17">
        <f ca="1">IFERROR(__xludf.DUMMYFUNCTION("""COMPUTED_VALUE"""),0.694812911457415)</f>
        <v>0.69481291145741497</v>
      </c>
      <c r="O383" s="17">
        <f ca="1">IFERROR(__xludf.DUMMYFUNCTION("""COMPUTED_VALUE"""),0.379389715814416)</f>
        <v>0.379389715814416</v>
      </c>
      <c r="P383" s="17">
        <f ca="1">IFERROR(__xludf.DUMMYFUNCTION("""COMPUTED_VALUE"""),0.925056635362861)</f>
        <v>0.92505663536286098</v>
      </c>
      <c r="Q383" s="17">
        <f ca="1">IFERROR(__xludf.DUMMYFUNCTION("""COMPUTED_VALUE"""),1.125138054422)</f>
        <v>1.125138054422</v>
      </c>
      <c r="R383" s="17">
        <f ca="1">IFERROR(__xludf.DUMMYFUNCTION("""COMPUTED_VALUE"""),0.483329965724729)</f>
        <v>0.48332996572472903</v>
      </c>
      <c r="S383" s="17">
        <f ca="1">IFERROR(__xludf.DUMMYFUNCTION("""COMPUTED_VALUE"""),0.581643075535291)</f>
        <v>0.58164307553529104</v>
      </c>
      <c r="T383" s="17">
        <f ca="1">IFERROR(__xludf.DUMMYFUNCTION("""COMPUTED_VALUE"""),0.561863538912664)</f>
        <v>0.56186353891266405</v>
      </c>
      <c r="U383" s="17">
        <f ca="1">IFERROR(__xludf.DUMMYFUNCTION("""COMPUTED_VALUE"""),0.40535702920638)</f>
        <v>0.40535702920638</v>
      </c>
      <c r="V383" s="17">
        <f ca="1">IFERROR(__xludf.DUMMYFUNCTION("""COMPUTED_VALUE"""),0.389892394913069)</f>
        <v>0.38989239491306898</v>
      </c>
      <c r="W383" s="17">
        <f ca="1">IFERROR(__xludf.DUMMYFUNCTION("""COMPUTED_VALUE"""),0.497187197472061)</f>
        <v>0.49718719747206103</v>
      </c>
      <c r="X383" s="17">
        <f ca="1">IFERROR(__xludf.DUMMYFUNCTION("""COMPUTED_VALUE"""),0.52246839216597)</f>
        <v>0.52246839216596996</v>
      </c>
      <c r="Y383" s="17">
        <f ca="1">IFERROR(__xludf.DUMMYFUNCTION("""COMPUTED_VALUE"""),0.465549953637806)</f>
        <v>0.46554995363780599</v>
      </c>
      <c r="Z383" s="17">
        <f ca="1">IFERROR(__xludf.DUMMYFUNCTION("""COMPUTED_VALUE"""),0.483241306062228)</f>
        <v>0.48324130606222798</v>
      </c>
      <c r="AA383" s="17">
        <f ca="1">IFERROR(__xludf.DUMMYFUNCTION("""COMPUTED_VALUE"""),0.194204418788893)</f>
        <v>0.194204418788893</v>
      </c>
      <c r="AB383" s="17">
        <f ca="1">IFERROR(__xludf.DUMMYFUNCTION("""COMPUTED_VALUE"""),0.610820570513072)</f>
        <v>0.61082057051307204</v>
      </c>
      <c r="AC383" s="17">
        <f ca="1">IFERROR(__xludf.DUMMYFUNCTION("""COMPUTED_VALUE"""),0.969392129270091)</f>
        <v>0.969392129270091</v>
      </c>
      <c r="AD383" s="17">
        <f ca="1">IFERROR(__xludf.DUMMYFUNCTION("""COMPUTED_VALUE"""),0.684915198535025)</f>
        <v>0.68491519853502503</v>
      </c>
      <c r="AE383" s="17">
        <f ca="1">IFERROR(__xludf.DUMMYFUNCTION("""COMPUTED_VALUE"""),0.973783365744653)</f>
        <v>0.97378336574465296</v>
      </c>
      <c r="AF383" s="17">
        <f ca="1">IFERROR(__xludf.DUMMYFUNCTION("""COMPUTED_VALUE"""),0.643795597195008)</f>
        <v>0.64379559719500801</v>
      </c>
      <c r="AG383" s="17">
        <f ca="1">IFERROR(__xludf.DUMMYFUNCTION("""COMPUTED_VALUE"""),1.20860524562165)</f>
        <v>1.2086052456216501</v>
      </c>
      <c r="AH383" s="17">
        <f ca="1">IFERROR(__xludf.DUMMYFUNCTION("""COMPUTED_VALUE"""),0.616820777161924)</f>
        <v>0.61682077716192396</v>
      </c>
      <c r="AI383" s="17">
        <f ca="1">IFERROR(__xludf.DUMMYFUNCTION("""COMPUTED_VALUE"""),0.71276590898964)</f>
        <v>0.71276590898963998</v>
      </c>
      <c r="AJ383" s="17">
        <f ca="1">IFERROR(__xludf.DUMMYFUNCTION("""COMPUTED_VALUE"""),0.864500260220033)</f>
        <v>0.86450026022003301</v>
      </c>
    </row>
    <row r="384" spans="2:36" ht="15.75" customHeight="1" x14ac:dyDescent="0.45">
      <c r="B384" s="10" t="str">
        <f ca="1">IFERROR(__xludf.DUMMYFUNCTION("""COMPUTED_VALUE"""),"GunPointMaleVersusFemale")</f>
        <v>GunPointMaleVersusFemale</v>
      </c>
      <c r="C384" s="10" t="str">
        <f ca="1">IFERROR(__xludf.DUMMYFUNCTION("""COMPUTED_VALUE"""),"aligned_timestamps")</f>
        <v>aligned_timestamps</v>
      </c>
      <c r="D384" s="10">
        <f ca="1">IFERROR(__xludf.DUMMYFUNCTION("""COMPUTED_VALUE"""),0.4)</f>
        <v>0.4</v>
      </c>
      <c r="E384" s="17">
        <f ca="1">IFERROR(__xludf.DUMMYFUNCTION("""COMPUTED_VALUE"""),1.13140277439395)</f>
        <v>1.1314027743939501</v>
      </c>
      <c r="F384" s="17">
        <f ca="1">IFERROR(__xludf.DUMMYFUNCTION("""COMPUTED_VALUE"""),0.483579119364673)</f>
        <v>0.48357911936467302</v>
      </c>
      <c r="G384" s="17">
        <f ca="1">IFERROR(__xludf.DUMMYFUNCTION("""COMPUTED_VALUE"""),0.489339413484236)</f>
        <v>0.48933941348423599</v>
      </c>
      <c r="H384" s="17">
        <f ca="1">IFERROR(__xludf.DUMMYFUNCTION("""COMPUTED_VALUE"""),0.613921497553622)</f>
        <v>0.61392149755362202</v>
      </c>
      <c r="I384" s="17">
        <f ca="1">IFERROR(__xludf.DUMMYFUNCTION("""COMPUTED_VALUE"""),0.50375833061391)</f>
        <v>0.50375833061390995</v>
      </c>
      <c r="J384" s="17">
        <f ca="1">IFERROR(__xludf.DUMMYFUNCTION("""COMPUTED_VALUE"""),1.34055194059284)</f>
        <v>1.3405519405928401</v>
      </c>
      <c r="K384" s="17" t="str">
        <f ca="1">IFERROR(__xludf.DUMMYFUNCTION("""COMPUTED_VALUE"""),"nan")</f>
        <v>nan</v>
      </c>
      <c r="L384" s="17">
        <f ca="1">IFERROR(__xludf.DUMMYFUNCTION("""COMPUTED_VALUE"""),0.468189740227876)</f>
        <v>0.46818974022787602</v>
      </c>
      <c r="M384" s="17">
        <f ca="1">IFERROR(__xludf.DUMMYFUNCTION("""COMPUTED_VALUE"""),0.529449034716957)</f>
        <v>0.52944903471695703</v>
      </c>
      <c r="N384" s="17">
        <f ca="1">IFERROR(__xludf.DUMMYFUNCTION("""COMPUTED_VALUE"""),0.826095358346696)</f>
        <v>0.82609535834669601</v>
      </c>
      <c r="O384" s="17">
        <f ca="1">IFERROR(__xludf.DUMMYFUNCTION("""COMPUTED_VALUE"""),0.398471917408972)</f>
        <v>0.39847191740897198</v>
      </c>
      <c r="P384" s="17">
        <f ca="1">IFERROR(__xludf.DUMMYFUNCTION("""COMPUTED_VALUE"""),1.37671595766385)</f>
        <v>1.3767159576638499</v>
      </c>
      <c r="Q384" s="17">
        <f ca="1">IFERROR(__xludf.DUMMYFUNCTION("""COMPUTED_VALUE"""),1.14513543301441)</f>
        <v>1.1451354330144099</v>
      </c>
      <c r="R384" s="17">
        <f ca="1">IFERROR(__xludf.DUMMYFUNCTION("""COMPUTED_VALUE"""),1.0090982363666)</f>
        <v>1.0090982363665999</v>
      </c>
      <c r="S384" s="17">
        <f ca="1">IFERROR(__xludf.DUMMYFUNCTION("""COMPUTED_VALUE"""),1.04803245827382)</f>
        <v>1.0480324582738201</v>
      </c>
      <c r="T384" s="17">
        <f ca="1">IFERROR(__xludf.DUMMYFUNCTION("""COMPUTED_VALUE"""),0.867658440548533)</f>
        <v>0.86765844054853303</v>
      </c>
      <c r="U384" s="17">
        <f ca="1">IFERROR(__xludf.DUMMYFUNCTION("""COMPUTED_VALUE"""),0.542341228394729)</f>
        <v>0.54234122839472898</v>
      </c>
      <c r="V384" s="17">
        <f ca="1">IFERROR(__xludf.DUMMYFUNCTION("""COMPUTED_VALUE"""),0.788999943264031)</f>
        <v>0.788999943264031</v>
      </c>
      <c r="W384" s="17">
        <f ca="1">IFERROR(__xludf.DUMMYFUNCTION("""COMPUTED_VALUE"""),0.602664589553569)</f>
        <v>0.60266458955356905</v>
      </c>
      <c r="X384" s="17">
        <f ca="1">IFERROR(__xludf.DUMMYFUNCTION("""COMPUTED_VALUE"""),0.488178913451109)</f>
        <v>0.48817891345110898</v>
      </c>
      <c r="Y384" s="17">
        <f ca="1">IFERROR(__xludf.DUMMYFUNCTION("""COMPUTED_VALUE"""),0.755445143530192)</f>
        <v>0.75544514353019199</v>
      </c>
      <c r="Z384" s="17">
        <f ca="1">IFERROR(__xludf.DUMMYFUNCTION("""COMPUTED_VALUE"""),0.846019503833542)</f>
        <v>0.84601950383354196</v>
      </c>
      <c r="AA384" s="17">
        <f ca="1">IFERROR(__xludf.DUMMYFUNCTION("""COMPUTED_VALUE"""),0.395533559248287)</f>
        <v>0.39553355924828698</v>
      </c>
      <c r="AB384" s="17">
        <f ca="1">IFERROR(__xludf.DUMMYFUNCTION("""COMPUTED_VALUE"""),1.26953069809604)</f>
        <v>1.2695306980960399</v>
      </c>
      <c r="AC384" s="17">
        <f ca="1">IFERROR(__xludf.DUMMYFUNCTION("""COMPUTED_VALUE"""),1.15214271827328)</f>
        <v>1.15214271827328</v>
      </c>
      <c r="AD384" s="17">
        <f ca="1">IFERROR(__xludf.DUMMYFUNCTION("""COMPUTED_VALUE"""),1.04939037777358)</f>
        <v>1.04939037777358</v>
      </c>
      <c r="AE384" s="17">
        <f ca="1">IFERROR(__xludf.DUMMYFUNCTION("""COMPUTED_VALUE"""),1.04749902219835)</f>
        <v>1.04749902219835</v>
      </c>
      <c r="AF384" s="17">
        <f ca="1">IFERROR(__xludf.DUMMYFUNCTION("""COMPUTED_VALUE"""),1.08832890627357)</f>
        <v>1.0883289062735699</v>
      </c>
      <c r="AG384" s="17">
        <f ca="1">IFERROR(__xludf.DUMMYFUNCTION("""COMPUTED_VALUE"""),1.52534147251707)</f>
        <v>1.52534147251707</v>
      </c>
      <c r="AH384" s="17">
        <f ca="1">IFERROR(__xludf.DUMMYFUNCTION("""COMPUTED_VALUE"""),1.19442044970196)</f>
        <v>1.1944204497019599</v>
      </c>
      <c r="AI384" s="17">
        <f ca="1">IFERROR(__xludf.DUMMYFUNCTION("""COMPUTED_VALUE"""),1.37002739828424)</f>
        <v>1.3700273982842399</v>
      </c>
      <c r="AJ384" s="17">
        <f ca="1">IFERROR(__xludf.DUMMYFUNCTION("""COMPUTED_VALUE"""),1.33208295660362)</f>
        <v>1.3320829566036201</v>
      </c>
    </row>
    <row r="385" spans="2:36" ht="15.75" customHeight="1" x14ac:dyDescent="0.45">
      <c r="B385" s="10" t="str">
        <f ca="1">IFERROR(__xludf.DUMMYFUNCTION("""COMPUTED_VALUE"""),"GunPointMaleVersusFemale")</f>
        <v>GunPointMaleVersusFemale</v>
      </c>
      <c r="C385" s="10" t="str">
        <f ca="1">IFERROR(__xludf.DUMMYFUNCTION("""COMPUTED_VALUE"""),"aligned_timestamps")</f>
        <v>aligned_timestamps</v>
      </c>
      <c r="D385" s="10">
        <f ca="1">IFERROR(__xludf.DUMMYFUNCTION("""COMPUTED_VALUE"""),0.6)</f>
        <v>0.6</v>
      </c>
      <c r="E385" s="17">
        <f ca="1">IFERROR(__xludf.DUMMYFUNCTION("""COMPUTED_VALUE"""),1.11636103252588)</f>
        <v>1.1163610325258799</v>
      </c>
      <c r="F385" s="17">
        <f ca="1">IFERROR(__xludf.DUMMYFUNCTION("""COMPUTED_VALUE"""),0.810218480111344)</f>
        <v>0.81021848011134401</v>
      </c>
      <c r="G385" s="17">
        <f ca="1">IFERROR(__xludf.DUMMYFUNCTION("""COMPUTED_VALUE"""),1.15213882660525)</f>
        <v>1.1521388266052499</v>
      </c>
      <c r="H385" s="17">
        <f ca="1">IFERROR(__xludf.DUMMYFUNCTION("""COMPUTED_VALUE"""),1.01778497045058)</f>
        <v>1.0177849704505799</v>
      </c>
      <c r="I385" s="17">
        <f ca="1">IFERROR(__xludf.DUMMYFUNCTION("""COMPUTED_VALUE"""),0.758011659148599)</f>
        <v>0.75801165914859903</v>
      </c>
      <c r="J385" s="17">
        <f ca="1">IFERROR(__xludf.DUMMYFUNCTION("""COMPUTED_VALUE"""),1.51595190552359)</f>
        <v>1.5159519055235899</v>
      </c>
      <c r="K385" s="17" t="str">
        <f ca="1">IFERROR(__xludf.DUMMYFUNCTION("""COMPUTED_VALUE"""),"nan")</f>
        <v>nan</v>
      </c>
      <c r="L385" s="17">
        <f ca="1">IFERROR(__xludf.DUMMYFUNCTION("""COMPUTED_VALUE"""),0.894463359275292)</f>
        <v>0.89446335927529197</v>
      </c>
      <c r="M385" s="17">
        <f ca="1">IFERROR(__xludf.DUMMYFUNCTION("""COMPUTED_VALUE"""),1.4843356413588)</f>
        <v>1.4843356413588</v>
      </c>
      <c r="N385" s="17">
        <f ca="1">IFERROR(__xludf.DUMMYFUNCTION("""COMPUTED_VALUE"""),0.971491826176224)</f>
        <v>0.97149182617622398</v>
      </c>
      <c r="O385" s="17">
        <f ca="1">IFERROR(__xludf.DUMMYFUNCTION("""COMPUTED_VALUE"""),1.30103600458518)</f>
        <v>1.3010360045851801</v>
      </c>
      <c r="P385" s="17">
        <f ca="1">IFERROR(__xludf.DUMMYFUNCTION("""COMPUTED_VALUE"""),1.46765851278731)</f>
        <v>1.4676585127873101</v>
      </c>
      <c r="Q385" s="17">
        <f ca="1">IFERROR(__xludf.DUMMYFUNCTION("""COMPUTED_VALUE"""),1.14441754006504)</f>
        <v>1.14441754006504</v>
      </c>
      <c r="R385" s="17">
        <f ca="1">IFERROR(__xludf.DUMMYFUNCTION("""COMPUTED_VALUE"""),1.61214477873404)</f>
        <v>1.6121447787340399</v>
      </c>
      <c r="S385" s="17">
        <f ca="1">IFERROR(__xludf.DUMMYFUNCTION("""COMPUTED_VALUE"""),1.32616303593087)</f>
        <v>1.32616303593087</v>
      </c>
      <c r="T385" s="17">
        <f ca="1">IFERROR(__xludf.DUMMYFUNCTION("""COMPUTED_VALUE"""),1.04377421979259)</f>
        <v>1.0437742197925901</v>
      </c>
      <c r="U385" s="17">
        <f ca="1">IFERROR(__xludf.DUMMYFUNCTION("""COMPUTED_VALUE"""),0.935384416440933)</f>
        <v>0.93538441644093295</v>
      </c>
      <c r="V385" s="17">
        <f ca="1">IFERROR(__xludf.DUMMYFUNCTION("""COMPUTED_VALUE"""),1.11305608830933)</f>
        <v>1.1130560883093299</v>
      </c>
      <c r="W385" s="17">
        <f ca="1">IFERROR(__xludf.DUMMYFUNCTION("""COMPUTED_VALUE"""),0.801268957545241)</f>
        <v>0.80126895754524097</v>
      </c>
      <c r="X385" s="17">
        <f ca="1">IFERROR(__xludf.DUMMYFUNCTION("""COMPUTED_VALUE"""),0.743655050679841)</f>
        <v>0.74365505067984095</v>
      </c>
      <c r="Y385" s="17">
        <f ca="1">IFERROR(__xludf.DUMMYFUNCTION("""COMPUTED_VALUE"""),1.06924318063075)</f>
        <v>1.0692431806307501</v>
      </c>
      <c r="Z385" s="17">
        <f ca="1">IFERROR(__xludf.DUMMYFUNCTION("""COMPUTED_VALUE"""),1.03672638776607)</f>
        <v>1.03672638776607</v>
      </c>
      <c r="AA385" s="17">
        <f ca="1">IFERROR(__xludf.DUMMYFUNCTION("""COMPUTED_VALUE"""),0.754903934918171)</f>
        <v>0.75490393491817098</v>
      </c>
      <c r="AB385" s="17">
        <f ca="1">IFERROR(__xludf.DUMMYFUNCTION("""COMPUTED_VALUE"""),1.50651760991748)</f>
        <v>1.50651760991748</v>
      </c>
      <c r="AC385" s="17">
        <f ca="1">IFERROR(__xludf.DUMMYFUNCTION("""COMPUTED_VALUE"""),1.17705416673095)</f>
        <v>1.17705416673095</v>
      </c>
      <c r="AD385" s="17">
        <f ca="1">IFERROR(__xludf.DUMMYFUNCTION("""COMPUTED_VALUE"""),1.08572581880372)</f>
        <v>1.08572581880372</v>
      </c>
      <c r="AE385" s="17">
        <f ca="1">IFERROR(__xludf.DUMMYFUNCTION("""COMPUTED_VALUE"""),1.25201716762045)</f>
        <v>1.2520171676204499</v>
      </c>
      <c r="AF385" s="17">
        <f ca="1">IFERROR(__xludf.DUMMYFUNCTION("""COMPUTED_VALUE"""),1.45931692346917)</f>
        <v>1.4593169234691701</v>
      </c>
      <c r="AG385" s="17">
        <f ca="1">IFERROR(__xludf.DUMMYFUNCTION("""COMPUTED_VALUE"""),1.24048060259014)</f>
        <v>1.24048060259014</v>
      </c>
      <c r="AH385" s="17">
        <f ca="1">IFERROR(__xludf.DUMMYFUNCTION("""COMPUTED_VALUE"""),1.15324238485696)</f>
        <v>1.15324238485696</v>
      </c>
      <c r="AI385" s="17" t="str">
        <f ca="1">IFERROR(__xludf.DUMMYFUNCTION("""COMPUTED_VALUE"""),"nan")</f>
        <v>nan</v>
      </c>
      <c r="AJ385" s="17">
        <f ca="1">IFERROR(__xludf.DUMMYFUNCTION("""COMPUTED_VALUE"""),1.25364534328835)</f>
        <v>1.2536453432883501</v>
      </c>
    </row>
    <row r="386" spans="2:36" ht="15.75" customHeight="1" x14ac:dyDescent="0.45">
      <c r="B386" s="10" t="str">
        <f ca="1">IFERROR(__xludf.DUMMYFUNCTION("""COMPUTED_VALUE"""),"GunPointMaleVersusFemale")</f>
        <v>GunPointMaleVersusFemale</v>
      </c>
      <c r="C386" s="10" t="str">
        <f ca="1">IFERROR(__xludf.DUMMYFUNCTION("""COMPUTED_VALUE"""),"aligned_timestamps")</f>
        <v>aligned_timestamps</v>
      </c>
      <c r="D386" s="10">
        <f ca="1">IFERROR(__xludf.DUMMYFUNCTION("""COMPUTED_VALUE"""),0.8)</f>
        <v>0.8</v>
      </c>
      <c r="E386" s="17">
        <f ca="1">IFERROR(__xludf.DUMMYFUNCTION("""COMPUTED_VALUE"""),1.02975905674875)</f>
        <v>1.02975905674875</v>
      </c>
      <c r="F386" s="17">
        <f ca="1">IFERROR(__xludf.DUMMYFUNCTION("""COMPUTED_VALUE"""),0.755020473066464)</f>
        <v>0.75502047306646403</v>
      </c>
      <c r="G386" s="17">
        <f ca="1">IFERROR(__xludf.DUMMYFUNCTION("""COMPUTED_VALUE"""),0.941334400049452)</f>
        <v>0.94133440004945201</v>
      </c>
      <c r="H386" s="17">
        <f ca="1">IFERROR(__xludf.DUMMYFUNCTION("""COMPUTED_VALUE"""),1.02714525248118)</f>
        <v>1.0271452524811799</v>
      </c>
      <c r="I386" s="17">
        <f ca="1">IFERROR(__xludf.DUMMYFUNCTION("""COMPUTED_VALUE"""),0.790671460398012)</f>
        <v>0.79067146039801195</v>
      </c>
      <c r="J386" s="17">
        <f ca="1">IFERROR(__xludf.DUMMYFUNCTION("""COMPUTED_VALUE"""),1.39556479341335)</f>
        <v>1.3955647934133499</v>
      </c>
      <c r="K386" s="17" t="str">
        <f ca="1">IFERROR(__xludf.DUMMYFUNCTION("""COMPUTED_VALUE"""),"nan")</f>
        <v>nan</v>
      </c>
      <c r="L386" s="17">
        <f ca="1">IFERROR(__xludf.DUMMYFUNCTION("""COMPUTED_VALUE"""),0.741902454199812)</f>
        <v>0.74190245419981204</v>
      </c>
      <c r="M386" s="17">
        <f ca="1">IFERROR(__xludf.DUMMYFUNCTION("""COMPUTED_VALUE"""),1.23428261717856)</f>
        <v>1.2342826171785599</v>
      </c>
      <c r="N386" s="17">
        <f ca="1">IFERROR(__xludf.DUMMYFUNCTION("""COMPUTED_VALUE"""),1.20533883858294)</f>
        <v>1.20533883858294</v>
      </c>
      <c r="O386" s="17">
        <f ca="1">IFERROR(__xludf.DUMMYFUNCTION("""COMPUTED_VALUE"""),0.912348529881888)</f>
        <v>0.91234852988188797</v>
      </c>
      <c r="P386" s="17">
        <f ca="1">IFERROR(__xludf.DUMMYFUNCTION("""COMPUTED_VALUE"""),1.46829798352514)</f>
        <v>1.46829798352514</v>
      </c>
      <c r="Q386" s="17">
        <f ca="1">IFERROR(__xludf.DUMMYFUNCTION("""COMPUTED_VALUE"""),1.05533315852802)</f>
        <v>1.0553331585280199</v>
      </c>
      <c r="R386" s="17">
        <f ca="1">IFERROR(__xludf.DUMMYFUNCTION("""COMPUTED_VALUE"""),1.90498367238086)</f>
        <v>1.90498367238086</v>
      </c>
      <c r="S386" s="17">
        <f ca="1">IFERROR(__xludf.DUMMYFUNCTION("""COMPUTED_VALUE"""),1.40404896686406)</f>
        <v>1.4040489668640601</v>
      </c>
      <c r="T386" s="17">
        <f ca="1">IFERROR(__xludf.DUMMYFUNCTION("""COMPUTED_VALUE"""),0.919570630519106)</f>
        <v>0.91957063051910604</v>
      </c>
      <c r="U386" s="17">
        <f ca="1">IFERROR(__xludf.DUMMYFUNCTION("""COMPUTED_VALUE"""),0.975584427490173)</f>
        <v>0.97558442749017305</v>
      </c>
      <c r="V386" s="17">
        <f ca="1">IFERROR(__xludf.DUMMYFUNCTION("""COMPUTED_VALUE"""),1.15976430190136)</f>
        <v>1.1597643019013599</v>
      </c>
      <c r="W386" s="17">
        <f ca="1">IFERROR(__xludf.DUMMYFUNCTION("""COMPUTED_VALUE"""),0.989526814982396)</f>
        <v>0.98952681498239603</v>
      </c>
      <c r="X386" s="17">
        <f ca="1">IFERROR(__xludf.DUMMYFUNCTION("""COMPUTED_VALUE"""),0.766754634269986)</f>
        <v>0.76675463426998602</v>
      </c>
      <c r="Y386" s="17">
        <f ca="1">IFERROR(__xludf.DUMMYFUNCTION("""COMPUTED_VALUE"""),0.967646685402242)</f>
        <v>0.96764668540224197</v>
      </c>
      <c r="Z386" s="17">
        <f ca="1">IFERROR(__xludf.DUMMYFUNCTION("""COMPUTED_VALUE"""),0.984570295707604)</f>
        <v>0.98457029570760402</v>
      </c>
      <c r="AA386" s="17">
        <f ca="1">IFERROR(__xludf.DUMMYFUNCTION("""COMPUTED_VALUE"""),1.0635948322956)</f>
        <v>1.0635948322955999</v>
      </c>
      <c r="AB386" s="17">
        <f ca="1">IFERROR(__xludf.DUMMYFUNCTION("""COMPUTED_VALUE"""),1.47947255520284)</f>
        <v>1.47947255520284</v>
      </c>
      <c r="AC386" s="17">
        <f ca="1">IFERROR(__xludf.DUMMYFUNCTION("""COMPUTED_VALUE"""),1.15709133452155)</f>
        <v>1.1570913345215501</v>
      </c>
      <c r="AD386" s="17">
        <f ca="1">IFERROR(__xludf.DUMMYFUNCTION("""COMPUTED_VALUE"""),0.919507439482372)</f>
        <v>0.91950743948237201</v>
      </c>
      <c r="AE386" s="17">
        <f ca="1">IFERROR(__xludf.DUMMYFUNCTION("""COMPUTED_VALUE"""),1.69435632567742)</f>
        <v>1.6943563256774199</v>
      </c>
      <c r="AF386" s="17">
        <f ca="1">IFERROR(__xludf.DUMMYFUNCTION("""COMPUTED_VALUE"""),1.45077814292902)</f>
        <v>1.4507781429290201</v>
      </c>
      <c r="AG386" s="17">
        <f ca="1">IFERROR(__xludf.DUMMYFUNCTION("""COMPUTED_VALUE"""),1.14636061212235)</f>
        <v>1.14636061212235</v>
      </c>
      <c r="AH386" s="17">
        <f ca="1">IFERROR(__xludf.DUMMYFUNCTION("""COMPUTED_VALUE"""),1.07062298213451)</f>
        <v>1.0706229821345099</v>
      </c>
      <c r="AI386" s="17" t="str">
        <f ca="1">IFERROR(__xludf.DUMMYFUNCTION("""COMPUTED_VALUE"""),"nan")</f>
        <v>nan</v>
      </c>
      <c r="AJ386" s="17">
        <f ca="1">IFERROR(__xludf.DUMMYFUNCTION("""COMPUTED_VALUE"""),1.10682003489716)</f>
        <v>1.10682003489716</v>
      </c>
    </row>
    <row r="387" spans="2:36" ht="15.75" customHeight="1" x14ac:dyDescent="0.45">
      <c r="B387" s="10" t="str">
        <f ca="1">IFERROR(__xludf.DUMMYFUNCTION("""COMPUTED_VALUE"""),"GunPointMaleVersusFemale")</f>
        <v>GunPointMaleVersusFemale</v>
      </c>
      <c r="C387" s="10" t="str">
        <f ca="1">IFERROR(__xludf.DUMMYFUNCTION("""COMPUTED_VALUE"""),"mcar")</f>
        <v>mcar</v>
      </c>
      <c r="D387" s="10">
        <f ca="1">IFERROR(__xludf.DUMMYFUNCTION("""COMPUTED_VALUE"""),0.1)</f>
        <v>0.1</v>
      </c>
      <c r="E387" s="17">
        <f ca="1">IFERROR(__xludf.DUMMYFUNCTION("""COMPUTED_VALUE"""),0.766399163819112)</f>
        <v>0.76639916381911199</v>
      </c>
      <c r="F387" s="17">
        <f ca="1">IFERROR(__xludf.DUMMYFUNCTION("""COMPUTED_VALUE"""),0.347097648331684)</f>
        <v>0.34709764833168399</v>
      </c>
      <c r="G387" s="17">
        <f ca="1">IFERROR(__xludf.DUMMYFUNCTION("""COMPUTED_VALUE"""),0.353450506305377)</f>
        <v>0.353450506305377</v>
      </c>
      <c r="H387" s="17">
        <f ca="1">IFERROR(__xludf.DUMMYFUNCTION("""COMPUTED_VALUE"""),0.376333202828944)</f>
        <v>0.376333202828944</v>
      </c>
      <c r="I387" s="17">
        <f ca="1">IFERROR(__xludf.DUMMYFUNCTION("""COMPUTED_VALUE"""),0.0967141574933723)</f>
        <v>9.6714157493372296E-2</v>
      </c>
      <c r="J387" s="17">
        <f ca="1">IFERROR(__xludf.DUMMYFUNCTION("""COMPUTED_VALUE"""),0.293516790886212)</f>
        <v>0.29351679088621202</v>
      </c>
      <c r="K387" s="17" t="str">
        <f ca="1">IFERROR(__xludf.DUMMYFUNCTION("""COMPUTED_VALUE"""),"nan")</f>
        <v>nan</v>
      </c>
      <c r="L387" s="17">
        <f ca="1">IFERROR(__xludf.DUMMYFUNCTION("""COMPUTED_VALUE"""),0.228764565422011)</f>
        <v>0.22876456542201101</v>
      </c>
      <c r="M387" s="17">
        <f ca="1">IFERROR(__xludf.DUMMYFUNCTION("""COMPUTED_VALUE"""),0.359681872342695)</f>
        <v>0.359681872342695</v>
      </c>
      <c r="N387" s="17">
        <f ca="1">IFERROR(__xludf.DUMMYFUNCTION("""COMPUTED_VALUE"""),0.274342241840054)</f>
        <v>0.27434224184005401</v>
      </c>
      <c r="O387" s="17">
        <f ca="1">IFERROR(__xludf.DUMMYFUNCTION("""COMPUTED_VALUE"""),0.226887404979084)</f>
        <v>0.226887404979084</v>
      </c>
      <c r="P387" s="17">
        <f ca="1">IFERROR(__xludf.DUMMYFUNCTION("""COMPUTED_VALUE"""),0.444766919292287)</f>
        <v>0.44476691929228701</v>
      </c>
      <c r="Q387" s="17">
        <f ca="1">IFERROR(__xludf.DUMMYFUNCTION("""COMPUTED_VALUE"""),0.805669488733065)</f>
        <v>0.80566948873306499</v>
      </c>
      <c r="R387" s="17">
        <f ca="1">IFERROR(__xludf.DUMMYFUNCTION("""COMPUTED_VALUE"""),0.0822008247385239)</f>
        <v>8.22008247385239E-2</v>
      </c>
      <c r="S387" s="17">
        <f ca="1">IFERROR(__xludf.DUMMYFUNCTION("""COMPUTED_VALUE"""),0.398726861431838)</f>
        <v>0.398726861431838</v>
      </c>
      <c r="T387" s="17">
        <f ca="1">IFERROR(__xludf.DUMMYFUNCTION("""COMPUTED_VALUE"""),0.320046145672424)</f>
        <v>0.32004614567242401</v>
      </c>
      <c r="U387" s="17">
        <f ca="1">IFERROR(__xludf.DUMMYFUNCTION("""COMPUTED_VALUE"""),0.226857577047323)</f>
        <v>0.22685757704732301</v>
      </c>
      <c r="V387" s="17">
        <f ca="1">IFERROR(__xludf.DUMMYFUNCTION("""COMPUTED_VALUE"""),0.193317740174242)</f>
        <v>0.193317740174242</v>
      </c>
      <c r="W387" s="17">
        <f ca="1">IFERROR(__xludf.DUMMYFUNCTION("""COMPUTED_VALUE"""),0.353374974879583)</f>
        <v>0.35337497487958303</v>
      </c>
      <c r="X387" s="17">
        <f ca="1">IFERROR(__xludf.DUMMYFUNCTION("""COMPUTED_VALUE"""),0.283303906116041)</f>
        <v>0.283303906116041</v>
      </c>
      <c r="Y387" s="17">
        <f ca="1">IFERROR(__xludf.DUMMYFUNCTION("""COMPUTED_VALUE"""),0.193792943645403)</f>
        <v>0.193792943645403</v>
      </c>
      <c r="Z387" s="17">
        <f ca="1">IFERROR(__xludf.DUMMYFUNCTION("""COMPUTED_VALUE"""),0.389070021896209)</f>
        <v>0.38907002189620898</v>
      </c>
      <c r="AA387" s="17">
        <f ca="1">IFERROR(__xludf.DUMMYFUNCTION("""COMPUTED_VALUE"""),0.0727150537906248)</f>
        <v>7.2715053790624803E-2</v>
      </c>
      <c r="AB387" s="17">
        <f ca="1">IFERROR(__xludf.DUMMYFUNCTION("""COMPUTED_VALUE"""),0.225819196076848)</f>
        <v>0.225819196076848</v>
      </c>
      <c r="AC387" s="17">
        <f ca="1">IFERROR(__xludf.DUMMYFUNCTION("""COMPUTED_VALUE"""),0.481216862783021)</f>
        <v>0.481216862783021</v>
      </c>
      <c r="AD387" s="17">
        <f ca="1">IFERROR(__xludf.DUMMYFUNCTION("""COMPUTED_VALUE"""),0.31007182175128)</f>
        <v>0.31007182175128001</v>
      </c>
      <c r="AE387" s="17">
        <f ca="1">IFERROR(__xludf.DUMMYFUNCTION("""COMPUTED_VALUE"""),0.489705879500697)</f>
        <v>0.48970587950069699</v>
      </c>
      <c r="AF387" s="17">
        <f ca="1">IFERROR(__xludf.DUMMYFUNCTION("""COMPUTED_VALUE"""),0.336018550967489)</f>
        <v>0.336018550967489</v>
      </c>
      <c r="AG387" s="17">
        <f ca="1">IFERROR(__xludf.DUMMYFUNCTION("""COMPUTED_VALUE"""),0.86766279537333)</f>
        <v>0.86766279537333002</v>
      </c>
      <c r="AH387" s="17">
        <f ca="1">IFERROR(__xludf.DUMMYFUNCTION("""COMPUTED_VALUE"""),0.356105248679744)</f>
        <v>0.35610524867974402</v>
      </c>
      <c r="AI387" s="17">
        <f ca="1">IFERROR(__xludf.DUMMYFUNCTION("""COMPUTED_VALUE"""),0.381769220745927)</f>
        <v>0.38176922074592701</v>
      </c>
      <c r="AJ387" s="17">
        <f ca="1">IFERROR(__xludf.DUMMYFUNCTION("""COMPUTED_VALUE"""),0.439090987738395)</f>
        <v>0.439090987738395</v>
      </c>
    </row>
    <row r="388" spans="2:36" ht="15.75" customHeight="1" x14ac:dyDescent="0.45">
      <c r="B388" s="10" t="str">
        <f ca="1">IFERROR(__xludf.DUMMYFUNCTION("""COMPUTED_VALUE"""),"GunPointMaleVersusFemale")</f>
        <v>GunPointMaleVersusFemale</v>
      </c>
      <c r="C388" s="10" t="str">
        <f ca="1">IFERROR(__xludf.DUMMYFUNCTION("""COMPUTED_VALUE"""),"mcar")</f>
        <v>mcar</v>
      </c>
      <c r="D388" s="10">
        <f ca="1">IFERROR(__xludf.DUMMYFUNCTION("""COMPUTED_VALUE"""),0.2)</f>
        <v>0.2</v>
      </c>
      <c r="E388" s="17">
        <f ca="1">IFERROR(__xludf.DUMMYFUNCTION("""COMPUTED_VALUE"""),0.926535027682367)</f>
        <v>0.92653502768236695</v>
      </c>
      <c r="F388" s="17">
        <f ca="1">IFERROR(__xludf.DUMMYFUNCTION("""COMPUTED_VALUE"""),0.372532596942644)</f>
        <v>0.37253259694264401</v>
      </c>
      <c r="G388" s="17">
        <f ca="1">IFERROR(__xludf.DUMMYFUNCTION("""COMPUTED_VALUE"""),0.37861481269291)</f>
        <v>0.37861481269290997</v>
      </c>
      <c r="H388" s="17">
        <f ca="1">IFERROR(__xludf.DUMMYFUNCTION("""COMPUTED_VALUE"""),0.384085181535295)</f>
        <v>0.38408518153529497</v>
      </c>
      <c r="I388" s="17">
        <f ca="1">IFERROR(__xludf.DUMMYFUNCTION("""COMPUTED_VALUE"""),0.136216085968801)</f>
        <v>0.136216085968801</v>
      </c>
      <c r="J388" s="17">
        <f ca="1">IFERROR(__xludf.DUMMYFUNCTION("""COMPUTED_VALUE"""),0.348875467328332)</f>
        <v>0.34887546732833202</v>
      </c>
      <c r="K388" s="17" t="str">
        <f ca="1">IFERROR(__xludf.DUMMYFUNCTION("""COMPUTED_VALUE"""),"nan")</f>
        <v>nan</v>
      </c>
      <c r="L388" s="17">
        <f ca="1">IFERROR(__xludf.DUMMYFUNCTION("""COMPUTED_VALUE"""),0.260499896493502)</f>
        <v>0.26049989649350203</v>
      </c>
      <c r="M388" s="17">
        <f ca="1">IFERROR(__xludf.DUMMYFUNCTION("""COMPUTED_VALUE"""),0.380121547404457)</f>
        <v>0.38012154740445703</v>
      </c>
      <c r="N388" s="17">
        <f ca="1">IFERROR(__xludf.DUMMYFUNCTION("""COMPUTED_VALUE"""),0.318141889667889)</f>
        <v>0.31814188966788898</v>
      </c>
      <c r="O388" s="17">
        <f ca="1">IFERROR(__xludf.DUMMYFUNCTION("""COMPUTED_VALUE"""),0.295010486946065)</f>
        <v>0.29501048694606502</v>
      </c>
      <c r="P388" s="17">
        <f ca="1">IFERROR(__xludf.DUMMYFUNCTION("""COMPUTED_VALUE"""),0.566450323402723)</f>
        <v>0.56645032340272305</v>
      </c>
      <c r="Q388" s="17">
        <f ca="1">IFERROR(__xludf.DUMMYFUNCTION("""COMPUTED_VALUE"""),0.756041158435065)</f>
        <v>0.75604115843506503</v>
      </c>
      <c r="R388" s="17">
        <f ca="1">IFERROR(__xludf.DUMMYFUNCTION("""COMPUTED_VALUE"""),0.223344218458637)</f>
        <v>0.223344218458637</v>
      </c>
      <c r="S388" s="17">
        <f ca="1">IFERROR(__xludf.DUMMYFUNCTION("""COMPUTED_VALUE"""),1.02657939311895)</f>
        <v>1.02657939311895</v>
      </c>
      <c r="T388" s="17">
        <f ca="1">IFERROR(__xludf.DUMMYFUNCTION("""COMPUTED_VALUE"""),0.321301609737488)</f>
        <v>0.321301609737488</v>
      </c>
      <c r="U388" s="17">
        <f ca="1">IFERROR(__xludf.DUMMYFUNCTION("""COMPUTED_VALUE"""),0.248626046636375)</f>
        <v>0.248626046636375</v>
      </c>
      <c r="V388" s="17">
        <f ca="1">IFERROR(__xludf.DUMMYFUNCTION("""COMPUTED_VALUE"""),0.223339809983296)</f>
        <v>0.223339809983296</v>
      </c>
      <c r="W388" s="17">
        <f ca="1">IFERROR(__xludf.DUMMYFUNCTION("""COMPUTED_VALUE"""),0.339408030518752)</f>
        <v>0.33940803051875201</v>
      </c>
      <c r="X388" s="17">
        <f ca="1">IFERROR(__xludf.DUMMYFUNCTION("""COMPUTED_VALUE"""),0.322036605136208)</f>
        <v>0.32203660513620802</v>
      </c>
      <c r="Y388" s="17">
        <f ca="1">IFERROR(__xludf.DUMMYFUNCTION("""COMPUTED_VALUE"""),0.261859915743463)</f>
        <v>0.26185991574346301</v>
      </c>
      <c r="Z388" s="17">
        <f ca="1">IFERROR(__xludf.DUMMYFUNCTION("""COMPUTED_VALUE"""),0.435347423356891)</f>
        <v>0.43534742335689097</v>
      </c>
      <c r="AA388" s="17">
        <f ca="1">IFERROR(__xludf.DUMMYFUNCTION("""COMPUTED_VALUE"""),0.0861421723114709)</f>
        <v>8.6142172311470894E-2</v>
      </c>
      <c r="AB388" s="17">
        <f ca="1">IFERROR(__xludf.DUMMYFUNCTION("""COMPUTED_VALUE"""),0.212288898996406)</f>
        <v>0.21228889899640599</v>
      </c>
      <c r="AC388" s="17">
        <f ca="1">IFERROR(__xludf.DUMMYFUNCTION("""COMPUTED_VALUE"""),0.75910612402188)</f>
        <v>0.75910612402188005</v>
      </c>
      <c r="AD388" s="17">
        <f ca="1">IFERROR(__xludf.DUMMYFUNCTION("""COMPUTED_VALUE"""),0.361903681546067)</f>
        <v>0.361903681546067</v>
      </c>
      <c r="AE388" s="17">
        <f ca="1">IFERROR(__xludf.DUMMYFUNCTION("""COMPUTED_VALUE"""),0.636244644784912)</f>
        <v>0.63624464478491205</v>
      </c>
      <c r="AF388" s="17">
        <f ca="1">IFERROR(__xludf.DUMMYFUNCTION("""COMPUTED_VALUE"""),0.395428028892246)</f>
        <v>0.39542802889224599</v>
      </c>
      <c r="AG388" s="17">
        <f ca="1">IFERROR(__xludf.DUMMYFUNCTION("""COMPUTED_VALUE"""),0.872039321327339)</f>
        <v>0.87203932132733897</v>
      </c>
      <c r="AH388" s="17">
        <f ca="1">IFERROR(__xludf.DUMMYFUNCTION("""COMPUTED_VALUE"""),0.44386566665778)</f>
        <v>0.44386566665777999</v>
      </c>
      <c r="AI388" s="17">
        <f ca="1">IFERROR(__xludf.DUMMYFUNCTION("""COMPUTED_VALUE"""),0.459661338978422)</f>
        <v>0.45966133897842198</v>
      </c>
      <c r="AJ388" s="17">
        <f ca="1">IFERROR(__xludf.DUMMYFUNCTION("""COMPUTED_VALUE"""),0.476802364429096)</f>
        <v>0.47680236442909602</v>
      </c>
    </row>
    <row r="389" spans="2:36" ht="15.75" customHeight="1" x14ac:dyDescent="0.45">
      <c r="B389" s="10" t="str">
        <f ca="1">IFERROR(__xludf.DUMMYFUNCTION("""COMPUTED_VALUE"""),"GunPointMaleVersusFemale")</f>
        <v>GunPointMaleVersusFemale</v>
      </c>
      <c r="C389" s="10" t="str">
        <f ca="1">IFERROR(__xludf.DUMMYFUNCTION("""COMPUTED_VALUE"""),"mcar")</f>
        <v>mcar</v>
      </c>
      <c r="D389" s="10">
        <f ca="1">IFERROR(__xludf.DUMMYFUNCTION("""COMPUTED_VALUE"""),0.4)</f>
        <v>0.4</v>
      </c>
      <c r="E389" s="17">
        <f ca="1">IFERROR(__xludf.DUMMYFUNCTION("""COMPUTED_VALUE"""),0.996523065740409)</f>
        <v>0.99652306574040905</v>
      </c>
      <c r="F389" s="17">
        <f ca="1">IFERROR(__xludf.DUMMYFUNCTION("""COMPUTED_VALUE"""),0.376719046930864)</f>
        <v>0.376719046930864</v>
      </c>
      <c r="G389" s="17">
        <f ca="1">IFERROR(__xludf.DUMMYFUNCTION("""COMPUTED_VALUE"""),0.380710245838908)</f>
        <v>0.380710245838908</v>
      </c>
      <c r="H389" s="17">
        <f ca="1">IFERROR(__xludf.DUMMYFUNCTION("""COMPUTED_VALUE"""),0.401636495805037)</f>
        <v>0.40163649580503702</v>
      </c>
      <c r="I389" s="17">
        <f ca="1">IFERROR(__xludf.DUMMYFUNCTION("""COMPUTED_VALUE"""),0.223264586003996)</f>
        <v>0.22326458600399601</v>
      </c>
      <c r="J389" s="17">
        <f ca="1">IFERROR(__xludf.DUMMYFUNCTION("""COMPUTED_VALUE"""),0.362449787448715)</f>
        <v>0.36244978744871498</v>
      </c>
      <c r="K389" s="17" t="str">
        <f ca="1">IFERROR(__xludf.DUMMYFUNCTION("""COMPUTED_VALUE"""),"nan")</f>
        <v>nan</v>
      </c>
      <c r="L389" s="17">
        <f ca="1">IFERROR(__xludf.DUMMYFUNCTION("""COMPUTED_VALUE"""),0.285396959448952)</f>
        <v>0.28539695944895199</v>
      </c>
      <c r="M389" s="17">
        <f ca="1">IFERROR(__xludf.DUMMYFUNCTION("""COMPUTED_VALUE"""),0.399419539665764)</f>
        <v>0.39941953966576399</v>
      </c>
      <c r="N389" s="17">
        <f ca="1">IFERROR(__xludf.DUMMYFUNCTION("""COMPUTED_VALUE"""),0.435232927373813)</f>
        <v>0.43523292737381303</v>
      </c>
      <c r="O389" s="17">
        <f ca="1">IFERROR(__xludf.DUMMYFUNCTION("""COMPUTED_VALUE"""),0.311687318759977)</f>
        <v>0.31168731875997702</v>
      </c>
      <c r="P389" s="17">
        <f ca="1">IFERROR(__xludf.DUMMYFUNCTION("""COMPUTED_VALUE"""),0.71715671343312)</f>
        <v>0.71715671343312004</v>
      </c>
      <c r="Q389" s="17">
        <f ca="1">IFERROR(__xludf.DUMMYFUNCTION("""COMPUTED_VALUE"""),0.82610647311674)</f>
        <v>0.82610647311674001</v>
      </c>
      <c r="R389" s="17">
        <f ca="1">IFERROR(__xludf.DUMMYFUNCTION("""COMPUTED_VALUE"""),0.299801423134894)</f>
        <v>0.299801423134894</v>
      </c>
      <c r="S389" s="17">
        <f ca="1">IFERROR(__xludf.DUMMYFUNCTION("""COMPUTED_VALUE"""),1.33854823323252)</f>
        <v>1.33854823323252</v>
      </c>
      <c r="T389" s="17">
        <f ca="1">IFERROR(__xludf.DUMMYFUNCTION("""COMPUTED_VALUE"""),0.453801286386091)</f>
        <v>0.45380128638609102</v>
      </c>
      <c r="U389" s="17">
        <f ca="1">IFERROR(__xludf.DUMMYFUNCTION("""COMPUTED_VALUE"""),0.293331471628024)</f>
        <v>0.29333147162802398</v>
      </c>
      <c r="V389" s="17">
        <f ca="1">IFERROR(__xludf.DUMMYFUNCTION("""COMPUTED_VALUE"""),0.396159564899441)</f>
        <v>0.39615956489944099</v>
      </c>
      <c r="W389" s="17">
        <f ca="1">IFERROR(__xludf.DUMMYFUNCTION("""COMPUTED_VALUE"""),0.503838638124962)</f>
        <v>0.50383863812496199</v>
      </c>
      <c r="X389" s="17">
        <f ca="1">IFERROR(__xludf.DUMMYFUNCTION("""COMPUTED_VALUE"""),0.346071598194539)</f>
        <v>0.34607159819453898</v>
      </c>
      <c r="Y389" s="17">
        <f ca="1">IFERROR(__xludf.DUMMYFUNCTION("""COMPUTED_VALUE"""),0.376999666287732)</f>
        <v>0.37699966628773202</v>
      </c>
      <c r="Z389" s="17">
        <f ca="1">IFERROR(__xludf.DUMMYFUNCTION("""COMPUTED_VALUE"""),0.571988393266163)</f>
        <v>0.57198839326616302</v>
      </c>
      <c r="AA389" s="17">
        <f ca="1">IFERROR(__xludf.DUMMYFUNCTION("""COMPUTED_VALUE"""),0.181993468662769)</f>
        <v>0.181993468662769</v>
      </c>
      <c r="AB389" s="17">
        <f ca="1">IFERROR(__xludf.DUMMYFUNCTION("""COMPUTED_VALUE"""),0.492038552634431)</f>
        <v>0.49203855263443103</v>
      </c>
      <c r="AC389" s="17">
        <f ca="1">IFERROR(__xludf.DUMMYFUNCTION("""COMPUTED_VALUE"""),0.857437609557419)</f>
        <v>0.85743760955741899</v>
      </c>
      <c r="AD389" s="17">
        <f ca="1">IFERROR(__xludf.DUMMYFUNCTION("""COMPUTED_VALUE"""),0.569276931164166)</f>
        <v>0.569276931164166</v>
      </c>
      <c r="AE389" s="17">
        <f ca="1">IFERROR(__xludf.DUMMYFUNCTION("""COMPUTED_VALUE"""),0.900375822166758)</f>
        <v>0.90037582216675804</v>
      </c>
      <c r="AF389" s="17">
        <f ca="1">IFERROR(__xludf.DUMMYFUNCTION("""COMPUTED_VALUE"""),0.571368486977478)</f>
        <v>0.571368486977478</v>
      </c>
      <c r="AG389" s="17">
        <f ca="1">IFERROR(__xludf.DUMMYFUNCTION("""COMPUTED_VALUE"""),0.970514401469451)</f>
        <v>0.970514401469451</v>
      </c>
      <c r="AH389" s="17">
        <f ca="1">IFERROR(__xludf.DUMMYFUNCTION("""COMPUTED_VALUE"""),0.735471918181086)</f>
        <v>0.73547191818108604</v>
      </c>
      <c r="AI389" s="17">
        <f ca="1">IFERROR(__xludf.DUMMYFUNCTION("""COMPUTED_VALUE"""),0.946597111033033)</f>
        <v>0.94659711103303301</v>
      </c>
      <c r="AJ389" s="17">
        <f ca="1">IFERROR(__xludf.DUMMYFUNCTION("""COMPUTED_VALUE"""),0.682718441152779)</f>
        <v>0.68271844115277902</v>
      </c>
    </row>
    <row r="390" spans="2:36" ht="15.75" customHeight="1" x14ac:dyDescent="0.45">
      <c r="B390" s="10" t="str">
        <f ca="1">IFERROR(__xludf.DUMMYFUNCTION("""COMPUTED_VALUE"""),"GunPointMaleVersusFemale")</f>
        <v>GunPointMaleVersusFemale</v>
      </c>
      <c r="C390" s="10" t="str">
        <f ca="1">IFERROR(__xludf.DUMMYFUNCTION("""COMPUTED_VALUE"""),"mcar")</f>
        <v>mcar</v>
      </c>
      <c r="D390" s="10">
        <f ca="1">IFERROR(__xludf.DUMMYFUNCTION("""COMPUTED_VALUE"""),0.6)</f>
        <v>0.6</v>
      </c>
      <c r="E390" s="17">
        <f ca="1">IFERROR(__xludf.DUMMYFUNCTION("""COMPUTED_VALUE"""),1.00555129438519)</f>
        <v>1.0055512943851901</v>
      </c>
      <c r="F390" s="17">
        <f ca="1">IFERROR(__xludf.DUMMYFUNCTION("""COMPUTED_VALUE"""),0.41303325578856)</f>
        <v>0.41303325578855998</v>
      </c>
      <c r="G390" s="17">
        <f ca="1">IFERROR(__xludf.DUMMYFUNCTION("""COMPUTED_VALUE"""),0.408290887568297)</f>
        <v>0.40829088756829701</v>
      </c>
      <c r="H390" s="17">
        <f ca="1">IFERROR(__xludf.DUMMYFUNCTION("""COMPUTED_VALUE"""),0.431014149261165)</f>
        <v>0.43101414926116499</v>
      </c>
      <c r="I390" s="17">
        <f ca="1">IFERROR(__xludf.DUMMYFUNCTION("""COMPUTED_VALUE"""),0.377572441356401)</f>
        <v>0.377572441356401</v>
      </c>
      <c r="J390" s="17">
        <f ca="1">IFERROR(__xludf.DUMMYFUNCTION("""COMPUTED_VALUE"""),0.568550597464319)</f>
        <v>0.56855059746431902</v>
      </c>
      <c r="K390" s="17" t="str">
        <f ca="1">IFERROR(__xludf.DUMMYFUNCTION("""COMPUTED_VALUE"""),"nan")</f>
        <v>nan</v>
      </c>
      <c r="L390" s="17">
        <f ca="1">IFERROR(__xludf.DUMMYFUNCTION("""COMPUTED_VALUE"""),0.347764876328023)</f>
        <v>0.347764876328023</v>
      </c>
      <c r="M390" s="17">
        <f ca="1">IFERROR(__xludf.DUMMYFUNCTION("""COMPUTED_VALUE"""),0.436505590303407)</f>
        <v>0.43650559030340702</v>
      </c>
      <c r="N390" s="17">
        <f ca="1">IFERROR(__xludf.DUMMYFUNCTION("""COMPUTED_VALUE"""),0.53048330053023)</f>
        <v>0.53048330053022996</v>
      </c>
      <c r="O390" s="17">
        <f ca="1">IFERROR(__xludf.DUMMYFUNCTION("""COMPUTED_VALUE"""),0.366453189355581)</f>
        <v>0.36645318935558102</v>
      </c>
      <c r="P390" s="17">
        <f ca="1">IFERROR(__xludf.DUMMYFUNCTION("""COMPUTED_VALUE"""),0.87806038991487)</f>
        <v>0.87806038991487001</v>
      </c>
      <c r="Q390" s="17">
        <f ca="1">IFERROR(__xludf.DUMMYFUNCTION("""COMPUTED_VALUE"""),0.892398931376384)</f>
        <v>0.89239893137638404</v>
      </c>
      <c r="R390" s="17">
        <f ca="1">IFERROR(__xludf.DUMMYFUNCTION("""COMPUTED_VALUE"""),0.74623132105587)</f>
        <v>0.74623132105586998</v>
      </c>
      <c r="S390" s="17">
        <f ca="1">IFERROR(__xludf.DUMMYFUNCTION("""COMPUTED_VALUE"""),1.36143740342201)</f>
        <v>1.36143740342201</v>
      </c>
      <c r="T390" s="17">
        <f ca="1">IFERROR(__xludf.DUMMYFUNCTION("""COMPUTED_VALUE"""),0.548829238800344)</f>
        <v>0.54882923880034395</v>
      </c>
      <c r="U390" s="17">
        <f ca="1">IFERROR(__xludf.DUMMYFUNCTION("""COMPUTED_VALUE"""),0.40282411234844)</f>
        <v>0.40282411234844001</v>
      </c>
      <c r="V390" s="17">
        <f ca="1">IFERROR(__xludf.DUMMYFUNCTION("""COMPUTED_VALUE"""),0.611488630069121)</f>
        <v>0.61148863006912102</v>
      </c>
      <c r="W390" s="17">
        <f ca="1">IFERROR(__xludf.DUMMYFUNCTION("""COMPUTED_VALUE"""),0.605087314949515)</f>
        <v>0.60508731494951495</v>
      </c>
      <c r="X390" s="17">
        <f ca="1">IFERROR(__xludf.DUMMYFUNCTION("""COMPUTED_VALUE"""),0.410300036958389)</f>
        <v>0.41030003695838901</v>
      </c>
      <c r="Y390" s="17">
        <f ca="1">IFERROR(__xludf.DUMMYFUNCTION("""COMPUTED_VALUE"""),0.512120152302644)</f>
        <v>0.51212015230264396</v>
      </c>
      <c r="Z390" s="17">
        <f ca="1">IFERROR(__xludf.DUMMYFUNCTION("""COMPUTED_VALUE"""),0.694419645320382)</f>
        <v>0.69441964532038203</v>
      </c>
      <c r="AA390" s="17">
        <f ca="1">IFERROR(__xludf.DUMMYFUNCTION("""COMPUTED_VALUE"""),0.306011512275458)</f>
        <v>0.30601151227545798</v>
      </c>
      <c r="AB390" s="17">
        <f ca="1">IFERROR(__xludf.DUMMYFUNCTION("""COMPUTED_VALUE"""),0.608797671028036)</f>
        <v>0.60879767102803595</v>
      </c>
      <c r="AC390" s="17">
        <f ca="1">IFERROR(__xludf.DUMMYFUNCTION("""COMPUTED_VALUE"""),1.12488886089788)</f>
        <v>1.12488886089788</v>
      </c>
      <c r="AD390" s="17">
        <f ca="1">IFERROR(__xludf.DUMMYFUNCTION("""COMPUTED_VALUE"""),0.662185372030189)</f>
        <v>0.66218537203018901</v>
      </c>
      <c r="AE390" s="17">
        <f ca="1">IFERROR(__xludf.DUMMYFUNCTION("""COMPUTED_VALUE"""),1.58571508522771)</f>
        <v>1.58571508522771</v>
      </c>
      <c r="AF390" s="17">
        <f ca="1">IFERROR(__xludf.DUMMYFUNCTION("""COMPUTED_VALUE"""),0.784176966874819)</f>
        <v>0.78417696687481897</v>
      </c>
      <c r="AG390" s="17">
        <f ca="1">IFERROR(__xludf.DUMMYFUNCTION("""COMPUTED_VALUE"""),1.14640687777032)</f>
        <v>1.14640687777032</v>
      </c>
      <c r="AH390" s="17">
        <f ca="1">IFERROR(__xludf.DUMMYFUNCTION("""COMPUTED_VALUE"""),1.07115879873192)</f>
        <v>1.07115879873192</v>
      </c>
      <c r="AI390" s="17" t="str">
        <f ca="1">IFERROR(__xludf.DUMMYFUNCTION("""COMPUTED_VALUE"""),"nan")</f>
        <v>nan</v>
      </c>
      <c r="AJ390" s="17">
        <f ca="1">IFERROR(__xludf.DUMMYFUNCTION("""COMPUTED_VALUE"""),1.21033574865669)</f>
        <v>1.2103357486566899</v>
      </c>
    </row>
    <row r="391" spans="2:36" ht="15.75" customHeight="1" x14ac:dyDescent="0.45">
      <c r="B391" s="10" t="str">
        <f ca="1">IFERROR(__xludf.DUMMYFUNCTION("""COMPUTED_VALUE"""),"GunPointMaleVersusFemale")</f>
        <v>GunPointMaleVersusFemale</v>
      </c>
      <c r="C391" s="10" t="str">
        <f ca="1">IFERROR(__xludf.DUMMYFUNCTION("""COMPUTED_VALUE"""),"mcar")</f>
        <v>mcar</v>
      </c>
      <c r="D391" s="10">
        <f ca="1">IFERROR(__xludf.DUMMYFUNCTION("""COMPUTED_VALUE"""),0.8)</f>
        <v>0.8</v>
      </c>
      <c r="E391" s="17">
        <f ca="1">IFERROR(__xludf.DUMMYFUNCTION("""COMPUTED_VALUE"""),0.989698177466725)</f>
        <v>0.98969817746672495</v>
      </c>
      <c r="F391" s="17">
        <f ca="1">IFERROR(__xludf.DUMMYFUNCTION("""COMPUTED_VALUE"""),0.486139582937885)</f>
        <v>0.48613958293788501</v>
      </c>
      <c r="G391" s="17">
        <f ca="1">IFERROR(__xludf.DUMMYFUNCTION("""COMPUTED_VALUE"""),0.560008252359233)</f>
        <v>0.56000825235923302</v>
      </c>
      <c r="H391" s="17">
        <f ca="1">IFERROR(__xludf.DUMMYFUNCTION("""COMPUTED_VALUE"""),0.55060685217389)</f>
        <v>0.55060685217389005</v>
      </c>
      <c r="I391" s="17">
        <f ca="1">IFERROR(__xludf.DUMMYFUNCTION("""COMPUTED_VALUE"""),0.557423956307679)</f>
        <v>0.55742395630767905</v>
      </c>
      <c r="J391" s="17">
        <f ca="1">IFERROR(__xludf.DUMMYFUNCTION("""COMPUTED_VALUE"""),1.02912152032533)</f>
        <v>1.0291215203253301</v>
      </c>
      <c r="K391" s="17" t="str">
        <f ca="1">IFERROR(__xludf.DUMMYFUNCTION("""COMPUTED_VALUE"""),"nan")</f>
        <v>nan</v>
      </c>
      <c r="L391" s="17">
        <f ca="1">IFERROR(__xludf.DUMMYFUNCTION("""COMPUTED_VALUE"""),0.474314707346083)</f>
        <v>0.474314707346083</v>
      </c>
      <c r="M391" s="17">
        <f ca="1">IFERROR(__xludf.DUMMYFUNCTION("""COMPUTED_VALUE"""),0.717093962727942)</f>
        <v>0.71709396272794201</v>
      </c>
      <c r="N391" s="17">
        <f ca="1">IFERROR(__xludf.DUMMYFUNCTION("""COMPUTED_VALUE"""),0.862452028016099)</f>
        <v>0.86245202801609899</v>
      </c>
      <c r="O391" s="17">
        <f ca="1">IFERROR(__xludf.DUMMYFUNCTION("""COMPUTED_VALUE"""),0.692934816909811)</f>
        <v>0.69293481690981096</v>
      </c>
      <c r="P391" s="17">
        <f ca="1">IFERROR(__xludf.DUMMYFUNCTION("""COMPUTED_VALUE"""),1.16330907456305)</f>
        <v>1.1633090745630501</v>
      </c>
      <c r="Q391" s="17">
        <f ca="1">IFERROR(__xludf.DUMMYFUNCTION("""COMPUTED_VALUE"""),0.931487349548916)</f>
        <v>0.93148734954891599</v>
      </c>
      <c r="R391" s="17">
        <f ca="1">IFERROR(__xludf.DUMMYFUNCTION("""COMPUTED_VALUE"""),0.73579224852206)</f>
        <v>0.73579224852206004</v>
      </c>
      <c r="S391" s="17">
        <f ca="1">IFERROR(__xludf.DUMMYFUNCTION("""COMPUTED_VALUE"""),1.37433381940008)</f>
        <v>1.37433381940008</v>
      </c>
      <c r="T391" s="17">
        <f ca="1">IFERROR(__xludf.DUMMYFUNCTION("""COMPUTED_VALUE"""),0.767723795635454)</f>
        <v>0.76772379563545401</v>
      </c>
      <c r="U391" s="17">
        <f ca="1">IFERROR(__xludf.DUMMYFUNCTION("""COMPUTED_VALUE"""),0.652589824774571)</f>
        <v>0.65258982477457095</v>
      </c>
      <c r="V391" s="17">
        <f ca="1">IFERROR(__xludf.DUMMYFUNCTION("""COMPUTED_VALUE"""),0.90768985082465)</f>
        <v>0.90768985082465004</v>
      </c>
      <c r="W391" s="17">
        <f ca="1">IFERROR(__xludf.DUMMYFUNCTION("""COMPUTED_VALUE"""),0.825180931266027)</f>
        <v>0.82518093126602698</v>
      </c>
      <c r="X391" s="17">
        <f ca="1">IFERROR(__xludf.DUMMYFUNCTION("""COMPUTED_VALUE"""),0.460943481363257)</f>
        <v>0.46094348136325702</v>
      </c>
      <c r="Y391" s="17">
        <f ca="1">IFERROR(__xludf.DUMMYFUNCTION("""COMPUTED_VALUE"""),0.721882056855082)</f>
        <v>0.721882056855082</v>
      </c>
      <c r="Z391" s="17">
        <f ca="1">IFERROR(__xludf.DUMMYFUNCTION("""COMPUTED_VALUE"""),0.85067300463554)</f>
        <v>0.85067300463553996</v>
      </c>
      <c r="AA391" s="17">
        <f ca="1">IFERROR(__xludf.DUMMYFUNCTION("""COMPUTED_VALUE"""),0.459330391639513)</f>
        <v>0.459330391639513</v>
      </c>
      <c r="AB391" s="17">
        <f ca="1">IFERROR(__xludf.DUMMYFUNCTION("""COMPUTED_VALUE"""),1.15762718756374)</f>
        <v>1.1576271875637401</v>
      </c>
      <c r="AC391" s="17">
        <f ca="1">IFERROR(__xludf.DUMMYFUNCTION("""COMPUTED_VALUE"""),1.2140454998223)</f>
        <v>1.2140454998223</v>
      </c>
      <c r="AD391" s="17">
        <f ca="1">IFERROR(__xludf.DUMMYFUNCTION("""COMPUTED_VALUE"""),0.812812364639698)</f>
        <v>0.81281236463969797</v>
      </c>
      <c r="AE391" s="17">
        <f ca="1">IFERROR(__xludf.DUMMYFUNCTION("""COMPUTED_VALUE"""),2.17917466343903)</f>
        <v>2.1791746634390301</v>
      </c>
      <c r="AF391" s="17">
        <f ca="1">IFERROR(__xludf.DUMMYFUNCTION("""COMPUTED_VALUE"""),1.07307003705725)</f>
        <v>1.0730700370572499</v>
      </c>
      <c r="AG391" s="17">
        <f ca="1">IFERROR(__xludf.DUMMYFUNCTION("""COMPUTED_VALUE"""),1.20049034228021)</f>
        <v>1.20049034228021</v>
      </c>
      <c r="AH391" s="17">
        <f ca="1">IFERROR(__xludf.DUMMYFUNCTION("""COMPUTED_VALUE"""),1.09690062106597)</f>
        <v>1.09690062106597</v>
      </c>
      <c r="AI391" s="17" t="str">
        <f ca="1">IFERROR(__xludf.DUMMYFUNCTION("""COMPUTED_VALUE"""),"nan")</f>
        <v>nan</v>
      </c>
      <c r="AJ391" s="17">
        <f ca="1">IFERROR(__xludf.DUMMYFUNCTION("""COMPUTED_VALUE"""),1.16950509801316)</f>
        <v>1.16950509801316</v>
      </c>
    </row>
    <row r="392" spans="2:36" ht="15.75" customHeight="1" x14ac:dyDescent="0.45">
      <c r="B392" s="10" t="str">
        <f ca="1">IFERROR(__xludf.DUMMYFUNCTION("""COMPUTED_VALUE"""),"GunPointOldVersusYoung")</f>
        <v>GunPointOldVersusYoung</v>
      </c>
      <c r="C392" s="10" t="str">
        <f ca="1">IFERROR(__xludf.DUMMYFUNCTION("""COMPUTED_VALUE"""),"aligned_series")</f>
        <v>aligned_series</v>
      </c>
      <c r="D392" s="10">
        <f ca="1">IFERROR(__xludf.DUMMYFUNCTION("""COMPUTED_VALUE"""),0.1)</f>
        <v>0.1</v>
      </c>
      <c r="E392" s="17">
        <f ca="1">IFERROR(__xludf.DUMMYFUNCTION("""COMPUTED_VALUE"""),0.83824122724321)</f>
        <v>0.83824122724321004</v>
      </c>
      <c r="F392" s="17">
        <f ca="1">IFERROR(__xludf.DUMMYFUNCTION("""COMPUTED_VALUE"""),0.476200872112684)</f>
        <v>0.47620087211268403</v>
      </c>
      <c r="G392" s="17">
        <f ca="1">IFERROR(__xludf.DUMMYFUNCTION("""COMPUTED_VALUE"""),0.483423442688263)</f>
        <v>0.48342344268826298</v>
      </c>
      <c r="H392" s="17">
        <f ca="1">IFERROR(__xludf.DUMMYFUNCTION("""COMPUTED_VALUE"""),0.534367535768271)</f>
        <v>0.53436753576827101</v>
      </c>
      <c r="I392" s="17">
        <f ca="1">IFERROR(__xludf.DUMMYFUNCTION("""COMPUTED_VALUE"""),0.207989072840508)</f>
        <v>0.20798907284050799</v>
      </c>
      <c r="J392" s="17">
        <f ca="1">IFERROR(__xludf.DUMMYFUNCTION("""COMPUTED_VALUE"""),0.490815536969228)</f>
        <v>0.49081553696922797</v>
      </c>
      <c r="K392" s="17" t="str">
        <f ca="1">IFERROR(__xludf.DUMMYFUNCTION("""COMPUTED_VALUE"""),"nan")</f>
        <v>nan</v>
      </c>
      <c r="L392" s="17">
        <f ca="1">IFERROR(__xludf.DUMMYFUNCTION("""COMPUTED_VALUE"""),0.378564983464065)</f>
        <v>0.37856498346406497</v>
      </c>
      <c r="M392" s="17">
        <f ca="1">IFERROR(__xludf.DUMMYFUNCTION("""COMPUTED_VALUE"""),0.543326659422043)</f>
        <v>0.54332665942204295</v>
      </c>
      <c r="N392" s="17">
        <f ca="1">IFERROR(__xludf.DUMMYFUNCTION("""COMPUTED_VALUE"""),0.611750651542188)</f>
        <v>0.611750651542188</v>
      </c>
      <c r="O392" s="17">
        <f ca="1">IFERROR(__xludf.DUMMYFUNCTION("""COMPUTED_VALUE"""),0.409999018338753)</f>
        <v>0.40999901833875302</v>
      </c>
      <c r="P392" s="17">
        <f ca="1">IFERROR(__xludf.DUMMYFUNCTION("""COMPUTED_VALUE"""),0.960365172810905)</f>
        <v>0.96036517281090505</v>
      </c>
      <c r="Q392" s="17">
        <f ca="1">IFERROR(__xludf.DUMMYFUNCTION("""COMPUTED_VALUE"""),0.88907485876234)</f>
        <v>0.88907485876234005</v>
      </c>
      <c r="R392" s="17">
        <f ca="1">IFERROR(__xludf.DUMMYFUNCTION("""COMPUTED_VALUE"""),0.410874309366816)</f>
        <v>0.41087430936681602</v>
      </c>
      <c r="S392" s="17">
        <f ca="1">IFERROR(__xludf.DUMMYFUNCTION("""COMPUTED_VALUE"""),0.504492409727877)</f>
        <v>0.50449240972787701</v>
      </c>
      <c r="T392" s="17">
        <f ca="1">IFERROR(__xludf.DUMMYFUNCTION("""COMPUTED_VALUE"""),0.437061852115925)</f>
        <v>0.43706185211592502</v>
      </c>
      <c r="U392" s="17">
        <f ca="1">IFERROR(__xludf.DUMMYFUNCTION("""COMPUTED_VALUE"""),0.381857107080899)</f>
        <v>0.38185710708089898</v>
      </c>
      <c r="V392" s="17">
        <f ca="1">IFERROR(__xludf.DUMMYFUNCTION("""COMPUTED_VALUE"""),0.364281821916036)</f>
        <v>0.36428182191603597</v>
      </c>
      <c r="W392" s="17">
        <f ca="1">IFERROR(__xludf.DUMMYFUNCTION("""COMPUTED_VALUE"""),0.437735826630056)</f>
        <v>0.437735826630056</v>
      </c>
      <c r="X392" s="17">
        <f ca="1">IFERROR(__xludf.DUMMYFUNCTION("""COMPUTED_VALUE"""),0.465031202949592)</f>
        <v>0.46503120294959199</v>
      </c>
      <c r="Y392" s="17">
        <f ca="1">IFERROR(__xludf.DUMMYFUNCTION("""COMPUTED_VALUE"""),0.426561761117071)</f>
        <v>0.426561761117071</v>
      </c>
      <c r="Z392" s="17">
        <f ca="1">IFERROR(__xludf.DUMMYFUNCTION("""COMPUTED_VALUE"""),0.447724442037658)</f>
        <v>0.44772444203765799</v>
      </c>
      <c r="AA392" s="17">
        <f ca="1">IFERROR(__xludf.DUMMYFUNCTION("""COMPUTED_VALUE"""),0.186621651253466)</f>
        <v>0.186621651253466</v>
      </c>
      <c r="AB392" s="17">
        <f ca="1">IFERROR(__xludf.DUMMYFUNCTION("""COMPUTED_VALUE"""),0.427082801271881)</f>
        <v>0.42708280127188097</v>
      </c>
      <c r="AC392" s="17">
        <f ca="1">IFERROR(__xludf.DUMMYFUNCTION("""COMPUTED_VALUE"""),0.981979676216)</f>
        <v>0.98197967621600002</v>
      </c>
      <c r="AD392" s="17">
        <f ca="1">IFERROR(__xludf.DUMMYFUNCTION("""COMPUTED_VALUE"""),0.566752327485282)</f>
        <v>0.56675232748528204</v>
      </c>
      <c r="AE392" s="17">
        <f ca="1">IFERROR(__xludf.DUMMYFUNCTION("""COMPUTED_VALUE"""),0.903939014776818)</f>
        <v>0.90393901477681804</v>
      </c>
      <c r="AF392" s="17">
        <f ca="1">IFERROR(__xludf.DUMMYFUNCTION("""COMPUTED_VALUE"""),0.543328692316293)</f>
        <v>0.54332869231629299</v>
      </c>
      <c r="AG392" s="17">
        <f ca="1">IFERROR(__xludf.DUMMYFUNCTION("""COMPUTED_VALUE"""),1.1984488558605)</f>
        <v>1.1984488558605</v>
      </c>
      <c r="AH392" s="17">
        <f ca="1">IFERROR(__xludf.DUMMYFUNCTION("""COMPUTED_VALUE"""),0.574262236686584)</f>
        <v>0.57426223668658405</v>
      </c>
      <c r="AI392" s="17">
        <f ca="1">IFERROR(__xludf.DUMMYFUNCTION("""COMPUTED_VALUE"""),0.645349206716602)</f>
        <v>0.64534920671660201</v>
      </c>
      <c r="AJ392" s="17">
        <f ca="1">IFERROR(__xludf.DUMMYFUNCTION("""COMPUTED_VALUE"""),0.982234140736902)</f>
        <v>0.98223414073690196</v>
      </c>
    </row>
    <row r="393" spans="2:36" ht="15.75" customHeight="1" x14ac:dyDescent="0.45">
      <c r="B393" s="10" t="str">
        <f ca="1">IFERROR(__xludf.DUMMYFUNCTION("""COMPUTED_VALUE"""),"GunPointOldVersusYoung")</f>
        <v>GunPointOldVersusYoung</v>
      </c>
      <c r="C393" s="10" t="str">
        <f ca="1">IFERROR(__xludf.DUMMYFUNCTION("""COMPUTED_VALUE"""),"aligned_series")</f>
        <v>aligned_series</v>
      </c>
      <c r="D393" s="10">
        <f ca="1">IFERROR(__xludf.DUMMYFUNCTION("""COMPUTED_VALUE"""),0.2)</f>
        <v>0.2</v>
      </c>
      <c r="E393" s="17">
        <f ca="1">IFERROR(__xludf.DUMMYFUNCTION("""COMPUTED_VALUE"""),0.815767607936785)</f>
        <v>0.81576760793678504</v>
      </c>
      <c r="F393" s="17">
        <f ca="1">IFERROR(__xludf.DUMMYFUNCTION("""COMPUTED_VALUE"""),0.430654840748601)</f>
        <v>0.430654840748601</v>
      </c>
      <c r="G393" s="17">
        <f ca="1">IFERROR(__xludf.DUMMYFUNCTION("""COMPUTED_VALUE"""),0.432965383121036)</f>
        <v>0.432965383121036</v>
      </c>
      <c r="H393" s="17">
        <f ca="1">IFERROR(__xludf.DUMMYFUNCTION("""COMPUTED_VALUE"""),0.497084740523338)</f>
        <v>0.49708474052333801</v>
      </c>
      <c r="I393" s="17">
        <f ca="1">IFERROR(__xludf.DUMMYFUNCTION("""COMPUTED_VALUE"""),0.204744077049091)</f>
        <v>0.20474407704909101</v>
      </c>
      <c r="J393" s="17">
        <f ca="1">IFERROR(__xludf.DUMMYFUNCTION("""COMPUTED_VALUE"""),0.427604986893772)</f>
        <v>0.42760498689377202</v>
      </c>
      <c r="K393" s="17" t="str">
        <f ca="1">IFERROR(__xludf.DUMMYFUNCTION("""COMPUTED_VALUE"""),"nan")</f>
        <v>nan</v>
      </c>
      <c r="L393" s="17">
        <f ca="1">IFERROR(__xludf.DUMMYFUNCTION("""COMPUTED_VALUE"""),0.352796046921243)</f>
        <v>0.352796046921243</v>
      </c>
      <c r="M393" s="17">
        <f ca="1">IFERROR(__xludf.DUMMYFUNCTION("""COMPUTED_VALUE"""),0.469068754351977)</f>
        <v>0.46906875435197698</v>
      </c>
      <c r="N393" s="17">
        <f ca="1">IFERROR(__xludf.DUMMYFUNCTION("""COMPUTED_VALUE"""),0.505077377196653)</f>
        <v>0.50507737719665302</v>
      </c>
      <c r="O393" s="17">
        <f ca="1">IFERROR(__xludf.DUMMYFUNCTION("""COMPUTED_VALUE"""),0.379095056748831)</f>
        <v>0.37909505674883098</v>
      </c>
      <c r="P393" s="17">
        <f ca="1">IFERROR(__xludf.DUMMYFUNCTION("""COMPUTED_VALUE"""),0.95138321945765)</f>
        <v>0.95138321945765003</v>
      </c>
      <c r="Q393" s="17">
        <f ca="1">IFERROR(__xludf.DUMMYFUNCTION("""COMPUTED_VALUE"""),0.873684194388521)</f>
        <v>0.87368419438852096</v>
      </c>
      <c r="R393" s="17">
        <f ca="1">IFERROR(__xludf.DUMMYFUNCTION("""COMPUTED_VALUE"""),0.667344292838716)</f>
        <v>0.66734429283871599</v>
      </c>
      <c r="S393" s="17">
        <f ca="1">IFERROR(__xludf.DUMMYFUNCTION("""COMPUTED_VALUE"""),0.478568444374917)</f>
        <v>0.47856844437491702</v>
      </c>
      <c r="T393" s="17">
        <f ca="1">IFERROR(__xludf.DUMMYFUNCTION("""COMPUTED_VALUE"""),0.557464377687451)</f>
        <v>0.55746437768745105</v>
      </c>
      <c r="U393" s="17">
        <f ca="1">IFERROR(__xludf.DUMMYFUNCTION("""COMPUTED_VALUE"""),0.370594258125354)</f>
        <v>0.37059425812535401</v>
      </c>
      <c r="V393" s="17">
        <f ca="1">IFERROR(__xludf.DUMMYFUNCTION("""COMPUTED_VALUE"""),0.324981110233561)</f>
        <v>0.32498111023356102</v>
      </c>
      <c r="W393" s="17">
        <f ca="1">IFERROR(__xludf.DUMMYFUNCTION("""COMPUTED_VALUE"""),0.548204786443475)</f>
        <v>0.54820478644347503</v>
      </c>
      <c r="X393" s="17">
        <f ca="1">IFERROR(__xludf.DUMMYFUNCTION("""COMPUTED_VALUE"""),0.437064041566072)</f>
        <v>0.43706404156607198</v>
      </c>
      <c r="Y393" s="17">
        <f ca="1">IFERROR(__xludf.DUMMYFUNCTION("""COMPUTED_VALUE"""),0.384854639379734)</f>
        <v>0.38485463937973402</v>
      </c>
      <c r="Z393" s="17">
        <f ca="1">IFERROR(__xludf.DUMMYFUNCTION("""COMPUTED_VALUE"""),0.427509645377101)</f>
        <v>0.42750964537710101</v>
      </c>
      <c r="AA393" s="17">
        <f ca="1">IFERROR(__xludf.DUMMYFUNCTION("""COMPUTED_VALUE"""),0.218591623679148)</f>
        <v>0.218591623679148</v>
      </c>
      <c r="AB393" s="17">
        <f ca="1">IFERROR(__xludf.DUMMYFUNCTION("""COMPUTED_VALUE"""),0.451505720072296)</f>
        <v>0.451505720072296</v>
      </c>
      <c r="AC393" s="17">
        <f ca="1">IFERROR(__xludf.DUMMYFUNCTION("""COMPUTED_VALUE"""),1.08358590910188)</f>
        <v>1.08358590910188</v>
      </c>
      <c r="AD393" s="17">
        <f ca="1">IFERROR(__xludf.DUMMYFUNCTION("""COMPUTED_VALUE"""),0.5314790079698)</f>
        <v>0.53147900796979997</v>
      </c>
      <c r="AE393" s="17">
        <f ca="1">IFERROR(__xludf.DUMMYFUNCTION("""COMPUTED_VALUE"""),0.899903901167133)</f>
        <v>0.89990390116713304</v>
      </c>
      <c r="AF393" s="17">
        <f ca="1">IFERROR(__xludf.DUMMYFUNCTION("""COMPUTED_VALUE"""),0.480269508814672)</f>
        <v>0.48026950881467201</v>
      </c>
      <c r="AG393" s="17">
        <f ca="1">IFERROR(__xludf.DUMMYFUNCTION("""COMPUTED_VALUE"""),1.42272017514998)</f>
        <v>1.4227201751499801</v>
      </c>
      <c r="AH393" s="17">
        <f ca="1">IFERROR(__xludf.DUMMYFUNCTION("""COMPUTED_VALUE"""),0.523550335414841)</f>
        <v>0.52355033541484097</v>
      </c>
      <c r="AI393" s="17">
        <f ca="1">IFERROR(__xludf.DUMMYFUNCTION("""COMPUTED_VALUE"""),0.589202710994659)</f>
        <v>0.58920271099465904</v>
      </c>
      <c r="AJ393" s="17">
        <f ca="1">IFERROR(__xludf.DUMMYFUNCTION("""COMPUTED_VALUE"""),0.903074782900338)</f>
        <v>0.90307478290033805</v>
      </c>
    </row>
    <row r="394" spans="2:36" ht="15.75" customHeight="1" x14ac:dyDescent="0.45">
      <c r="B394" s="10" t="str">
        <f ca="1">IFERROR(__xludf.DUMMYFUNCTION("""COMPUTED_VALUE"""),"GunPointOldVersusYoung")</f>
        <v>GunPointOldVersusYoung</v>
      </c>
      <c r="C394" s="10" t="str">
        <f ca="1">IFERROR(__xludf.DUMMYFUNCTION("""COMPUTED_VALUE"""),"aligned_series")</f>
        <v>aligned_series</v>
      </c>
      <c r="D394" s="10">
        <f ca="1">IFERROR(__xludf.DUMMYFUNCTION("""COMPUTED_VALUE"""),0.4)</f>
        <v>0.4</v>
      </c>
      <c r="E394" s="17">
        <f ca="1">IFERROR(__xludf.DUMMYFUNCTION("""COMPUTED_VALUE"""),0.832381082318224)</f>
        <v>0.83238108231822405</v>
      </c>
      <c r="F394" s="17">
        <f ca="1">IFERROR(__xludf.DUMMYFUNCTION("""COMPUTED_VALUE"""),0.408708827124404)</f>
        <v>0.40870882712440398</v>
      </c>
      <c r="G394" s="17">
        <f ca="1">IFERROR(__xludf.DUMMYFUNCTION("""COMPUTED_VALUE"""),0.407612731209185)</f>
        <v>0.40761273120918501</v>
      </c>
      <c r="H394" s="17">
        <f ca="1">IFERROR(__xludf.DUMMYFUNCTION("""COMPUTED_VALUE"""),0.452423201461181)</f>
        <v>0.45242320146118098</v>
      </c>
      <c r="I394" s="17">
        <f ca="1">IFERROR(__xludf.DUMMYFUNCTION("""COMPUTED_VALUE"""),0.253377280339742)</f>
        <v>0.25337728033974199</v>
      </c>
      <c r="J394" s="17">
        <f ca="1">IFERROR(__xludf.DUMMYFUNCTION("""COMPUTED_VALUE"""),0.403727939632812)</f>
        <v>0.40372793963281201</v>
      </c>
      <c r="K394" s="17" t="str">
        <f ca="1">IFERROR(__xludf.DUMMYFUNCTION("""COMPUTED_VALUE"""),"nan")</f>
        <v>nan</v>
      </c>
      <c r="L394" s="17">
        <f ca="1">IFERROR(__xludf.DUMMYFUNCTION("""COMPUTED_VALUE"""),0.284850431740141)</f>
        <v>0.28485043174014102</v>
      </c>
      <c r="M394" s="17">
        <f ca="1">IFERROR(__xludf.DUMMYFUNCTION("""COMPUTED_VALUE"""),0.435039514686827)</f>
        <v>0.435039514686827</v>
      </c>
      <c r="N394" s="17">
        <f ca="1">IFERROR(__xludf.DUMMYFUNCTION("""COMPUTED_VALUE"""),0.51811802837587)</f>
        <v>0.51811802837586995</v>
      </c>
      <c r="O394" s="17">
        <f ca="1">IFERROR(__xludf.DUMMYFUNCTION("""COMPUTED_VALUE"""),0.335556285757132)</f>
        <v>0.33555628575713198</v>
      </c>
      <c r="P394" s="17">
        <f ca="1">IFERROR(__xludf.DUMMYFUNCTION("""COMPUTED_VALUE"""),1.09966127950832)</f>
        <v>1.09966127950832</v>
      </c>
      <c r="Q394" s="17">
        <f ca="1">IFERROR(__xludf.DUMMYFUNCTION("""COMPUTED_VALUE"""),0.849606584966863)</f>
        <v>0.84960658496686303</v>
      </c>
      <c r="R394" s="17">
        <f ca="1">IFERROR(__xludf.DUMMYFUNCTION("""COMPUTED_VALUE"""),1.0040859728427)</f>
        <v>1.0040859728427001</v>
      </c>
      <c r="S394" s="17">
        <f ca="1">IFERROR(__xludf.DUMMYFUNCTION("""COMPUTED_VALUE"""),0.493669160976262)</f>
        <v>0.49366916097626201</v>
      </c>
      <c r="T394" s="17">
        <f ca="1">IFERROR(__xludf.DUMMYFUNCTION("""COMPUTED_VALUE"""),0.460971546030993)</f>
        <v>0.460971546030993</v>
      </c>
      <c r="U394" s="17">
        <f ca="1">IFERROR(__xludf.DUMMYFUNCTION("""COMPUTED_VALUE"""),0.327912780196617)</f>
        <v>0.32791278019661702</v>
      </c>
      <c r="V394" s="17">
        <f ca="1">IFERROR(__xludf.DUMMYFUNCTION("""COMPUTED_VALUE"""),0.319376887593911)</f>
        <v>0.31937688759391097</v>
      </c>
      <c r="W394" s="17">
        <f ca="1">IFERROR(__xludf.DUMMYFUNCTION("""COMPUTED_VALUE"""),0.480403550437636)</f>
        <v>0.480403550437636</v>
      </c>
      <c r="X394" s="17">
        <f ca="1">IFERROR(__xludf.DUMMYFUNCTION("""COMPUTED_VALUE"""),0.42792748524211)</f>
        <v>0.42792748524211</v>
      </c>
      <c r="Y394" s="17">
        <f ca="1">IFERROR(__xludf.DUMMYFUNCTION("""COMPUTED_VALUE"""),0.346762768029858)</f>
        <v>0.346762768029858</v>
      </c>
      <c r="Z394" s="17">
        <f ca="1">IFERROR(__xludf.DUMMYFUNCTION("""COMPUTED_VALUE"""),0.403884921632627)</f>
        <v>0.40388492163262701</v>
      </c>
      <c r="AA394" s="17">
        <f ca="1">IFERROR(__xludf.DUMMYFUNCTION("""COMPUTED_VALUE"""),0.178467753439857)</f>
        <v>0.17846775343985699</v>
      </c>
      <c r="AB394" s="17">
        <f ca="1">IFERROR(__xludf.DUMMYFUNCTION("""COMPUTED_VALUE"""),0.840208411193535)</f>
        <v>0.84020841119353495</v>
      </c>
      <c r="AC394" s="17">
        <f ca="1">IFERROR(__xludf.DUMMYFUNCTION("""COMPUTED_VALUE"""),0.984847763762765)</f>
        <v>0.98484776376276495</v>
      </c>
      <c r="AD394" s="17">
        <f ca="1">IFERROR(__xludf.DUMMYFUNCTION("""COMPUTED_VALUE"""),0.509260827263521)</f>
        <v>0.50926082726352095</v>
      </c>
      <c r="AE394" s="17">
        <f ca="1">IFERROR(__xludf.DUMMYFUNCTION("""COMPUTED_VALUE"""),0.887452332157273)</f>
        <v>0.88745233215727304</v>
      </c>
      <c r="AF394" s="17">
        <f ca="1">IFERROR(__xludf.DUMMYFUNCTION("""COMPUTED_VALUE"""),0.487301154468638)</f>
        <v>0.48730115446863798</v>
      </c>
      <c r="AG394" s="17">
        <f ca="1">IFERROR(__xludf.DUMMYFUNCTION("""COMPUTED_VALUE"""),1.38030780435369)</f>
        <v>1.38030780435369</v>
      </c>
      <c r="AH394" s="17">
        <f ca="1">IFERROR(__xludf.DUMMYFUNCTION("""COMPUTED_VALUE"""),0.528988505051428)</f>
        <v>0.52898850505142803</v>
      </c>
      <c r="AI394" s="17">
        <f ca="1">IFERROR(__xludf.DUMMYFUNCTION("""COMPUTED_VALUE"""),0.597126798995249)</f>
        <v>0.59712679899524901</v>
      </c>
      <c r="AJ394" s="17">
        <f ca="1">IFERROR(__xludf.DUMMYFUNCTION("""COMPUTED_VALUE"""),0.936050114834603)</f>
        <v>0.93605011483460299</v>
      </c>
    </row>
    <row r="395" spans="2:36" ht="15.75" customHeight="1" x14ac:dyDescent="0.45">
      <c r="B395" s="10" t="str">
        <f ca="1">IFERROR(__xludf.DUMMYFUNCTION("""COMPUTED_VALUE"""),"GunPointOldVersusYoung")</f>
        <v>GunPointOldVersusYoung</v>
      </c>
      <c r="C395" s="10" t="str">
        <f ca="1">IFERROR(__xludf.DUMMYFUNCTION("""COMPUTED_VALUE"""),"aligned_series")</f>
        <v>aligned_series</v>
      </c>
      <c r="D395" s="10">
        <f ca="1">IFERROR(__xludf.DUMMYFUNCTION("""COMPUTED_VALUE"""),0.6)</f>
        <v>0.6</v>
      </c>
      <c r="E395" s="17">
        <f ca="1">IFERROR(__xludf.DUMMYFUNCTION("""COMPUTED_VALUE"""),0.875051276671125)</f>
        <v>0.87505127667112503</v>
      </c>
      <c r="F395" s="17">
        <f ca="1">IFERROR(__xludf.DUMMYFUNCTION("""COMPUTED_VALUE"""),0.431013112092313)</f>
        <v>0.43101311209231302</v>
      </c>
      <c r="G395" s="17">
        <f ca="1">IFERROR(__xludf.DUMMYFUNCTION("""COMPUTED_VALUE"""),0.432693366629242)</f>
        <v>0.43269336662924202</v>
      </c>
      <c r="H395" s="17">
        <f ca="1">IFERROR(__xludf.DUMMYFUNCTION("""COMPUTED_VALUE"""),0.486786920330692)</f>
        <v>0.48678692033069199</v>
      </c>
      <c r="I395" s="17">
        <f ca="1">IFERROR(__xludf.DUMMYFUNCTION("""COMPUTED_VALUE"""),0.361102532293568)</f>
        <v>0.36110253229356798</v>
      </c>
      <c r="J395" s="17">
        <f ca="1">IFERROR(__xludf.DUMMYFUNCTION("""COMPUTED_VALUE"""),0.519031614484275)</f>
        <v>0.51903161448427504</v>
      </c>
      <c r="K395" s="17" t="str">
        <f ca="1">IFERROR(__xludf.DUMMYFUNCTION("""COMPUTED_VALUE"""),"nan")</f>
        <v>nan</v>
      </c>
      <c r="L395" s="17">
        <f ca="1">IFERROR(__xludf.DUMMYFUNCTION("""COMPUTED_VALUE"""),0.321391347337421)</f>
        <v>0.32139134733742097</v>
      </c>
      <c r="M395" s="17">
        <f ca="1">IFERROR(__xludf.DUMMYFUNCTION("""COMPUTED_VALUE"""),0.448921456081085)</f>
        <v>0.44892145608108502</v>
      </c>
      <c r="N395" s="17">
        <f ca="1">IFERROR(__xludf.DUMMYFUNCTION("""COMPUTED_VALUE"""),0.53015561733857)</f>
        <v>0.53015561733856997</v>
      </c>
      <c r="O395" s="17">
        <f ca="1">IFERROR(__xludf.DUMMYFUNCTION("""COMPUTED_VALUE"""),0.376193931246047)</f>
        <v>0.376193931246047</v>
      </c>
      <c r="P395" s="17">
        <f ca="1">IFERROR(__xludf.DUMMYFUNCTION("""COMPUTED_VALUE"""),1.16917435195547)</f>
        <v>1.16917435195547</v>
      </c>
      <c r="Q395" s="17">
        <f ca="1">IFERROR(__xludf.DUMMYFUNCTION("""COMPUTED_VALUE"""),0.942907553000478)</f>
        <v>0.94290755300047802</v>
      </c>
      <c r="R395" s="17">
        <f ca="1">IFERROR(__xludf.DUMMYFUNCTION("""COMPUTED_VALUE"""),1.08040019676442)</f>
        <v>1.0804001967644199</v>
      </c>
      <c r="S395" s="17">
        <f ca="1">IFERROR(__xludf.DUMMYFUNCTION("""COMPUTED_VALUE"""),0.642675004429736)</f>
        <v>0.64267500442973602</v>
      </c>
      <c r="T395" s="17">
        <f ca="1">IFERROR(__xludf.DUMMYFUNCTION("""COMPUTED_VALUE"""),0.462807688274468)</f>
        <v>0.462807688274468</v>
      </c>
      <c r="U395" s="17">
        <f ca="1">IFERROR(__xludf.DUMMYFUNCTION("""COMPUTED_VALUE"""),0.365405916541193)</f>
        <v>0.36540591654119298</v>
      </c>
      <c r="V395" s="17">
        <f ca="1">IFERROR(__xludf.DUMMYFUNCTION("""COMPUTED_VALUE"""),0.34485262949574)</f>
        <v>0.34485262949574003</v>
      </c>
      <c r="W395" s="17">
        <f ca="1">IFERROR(__xludf.DUMMYFUNCTION("""COMPUTED_VALUE"""),0.457216855034106)</f>
        <v>0.45721685503410597</v>
      </c>
      <c r="X395" s="17">
        <f ca="1">IFERROR(__xludf.DUMMYFUNCTION("""COMPUTED_VALUE"""),0.446172995287117)</f>
        <v>0.44617299528711701</v>
      </c>
      <c r="Y395" s="17">
        <f ca="1">IFERROR(__xludf.DUMMYFUNCTION("""COMPUTED_VALUE"""),0.362905240368655)</f>
        <v>0.36290524036865501</v>
      </c>
      <c r="Z395" s="17">
        <f ca="1">IFERROR(__xludf.DUMMYFUNCTION("""COMPUTED_VALUE"""),0.388427319276159)</f>
        <v>0.38842731927615898</v>
      </c>
      <c r="AA395" s="17">
        <f ca="1">IFERROR(__xludf.DUMMYFUNCTION("""COMPUTED_VALUE"""),0.153949313015385)</f>
        <v>0.153949313015385</v>
      </c>
      <c r="AB395" s="17">
        <f ca="1">IFERROR(__xludf.DUMMYFUNCTION("""COMPUTED_VALUE"""),1.17909476717718)</f>
        <v>1.1790947671771801</v>
      </c>
      <c r="AC395" s="17">
        <f ca="1">IFERROR(__xludf.DUMMYFUNCTION("""COMPUTED_VALUE"""),0.659996289113984)</f>
        <v>0.659996289113984</v>
      </c>
      <c r="AD395" s="17">
        <f ca="1">IFERROR(__xludf.DUMMYFUNCTION("""COMPUTED_VALUE"""),0.49784997661491)</f>
        <v>0.49784997661490998</v>
      </c>
      <c r="AE395" s="17">
        <f ca="1">IFERROR(__xludf.DUMMYFUNCTION("""COMPUTED_VALUE"""),0.913573351366806)</f>
        <v>0.91357335136680595</v>
      </c>
      <c r="AF395" s="17">
        <f ca="1">IFERROR(__xludf.DUMMYFUNCTION("""COMPUTED_VALUE"""),0.548094522406676)</f>
        <v>0.548094522406676</v>
      </c>
      <c r="AG395" s="17">
        <f ca="1">IFERROR(__xludf.DUMMYFUNCTION("""COMPUTED_VALUE"""),1.31605054078286)</f>
        <v>1.31605054078286</v>
      </c>
      <c r="AH395" s="17">
        <f ca="1">IFERROR(__xludf.DUMMYFUNCTION("""COMPUTED_VALUE"""),0.54697933198778)</f>
        <v>0.54697933198778004</v>
      </c>
      <c r="AI395" s="17">
        <f ca="1">IFERROR(__xludf.DUMMYFUNCTION("""COMPUTED_VALUE"""),0.617599462722529)</f>
        <v>0.61759946272252897</v>
      </c>
      <c r="AJ395" s="17">
        <f ca="1">IFERROR(__xludf.DUMMYFUNCTION("""COMPUTED_VALUE"""),0.940170895675582)</f>
        <v>0.94017089567558199</v>
      </c>
    </row>
    <row r="396" spans="2:36" ht="15.75" customHeight="1" x14ac:dyDescent="0.45">
      <c r="B396" s="10" t="str">
        <f ca="1">IFERROR(__xludf.DUMMYFUNCTION("""COMPUTED_VALUE"""),"GunPointOldVersusYoung")</f>
        <v>GunPointOldVersusYoung</v>
      </c>
      <c r="C396" s="10" t="str">
        <f ca="1">IFERROR(__xludf.DUMMYFUNCTION("""COMPUTED_VALUE"""),"aligned_series")</f>
        <v>aligned_series</v>
      </c>
      <c r="D396" s="10">
        <f ca="1">IFERROR(__xludf.DUMMYFUNCTION("""COMPUTED_VALUE"""),0.8)</f>
        <v>0.8</v>
      </c>
      <c r="E396" s="17">
        <f ca="1">IFERROR(__xludf.DUMMYFUNCTION("""COMPUTED_VALUE"""),0.901920140895374)</f>
        <v>0.90192014089537398</v>
      </c>
      <c r="F396" s="17">
        <f ca="1">IFERROR(__xludf.DUMMYFUNCTION("""COMPUTED_VALUE"""),0.449893101394386)</f>
        <v>0.44989310139438599</v>
      </c>
      <c r="G396" s="17">
        <f ca="1">IFERROR(__xludf.DUMMYFUNCTION("""COMPUTED_VALUE"""),0.448852677399808)</f>
        <v>0.448852677399808</v>
      </c>
      <c r="H396" s="17">
        <f ca="1">IFERROR(__xludf.DUMMYFUNCTION("""COMPUTED_VALUE"""),0.486036422030991)</f>
        <v>0.48603642203099101</v>
      </c>
      <c r="I396" s="17">
        <f ca="1">IFERROR(__xludf.DUMMYFUNCTION("""COMPUTED_VALUE"""),0.501342962337041)</f>
        <v>0.50134296233704101</v>
      </c>
      <c r="J396" s="17">
        <f ca="1">IFERROR(__xludf.DUMMYFUNCTION("""COMPUTED_VALUE"""),0.85560313920733)</f>
        <v>0.85560313920733</v>
      </c>
      <c r="K396" s="17" t="str">
        <f ca="1">IFERROR(__xludf.DUMMYFUNCTION("""COMPUTED_VALUE"""),"nan")</f>
        <v>nan</v>
      </c>
      <c r="L396" s="17">
        <f ca="1">IFERROR(__xludf.DUMMYFUNCTION("""COMPUTED_VALUE"""),0.40902088626075)</f>
        <v>0.40902088626075001</v>
      </c>
      <c r="M396" s="17">
        <f ca="1">IFERROR(__xludf.DUMMYFUNCTION("""COMPUTED_VALUE"""),0.489847728645003)</f>
        <v>0.48984772864500298</v>
      </c>
      <c r="N396" s="17">
        <f ca="1">IFERROR(__xludf.DUMMYFUNCTION("""COMPUTED_VALUE"""),0.581048971283786)</f>
        <v>0.58104897128378596</v>
      </c>
      <c r="O396" s="17">
        <f ca="1">IFERROR(__xludf.DUMMYFUNCTION("""COMPUTED_VALUE"""),0.396426331384079)</f>
        <v>0.39642633138407901</v>
      </c>
      <c r="P396" s="17">
        <f ca="1">IFERROR(__xludf.DUMMYFUNCTION("""COMPUTED_VALUE"""),1.21838717454569)</f>
        <v>1.21838717454569</v>
      </c>
      <c r="Q396" s="17">
        <f ca="1">IFERROR(__xludf.DUMMYFUNCTION("""COMPUTED_VALUE"""),1.07269672900217)</f>
        <v>1.0726967290021701</v>
      </c>
      <c r="R396" s="17">
        <f ca="1">IFERROR(__xludf.DUMMYFUNCTION("""COMPUTED_VALUE"""),0.99277514962363)</f>
        <v>0.99277514962363</v>
      </c>
      <c r="S396" s="17">
        <f ca="1">IFERROR(__xludf.DUMMYFUNCTION("""COMPUTED_VALUE"""),0.868534058629849)</f>
        <v>0.868534058629849</v>
      </c>
      <c r="T396" s="17">
        <f ca="1">IFERROR(__xludf.DUMMYFUNCTION("""COMPUTED_VALUE"""),0.450594469845192)</f>
        <v>0.45059446984519202</v>
      </c>
      <c r="U396" s="17">
        <f ca="1">IFERROR(__xludf.DUMMYFUNCTION("""COMPUTED_VALUE"""),0.390831587281439)</f>
        <v>0.39083158728143902</v>
      </c>
      <c r="V396" s="17">
        <f ca="1">IFERROR(__xludf.DUMMYFUNCTION("""COMPUTED_VALUE"""),0.442917567122772)</f>
        <v>0.44291756712277203</v>
      </c>
      <c r="W396" s="17">
        <f ca="1">IFERROR(__xludf.DUMMYFUNCTION("""COMPUTED_VALUE"""),0.47914185296885)</f>
        <v>0.47914185296884998</v>
      </c>
      <c r="X396" s="17">
        <f ca="1">IFERROR(__xludf.DUMMYFUNCTION("""COMPUTED_VALUE"""),0.493036955265024)</f>
        <v>0.493036955265024</v>
      </c>
      <c r="Y396" s="17">
        <f ca="1">IFERROR(__xludf.DUMMYFUNCTION("""COMPUTED_VALUE"""),0.404611829408796)</f>
        <v>0.40461182940879598</v>
      </c>
      <c r="Z396" s="17">
        <f ca="1">IFERROR(__xludf.DUMMYFUNCTION("""COMPUTED_VALUE"""),0.427000209860014)</f>
        <v>0.42700020986001402</v>
      </c>
      <c r="AA396" s="17">
        <f ca="1">IFERROR(__xludf.DUMMYFUNCTION("""COMPUTED_VALUE"""),0.224076447402154)</f>
        <v>0.22407644740215399</v>
      </c>
      <c r="AB396" s="17">
        <f ca="1">IFERROR(__xludf.DUMMYFUNCTION("""COMPUTED_VALUE"""),1.07581260425022)</f>
        <v>1.0758126042502201</v>
      </c>
      <c r="AC396" s="17">
        <f ca="1">IFERROR(__xludf.DUMMYFUNCTION("""COMPUTED_VALUE"""),0.677654169020755)</f>
        <v>0.67765416902075504</v>
      </c>
      <c r="AD396" s="17">
        <f ca="1">IFERROR(__xludf.DUMMYFUNCTION("""COMPUTED_VALUE"""),0.49250034402053)</f>
        <v>0.49250034402053</v>
      </c>
      <c r="AE396" s="17">
        <f ca="1">IFERROR(__xludf.DUMMYFUNCTION("""COMPUTED_VALUE"""),0.921149765973517)</f>
        <v>0.92114976597351705</v>
      </c>
      <c r="AF396" s="17">
        <f ca="1">IFERROR(__xludf.DUMMYFUNCTION("""COMPUTED_VALUE"""),0.705150842976617)</f>
        <v>0.70515084297661701</v>
      </c>
      <c r="AG396" s="17">
        <f ca="1">IFERROR(__xludf.DUMMYFUNCTION("""COMPUTED_VALUE"""),1.30587830799576)</f>
        <v>1.3058783079957601</v>
      </c>
      <c r="AH396" s="17">
        <f ca="1">IFERROR(__xludf.DUMMYFUNCTION("""COMPUTED_VALUE"""),0.546117451714469)</f>
        <v>0.54611745171446902</v>
      </c>
      <c r="AI396" s="17">
        <f ca="1">IFERROR(__xludf.DUMMYFUNCTION("""COMPUTED_VALUE"""),0.61632763570362)</f>
        <v>0.61632763570362004</v>
      </c>
      <c r="AJ396" s="17">
        <f ca="1">IFERROR(__xludf.DUMMYFUNCTION("""COMPUTED_VALUE"""),1.04447936067099)</f>
        <v>1.0444793606709899</v>
      </c>
    </row>
    <row r="397" spans="2:36" ht="15.75" customHeight="1" x14ac:dyDescent="0.45">
      <c r="B397" s="10" t="str">
        <f ca="1">IFERROR(__xludf.DUMMYFUNCTION("""COMPUTED_VALUE"""),"GunPointOldVersusYoung")</f>
        <v>GunPointOldVersusYoung</v>
      </c>
      <c r="C397" s="10" t="str">
        <f ca="1">IFERROR(__xludf.DUMMYFUNCTION("""COMPUTED_VALUE"""),"aligned_timestamps")</f>
        <v>aligned_timestamps</v>
      </c>
      <c r="D397" s="10">
        <f ca="1">IFERROR(__xludf.DUMMYFUNCTION("""COMPUTED_VALUE"""),0.1)</f>
        <v>0.1</v>
      </c>
      <c r="E397" s="17">
        <f ca="1">IFERROR(__xludf.DUMMYFUNCTION("""COMPUTED_VALUE"""),0.868181626669111)</f>
        <v>0.86818162666911103</v>
      </c>
      <c r="F397" s="17">
        <f ca="1">IFERROR(__xludf.DUMMYFUNCTION("""COMPUTED_VALUE"""),0.336879081017062)</f>
        <v>0.33687908101706199</v>
      </c>
      <c r="G397" s="17">
        <f ca="1">IFERROR(__xludf.DUMMYFUNCTION("""COMPUTED_VALUE"""),0.330743372182089)</f>
        <v>0.33074337218208899</v>
      </c>
      <c r="H397" s="17">
        <f ca="1">IFERROR(__xludf.DUMMYFUNCTION("""COMPUTED_VALUE"""),0.361055627011399)</f>
        <v>0.36105562701139898</v>
      </c>
      <c r="I397" s="17">
        <f ca="1">IFERROR(__xludf.DUMMYFUNCTION("""COMPUTED_VALUE"""),0.138356291953191)</f>
        <v>0.13835629195319099</v>
      </c>
      <c r="J397" s="17">
        <f ca="1">IFERROR(__xludf.DUMMYFUNCTION("""COMPUTED_VALUE"""),0.285548248749136)</f>
        <v>0.28554824874913598</v>
      </c>
      <c r="K397" s="17" t="str">
        <f ca="1">IFERROR(__xludf.DUMMYFUNCTION("""COMPUTED_VALUE"""),"nan")</f>
        <v>nan</v>
      </c>
      <c r="L397" s="17">
        <f ca="1">IFERROR(__xludf.DUMMYFUNCTION("""COMPUTED_VALUE"""),0.2565781600376)</f>
        <v>0.25657816003759998</v>
      </c>
      <c r="M397" s="17">
        <f ca="1">IFERROR(__xludf.DUMMYFUNCTION("""COMPUTED_VALUE"""),0.322713030373508)</f>
        <v>0.32271303037350801</v>
      </c>
      <c r="N397" s="17">
        <f ca="1">IFERROR(__xludf.DUMMYFUNCTION("""COMPUTED_VALUE"""),0.274107032454438)</f>
        <v>0.27410703245443802</v>
      </c>
      <c r="O397" s="17">
        <f ca="1">IFERROR(__xludf.DUMMYFUNCTION("""COMPUTED_VALUE"""),0.287767292688066)</f>
        <v>0.287767292688066</v>
      </c>
      <c r="P397" s="17">
        <f ca="1">IFERROR(__xludf.DUMMYFUNCTION("""COMPUTED_VALUE"""),0.817270985789161)</f>
        <v>0.81727098578916102</v>
      </c>
      <c r="Q397" s="17">
        <f ca="1">IFERROR(__xludf.DUMMYFUNCTION("""COMPUTED_VALUE"""),0.568976442235357)</f>
        <v>0.56897644223535704</v>
      </c>
      <c r="R397" s="17">
        <f ca="1">IFERROR(__xludf.DUMMYFUNCTION("""COMPUTED_VALUE"""),0.619979312150391)</f>
        <v>0.61997931215039104</v>
      </c>
      <c r="S397" s="17">
        <f ca="1">IFERROR(__xludf.DUMMYFUNCTION("""COMPUTED_VALUE"""),0.42979737455079)</f>
        <v>0.42979737455078998</v>
      </c>
      <c r="T397" s="17">
        <f ca="1">IFERROR(__xludf.DUMMYFUNCTION("""COMPUTED_VALUE"""),0.45444029875266)</f>
        <v>0.45444029875266001</v>
      </c>
      <c r="U397" s="17">
        <f ca="1">IFERROR(__xludf.DUMMYFUNCTION("""COMPUTED_VALUE"""),0.216056749473511)</f>
        <v>0.216056749473511</v>
      </c>
      <c r="V397" s="17">
        <f ca="1">IFERROR(__xludf.DUMMYFUNCTION("""COMPUTED_VALUE"""),0.208955605455675)</f>
        <v>0.20895560545567499</v>
      </c>
      <c r="W397" s="17">
        <f ca="1">IFERROR(__xludf.DUMMYFUNCTION("""COMPUTED_VALUE"""),0.333044013355486)</f>
        <v>0.333044013355486</v>
      </c>
      <c r="X397" s="17">
        <f ca="1">IFERROR(__xludf.DUMMYFUNCTION("""COMPUTED_VALUE"""),0.428250722506095)</f>
        <v>0.42825072250609503</v>
      </c>
      <c r="Y397" s="17">
        <f ca="1">IFERROR(__xludf.DUMMYFUNCTION("""COMPUTED_VALUE"""),0.287979166045383)</f>
        <v>0.28797916604538298</v>
      </c>
      <c r="Z397" s="17">
        <f ca="1">IFERROR(__xludf.DUMMYFUNCTION("""COMPUTED_VALUE"""),0.212453030745282)</f>
        <v>0.21245303074528199</v>
      </c>
      <c r="AA397" s="17">
        <f ca="1">IFERROR(__xludf.DUMMYFUNCTION("""COMPUTED_VALUE"""),0.105023354230424)</f>
        <v>0.105023354230424</v>
      </c>
      <c r="AB397" s="17">
        <f ca="1">IFERROR(__xludf.DUMMYFUNCTION("""COMPUTED_VALUE"""),0.317448190124732)</f>
        <v>0.31744819012473202</v>
      </c>
      <c r="AC397" s="17">
        <f ca="1">IFERROR(__xludf.DUMMYFUNCTION("""COMPUTED_VALUE"""),0.585654979206923)</f>
        <v>0.585654979206923</v>
      </c>
      <c r="AD397" s="17">
        <f ca="1">IFERROR(__xludf.DUMMYFUNCTION("""COMPUTED_VALUE"""),0.310645766425839)</f>
        <v>0.31064576642583902</v>
      </c>
      <c r="AE397" s="17">
        <f ca="1">IFERROR(__xludf.DUMMYFUNCTION("""COMPUTED_VALUE"""),0.798102421702829)</f>
        <v>0.79810242170282897</v>
      </c>
      <c r="AF397" s="17">
        <f ca="1">IFERROR(__xludf.DUMMYFUNCTION("""COMPUTED_VALUE"""),0.243785295850484)</f>
        <v>0.243785295850484</v>
      </c>
      <c r="AG397" s="17">
        <f ca="1">IFERROR(__xludf.DUMMYFUNCTION("""COMPUTED_VALUE"""),1.29241805147542)</f>
        <v>1.29241805147542</v>
      </c>
      <c r="AH397" s="17">
        <f ca="1">IFERROR(__xludf.DUMMYFUNCTION("""COMPUTED_VALUE"""),0.432863792559058)</f>
        <v>0.43286379255905799</v>
      </c>
      <c r="AI397" s="17">
        <f ca="1">IFERROR(__xludf.DUMMYFUNCTION("""COMPUTED_VALUE"""),0.250809174484928)</f>
        <v>0.25080917448492801</v>
      </c>
      <c r="AJ397" s="17">
        <f ca="1">IFERROR(__xludf.DUMMYFUNCTION("""COMPUTED_VALUE"""),0.609958366384817)</f>
        <v>0.60995836638481704</v>
      </c>
    </row>
    <row r="398" spans="2:36" ht="15.75" customHeight="1" x14ac:dyDescent="0.45">
      <c r="B398" s="10" t="str">
        <f ca="1">IFERROR(__xludf.DUMMYFUNCTION("""COMPUTED_VALUE"""),"GunPointOldVersusYoung")</f>
        <v>GunPointOldVersusYoung</v>
      </c>
      <c r="C398" s="10" t="str">
        <f ca="1">IFERROR(__xludf.DUMMYFUNCTION("""COMPUTED_VALUE"""),"aligned_timestamps")</f>
        <v>aligned_timestamps</v>
      </c>
      <c r="D398" s="10">
        <f ca="1">IFERROR(__xludf.DUMMYFUNCTION("""COMPUTED_VALUE"""),0.2)</f>
        <v>0.2</v>
      </c>
      <c r="E398" s="17">
        <f ca="1">IFERROR(__xludf.DUMMYFUNCTION("""COMPUTED_VALUE"""),0.815767607936785)</f>
        <v>0.81576760793678504</v>
      </c>
      <c r="F398" s="17">
        <f ca="1">IFERROR(__xludf.DUMMYFUNCTION("""COMPUTED_VALUE"""),0.430654840748601)</f>
        <v>0.430654840748601</v>
      </c>
      <c r="G398" s="17">
        <f ca="1">IFERROR(__xludf.DUMMYFUNCTION("""COMPUTED_VALUE"""),0.432965383121036)</f>
        <v>0.432965383121036</v>
      </c>
      <c r="H398" s="17">
        <f ca="1">IFERROR(__xludf.DUMMYFUNCTION("""COMPUTED_VALUE"""),0.497084740523338)</f>
        <v>0.49708474052333801</v>
      </c>
      <c r="I398" s="17">
        <f ca="1">IFERROR(__xludf.DUMMYFUNCTION("""COMPUTED_VALUE"""),0.204744077049091)</f>
        <v>0.20474407704909101</v>
      </c>
      <c r="J398" s="17">
        <f ca="1">IFERROR(__xludf.DUMMYFUNCTION("""COMPUTED_VALUE"""),0.427604986893772)</f>
        <v>0.42760498689377202</v>
      </c>
      <c r="K398" s="17" t="str">
        <f ca="1">IFERROR(__xludf.DUMMYFUNCTION("""COMPUTED_VALUE"""),"nan")</f>
        <v>nan</v>
      </c>
      <c r="L398" s="17">
        <f ca="1">IFERROR(__xludf.DUMMYFUNCTION("""COMPUTED_VALUE"""),0.352796046921243)</f>
        <v>0.352796046921243</v>
      </c>
      <c r="M398" s="17">
        <f ca="1">IFERROR(__xludf.DUMMYFUNCTION("""COMPUTED_VALUE"""),0.469068754351977)</f>
        <v>0.46906875435197698</v>
      </c>
      <c r="N398" s="17">
        <f ca="1">IFERROR(__xludf.DUMMYFUNCTION("""COMPUTED_VALUE"""),0.505077377196653)</f>
        <v>0.50507737719665302</v>
      </c>
      <c r="O398" s="17">
        <f ca="1">IFERROR(__xludf.DUMMYFUNCTION("""COMPUTED_VALUE"""),0.379095056748831)</f>
        <v>0.37909505674883098</v>
      </c>
      <c r="P398" s="17">
        <f ca="1">IFERROR(__xludf.DUMMYFUNCTION("""COMPUTED_VALUE"""),0.95138321945765)</f>
        <v>0.95138321945765003</v>
      </c>
      <c r="Q398" s="17">
        <f ca="1">IFERROR(__xludf.DUMMYFUNCTION("""COMPUTED_VALUE"""),0.873684194388521)</f>
        <v>0.87368419438852096</v>
      </c>
      <c r="R398" s="17">
        <f ca="1">IFERROR(__xludf.DUMMYFUNCTION("""COMPUTED_VALUE"""),0.667344292838716)</f>
        <v>0.66734429283871599</v>
      </c>
      <c r="S398" s="17">
        <f ca="1">IFERROR(__xludf.DUMMYFUNCTION("""COMPUTED_VALUE"""),0.478568444374917)</f>
        <v>0.47856844437491702</v>
      </c>
      <c r="T398" s="17">
        <f ca="1">IFERROR(__xludf.DUMMYFUNCTION("""COMPUTED_VALUE"""),0.557464377687451)</f>
        <v>0.55746437768745105</v>
      </c>
      <c r="U398" s="17">
        <f ca="1">IFERROR(__xludf.DUMMYFUNCTION("""COMPUTED_VALUE"""),0.370594258125354)</f>
        <v>0.37059425812535401</v>
      </c>
      <c r="V398" s="17">
        <f ca="1">IFERROR(__xludf.DUMMYFUNCTION("""COMPUTED_VALUE"""),0.324981110233561)</f>
        <v>0.32498111023356102</v>
      </c>
      <c r="W398" s="17">
        <f ca="1">IFERROR(__xludf.DUMMYFUNCTION("""COMPUTED_VALUE"""),0.549714816409746)</f>
        <v>0.54971481640974595</v>
      </c>
      <c r="X398" s="17">
        <f ca="1">IFERROR(__xludf.DUMMYFUNCTION("""COMPUTED_VALUE"""),0.441344995664356)</f>
        <v>0.44134499566435598</v>
      </c>
      <c r="Y398" s="17">
        <f ca="1">IFERROR(__xludf.DUMMYFUNCTION("""COMPUTED_VALUE"""),0.384854639379734)</f>
        <v>0.38485463937973402</v>
      </c>
      <c r="Z398" s="17">
        <f ca="1">IFERROR(__xludf.DUMMYFUNCTION("""COMPUTED_VALUE"""),0.427509645377101)</f>
        <v>0.42750964537710101</v>
      </c>
      <c r="AA398" s="17">
        <f ca="1">IFERROR(__xludf.DUMMYFUNCTION("""COMPUTED_VALUE"""),0.218591623679148)</f>
        <v>0.218591623679148</v>
      </c>
      <c r="AB398" s="17">
        <f ca="1">IFERROR(__xludf.DUMMYFUNCTION("""COMPUTED_VALUE"""),0.442736793823751)</f>
        <v>0.44273679382375097</v>
      </c>
      <c r="AC398" s="17">
        <f ca="1">IFERROR(__xludf.DUMMYFUNCTION("""COMPUTED_VALUE"""),1.08358590910188)</f>
        <v>1.08358590910188</v>
      </c>
      <c r="AD398" s="17">
        <f ca="1">IFERROR(__xludf.DUMMYFUNCTION("""COMPUTED_VALUE"""),0.510658488326876)</f>
        <v>0.51065848832687599</v>
      </c>
      <c r="AE398" s="17">
        <f ca="1">IFERROR(__xludf.DUMMYFUNCTION("""COMPUTED_VALUE"""),0.890894139605082)</f>
        <v>0.89089413960508201</v>
      </c>
      <c r="AF398" s="17">
        <f ca="1">IFERROR(__xludf.DUMMYFUNCTION("""COMPUTED_VALUE"""),0.480269508814672)</f>
        <v>0.48026950881467201</v>
      </c>
      <c r="AG398" s="17">
        <f ca="1">IFERROR(__xludf.DUMMYFUNCTION("""COMPUTED_VALUE"""),1.30869753111761)</f>
        <v>1.3086975311176099</v>
      </c>
      <c r="AH398" s="17">
        <f ca="1">IFERROR(__xludf.DUMMYFUNCTION("""COMPUTED_VALUE"""),0.523550335414841)</f>
        <v>0.52355033541484097</v>
      </c>
      <c r="AI398" s="17">
        <f ca="1">IFERROR(__xludf.DUMMYFUNCTION("""COMPUTED_VALUE"""),0.589202710994659)</f>
        <v>0.58920271099465904</v>
      </c>
      <c r="AJ398" s="17">
        <f ca="1">IFERROR(__xludf.DUMMYFUNCTION("""COMPUTED_VALUE"""),0.884970906078977)</f>
        <v>0.88497090607897699</v>
      </c>
    </row>
    <row r="399" spans="2:36" ht="15.75" customHeight="1" x14ac:dyDescent="0.45">
      <c r="B399" s="10" t="str">
        <f ca="1">IFERROR(__xludf.DUMMYFUNCTION("""COMPUTED_VALUE"""),"GunPointOldVersusYoung")</f>
        <v>GunPointOldVersusYoung</v>
      </c>
      <c r="C399" s="10" t="str">
        <f ca="1">IFERROR(__xludf.DUMMYFUNCTION("""COMPUTED_VALUE"""),"aligned_timestamps")</f>
        <v>aligned_timestamps</v>
      </c>
      <c r="D399" s="10">
        <f ca="1">IFERROR(__xludf.DUMMYFUNCTION("""COMPUTED_VALUE"""),0.4)</f>
        <v>0.4</v>
      </c>
      <c r="E399" s="17">
        <f ca="1">IFERROR(__xludf.DUMMYFUNCTION("""COMPUTED_VALUE"""),1.08113351274609)</f>
        <v>1.0811335127460899</v>
      </c>
      <c r="F399" s="17">
        <f ca="1">IFERROR(__xludf.DUMMYFUNCTION("""COMPUTED_VALUE"""),0.52151072576823)</f>
        <v>0.52151072576822999</v>
      </c>
      <c r="G399" s="17">
        <f ca="1">IFERROR(__xludf.DUMMYFUNCTION("""COMPUTED_VALUE"""),0.530201108018722)</f>
        <v>0.530201108018722</v>
      </c>
      <c r="H399" s="17">
        <f ca="1">IFERROR(__xludf.DUMMYFUNCTION("""COMPUTED_VALUE"""),0.600697312967372)</f>
        <v>0.60069731296737205</v>
      </c>
      <c r="I399" s="17">
        <f ca="1">IFERROR(__xludf.DUMMYFUNCTION("""COMPUTED_VALUE"""),0.461381467708035)</f>
        <v>0.46138146770803501</v>
      </c>
      <c r="J399" s="17">
        <f ca="1">IFERROR(__xludf.DUMMYFUNCTION("""COMPUTED_VALUE"""),0.564898226823582)</f>
        <v>0.56489822682358204</v>
      </c>
      <c r="K399" s="17" t="str">
        <f ca="1">IFERROR(__xludf.DUMMYFUNCTION("""COMPUTED_VALUE"""),"nan")</f>
        <v>nan</v>
      </c>
      <c r="L399" s="17">
        <f ca="1">IFERROR(__xludf.DUMMYFUNCTION("""COMPUTED_VALUE"""),0.396026210968438)</f>
        <v>0.39602621096843799</v>
      </c>
      <c r="M399" s="17">
        <f ca="1">IFERROR(__xludf.DUMMYFUNCTION("""COMPUTED_VALUE"""),0.617575495019482)</f>
        <v>0.61757549501948195</v>
      </c>
      <c r="N399" s="17">
        <f ca="1">IFERROR(__xludf.DUMMYFUNCTION("""COMPUTED_VALUE"""),0.634920013780028)</f>
        <v>0.63492001378002805</v>
      </c>
      <c r="O399" s="17">
        <f ca="1">IFERROR(__xludf.DUMMYFUNCTION("""COMPUTED_VALUE"""),0.419689893407075)</f>
        <v>0.41968989340707502</v>
      </c>
      <c r="P399" s="17">
        <f ca="1">IFERROR(__xludf.DUMMYFUNCTION("""COMPUTED_VALUE"""),1.18376533384411)</f>
        <v>1.1837653338441101</v>
      </c>
      <c r="Q399" s="17">
        <f ca="1">IFERROR(__xludf.DUMMYFUNCTION("""COMPUTED_VALUE"""),0.94500780866926)</f>
        <v>0.94500780866926004</v>
      </c>
      <c r="R399" s="17">
        <f ca="1">IFERROR(__xludf.DUMMYFUNCTION("""COMPUTED_VALUE"""),1.40670843643941)</f>
        <v>1.40670843643941</v>
      </c>
      <c r="S399" s="17">
        <f ca="1">IFERROR(__xludf.DUMMYFUNCTION("""COMPUTED_VALUE"""),0.808788500725951)</f>
        <v>0.80878850072595099</v>
      </c>
      <c r="T399" s="17">
        <f ca="1">IFERROR(__xludf.DUMMYFUNCTION("""COMPUTED_VALUE"""),0.704984433867886)</f>
        <v>0.70498443386788601</v>
      </c>
      <c r="U399" s="17">
        <f ca="1">IFERROR(__xludf.DUMMYFUNCTION("""COMPUTED_VALUE"""),0.448047664322495)</f>
        <v>0.44804766432249499</v>
      </c>
      <c r="V399" s="17">
        <f ca="1">IFERROR(__xludf.DUMMYFUNCTION("""COMPUTED_VALUE"""),0.67342727981972)</f>
        <v>0.67342727981971995</v>
      </c>
      <c r="W399" s="17">
        <f ca="1">IFERROR(__xludf.DUMMYFUNCTION("""COMPUTED_VALUE"""),0.608791673822561)</f>
        <v>0.60879167382256105</v>
      </c>
      <c r="X399" s="17">
        <f ca="1">IFERROR(__xludf.DUMMYFUNCTION("""COMPUTED_VALUE"""),0.490492411378378)</f>
        <v>0.49049241137837801</v>
      </c>
      <c r="Y399" s="17">
        <f ca="1">IFERROR(__xludf.DUMMYFUNCTION("""COMPUTED_VALUE"""),0.708219674278908)</f>
        <v>0.70821967427890797</v>
      </c>
      <c r="Z399" s="17">
        <f ca="1">IFERROR(__xludf.DUMMYFUNCTION("""COMPUTED_VALUE"""),0.609512117330329)</f>
        <v>0.60951211733032895</v>
      </c>
      <c r="AA399" s="17">
        <f ca="1">IFERROR(__xludf.DUMMYFUNCTION("""COMPUTED_VALUE"""),0.480519403043564)</f>
        <v>0.480519403043564</v>
      </c>
      <c r="AB399" s="17">
        <f ca="1">IFERROR(__xludf.DUMMYFUNCTION("""COMPUTED_VALUE"""),1.22573922858109)</f>
        <v>1.22573922858109</v>
      </c>
      <c r="AC399" s="17">
        <f ca="1">IFERROR(__xludf.DUMMYFUNCTION("""COMPUTED_VALUE"""),0.909281016848031)</f>
        <v>0.90928101684803098</v>
      </c>
      <c r="AD399" s="17">
        <f ca="1">IFERROR(__xludf.DUMMYFUNCTION("""COMPUTED_VALUE"""),0.850998908167311)</f>
        <v>0.85099890816731105</v>
      </c>
      <c r="AE399" s="17">
        <f ca="1">IFERROR(__xludf.DUMMYFUNCTION("""COMPUTED_VALUE"""),1.01691821223359)</f>
        <v>1.01691821223359</v>
      </c>
      <c r="AF399" s="17">
        <f ca="1">IFERROR(__xludf.DUMMYFUNCTION("""COMPUTED_VALUE"""),0.802538182813308)</f>
        <v>0.80253818281330802</v>
      </c>
      <c r="AG399" s="17">
        <f ca="1">IFERROR(__xludf.DUMMYFUNCTION("""COMPUTED_VALUE"""),1.51520007481487)</f>
        <v>1.51520007481487</v>
      </c>
      <c r="AH399" s="17">
        <f ca="1">IFERROR(__xludf.DUMMYFUNCTION("""COMPUTED_VALUE"""),1.1856091141433)</f>
        <v>1.1856091141433001</v>
      </c>
      <c r="AI399" s="17">
        <f ca="1">IFERROR(__xludf.DUMMYFUNCTION("""COMPUTED_VALUE"""),1.42346130522508)</f>
        <v>1.42346130522508</v>
      </c>
      <c r="AJ399" s="17">
        <f ca="1">IFERROR(__xludf.DUMMYFUNCTION("""COMPUTED_VALUE"""),1.27770325674376)</f>
        <v>1.2777032567437601</v>
      </c>
    </row>
    <row r="400" spans="2:36" ht="15.75" customHeight="1" x14ac:dyDescent="0.45">
      <c r="B400" s="10" t="str">
        <f ca="1">IFERROR(__xludf.DUMMYFUNCTION("""COMPUTED_VALUE"""),"GunPointOldVersusYoung")</f>
        <v>GunPointOldVersusYoung</v>
      </c>
      <c r="C400" s="10" t="str">
        <f ca="1">IFERROR(__xludf.DUMMYFUNCTION("""COMPUTED_VALUE"""),"aligned_timestamps")</f>
        <v>aligned_timestamps</v>
      </c>
      <c r="D400" s="10">
        <f ca="1">IFERROR(__xludf.DUMMYFUNCTION("""COMPUTED_VALUE"""),0.6)</f>
        <v>0.6</v>
      </c>
      <c r="E400" s="17">
        <f ca="1">IFERROR(__xludf.DUMMYFUNCTION("""COMPUTED_VALUE"""),1.11252166985716)</f>
        <v>1.1125216698571601</v>
      </c>
      <c r="F400" s="17">
        <f ca="1">IFERROR(__xludf.DUMMYFUNCTION("""COMPUTED_VALUE"""),0.594425930304395)</f>
        <v>0.59442593030439494</v>
      </c>
      <c r="G400" s="17">
        <f ca="1">IFERROR(__xludf.DUMMYFUNCTION("""COMPUTED_VALUE"""),0.685540705828337)</f>
        <v>0.68554070582833704</v>
      </c>
      <c r="H400" s="17">
        <f ca="1">IFERROR(__xludf.DUMMYFUNCTION("""COMPUTED_VALUE"""),0.783663129777116)</f>
        <v>0.78366312977711605</v>
      </c>
      <c r="I400" s="17">
        <f ca="1">IFERROR(__xludf.DUMMYFUNCTION("""COMPUTED_VALUE"""),0.667128297524946)</f>
        <v>0.66712829752494596</v>
      </c>
      <c r="J400" s="17">
        <f ca="1">IFERROR(__xludf.DUMMYFUNCTION("""COMPUTED_VALUE"""),1.13232233153116)</f>
        <v>1.1323223315311599</v>
      </c>
      <c r="K400" s="17" t="str">
        <f ca="1">IFERROR(__xludf.DUMMYFUNCTION("""COMPUTED_VALUE"""),"nan")</f>
        <v>nan</v>
      </c>
      <c r="L400" s="17">
        <f ca="1">IFERROR(__xludf.DUMMYFUNCTION("""COMPUTED_VALUE"""),0.612608011248912)</f>
        <v>0.61260801124891195</v>
      </c>
      <c r="M400" s="17">
        <f ca="1">IFERROR(__xludf.DUMMYFUNCTION("""COMPUTED_VALUE"""),0.733543448259123)</f>
        <v>0.73354344825912299</v>
      </c>
      <c r="N400" s="17">
        <f ca="1">IFERROR(__xludf.DUMMYFUNCTION("""COMPUTED_VALUE"""),0.686401701202563)</f>
        <v>0.68640170120256305</v>
      </c>
      <c r="O400" s="17">
        <f ca="1">IFERROR(__xludf.DUMMYFUNCTION("""COMPUTED_VALUE"""),0.912194386951925)</f>
        <v>0.91219438695192501</v>
      </c>
      <c r="P400" s="17">
        <f ca="1">IFERROR(__xludf.DUMMYFUNCTION("""COMPUTED_VALUE"""),1.47523565639365)</f>
        <v>1.47523565639365</v>
      </c>
      <c r="Q400" s="17">
        <f ca="1">IFERROR(__xludf.DUMMYFUNCTION("""COMPUTED_VALUE"""),0.946473586031134)</f>
        <v>0.94647358603113396</v>
      </c>
      <c r="R400" s="17">
        <f ca="1">IFERROR(__xludf.DUMMYFUNCTION("""COMPUTED_VALUE"""),1.23076804609888)</f>
        <v>1.2307680460988799</v>
      </c>
      <c r="S400" s="17">
        <f ca="1">IFERROR(__xludf.DUMMYFUNCTION("""COMPUTED_VALUE"""),1.15850676230521)</f>
        <v>1.1585067623052101</v>
      </c>
      <c r="T400" s="17">
        <f ca="1">IFERROR(__xludf.DUMMYFUNCTION("""COMPUTED_VALUE"""),0.874032361166356)</f>
        <v>0.87403236116635596</v>
      </c>
      <c r="U400" s="17">
        <f ca="1">IFERROR(__xludf.DUMMYFUNCTION("""COMPUTED_VALUE"""),0.649533952545788)</f>
        <v>0.64953395254578805</v>
      </c>
      <c r="V400" s="17">
        <f ca="1">IFERROR(__xludf.DUMMYFUNCTION("""COMPUTED_VALUE"""),1.06675587709987)</f>
        <v>1.06675587709987</v>
      </c>
      <c r="W400" s="17">
        <f ca="1">IFERROR(__xludf.DUMMYFUNCTION("""COMPUTED_VALUE"""),0.804570691127912)</f>
        <v>0.80457069112791202</v>
      </c>
      <c r="X400" s="17">
        <f ca="1">IFERROR(__xludf.DUMMYFUNCTION("""COMPUTED_VALUE"""),0.586284716627575)</f>
        <v>0.58628471662757498</v>
      </c>
      <c r="Y400" s="17">
        <f ca="1">IFERROR(__xludf.DUMMYFUNCTION("""COMPUTED_VALUE"""),1.35705153284886)</f>
        <v>1.3570515328488599</v>
      </c>
      <c r="Z400" s="17">
        <f ca="1">IFERROR(__xludf.DUMMYFUNCTION("""COMPUTED_VALUE"""),1.00702707534497)</f>
        <v>1.0070270753449699</v>
      </c>
      <c r="AA400" s="17">
        <f ca="1">IFERROR(__xludf.DUMMYFUNCTION("""COMPUTED_VALUE"""),0.729481706062928)</f>
        <v>0.72948170606292795</v>
      </c>
      <c r="AB400" s="17">
        <f ca="1">IFERROR(__xludf.DUMMYFUNCTION("""COMPUTED_VALUE"""),1.55115057058748)</f>
        <v>1.55115057058748</v>
      </c>
      <c r="AC400" s="17">
        <f ca="1">IFERROR(__xludf.DUMMYFUNCTION("""COMPUTED_VALUE"""),1.03689667892123)</f>
        <v>1.0368966789212299</v>
      </c>
      <c r="AD400" s="17">
        <f ca="1">IFERROR(__xludf.DUMMYFUNCTION("""COMPUTED_VALUE"""),1.02957738863375)</f>
        <v>1.02957738863375</v>
      </c>
      <c r="AE400" s="17">
        <f ca="1">IFERROR(__xludf.DUMMYFUNCTION("""COMPUTED_VALUE"""),1.26410652025194)</f>
        <v>1.2641065202519399</v>
      </c>
      <c r="AF400" s="17">
        <f ca="1">IFERROR(__xludf.DUMMYFUNCTION("""COMPUTED_VALUE"""),1.39649436759041)</f>
        <v>1.39649436759041</v>
      </c>
      <c r="AG400" s="17">
        <f ca="1">IFERROR(__xludf.DUMMYFUNCTION("""COMPUTED_VALUE"""),1.2372785277354)</f>
        <v>1.2372785277353999</v>
      </c>
      <c r="AH400" s="17">
        <f ca="1">IFERROR(__xludf.DUMMYFUNCTION("""COMPUTED_VALUE"""),1.12162468924741)</f>
        <v>1.12162468924741</v>
      </c>
      <c r="AI400" s="17" t="str">
        <f ca="1">IFERROR(__xludf.DUMMYFUNCTION("""COMPUTED_VALUE"""),"nan")</f>
        <v>nan</v>
      </c>
      <c r="AJ400" s="17">
        <f ca="1">IFERROR(__xludf.DUMMYFUNCTION("""COMPUTED_VALUE"""),1.20945693211727)</f>
        <v>1.2094569321172699</v>
      </c>
    </row>
    <row r="401" spans="2:36" ht="15.75" customHeight="1" x14ac:dyDescent="0.45">
      <c r="B401" s="10" t="str">
        <f ca="1">IFERROR(__xludf.DUMMYFUNCTION("""COMPUTED_VALUE"""),"GunPointOldVersusYoung")</f>
        <v>GunPointOldVersusYoung</v>
      </c>
      <c r="C401" s="10" t="str">
        <f ca="1">IFERROR(__xludf.DUMMYFUNCTION("""COMPUTED_VALUE"""),"aligned_timestamps")</f>
        <v>aligned_timestamps</v>
      </c>
      <c r="D401" s="10">
        <f ca="1">IFERROR(__xludf.DUMMYFUNCTION("""COMPUTED_VALUE"""),0.8)</f>
        <v>0.8</v>
      </c>
      <c r="E401" s="17">
        <f ca="1">IFERROR(__xludf.DUMMYFUNCTION("""COMPUTED_VALUE"""),1.01696068691202)</f>
        <v>1.01696068691202</v>
      </c>
      <c r="F401" s="17">
        <f ca="1">IFERROR(__xludf.DUMMYFUNCTION("""COMPUTED_VALUE"""),0.635045191319036)</f>
        <v>0.63504519131903603</v>
      </c>
      <c r="G401" s="17">
        <f ca="1">IFERROR(__xludf.DUMMYFUNCTION("""COMPUTED_VALUE"""),0.795036870313875)</f>
        <v>0.79503687031387504</v>
      </c>
      <c r="H401" s="17">
        <f ca="1">IFERROR(__xludf.DUMMYFUNCTION("""COMPUTED_VALUE"""),0.862946562096053)</f>
        <v>0.86294656209605303</v>
      </c>
      <c r="I401" s="17">
        <f ca="1">IFERROR(__xludf.DUMMYFUNCTION("""COMPUTED_VALUE"""),0.698044152294166)</f>
        <v>0.69804415229416605</v>
      </c>
      <c r="J401" s="17">
        <f ca="1">IFERROR(__xludf.DUMMYFUNCTION("""COMPUTED_VALUE"""),1.17667699597117)</f>
        <v>1.17667699597117</v>
      </c>
      <c r="K401" s="17" t="str">
        <f ca="1">IFERROR(__xludf.DUMMYFUNCTION("""COMPUTED_VALUE"""),"nan")</f>
        <v>nan</v>
      </c>
      <c r="L401" s="17">
        <f ca="1">IFERROR(__xludf.DUMMYFUNCTION("""COMPUTED_VALUE"""),0.638389063652161)</f>
        <v>0.63838906365216097</v>
      </c>
      <c r="M401" s="17">
        <f ca="1">IFERROR(__xludf.DUMMYFUNCTION("""COMPUTED_VALUE"""),1.49416124876789)</f>
        <v>1.4941612487678899</v>
      </c>
      <c r="N401" s="17">
        <f ca="1">IFERROR(__xludf.DUMMYFUNCTION("""COMPUTED_VALUE"""),0.974852496949468)</f>
        <v>0.97485249694946796</v>
      </c>
      <c r="O401" s="17">
        <f ca="1">IFERROR(__xludf.DUMMYFUNCTION("""COMPUTED_VALUE"""),0.905092093563003)</f>
        <v>0.90509209356300302</v>
      </c>
      <c r="P401" s="17">
        <f ca="1">IFERROR(__xludf.DUMMYFUNCTION("""COMPUTED_VALUE"""),1.54087283198617)</f>
        <v>1.54087283198617</v>
      </c>
      <c r="Q401" s="17">
        <f ca="1">IFERROR(__xludf.DUMMYFUNCTION("""COMPUTED_VALUE"""),0.891513527609825)</f>
        <v>0.89151352760982505</v>
      </c>
      <c r="R401" s="17">
        <f ca="1">IFERROR(__xludf.DUMMYFUNCTION("""COMPUTED_VALUE"""),1.71434802176168)</f>
        <v>1.71434802176168</v>
      </c>
      <c r="S401" s="17">
        <f ca="1">IFERROR(__xludf.DUMMYFUNCTION("""COMPUTED_VALUE"""),1.45517156369955)</f>
        <v>1.4551715636995499</v>
      </c>
      <c r="T401" s="17">
        <f ca="1">IFERROR(__xludf.DUMMYFUNCTION("""COMPUTED_VALUE"""),0.880120426263497)</f>
        <v>0.88012042626349696</v>
      </c>
      <c r="U401" s="17">
        <f ca="1">IFERROR(__xludf.DUMMYFUNCTION("""COMPUTED_VALUE"""),0.700853356744444)</f>
        <v>0.70085335674444404</v>
      </c>
      <c r="V401" s="17">
        <f ca="1">IFERROR(__xludf.DUMMYFUNCTION("""COMPUTED_VALUE"""),1.19787065169669)</f>
        <v>1.1978706516966899</v>
      </c>
      <c r="W401" s="17">
        <f ca="1">IFERROR(__xludf.DUMMYFUNCTION("""COMPUTED_VALUE"""),0.965536162804792)</f>
        <v>0.96553616280479204</v>
      </c>
      <c r="X401" s="17">
        <f ca="1">IFERROR(__xludf.DUMMYFUNCTION("""COMPUTED_VALUE"""),0.6410125392561)</f>
        <v>0.64101253925610002</v>
      </c>
      <c r="Y401" s="17">
        <f ca="1">IFERROR(__xludf.DUMMYFUNCTION("""COMPUTED_VALUE"""),0.99607507057359)</f>
        <v>0.99607507057359002</v>
      </c>
      <c r="Z401" s="17">
        <f ca="1">IFERROR(__xludf.DUMMYFUNCTION("""COMPUTED_VALUE"""),0.956671236526482)</f>
        <v>0.95667123652648201</v>
      </c>
      <c r="AA401" s="17">
        <f ca="1">IFERROR(__xludf.DUMMYFUNCTION("""COMPUTED_VALUE"""),1.02942703158879)</f>
        <v>1.0294270315887899</v>
      </c>
      <c r="AB401" s="17">
        <f ca="1">IFERROR(__xludf.DUMMYFUNCTION("""COMPUTED_VALUE"""),1.6039571889579)</f>
        <v>1.6039571889579001</v>
      </c>
      <c r="AC401" s="17">
        <f ca="1">IFERROR(__xludf.DUMMYFUNCTION("""COMPUTED_VALUE"""),1.06689825214656)</f>
        <v>1.06689825214656</v>
      </c>
      <c r="AD401" s="17">
        <f ca="1">IFERROR(__xludf.DUMMYFUNCTION("""COMPUTED_VALUE"""),0.941550421435881)</f>
        <v>0.94155042143588097</v>
      </c>
      <c r="AE401" s="17">
        <f ca="1">IFERROR(__xludf.DUMMYFUNCTION("""COMPUTED_VALUE"""),1.70939270438833)</f>
        <v>1.7093927043883299</v>
      </c>
      <c r="AF401" s="17">
        <f ca="1">IFERROR(__xludf.DUMMYFUNCTION("""COMPUTED_VALUE"""),1.5013310737791)</f>
        <v>1.5013310737790999</v>
      </c>
      <c r="AG401" s="17">
        <f ca="1">IFERROR(__xludf.DUMMYFUNCTION("""COMPUTED_VALUE"""),1.1528670301844)</f>
        <v>1.1528670301844</v>
      </c>
      <c r="AH401" s="17">
        <f ca="1">IFERROR(__xludf.DUMMYFUNCTION("""COMPUTED_VALUE"""),1.05269888790008)</f>
        <v>1.05269888790008</v>
      </c>
      <c r="AI401" s="17">
        <f ca="1">IFERROR(__xludf.DUMMYFUNCTION("""COMPUTED_VALUE"""),1.1324181596098)</f>
        <v>1.1324181596098</v>
      </c>
      <c r="AJ401" s="17">
        <f ca="1">IFERROR(__xludf.DUMMYFUNCTION("""COMPUTED_VALUE"""),1.26195511047298)</f>
        <v>1.26195511047298</v>
      </c>
    </row>
    <row r="402" spans="2:36" ht="15.75" customHeight="1" x14ac:dyDescent="0.45">
      <c r="B402" s="10" t="str">
        <f ca="1">IFERROR(__xludf.DUMMYFUNCTION("""COMPUTED_VALUE"""),"GunPointOldVersusYoung")</f>
        <v>GunPointOldVersusYoung</v>
      </c>
      <c r="C402" s="10" t="str">
        <f ca="1">IFERROR(__xludf.DUMMYFUNCTION("""COMPUTED_VALUE"""),"mcar")</f>
        <v>mcar</v>
      </c>
      <c r="D402" s="10">
        <f ca="1">IFERROR(__xludf.DUMMYFUNCTION("""COMPUTED_VALUE"""),0.1)</f>
        <v>0.1</v>
      </c>
      <c r="E402" s="17">
        <f ca="1">IFERROR(__xludf.DUMMYFUNCTION("""COMPUTED_VALUE"""),0.942683247720796)</f>
        <v>0.94268324772079604</v>
      </c>
      <c r="F402" s="17">
        <f ca="1">IFERROR(__xludf.DUMMYFUNCTION("""COMPUTED_VALUE"""),0.454447336255948)</f>
        <v>0.45444733625594802</v>
      </c>
      <c r="G402" s="17">
        <f ca="1">IFERROR(__xludf.DUMMYFUNCTION("""COMPUTED_VALUE"""),0.458317272900081)</f>
        <v>0.45831727290008101</v>
      </c>
      <c r="H402" s="17">
        <f ca="1">IFERROR(__xludf.DUMMYFUNCTION("""COMPUTED_VALUE"""),0.466678594559277)</f>
        <v>0.46667859455927702</v>
      </c>
      <c r="I402" s="17">
        <f ca="1">IFERROR(__xludf.DUMMYFUNCTION("""COMPUTED_VALUE"""),0.123685683692261)</f>
        <v>0.123685683692261</v>
      </c>
      <c r="J402" s="17">
        <f ca="1">IFERROR(__xludf.DUMMYFUNCTION("""COMPUTED_VALUE"""),0.293794219756325)</f>
        <v>0.29379421975632503</v>
      </c>
      <c r="K402" s="17" t="str">
        <f ca="1">IFERROR(__xludf.DUMMYFUNCTION("""COMPUTED_VALUE"""),"nan")</f>
        <v>nan</v>
      </c>
      <c r="L402" s="17">
        <f ca="1">IFERROR(__xludf.DUMMYFUNCTION("""COMPUTED_VALUE"""),0.216845564052553)</f>
        <v>0.21684556405255301</v>
      </c>
      <c r="M402" s="17">
        <f ca="1">IFERROR(__xludf.DUMMYFUNCTION("""COMPUTED_VALUE"""),0.494447735442134)</f>
        <v>0.494447735442134</v>
      </c>
      <c r="N402" s="17">
        <f ca="1">IFERROR(__xludf.DUMMYFUNCTION("""COMPUTED_VALUE"""),0.247302071446482)</f>
        <v>0.247302071446482</v>
      </c>
      <c r="O402" s="17">
        <f ca="1">IFERROR(__xludf.DUMMYFUNCTION("""COMPUTED_VALUE"""),0.233440201580883)</f>
        <v>0.23344020158088299</v>
      </c>
      <c r="P402" s="17">
        <f ca="1">IFERROR(__xludf.DUMMYFUNCTION("""COMPUTED_VALUE"""),0.572264519226042)</f>
        <v>0.57226451922604205</v>
      </c>
      <c r="Q402" s="17">
        <f ca="1">IFERROR(__xludf.DUMMYFUNCTION("""COMPUTED_VALUE"""),0.75328316518647)</f>
        <v>0.75328316518646998</v>
      </c>
      <c r="R402" s="17">
        <f ca="1">IFERROR(__xludf.DUMMYFUNCTION("""COMPUTED_VALUE"""),0.127282323667917)</f>
        <v>0.127282323667917</v>
      </c>
      <c r="S402" s="17">
        <f ca="1">IFERROR(__xludf.DUMMYFUNCTION("""COMPUTED_VALUE"""),0.436371118809486)</f>
        <v>0.43637111880948598</v>
      </c>
      <c r="T402" s="17">
        <f ca="1">IFERROR(__xludf.DUMMYFUNCTION("""COMPUTED_VALUE"""),0.17438491502663)</f>
        <v>0.17438491502663001</v>
      </c>
      <c r="U402" s="17">
        <f ca="1">IFERROR(__xludf.DUMMYFUNCTION("""COMPUTED_VALUE"""),0.231806175055088)</f>
        <v>0.23180617505508799</v>
      </c>
      <c r="V402" s="17">
        <f ca="1">IFERROR(__xludf.DUMMYFUNCTION("""COMPUTED_VALUE"""),0.17073578828671)</f>
        <v>0.17073578828670999</v>
      </c>
      <c r="W402" s="17">
        <f ca="1">IFERROR(__xludf.DUMMYFUNCTION("""COMPUTED_VALUE"""),0.259937806381661)</f>
        <v>0.25993780638166097</v>
      </c>
      <c r="X402" s="17">
        <f ca="1">IFERROR(__xludf.DUMMYFUNCTION("""COMPUTED_VALUE"""),0.366987234924597)</f>
        <v>0.36698723492459701</v>
      </c>
      <c r="Y402" s="17">
        <f ca="1">IFERROR(__xludf.DUMMYFUNCTION("""COMPUTED_VALUE"""),0.191629119218034)</f>
        <v>0.19162911921803399</v>
      </c>
      <c r="Z402" s="17">
        <f ca="1">IFERROR(__xludf.DUMMYFUNCTION("""COMPUTED_VALUE"""),0.287083477833475)</f>
        <v>0.28708347783347499</v>
      </c>
      <c r="AA402" s="17">
        <f ca="1">IFERROR(__xludf.DUMMYFUNCTION("""COMPUTED_VALUE"""),0.0933077488188164)</f>
        <v>9.3307748818816399E-2</v>
      </c>
      <c r="AB402" s="17">
        <f ca="1">IFERROR(__xludf.DUMMYFUNCTION("""COMPUTED_VALUE"""),0.202847336014076)</f>
        <v>0.20284733601407601</v>
      </c>
      <c r="AC402" s="17">
        <f ca="1">IFERROR(__xludf.DUMMYFUNCTION("""COMPUTED_VALUE"""),0.432626460826265)</f>
        <v>0.43262646082626499</v>
      </c>
      <c r="AD402" s="17">
        <f ca="1">IFERROR(__xludf.DUMMYFUNCTION("""COMPUTED_VALUE"""),0.223465948264244)</f>
        <v>0.22346594826424401</v>
      </c>
      <c r="AE402" s="17">
        <f ca="1">IFERROR(__xludf.DUMMYFUNCTION("""COMPUTED_VALUE"""),0.447178978316284)</f>
        <v>0.447178978316284</v>
      </c>
      <c r="AF402" s="17">
        <f ca="1">IFERROR(__xludf.DUMMYFUNCTION("""COMPUTED_VALUE"""),0.351895379752972)</f>
        <v>0.35189537975297203</v>
      </c>
      <c r="AG402" s="17">
        <f ca="1">IFERROR(__xludf.DUMMYFUNCTION("""COMPUTED_VALUE"""),0.917263883104216)</f>
        <v>0.91726388310421603</v>
      </c>
      <c r="AH402" s="17">
        <f ca="1">IFERROR(__xludf.DUMMYFUNCTION("""COMPUTED_VALUE"""),0.226990518211099)</f>
        <v>0.226990518211099</v>
      </c>
      <c r="AI402" s="17">
        <f ca="1">IFERROR(__xludf.DUMMYFUNCTION("""COMPUTED_VALUE"""),0.312810363221538)</f>
        <v>0.31281036322153799</v>
      </c>
      <c r="AJ402" s="17">
        <f ca="1">IFERROR(__xludf.DUMMYFUNCTION("""COMPUTED_VALUE"""),0.417987822224837)</f>
        <v>0.41798782222483699</v>
      </c>
    </row>
    <row r="403" spans="2:36" ht="15.75" customHeight="1" x14ac:dyDescent="0.45">
      <c r="B403" s="10" t="str">
        <f ca="1">IFERROR(__xludf.DUMMYFUNCTION("""COMPUTED_VALUE"""),"GunPointOldVersusYoung")</f>
        <v>GunPointOldVersusYoung</v>
      </c>
      <c r="C403" s="10" t="str">
        <f ca="1">IFERROR(__xludf.DUMMYFUNCTION("""COMPUTED_VALUE"""),"mcar")</f>
        <v>mcar</v>
      </c>
      <c r="D403" s="10">
        <f ca="1">IFERROR(__xludf.DUMMYFUNCTION("""COMPUTED_VALUE"""),0.2)</f>
        <v>0.2</v>
      </c>
      <c r="E403" s="17">
        <f ca="1">IFERROR(__xludf.DUMMYFUNCTION("""COMPUTED_VALUE"""),1.02073503523823)</f>
        <v>1.0207350352382301</v>
      </c>
      <c r="F403" s="17">
        <f ca="1">IFERROR(__xludf.DUMMYFUNCTION("""COMPUTED_VALUE"""),0.450034421771922)</f>
        <v>0.45003442177192199</v>
      </c>
      <c r="G403" s="17">
        <f ca="1">IFERROR(__xludf.DUMMYFUNCTION("""COMPUTED_VALUE"""),0.44636828387486)</f>
        <v>0.44636828387485999</v>
      </c>
      <c r="H403" s="17">
        <f ca="1">IFERROR(__xludf.DUMMYFUNCTION("""COMPUTED_VALUE"""),0.473792594893182)</f>
        <v>0.47379259489318198</v>
      </c>
      <c r="I403" s="17">
        <f ca="1">IFERROR(__xludf.DUMMYFUNCTION("""COMPUTED_VALUE"""),0.165450558870021)</f>
        <v>0.165450558870021</v>
      </c>
      <c r="J403" s="17">
        <f ca="1">IFERROR(__xludf.DUMMYFUNCTION("""COMPUTED_VALUE"""),0.302181112852198)</f>
        <v>0.30218111285219801</v>
      </c>
      <c r="K403" s="17" t="str">
        <f ca="1">IFERROR(__xludf.DUMMYFUNCTION("""COMPUTED_VALUE"""),"nan")</f>
        <v>nan</v>
      </c>
      <c r="L403" s="17">
        <f ca="1">IFERROR(__xludf.DUMMYFUNCTION("""COMPUTED_VALUE"""),0.250198420479708)</f>
        <v>0.25019842047970797</v>
      </c>
      <c r="M403" s="17">
        <f ca="1">IFERROR(__xludf.DUMMYFUNCTION("""COMPUTED_VALUE"""),0.482019630219557)</f>
        <v>0.48201963021955702</v>
      </c>
      <c r="N403" s="17">
        <f ca="1">IFERROR(__xludf.DUMMYFUNCTION("""COMPUTED_VALUE"""),0.36694169756121)</f>
        <v>0.36694169756120998</v>
      </c>
      <c r="O403" s="17">
        <f ca="1">IFERROR(__xludf.DUMMYFUNCTION("""COMPUTED_VALUE"""),0.300640671662961)</f>
        <v>0.30064067166296099</v>
      </c>
      <c r="P403" s="17">
        <f ca="1">IFERROR(__xludf.DUMMYFUNCTION("""COMPUTED_VALUE"""),0.650534413141198)</f>
        <v>0.65053441314119798</v>
      </c>
      <c r="Q403" s="17">
        <f ca="1">IFERROR(__xludf.DUMMYFUNCTION("""COMPUTED_VALUE"""),0.843267747084897)</f>
        <v>0.84326774708489705</v>
      </c>
      <c r="R403" s="17">
        <f ca="1">IFERROR(__xludf.DUMMYFUNCTION("""COMPUTED_VALUE"""),0.344308769265485)</f>
        <v>0.34430876926548498</v>
      </c>
      <c r="S403" s="17">
        <f ca="1">IFERROR(__xludf.DUMMYFUNCTION("""COMPUTED_VALUE"""),1.05401204666826)</f>
        <v>1.0540120466682601</v>
      </c>
      <c r="T403" s="17">
        <f ca="1">IFERROR(__xludf.DUMMYFUNCTION("""COMPUTED_VALUE"""),0.313783059593883)</f>
        <v>0.31378305959388297</v>
      </c>
      <c r="U403" s="17">
        <f ca="1">IFERROR(__xludf.DUMMYFUNCTION("""COMPUTED_VALUE"""),0.29332708931863)</f>
        <v>0.29332708931863</v>
      </c>
      <c r="V403" s="17">
        <f ca="1">IFERROR(__xludf.DUMMYFUNCTION("""COMPUTED_VALUE"""),0.167664048796461)</f>
        <v>0.16766404879646099</v>
      </c>
      <c r="W403" s="17">
        <f ca="1">IFERROR(__xludf.DUMMYFUNCTION("""COMPUTED_VALUE"""),0.384713479558674)</f>
        <v>0.38471347955867402</v>
      </c>
      <c r="X403" s="17">
        <f ca="1">IFERROR(__xludf.DUMMYFUNCTION("""COMPUTED_VALUE"""),0.382275268381175)</f>
        <v>0.38227526838117498</v>
      </c>
      <c r="Y403" s="17">
        <f ca="1">IFERROR(__xludf.DUMMYFUNCTION("""COMPUTED_VALUE"""),0.261168180827323)</f>
        <v>0.26116818082732302</v>
      </c>
      <c r="Z403" s="17">
        <f ca="1">IFERROR(__xludf.DUMMYFUNCTION("""COMPUTED_VALUE"""),0.484666862487603)</f>
        <v>0.48466686248760299</v>
      </c>
      <c r="AA403" s="17">
        <f ca="1">IFERROR(__xludf.DUMMYFUNCTION("""COMPUTED_VALUE"""),0.11323178394159)</f>
        <v>0.11323178394159</v>
      </c>
      <c r="AB403" s="17">
        <f ca="1">IFERROR(__xludf.DUMMYFUNCTION("""COMPUTED_VALUE"""),0.253978075647168)</f>
        <v>0.25397807564716801</v>
      </c>
      <c r="AC403" s="17">
        <f ca="1">IFERROR(__xludf.DUMMYFUNCTION("""COMPUTED_VALUE"""),0.570790710926737)</f>
        <v>0.57079071092673705</v>
      </c>
      <c r="AD403" s="17">
        <f ca="1">IFERROR(__xludf.DUMMYFUNCTION("""COMPUTED_VALUE"""),0.362918057524583)</f>
        <v>0.362918057524583</v>
      </c>
      <c r="AE403" s="17">
        <f ca="1">IFERROR(__xludf.DUMMYFUNCTION("""COMPUTED_VALUE"""),0.735973882330387)</f>
        <v>0.73597388233038696</v>
      </c>
      <c r="AF403" s="17">
        <f ca="1">IFERROR(__xludf.DUMMYFUNCTION("""COMPUTED_VALUE"""),0.486169030295983)</f>
        <v>0.48616903029598302</v>
      </c>
      <c r="AG403" s="17">
        <f ca="1">IFERROR(__xludf.DUMMYFUNCTION("""COMPUTED_VALUE"""),0.909730786603329)</f>
        <v>0.90973078660332896</v>
      </c>
      <c r="AH403" s="17">
        <f ca="1">IFERROR(__xludf.DUMMYFUNCTION("""COMPUTED_VALUE"""),0.480060590106087)</f>
        <v>0.48006059010608698</v>
      </c>
      <c r="AI403" s="17">
        <f ca="1">IFERROR(__xludf.DUMMYFUNCTION("""COMPUTED_VALUE"""),0.504443084454552)</f>
        <v>0.50444308445455199</v>
      </c>
      <c r="AJ403" s="17">
        <f ca="1">IFERROR(__xludf.DUMMYFUNCTION("""COMPUTED_VALUE"""),0.569558993632293)</f>
        <v>0.56955899363229301</v>
      </c>
    </row>
    <row r="404" spans="2:36" ht="15.75" customHeight="1" x14ac:dyDescent="0.45">
      <c r="B404" s="10" t="str">
        <f ca="1">IFERROR(__xludf.DUMMYFUNCTION("""COMPUTED_VALUE"""),"GunPointOldVersusYoung")</f>
        <v>GunPointOldVersusYoung</v>
      </c>
      <c r="C404" s="10" t="str">
        <f ca="1">IFERROR(__xludf.DUMMYFUNCTION("""COMPUTED_VALUE"""),"mcar")</f>
        <v>mcar</v>
      </c>
      <c r="D404" s="10">
        <f ca="1">IFERROR(__xludf.DUMMYFUNCTION("""COMPUTED_VALUE"""),0.4)</f>
        <v>0.4</v>
      </c>
      <c r="E404" s="17">
        <f ca="1">IFERROR(__xludf.DUMMYFUNCTION("""COMPUTED_VALUE"""),1.00388595691005)</f>
        <v>1.00388595691005</v>
      </c>
      <c r="F404" s="17">
        <f ca="1">IFERROR(__xludf.DUMMYFUNCTION("""COMPUTED_VALUE"""),0.464064281628995)</f>
        <v>0.46406428162899499</v>
      </c>
      <c r="G404" s="17">
        <f ca="1">IFERROR(__xludf.DUMMYFUNCTION("""COMPUTED_VALUE"""),0.464208636416987)</f>
        <v>0.46420863641698701</v>
      </c>
      <c r="H404" s="17">
        <f ca="1">IFERROR(__xludf.DUMMYFUNCTION("""COMPUTED_VALUE"""),0.469970718875873)</f>
        <v>0.46997071887587299</v>
      </c>
      <c r="I404" s="17">
        <f ca="1">IFERROR(__xludf.DUMMYFUNCTION("""COMPUTED_VALUE"""),0.282832948929377)</f>
        <v>0.28283294892937699</v>
      </c>
      <c r="J404" s="17">
        <f ca="1">IFERROR(__xludf.DUMMYFUNCTION("""COMPUTED_VALUE"""),0.434256727515872)</f>
        <v>0.43425672751587202</v>
      </c>
      <c r="K404" s="17" t="str">
        <f ca="1">IFERROR(__xludf.DUMMYFUNCTION("""COMPUTED_VALUE"""),"nan")</f>
        <v>nan</v>
      </c>
      <c r="L404" s="17">
        <f ca="1">IFERROR(__xludf.DUMMYFUNCTION("""COMPUTED_VALUE"""),0.320868674890469)</f>
        <v>0.320868674890469</v>
      </c>
      <c r="M404" s="17">
        <f ca="1">IFERROR(__xludf.DUMMYFUNCTION("""COMPUTED_VALUE"""),0.495561079592501)</f>
        <v>0.49556107959250101</v>
      </c>
      <c r="N404" s="17">
        <f ca="1">IFERROR(__xludf.DUMMYFUNCTION("""COMPUTED_VALUE"""),0.462562251894367)</f>
        <v>0.462562251894367</v>
      </c>
      <c r="O404" s="17">
        <f ca="1">IFERROR(__xludf.DUMMYFUNCTION("""COMPUTED_VALUE"""),0.392453709999571)</f>
        <v>0.39245370999957102</v>
      </c>
      <c r="P404" s="17">
        <f ca="1">IFERROR(__xludf.DUMMYFUNCTION("""COMPUTED_VALUE"""),0.723837118134219)</f>
        <v>0.72383711813421903</v>
      </c>
      <c r="Q404" s="17">
        <f ca="1">IFERROR(__xludf.DUMMYFUNCTION("""COMPUTED_VALUE"""),0.852698942076867)</f>
        <v>0.85269894207686703</v>
      </c>
      <c r="R404" s="17">
        <f ca="1">IFERROR(__xludf.DUMMYFUNCTION("""COMPUTED_VALUE"""),0.503586750791005)</f>
        <v>0.50358675079100501</v>
      </c>
      <c r="S404" s="17">
        <f ca="1">IFERROR(__xludf.DUMMYFUNCTION("""COMPUTED_VALUE"""),1.37466149346045)</f>
        <v>1.37466149346045</v>
      </c>
      <c r="T404" s="17">
        <f ca="1">IFERROR(__xludf.DUMMYFUNCTION("""COMPUTED_VALUE"""),0.44079757969347)</f>
        <v>0.44079757969347</v>
      </c>
      <c r="U404" s="17">
        <f ca="1">IFERROR(__xludf.DUMMYFUNCTION("""COMPUTED_VALUE"""),0.340892344975041)</f>
        <v>0.34089234497504101</v>
      </c>
      <c r="V404" s="17">
        <f ca="1">IFERROR(__xludf.DUMMYFUNCTION("""COMPUTED_VALUE"""),0.401851088458726)</f>
        <v>0.40185108845872602</v>
      </c>
      <c r="W404" s="17">
        <f ca="1">IFERROR(__xludf.DUMMYFUNCTION("""COMPUTED_VALUE"""),0.580095332758927)</f>
        <v>0.580095332758927</v>
      </c>
      <c r="X404" s="17">
        <f ca="1">IFERROR(__xludf.DUMMYFUNCTION("""COMPUTED_VALUE"""),0.398203598471327)</f>
        <v>0.39820359847132702</v>
      </c>
      <c r="Y404" s="17">
        <f ca="1">IFERROR(__xludf.DUMMYFUNCTION("""COMPUTED_VALUE"""),0.439127961460354)</f>
        <v>0.43912796146035399</v>
      </c>
      <c r="Z404" s="17">
        <f ca="1">IFERROR(__xludf.DUMMYFUNCTION("""COMPUTED_VALUE"""),0.535865174644244)</f>
        <v>0.53586517464424399</v>
      </c>
      <c r="AA404" s="17">
        <f ca="1">IFERROR(__xludf.DUMMYFUNCTION("""COMPUTED_VALUE"""),0.263535692910602)</f>
        <v>0.26353569291060203</v>
      </c>
      <c r="AB404" s="17">
        <f ca="1">IFERROR(__xludf.DUMMYFUNCTION("""COMPUTED_VALUE"""),0.4222674672328)</f>
        <v>0.42226746723280001</v>
      </c>
      <c r="AC404" s="17">
        <f ca="1">IFERROR(__xludf.DUMMYFUNCTION("""COMPUTED_VALUE"""),0.769043809851208)</f>
        <v>0.76904380985120802</v>
      </c>
      <c r="AD404" s="17">
        <f ca="1">IFERROR(__xludf.DUMMYFUNCTION("""COMPUTED_VALUE"""),0.504704147777548)</f>
        <v>0.50470414777754802</v>
      </c>
      <c r="AE404" s="17">
        <f ca="1">IFERROR(__xludf.DUMMYFUNCTION("""COMPUTED_VALUE"""),0.913869297765226)</f>
        <v>0.91386929776522596</v>
      </c>
      <c r="AF404" s="17">
        <f ca="1">IFERROR(__xludf.DUMMYFUNCTION("""COMPUTED_VALUE"""),0.513600172472975)</f>
        <v>0.51360017247297496</v>
      </c>
      <c r="AG404" s="17">
        <f ca="1">IFERROR(__xludf.DUMMYFUNCTION("""COMPUTED_VALUE"""),1.11152750337934)</f>
        <v>1.1115275033793399</v>
      </c>
      <c r="AH404" s="17">
        <f ca="1">IFERROR(__xludf.DUMMYFUNCTION("""COMPUTED_VALUE"""),0.789985583583227)</f>
        <v>0.78998558358322701</v>
      </c>
      <c r="AI404" s="17">
        <f ca="1">IFERROR(__xludf.DUMMYFUNCTION("""COMPUTED_VALUE"""),0.99533688230734)</f>
        <v>0.99533688230733997</v>
      </c>
      <c r="AJ404" s="17">
        <f ca="1">IFERROR(__xludf.DUMMYFUNCTION("""COMPUTED_VALUE"""),0.864364687747939)</f>
        <v>0.86436468774793895</v>
      </c>
    </row>
    <row r="405" spans="2:36" ht="15.75" customHeight="1" x14ac:dyDescent="0.45">
      <c r="B405" s="10" t="str">
        <f ca="1">IFERROR(__xludf.DUMMYFUNCTION("""COMPUTED_VALUE"""),"GunPointOldVersusYoung")</f>
        <v>GunPointOldVersusYoung</v>
      </c>
      <c r="C405" s="10" t="str">
        <f ca="1">IFERROR(__xludf.DUMMYFUNCTION("""COMPUTED_VALUE"""),"mcar")</f>
        <v>mcar</v>
      </c>
      <c r="D405" s="10">
        <f ca="1">IFERROR(__xludf.DUMMYFUNCTION("""COMPUTED_VALUE"""),0.6)</f>
        <v>0.6</v>
      </c>
      <c r="E405" s="17">
        <f ca="1">IFERROR(__xludf.DUMMYFUNCTION("""COMPUTED_VALUE"""),0.99777111797009)</f>
        <v>0.99777111797008999</v>
      </c>
      <c r="F405" s="17">
        <f ca="1">IFERROR(__xludf.DUMMYFUNCTION("""COMPUTED_VALUE"""),0.504411362047631)</f>
        <v>0.50441136204763104</v>
      </c>
      <c r="G405" s="17">
        <f ca="1">IFERROR(__xludf.DUMMYFUNCTION("""COMPUTED_VALUE"""),0.515512790827377)</f>
        <v>0.515512790827377</v>
      </c>
      <c r="H405" s="17">
        <f ca="1">IFERROR(__xludf.DUMMYFUNCTION("""COMPUTED_VALUE"""),0.506563614842333)</f>
        <v>0.50656361484233303</v>
      </c>
      <c r="I405" s="17">
        <f ca="1">IFERROR(__xludf.DUMMYFUNCTION("""COMPUTED_VALUE"""),0.374601768194669)</f>
        <v>0.374601768194669</v>
      </c>
      <c r="J405" s="17">
        <f ca="1">IFERROR(__xludf.DUMMYFUNCTION("""COMPUTED_VALUE"""),0.646764734246092)</f>
        <v>0.64676473424609204</v>
      </c>
      <c r="K405" s="17" t="str">
        <f ca="1">IFERROR(__xludf.DUMMYFUNCTION("""COMPUTED_VALUE"""),"nan")</f>
        <v>nan</v>
      </c>
      <c r="L405" s="17">
        <f ca="1">IFERROR(__xludf.DUMMYFUNCTION("""COMPUTED_VALUE"""),0.402859881059167)</f>
        <v>0.40285988105916698</v>
      </c>
      <c r="M405" s="17">
        <f ca="1">IFERROR(__xludf.DUMMYFUNCTION("""COMPUTED_VALUE"""),0.542217544457343)</f>
        <v>0.54221754445734305</v>
      </c>
      <c r="N405" s="17">
        <f ca="1">IFERROR(__xludf.DUMMYFUNCTION("""COMPUTED_VALUE"""),0.54925745891821)</f>
        <v>0.54925745891820998</v>
      </c>
      <c r="O405" s="17">
        <f ca="1">IFERROR(__xludf.DUMMYFUNCTION("""COMPUTED_VALUE"""),0.448132687459653)</f>
        <v>0.44813268745965301</v>
      </c>
      <c r="P405" s="17">
        <f ca="1">IFERROR(__xludf.DUMMYFUNCTION("""COMPUTED_VALUE"""),0.908812537743497)</f>
        <v>0.90881253774349702</v>
      </c>
      <c r="Q405" s="17">
        <f ca="1">IFERROR(__xludf.DUMMYFUNCTION("""COMPUTED_VALUE"""),0.886050373573095)</f>
        <v>0.88605037357309502</v>
      </c>
      <c r="R405" s="17">
        <f ca="1">IFERROR(__xludf.DUMMYFUNCTION("""COMPUTED_VALUE"""),0.518211897933983)</f>
        <v>0.51821189793398303</v>
      </c>
      <c r="S405" s="17">
        <f ca="1">IFERROR(__xludf.DUMMYFUNCTION("""COMPUTED_VALUE"""),1.37676760658709)</f>
        <v>1.37676760658709</v>
      </c>
      <c r="T405" s="17">
        <f ca="1">IFERROR(__xludf.DUMMYFUNCTION("""COMPUTED_VALUE"""),0.562351074832578)</f>
        <v>0.56235107483257796</v>
      </c>
      <c r="U405" s="17">
        <f ca="1">IFERROR(__xludf.DUMMYFUNCTION("""COMPUTED_VALUE"""),0.50001224100659)</f>
        <v>0.50001224100659003</v>
      </c>
      <c r="V405" s="17">
        <f ca="1">IFERROR(__xludf.DUMMYFUNCTION("""COMPUTED_VALUE"""),0.509132490599424)</f>
        <v>0.509132490599424</v>
      </c>
      <c r="W405" s="17">
        <f ca="1">IFERROR(__xludf.DUMMYFUNCTION("""COMPUTED_VALUE"""),0.708755867526141)</f>
        <v>0.70875586752614095</v>
      </c>
      <c r="X405" s="17">
        <f ca="1">IFERROR(__xludf.DUMMYFUNCTION("""COMPUTED_VALUE"""),0.4475170319508)</f>
        <v>0.4475170319508</v>
      </c>
      <c r="Y405" s="17">
        <f ca="1">IFERROR(__xludf.DUMMYFUNCTION("""COMPUTED_VALUE"""),0.652886053455752)</f>
        <v>0.65288605345575201</v>
      </c>
      <c r="Z405" s="17">
        <f ca="1">IFERROR(__xludf.DUMMYFUNCTION("""COMPUTED_VALUE"""),0.684229964247444)</f>
        <v>0.68422996424744398</v>
      </c>
      <c r="AA405" s="17">
        <f ca="1">IFERROR(__xludf.DUMMYFUNCTION("""COMPUTED_VALUE"""),0.368582005801039)</f>
        <v>0.368582005801039</v>
      </c>
      <c r="AB405" s="17">
        <f ca="1">IFERROR(__xludf.DUMMYFUNCTION("""COMPUTED_VALUE"""),0.610046336802192)</f>
        <v>0.610046336802192</v>
      </c>
      <c r="AC405" s="17">
        <f ca="1">IFERROR(__xludf.DUMMYFUNCTION("""COMPUTED_VALUE"""),0.964822475993202)</f>
        <v>0.96482247599320203</v>
      </c>
      <c r="AD405" s="17">
        <f ca="1">IFERROR(__xludf.DUMMYFUNCTION("""COMPUTED_VALUE"""),0.603573772190117)</f>
        <v>0.60357377219011699</v>
      </c>
      <c r="AE405" s="17">
        <f ca="1">IFERROR(__xludf.DUMMYFUNCTION("""COMPUTED_VALUE"""),1.58721924628316)</f>
        <v>1.58721924628316</v>
      </c>
      <c r="AF405" s="17">
        <f ca="1">IFERROR(__xludf.DUMMYFUNCTION("""COMPUTED_VALUE"""),0.856061770492854)</f>
        <v>0.85606177049285404</v>
      </c>
      <c r="AG405" s="17">
        <f ca="1">IFERROR(__xludf.DUMMYFUNCTION("""COMPUTED_VALUE"""),1.14831730929438)</f>
        <v>1.1483173092943799</v>
      </c>
      <c r="AH405" s="17">
        <f ca="1">IFERROR(__xludf.DUMMYFUNCTION("""COMPUTED_VALUE"""),1.07429438939062)</f>
        <v>1.0742943893906201</v>
      </c>
      <c r="AI405" s="17" t="str">
        <f ca="1">IFERROR(__xludf.DUMMYFUNCTION("""COMPUTED_VALUE"""),"nan")</f>
        <v>nan</v>
      </c>
      <c r="AJ405" s="17">
        <f ca="1">IFERROR(__xludf.DUMMYFUNCTION("""COMPUTED_VALUE"""),1.12867509116231)</f>
        <v>1.12867509116231</v>
      </c>
    </row>
    <row r="406" spans="2:36" ht="15.75" customHeight="1" x14ac:dyDescent="0.45">
      <c r="B406" s="10" t="str">
        <f ca="1">IFERROR(__xludf.DUMMYFUNCTION("""COMPUTED_VALUE"""),"GunPointOldVersusYoung")</f>
        <v>GunPointOldVersusYoung</v>
      </c>
      <c r="C406" s="10" t="str">
        <f ca="1">IFERROR(__xludf.DUMMYFUNCTION("""COMPUTED_VALUE"""),"mcar")</f>
        <v>mcar</v>
      </c>
      <c r="D406" s="10">
        <f ca="1">IFERROR(__xludf.DUMMYFUNCTION("""COMPUTED_VALUE"""),0.8)</f>
        <v>0.8</v>
      </c>
      <c r="E406" s="17">
        <f ca="1">IFERROR(__xludf.DUMMYFUNCTION("""COMPUTED_VALUE"""),0.998280880324266)</f>
        <v>0.99828088032426598</v>
      </c>
      <c r="F406" s="17">
        <f ca="1">IFERROR(__xludf.DUMMYFUNCTION("""COMPUTED_VALUE"""),0.525442092295813)</f>
        <v>0.52544209229581296</v>
      </c>
      <c r="G406" s="17">
        <f ca="1">IFERROR(__xludf.DUMMYFUNCTION("""COMPUTED_VALUE"""),0.606808474391396)</f>
        <v>0.60680847439139596</v>
      </c>
      <c r="H406" s="17">
        <f ca="1">IFERROR(__xludf.DUMMYFUNCTION("""COMPUTED_VALUE"""),0.634527295009123)</f>
        <v>0.63452729500912297</v>
      </c>
      <c r="I406" s="17">
        <f ca="1">IFERROR(__xludf.DUMMYFUNCTION("""COMPUTED_VALUE"""),0.554515687486406)</f>
        <v>0.55451568748640601</v>
      </c>
      <c r="J406" s="17">
        <f ca="1">IFERROR(__xludf.DUMMYFUNCTION("""COMPUTED_VALUE"""),0.931200857986874)</f>
        <v>0.93120085798687402</v>
      </c>
      <c r="K406" s="17" t="str">
        <f ca="1">IFERROR(__xludf.DUMMYFUNCTION("""COMPUTED_VALUE"""),"nan")</f>
        <v>nan</v>
      </c>
      <c r="L406" s="17">
        <f ca="1">IFERROR(__xludf.DUMMYFUNCTION("""COMPUTED_VALUE"""),0.478918321697856)</f>
        <v>0.47891832169785598</v>
      </c>
      <c r="M406" s="17">
        <f ca="1">IFERROR(__xludf.DUMMYFUNCTION("""COMPUTED_VALUE"""),0.61570695062448)</f>
        <v>0.61570695062448</v>
      </c>
      <c r="N406" s="17">
        <f ca="1">IFERROR(__xludf.DUMMYFUNCTION("""COMPUTED_VALUE"""),0.671707014918219)</f>
        <v>0.67170701491821905</v>
      </c>
      <c r="O406" s="17">
        <f ca="1">IFERROR(__xludf.DUMMYFUNCTION("""COMPUTED_VALUE"""),0.543159001590192)</f>
        <v>0.54315900159019204</v>
      </c>
      <c r="P406" s="17">
        <f ca="1">IFERROR(__xludf.DUMMYFUNCTION("""COMPUTED_VALUE"""),1.12266553479984)</f>
        <v>1.12266553479984</v>
      </c>
      <c r="Q406" s="17">
        <f ca="1">IFERROR(__xludf.DUMMYFUNCTION("""COMPUTED_VALUE"""),0.899221855754221)</f>
        <v>0.89922185575422098</v>
      </c>
      <c r="R406" s="17">
        <f ca="1">IFERROR(__xludf.DUMMYFUNCTION("""COMPUTED_VALUE"""),0.751347646590245)</f>
        <v>0.751347646590245</v>
      </c>
      <c r="S406" s="17">
        <f ca="1">IFERROR(__xludf.DUMMYFUNCTION("""COMPUTED_VALUE"""),1.3801434453408)</f>
        <v>1.3801434453407999</v>
      </c>
      <c r="T406" s="17">
        <f ca="1">IFERROR(__xludf.DUMMYFUNCTION("""COMPUTED_VALUE"""),0.734431436881357)</f>
        <v>0.73443143688135704</v>
      </c>
      <c r="U406" s="17">
        <f ca="1">IFERROR(__xludf.DUMMYFUNCTION("""COMPUTED_VALUE"""),0.53735867889068)</f>
        <v>0.53735867889068001</v>
      </c>
      <c r="V406" s="17">
        <f ca="1">IFERROR(__xludf.DUMMYFUNCTION("""COMPUTED_VALUE"""),0.826322532266869)</f>
        <v>0.82632253226686903</v>
      </c>
      <c r="W406" s="17">
        <f ca="1">IFERROR(__xludf.DUMMYFUNCTION("""COMPUTED_VALUE"""),0.889414862188097)</f>
        <v>0.88941486218809696</v>
      </c>
      <c r="X406" s="17">
        <f ca="1">IFERROR(__xludf.DUMMYFUNCTION("""COMPUTED_VALUE"""),0.501090666500976)</f>
        <v>0.501090666500976</v>
      </c>
      <c r="Y406" s="17">
        <f ca="1">IFERROR(__xludf.DUMMYFUNCTION("""COMPUTED_VALUE"""),0.690580438382081)</f>
        <v>0.69058043838208105</v>
      </c>
      <c r="Z406" s="17">
        <f ca="1">IFERROR(__xludf.DUMMYFUNCTION("""COMPUTED_VALUE"""),0.836364636249397)</f>
        <v>0.83636463624939705</v>
      </c>
      <c r="AA406" s="17">
        <f ca="1">IFERROR(__xludf.DUMMYFUNCTION("""COMPUTED_VALUE"""),0.55580687787354)</f>
        <v>0.55580687787354</v>
      </c>
      <c r="AB406" s="17">
        <f ca="1">IFERROR(__xludf.DUMMYFUNCTION("""COMPUTED_VALUE"""),1.10342570184999)</f>
        <v>1.10342570184999</v>
      </c>
      <c r="AC406" s="17">
        <f ca="1">IFERROR(__xludf.DUMMYFUNCTION("""COMPUTED_VALUE"""),1.14846515866139)</f>
        <v>1.1484651586613901</v>
      </c>
      <c r="AD406" s="17">
        <f ca="1">IFERROR(__xludf.DUMMYFUNCTION("""COMPUTED_VALUE"""),0.733771341313123)</f>
        <v>0.73377134131312305</v>
      </c>
      <c r="AE406" s="17">
        <f ca="1">IFERROR(__xludf.DUMMYFUNCTION("""COMPUTED_VALUE"""),2.15316421228705)</f>
        <v>2.15316421228705</v>
      </c>
      <c r="AF406" s="17">
        <f ca="1">IFERROR(__xludf.DUMMYFUNCTION("""COMPUTED_VALUE"""),1.06116531491953)</f>
        <v>1.0611653149195299</v>
      </c>
      <c r="AG406" s="17">
        <f ca="1">IFERROR(__xludf.DUMMYFUNCTION("""COMPUTED_VALUE"""),1.07316790081983)</f>
        <v>1.07316790081983</v>
      </c>
      <c r="AH406" s="17">
        <f ca="1">IFERROR(__xludf.DUMMYFUNCTION("""COMPUTED_VALUE"""),1.0788888291384)</f>
        <v>1.0788888291384</v>
      </c>
      <c r="AI406" s="17">
        <f ca="1">IFERROR(__xludf.DUMMYFUNCTION("""COMPUTED_VALUE"""),1.05258294222621)</f>
        <v>1.0525829422262101</v>
      </c>
      <c r="AJ406" s="17">
        <f ca="1">IFERROR(__xludf.DUMMYFUNCTION("""COMPUTED_VALUE"""),1.11217194093774)</f>
        <v>1.11217194093774</v>
      </c>
    </row>
    <row r="407" spans="2:36" ht="15.75" customHeight="1" x14ac:dyDescent="0.45">
      <c r="B407" s="10" t="str">
        <f ca="1">IFERROR(__xludf.DUMMYFUNCTION("""COMPUTED_VALUE"""),"Ham")</f>
        <v>Ham</v>
      </c>
      <c r="C407" s="10" t="str">
        <f ca="1">IFERROR(__xludf.DUMMYFUNCTION("""COMPUTED_VALUE"""),"aligned_series")</f>
        <v>aligned_series</v>
      </c>
      <c r="D407" s="10">
        <f ca="1">IFERROR(__xludf.DUMMYFUNCTION("""COMPUTED_VALUE"""),0.1)</f>
        <v>0.1</v>
      </c>
      <c r="E407" s="17">
        <f ca="1">IFERROR(__xludf.DUMMYFUNCTION("""COMPUTED_VALUE"""),0.521905822625299)</f>
        <v>0.52190582262529905</v>
      </c>
      <c r="F407" s="17">
        <f ca="1">IFERROR(__xludf.DUMMYFUNCTION("""COMPUTED_VALUE"""),0.352815915312876)</f>
        <v>0.35281591531287598</v>
      </c>
      <c r="G407" s="17">
        <f ca="1">IFERROR(__xludf.DUMMYFUNCTION("""COMPUTED_VALUE"""),0.356145853361991)</f>
        <v>0.356145853361991</v>
      </c>
      <c r="H407" s="17">
        <f ca="1">IFERROR(__xludf.DUMMYFUNCTION("""COMPUTED_VALUE"""),0.361835851650166)</f>
        <v>0.36183585165016602</v>
      </c>
      <c r="I407" s="17">
        <f ca="1">IFERROR(__xludf.DUMMYFUNCTION("""COMPUTED_VALUE"""),0.305879616560015)</f>
        <v>0.305879616560015</v>
      </c>
      <c r="J407" s="17">
        <f ca="1">IFERROR(__xludf.DUMMYFUNCTION("""COMPUTED_VALUE"""),0.344316577311922)</f>
        <v>0.344316577311922</v>
      </c>
      <c r="K407" s="17" t="str">
        <f ca="1">IFERROR(__xludf.DUMMYFUNCTION("""COMPUTED_VALUE"""),"nan")</f>
        <v>nan</v>
      </c>
      <c r="L407" s="17">
        <f ca="1">IFERROR(__xludf.DUMMYFUNCTION("""COMPUTED_VALUE"""),0.362789127636514)</f>
        <v>0.362789127636514</v>
      </c>
      <c r="M407" s="17">
        <f ca="1">IFERROR(__xludf.DUMMYFUNCTION("""COMPUTED_VALUE"""),0.347318128077836)</f>
        <v>0.34731812807783602</v>
      </c>
      <c r="N407" s="17">
        <f ca="1">IFERROR(__xludf.DUMMYFUNCTION("""COMPUTED_VALUE"""),0.329882931100575)</f>
        <v>0.32988293110057498</v>
      </c>
      <c r="O407" s="17">
        <f ca="1">IFERROR(__xludf.DUMMYFUNCTION("""COMPUTED_VALUE"""),0.340451791680303)</f>
        <v>0.34045179168030298</v>
      </c>
      <c r="P407" s="17">
        <f ca="1">IFERROR(__xludf.DUMMYFUNCTION("""COMPUTED_VALUE"""),0.819872819491415)</f>
        <v>0.81987281949141499</v>
      </c>
      <c r="Q407" s="17">
        <f ca="1">IFERROR(__xludf.DUMMYFUNCTION("""COMPUTED_VALUE"""),0.378822086631504)</f>
        <v>0.37882208663150402</v>
      </c>
      <c r="R407" s="17">
        <f ca="1">IFERROR(__xludf.DUMMYFUNCTION("""COMPUTED_VALUE"""),0.471385949696964)</f>
        <v>0.47138594969696401</v>
      </c>
      <c r="S407" s="17">
        <f ca="1">IFERROR(__xludf.DUMMYFUNCTION("""COMPUTED_VALUE"""),0.439325324422522)</f>
        <v>0.43932532442252198</v>
      </c>
      <c r="T407" s="17">
        <f ca="1">IFERROR(__xludf.DUMMYFUNCTION("""COMPUTED_VALUE"""),0.276130865168987)</f>
        <v>0.27613086516898699</v>
      </c>
      <c r="U407" s="17">
        <f ca="1">IFERROR(__xludf.DUMMYFUNCTION("""COMPUTED_VALUE"""),0.295840999310554)</f>
        <v>0.29584099931055402</v>
      </c>
      <c r="V407" s="17">
        <f ca="1">IFERROR(__xludf.DUMMYFUNCTION("""COMPUTED_VALUE"""),0.285689460866432)</f>
        <v>0.28568946086643199</v>
      </c>
      <c r="W407" s="17">
        <f ca="1">IFERROR(__xludf.DUMMYFUNCTION("""COMPUTED_VALUE"""),0.43782300323652)</f>
        <v>0.43782300323652001</v>
      </c>
      <c r="X407" s="17">
        <f ca="1">IFERROR(__xludf.DUMMYFUNCTION("""COMPUTED_VALUE"""),0.34048309550471)</f>
        <v>0.34048309550471001</v>
      </c>
      <c r="Y407" s="17">
        <f ca="1">IFERROR(__xludf.DUMMYFUNCTION("""COMPUTED_VALUE"""),0.367422758381416)</f>
        <v>0.36742275838141603</v>
      </c>
      <c r="Z407" s="17">
        <f ca="1">IFERROR(__xludf.DUMMYFUNCTION("""COMPUTED_VALUE"""),0.290350887589735)</f>
        <v>0.29035088758973499</v>
      </c>
      <c r="AA407" s="17">
        <f ca="1">IFERROR(__xludf.DUMMYFUNCTION("""COMPUTED_VALUE"""),0.365088516505601)</f>
        <v>0.36508851650560098</v>
      </c>
      <c r="AB407" s="17">
        <f ca="1">IFERROR(__xludf.DUMMYFUNCTION("""COMPUTED_VALUE"""),0.383246741480407)</f>
        <v>0.38324674148040699</v>
      </c>
      <c r="AC407" s="17">
        <f ca="1">IFERROR(__xludf.DUMMYFUNCTION("""COMPUTED_VALUE"""),0.43234380073492)</f>
        <v>0.43234380073492001</v>
      </c>
      <c r="AD407" s="17">
        <f ca="1">IFERROR(__xludf.DUMMYFUNCTION("""COMPUTED_VALUE"""),0.445211559393901)</f>
        <v>0.445211559393901</v>
      </c>
      <c r="AE407" s="17">
        <f ca="1">IFERROR(__xludf.DUMMYFUNCTION("""COMPUTED_VALUE"""),0.71755677281269)</f>
        <v>0.71755677281269004</v>
      </c>
      <c r="AF407" s="17">
        <f ca="1">IFERROR(__xludf.DUMMYFUNCTION("""COMPUTED_VALUE"""),0.345845675763107)</f>
        <v>0.34584567576310699</v>
      </c>
      <c r="AG407" s="17">
        <f ca="1">IFERROR(__xludf.DUMMYFUNCTION("""COMPUTED_VALUE"""),0.339004466485734)</f>
        <v>0.33900446648573401</v>
      </c>
      <c r="AH407" s="17">
        <f ca="1">IFERROR(__xludf.DUMMYFUNCTION("""COMPUTED_VALUE"""),0.370430413695105)</f>
        <v>0.37043041369510499</v>
      </c>
      <c r="AI407" s="17">
        <f ca="1">IFERROR(__xludf.DUMMYFUNCTION("""COMPUTED_VALUE"""),0.358887757183538)</f>
        <v>0.35888775718353799</v>
      </c>
      <c r="AJ407" s="17">
        <f ca="1">IFERROR(__xludf.DUMMYFUNCTION("""COMPUTED_VALUE"""),0.304546329292823)</f>
        <v>0.30454632929282299</v>
      </c>
    </row>
    <row r="408" spans="2:36" ht="15.75" customHeight="1" x14ac:dyDescent="0.45">
      <c r="B408" s="10" t="str">
        <f ca="1">IFERROR(__xludf.DUMMYFUNCTION("""COMPUTED_VALUE"""),"Ham")</f>
        <v>Ham</v>
      </c>
      <c r="C408" s="10" t="str">
        <f ca="1">IFERROR(__xludf.DUMMYFUNCTION("""COMPUTED_VALUE"""),"aligned_series")</f>
        <v>aligned_series</v>
      </c>
      <c r="D408" s="10">
        <f ca="1">IFERROR(__xludf.DUMMYFUNCTION("""COMPUTED_VALUE"""),0.2)</f>
        <v>0.2</v>
      </c>
      <c r="E408" s="17">
        <f ca="1">IFERROR(__xludf.DUMMYFUNCTION("""COMPUTED_VALUE"""),0.475891199535567)</f>
        <v>0.47589119953556702</v>
      </c>
      <c r="F408" s="17">
        <f ca="1">IFERROR(__xludf.DUMMYFUNCTION("""COMPUTED_VALUE"""),0.309751007634554)</f>
        <v>0.30975100763455399</v>
      </c>
      <c r="G408" s="17">
        <f ca="1">IFERROR(__xludf.DUMMYFUNCTION("""COMPUTED_VALUE"""),0.31276512562067)</f>
        <v>0.31276512562066999</v>
      </c>
      <c r="H408" s="17">
        <f ca="1">IFERROR(__xludf.DUMMYFUNCTION("""COMPUTED_VALUE"""),0.325850330228576)</f>
        <v>0.32585033022857601</v>
      </c>
      <c r="I408" s="17">
        <f ca="1">IFERROR(__xludf.DUMMYFUNCTION("""COMPUTED_VALUE"""),0.279494136430785)</f>
        <v>0.27949413643078502</v>
      </c>
      <c r="J408" s="17">
        <f ca="1">IFERROR(__xludf.DUMMYFUNCTION("""COMPUTED_VALUE"""),0.319733656698728)</f>
        <v>0.319733656698728</v>
      </c>
      <c r="K408" s="17" t="str">
        <f ca="1">IFERROR(__xludf.DUMMYFUNCTION("""COMPUTED_VALUE"""),"nan")</f>
        <v>nan</v>
      </c>
      <c r="L408" s="17">
        <f ca="1">IFERROR(__xludf.DUMMYFUNCTION("""COMPUTED_VALUE"""),0.310885037955056)</f>
        <v>0.31088503795505601</v>
      </c>
      <c r="M408" s="17">
        <f ca="1">IFERROR(__xludf.DUMMYFUNCTION("""COMPUTED_VALUE"""),0.282178375536466)</f>
        <v>0.28217837553646602</v>
      </c>
      <c r="N408" s="17">
        <f ca="1">IFERROR(__xludf.DUMMYFUNCTION("""COMPUTED_VALUE"""),0.320699860971146)</f>
        <v>0.320699860971146</v>
      </c>
      <c r="O408" s="17">
        <f ca="1">IFERROR(__xludf.DUMMYFUNCTION("""COMPUTED_VALUE"""),0.304547608301215)</f>
        <v>0.30454760830121502</v>
      </c>
      <c r="P408" s="17">
        <f ca="1">IFERROR(__xludf.DUMMYFUNCTION("""COMPUTED_VALUE"""),0.684138328836583)</f>
        <v>0.68413832883658299</v>
      </c>
      <c r="Q408" s="17">
        <f ca="1">IFERROR(__xludf.DUMMYFUNCTION("""COMPUTED_VALUE"""),0.373717288655082)</f>
        <v>0.37371728865508202</v>
      </c>
      <c r="R408" s="17">
        <f ca="1">IFERROR(__xludf.DUMMYFUNCTION("""COMPUTED_VALUE"""),0.448103701054081)</f>
        <v>0.44810370105408098</v>
      </c>
      <c r="S408" s="17">
        <f ca="1">IFERROR(__xludf.DUMMYFUNCTION("""COMPUTED_VALUE"""),0.386581308221157)</f>
        <v>0.38658130822115699</v>
      </c>
      <c r="T408" s="17">
        <f ca="1">IFERROR(__xludf.DUMMYFUNCTION("""COMPUTED_VALUE"""),0.262460370400774)</f>
        <v>0.26246037040077402</v>
      </c>
      <c r="U408" s="17">
        <f ca="1">IFERROR(__xludf.DUMMYFUNCTION("""COMPUTED_VALUE"""),0.267517112619531)</f>
        <v>0.26751711261953098</v>
      </c>
      <c r="V408" s="17">
        <f ca="1">IFERROR(__xludf.DUMMYFUNCTION("""COMPUTED_VALUE"""),0.25505468446835)</f>
        <v>0.25505468446835</v>
      </c>
      <c r="W408" s="17">
        <f ca="1">IFERROR(__xludf.DUMMYFUNCTION("""COMPUTED_VALUE"""),0.366066096467849)</f>
        <v>0.36606609646784899</v>
      </c>
      <c r="X408" s="17">
        <f ca="1">IFERROR(__xludf.DUMMYFUNCTION("""COMPUTED_VALUE"""),0.300453859974273)</f>
        <v>0.30045385997427299</v>
      </c>
      <c r="Y408" s="17">
        <f ca="1">IFERROR(__xludf.DUMMYFUNCTION("""COMPUTED_VALUE"""),0.326785971174811)</f>
        <v>0.32678597117481101</v>
      </c>
      <c r="Z408" s="17">
        <f ca="1">IFERROR(__xludf.DUMMYFUNCTION("""COMPUTED_VALUE"""),0.27128333383861)</f>
        <v>0.27128333383860997</v>
      </c>
      <c r="AA408" s="17">
        <f ca="1">IFERROR(__xludf.DUMMYFUNCTION("""COMPUTED_VALUE"""),0.344512848879998)</f>
        <v>0.344512848879998</v>
      </c>
      <c r="AB408" s="17">
        <f ca="1">IFERROR(__xludf.DUMMYFUNCTION("""COMPUTED_VALUE"""),0.455493115223375)</f>
        <v>0.45549311522337499</v>
      </c>
      <c r="AC408" s="17">
        <f ca="1">IFERROR(__xludf.DUMMYFUNCTION("""COMPUTED_VALUE"""),0.390895591869569)</f>
        <v>0.39089559186956901</v>
      </c>
      <c r="AD408" s="17">
        <f ca="1">IFERROR(__xludf.DUMMYFUNCTION("""COMPUTED_VALUE"""),0.309902995023457)</f>
        <v>0.30990299502345697</v>
      </c>
      <c r="AE408" s="17">
        <f ca="1">IFERROR(__xludf.DUMMYFUNCTION("""COMPUTED_VALUE"""),0.785624515953687)</f>
        <v>0.78562451595368699</v>
      </c>
      <c r="AF408" s="17">
        <f ca="1">IFERROR(__xludf.DUMMYFUNCTION("""COMPUTED_VALUE"""),0.340012835581285)</f>
        <v>0.34001283558128498</v>
      </c>
      <c r="AG408" s="17">
        <f ca="1">IFERROR(__xludf.DUMMYFUNCTION("""COMPUTED_VALUE"""),0.347936435760261)</f>
        <v>0.34793643576026101</v>
      </c>
      <c r="AH408" s="17">
        <f ca="1">IFERROR(__xludf.DUMMYFUNCTION("""COMPUTED_VALUE"""),0.369087153885576)</f>
        <v>0.369087153885576</v>
      </c>
      <c r="AI408" s="17">
        <f ca="1">IFERROR(__xludf.DUMMYFUNCTION("""COMPUTED_VALUE"""),0.356540136024076)</f>
        <v>0.35654013602407603</v>
      </c>
      <c r="AJ408" s="17">
        <f ca="1">IFERROR(__xludf.DUMMYFUNCTION("""COMPUTED_VALUE"""),0.317332677373572)</f>
        <v>0.31733267737357201</v>
      </c>
    </row>
    <row r="409" spans="2:36" ht="15.75" customHeight="1" x14ac:dyDescent="0.45">
      <c r="B409" s="10" t="str">
        <f ca="1">IFERROR(__xludf.DUMMYFUNCTION("""COMPUTED_VALUE"""),"Ham")</f>
        <v>Ham</v>
      </c>
      <c r="C409" s="10" t="str">
        <f ca="1">IFERROR(__xludf.DUMMYFUNCTION("""COMPUTED_VALUE"""),"aligned_series")</f>
        <v>aligned_series</v>
      </c>
      <c r="D409" s="10">
        <f ca="1">IFERROR(__xludf.DUMMYFUNCTION("""COMPUTED_VALUE"""),0.4)</f>
        <v>0.4</v>
      </c>
      <c r="E409" s="17">
        <f ca="1">IFERROR(__xludf.DUMMYFUNCTION("""COMPUTED_VALUE"""),0.50306505664793)</f>
        <v>0.50306505664793</v>
      </c>
      <c r="F409" s="17">
        <f ca="1">IFERROR(__xludf.DUMMYFUNCTION("""COMPUTED_VALUE"""),0.310351804305544)</f>
        <v>0.31035180430554399</v>
      </c>
      <c r="G409" s="17">
        <f ca="1">IFERROR(__xludf.DUMMYFUNCTION("""COMPUTED_VALUE"""),0.313138265593858)</f>
        <v>0.31313826559385799</v>
      </c>
      <c r="H409" s="17">
        <f ca="1">IFERROR(__xludf.DUMMYFUNCTION("""COMPUTED_VALUE"""),0.333048269423731)</f>
        <v>0.333048269423731</v>
      </c>
      <c r="I409" s="17">
        <f ca="1">IFERROR(__xludf.DUMMYFUNCTION("""COMPUTED_VALUE"""),0.298178626823549)</f>
        <v>0.29817862682354901</v>
      </c>
      <c r="J409" s="17">
        <f ca="1">IFERROR(__xludf.DUMMYFUNCTION("""COMPUTED_VALUE"""),0.380141453976191)</f>
        <v>0.38014145397619098</v>
      </c>
      <c r="K409" s="17" t="str">
        <f ca="1">IFERROR(__xludf.DUMMYFUNCTION("""COMPUTED_VALUE"""),"nan")</f>
        <v>nan</v>
      </c>
      <c r="L409" s="17">
        <f ca="1">IFERROR(__xludf.DUMMYFUNCTION("""COMPUTED_VALUE"""),0.316236988296475)</f>
        <v>0.31623698829647501</v>
      </c>
      <c r="M409" s="17">
        <f ca="1">IFERROR(__xludf.DUMMYFUNCTION("""COMPUTED_VALUE"""),0.299822421352483)</f>
        <v>0.29982242135248299</v>
      </c>
      <c r="N409" s="17">
        <f ca="1">IFERROR(__xludf.DUMMYFUNCTION("""COMPUTED_VALUE"""),0.296671525343335)</f>
        <v>0.29667152534333502</v>
      </c>
      <c r="O409" s="17">
        <f ca="1">IFERROR(__xludf.DUMMYFUNCTION("""COMPUTED_VALUE"""),0.314058409602538)</f>
        <v>0.314058409602538</v>
      </c>
      <c r="P409" s="17">
        <f ca="1">IFERROR(__xludf.DUMMYFUNCTION("""COMPUTED_VALUE"""),1.09708576766286)</f>
        <v>1.09708576766286</v>
      </c>
      <c r="Q409" s="17">
        <f ca="1">IFERROR(__xludf.DUMMYFUNCTION("""COMPUTED_VALUE"""),0.403398094878948)</f>
        <v>0.40339809487894801</v>
      </c>
      <c r="R409" s="17">
        <f ca="1">IFERROR(__xludf.DUMMYFUNCTION("""COMPUTED_VALUE"""),0.519429247489923)</f>
        <v>0.51942924748992303</v>
      </c>
      <c r="S409" s="17">
        <f ca="1">IFERROR(__xludf.DUMMYFUNCTION("""COMPUTED_VALUE"""),0.429755636707874)</f>
        <v>0.42975563670787398</v>
      </c>
      <c r="T409" s="17">
        <f ca="1">IFERROR(__xludf.DUMMYFUNCTION("""COMPUTED_VALUE"""),0.337239629653109)</f>
        <v>0.337239629653109</v>
      </c>
      <c r="U409" s="17">
        <f ca="1">IFERROR(__xludf.DUMMYFUNCTION("""COMPUTED_VALUE"""),0.295477412726048)</f>
        <v>0.29547741272604799</v>
      </c>
      <c r="V409" s="17">
        <f ca="1">IFERROR(__xludf.DUMMYFUNCTION("""COMPUTED_VALUE"""),0.270032082272892)</f>
        <v>0.27003208227289199</v>
      </c>
      <c r="W409" s="17">
        <f ca="1">IFERROR(__xludf.DUMMYFUNCTION("""COMPUTED_VALUE"""),0.393871289911854)</f>
        <v>0.39387128991185399</v>
      </c>
      <c r="X409" s="17">
        <f ca="1">IFERROR(__xludf.DUMMYFUNCTION("""COMPUTED_VALUE"""),0.343809623566077)</f>
        <v>0.34380962356607703</v>
      </c>
      <c r="Y409" s="17">
        <f ca="1">IFERROR(__xludf.DUMMYFUNCTION("""COMPUTED_VALUE"""),0.343508897088687)</f>
        <v>0.34350889708868698</v>
      </c>
      <c r="Z409" s="17">
        <f ca="1">IFERROR(__xludf.DUMMYFUNCTION("""COMPUTED_VALUE"""),0.292934215909767)</f>
        <v>0.29293421590976698</v>
      </c>
      <c r="AA409" s="17">
        <f ca="1">IFERROR(__xludf.DUMMYFUNCTION("""COMPUTED_VALUE"""),0.38270629088503)</f>
        <v>0.38270629088503</v>
      </c>
      <c r="AB409" s="17">
        <f ca="1">IFERROR(__xludf.DUMMYFUNCTION("""COMPUTED_VALUE"""),1.16578029442063)</f>
        <v>1.1657802944206299</v>
      </c>
      <c r="AC409" s="17">
        <f ca="1">IFERROR(__xludf.DUMMYFUNCTION("""COMPUTED_VALUE"""),0.379228795726007)</f>
        <v>0.37922879572600698</v>
      </c>
      <c r="AD409" s="17">
        <f ca="1">IFERROR(__xludf.DUMMYFUNCTION("""COMPUTED_VALUE"""),0.311788435401443)</f>
        <v>0.31178843540144302</v>
      </c>
      <c r="AE409" s="17">
        <f ca="1">IFERROR(__xludf.DUMMYFUNCTION("""COMPUTED_VALUE"""),0.752596582886338)</f>
        <v>0.75259658288633802</v>
      </c>
      <c r="AF409" s="17">
        <f ca="1">IFERROR(__xludf.DUMMYFUNCTION("""COMPUTED_VALUE"""),0.355138691380902)</f>
        <v>0.35513869138090198</v>
      </c>
      <c r="AG409" s="17">
        <f ca="1">IFERROR(__xludf.DUMMYFUNCTION("""COMPUTED_VALUE"""),0.387091617343097)</f>
        <v>0.38709161734309699</v>
      </c>
      <c r="AH409" s="17">
        <f ca="1">IFERROR(__xludf.DUMMYFUNCTION("""COMPUTED_VALUE"""),0.403399108248798)</f>
        <v>0.40339910824879799</v>
      </c>
      <c r="AI409" s="17">
        <f ca="1">IFERROR(__xludf.DUMMYFUNCTION("""COMPUTED_VALUE"""),0.388313593259214)</f>
        <v>0.388313593259214</v>
      </c>
      <c r="AJ409" s="17">
        <f ca="1">IFERROR(__xludf.DUMMYFUNCTION("""COMPUTED_VALUE"""),0.358126213768457)</f>
        <v>0.35812621376845699</v>
      </c>
    </row>
    <row r="410" spans="2:36" ht="15.75" customHeight="1" x14ac:dyDescent="0.45">
      <c r="B410" s="10" t="str">
        <f ca="1">IFERROR(__xludf.DUMMYFUNCTION("""COMPUTED_VALUE"""),"Ham")</f>
        <v>Ham</v>
      </c>
      <c r="C410" s="10" t="str">
        <f ca="1">IFERROR(__xludf.DUMMYFUNCTION("""COMPUTED_VALUE"""),"aligned_series")</f>
        <v>aligned_series</v>
      </c>
      <c r="D410" s="10">
        <f ca="1">IFERROR(__xludf.DUMMYFUNCTION("""COMPUTED_VALUE"""),0.6)</f>
        <v>0.6</v>
      </c>
      <c r="E410" s="17">
        <f ca="1">IFERROR(__xludf.DUMMYFUNCTION("""COMPUTED_VALUE"""),0.502580987769344)</f>
        <v>0.50258098776934401</v>
      </c>
      <c r="F410" s="17">
        <f ca="1">IFERROR(__xludf.DUMMYFUNCTION("""COMPUTED_VALUE"""),0.318395658894759)</f>
        <v>0.31839565889475901</v>
      </c>
      <c r="G410" s="17">
        <f ca="1">IFERROR(__xludf.DUMMYFUNCTION("""COMPUTED_VALUE"""),0.346128515498195)</f>
        <v>0.34612851549819501</v>
      </c>
      <c r="H410" s="17">
        <f ca="1">IFERROR(__xludf.DUMMYFUNCTION("""COMPUTED_VALUE"""),0.336204664484561)</f>
        <v>0.33620466448456099</v>
      </c>
      <c r="I410" s="17">
        <f ca="1">IFERROR(__xludf.DUMMYFUNCTION("""COMPUTED_VALUE"""),0.283860005258157)</f>
        <v>0.28386000525815702</v>
      </c>
      <c r="J410" s="17">
        <f ca="1">IFERROR(__xludf.DUMMYFUNCTION("""COMPUTED_VALUE"""),0.433043564522948)</f>
        <v>0.43304356452294801</v>
      </c>
      <c r="K410" s="17" t="str">
        <f ca="1">IFERROR(__xludf.DUMMYFUNCTION("""COMPUTED_VALUE"""),"nan")</f>
        <v>nan</v>
      </c>
      <c r="L410" s="17">
        <f ca="1">IFERROR(__xludf.DUMMYFUNCTION("""COMPUTED_VALUE"""),0.351996664642911)</f>
        <v>0.35199666464291102</v>
      </c>
      <c r="M410" s="17">
        <f ca="1">IFERROR(__xludf.DUMMYFUNCTION("""COMPUTED_VALUE"""),0.303640104788721)</f>
        <v>0.303640104788721</v>
      </c>
      <c r="N410" s="17">
        <f ca="1">IFERROR(__xludf.DUMMYFUNCTION("""COMPUTED_VALUE"""),0.31263500494318)</f>
        <v>0.31263500494317997</v>
      </c>
      <c r="O410" s="17">
        <f ca="1">IFERROR(__xludf.DUMMYFUNCTION("""COMPUTED_VALUE"""),0.313140896310548)</f>
        <v>0.31314089631054798</v>
      </c>
      <c r="P410" s="17">
        <f ca="1">IFERROR(__xludf.DUMMYFUNCTION("""COMPUTED_VALUE"""),1.31904545259777)</f>
        <v>1.31904545259777</v>
      </c>
      <c r="Q410" s="17">
        <f ca="1">IFERROR(__xludf.DUMMYFUNCTION("""COMPUTED_VALUE"""),0.394942294025013)</f>
        <v>0.39494229402501302</v>
      </c>
      <c r="R410" s="17">
        <f ca="1">IFERROR(__xludf.DUMMYFUNCTION("""COMPUTED_VALUE"""),0.50748383060884)</f>
        <v>0.50748383060883995</v>
      </c>
      <c r="S410" s="17">
        <f ca="1">IFERROR(__xludf.DUMMYFUNCTION("""COMPUTED_VALUE"""),0.403183419963129)</f>
        <v>0.40318341996312901</v>
      </c>
      <c r="T410" s="17">
        <f ca="1">IFERROR(__xludf.DUMMYFUNCTION("""COMPUTED_VALUE"""),0.384168806295518)</f>
        <v>0.38416880629551797</v>
      </c>
      <c r="U410" s="17">
        <f ca="1">IFERROR(__xludf.DUMMYFUNCTION("""COMPUTED_VALUE"""),0.292553989704383)</f>
        <v>0.29255398970438301</v>
      </c>
      <c r="V410" s="17">
        <f ca="1">IFERROR(__xludf.DUMMYFUNCTION("""COMPUTED_VALUE"""),0.314150713461091)</f>
        <v>0.31415071346109102</v>
      </c>
      <c r="W410" s="17">
        <f ca="1">IFERROR(__xludf.DUMMYFUNCTION("""COMPUTED_VALUE"""),0.367321383035672)</f>
        <v>0.36732138303567202</v>
      </c>
      <c r="X410" s="17">
        <f ca="1">IFERROR(__xludf.DUMMYFUNCTION("""COMPUTED_VALUE"""),0.302171075693043)</f>
        <v>0.30217107569304302</v>
      </c>
      <c r="Y410" s="17">
        <f ca="1">IFERROR(__xludf.DUMMYFUNCTION("""COMPUTED_VALUE"""),0.359330667543014)</f>
        <v>0.35933066754301402</v>
      </c>
      <c r="Z410" s="17">
        <f ca="1">IFERROR(__xludf.DUMMYFUNCTION("""COMPUTED_VALUE"""),0.306638173127701)</f>
        <v>0.30663817312770097</v>
      </c>
      <c r="AA410" s="17">
        <f ca="1">IFERROR(__xludf.DUMMYFUNCTION("""COMPUTED_VALUE"""),0.43464514221128)</f>
        <v>0.43464514221127998</v>
      </c>
      <c r="AB410" s="17">
        <f ca="1">IFERROR(__xludf.DUMMYFUNCTION("""COMPUTED_VALUE"""),1.55595535737823)</f>
        <v>1.5559553573782301</v>
      </c>
      <c r="AC410" s="17">
        <f ca="1">IFERROR(__xludf.DUMMYFUNCTION("""COMPUTED_VALUE"""),0.375271473564618)</f>
        <v>0.37527147356461799</v>
      </c>
      <c r="AD410" s="17">
        <f ca="1">IFERROR(__xludf.DUMMYFUNCTION("""COMPUTED_VALUE"""),0.284052510541873)</f>
        <v>0.28405251054187303</v>
      </c>
      <c r="AE410" s="17">
        <f ca="1">IFERROR(__xludf.DUMMYFUNCTION("""COMPUTED_VALUE"""),0.748577474183047)</f>
        <v>0.74857747418304699</v>
      </c>
      <c r="AF410" s="17">
        <f ca="1">IFERROR(__xludf.DUMMYFUNCTION("""COMPUTED_VALUE"""),0.407315666292558)</f>
        <v>0.407315666292558</v>
      </c>
      <c r="AG410" s="17">
        <f ca="1">IFERROR(__xludf.DUMMYFUNCTION("""COMPUTED_VALUE"""),0.396566121663242)</f>
        <v>0.39656612166324201</v>
      </c>
      <c r="AH410" s="17">
        <f ca="1">IFERROR(__xludf.DUMMYFUNCTION("""COMPUTED_VALUE"""),0.411711207359908)</f>
        <v>0.41171120735990802</v>
      </c>
      <c r="AI410" s="17">
        <f ca="1">IFERROR(__xludf.DUMMYFUNCTION("""COMPUTED_VALUE"""),0.397802268383529)</f>
        <v>0.397802268383529</v>
      </c>
      <c r="AJ410" s="17">
        <f ca="1">IFERROR(__xludf.DUMMYFUNCTION("""COMPUTED_VALUE"""),0.381951081594627)</f>
        <v>0.38195108159462698</v>
      </c>
    </row>
    <row r="411" spans="2:36" ht="15.75" customHeight="1" x14ac:dyDescent="0.45">
      <c r="B411" s="10" t="str">
        <f ca="1">IFERROR(__xludf.DUMMYFUNCTION("""COMPUTED_VALUE"""),"Ham")</f>
        <v>Ham</v>
      </c>
      <c r="C411" s="10" t="str">
        <f ca="1">IFERROR(__xludf.DUMMYFUNCTION("""COMPUTED_VALUE"""),"aligned_series")</f>
        <v>aligned_series</v>
      </c>
      <c r="D411" s="10">
        <f ca="1">IFERROR(__xludf.DUMMYFUNCTION("""COMPUTED_VALUE"""),0.8)</f>
        <v>0.8</v>
      </c>
      <c r="E411" s="17">
        <f ca="1">IFERROR(__xludf.DUMMYFUNCTION("""COMPUTED_VALUE"""),0.533368652412194)</f>
        <v>0.533368652412194</v>
      </c>
      <c r="F411" s="17">
        <f ca="1">IFERROR(__xludf.DUMMYFUNCTION("""COMPUTED_VALUE"""),0.332614669931796)</f>
        <v>0.332614669931796</v>
      </c>
      <c r="G411" s="17">
        <f ca="1">IFERROR(__xludf.DUMMYFUNCTION("""COMPUTED_VALUE"""),0.380569018150765)</f>
        <v>0.38056901815076499</v>
      </c>
      <c r="H411" s="17">
        <f ca="1">IFERROR(__xludf.DUMMYFUNCTION("""COMPUTED_VALUE"""),0.349060334874157)</f>
        <v>0.349060334874157</v>
      </c>
      <c r="I411" s="17">
        <f ca="1">IFERROR(__xludf.DUMMYFUNCTION("""COMPUTED_VALUE"""),0.323399053438016)</f>
        <v>0.323399053438016</v>
      </c>
      <c r="J411" s="17">
        <f ca="1">IFERROR(__xludf.DUMMYFUNCTION("""COMPUTED_VALUE"""),0.466674217677562)</f>
        <v>0.46667421767756201</v>
      </c>
      <c r="K411" s="17" t="str">
        <f ca="1">IFERROR(__xludf.DUMMYFUNCTION("""COMPUTED_VALUE"""),"nan")</f>
        <v>nan</v>
      </c>
      <c r="L411" s="17">
        <f ca="1">IFERROR(__xludf.DUMMYFUNCTION("""COMPUTED_VALUE"""),0.389158451374926)</f>
        <v>0.389158451374926</v>
      </c>
      <c r="M411" s="17">
        <f ca="1">IFERROR(__xludf.DUMMYFUNCTION("""COMPUTED_VALUE"""),0.327236533589994)</f>
        <v>0.32723653358999399</v>
      </c>
      <c r="N411" s="17">
        <f ca="1">IFERROR(__xludf.DUMMYFUNCTION("""COMPUTED_VALUE"""),0.337999758729485)</f>
        <v>0.33799975872948501</v>
      </c>
      <c r="O411" s="17">
        <f ca="1">IFERROR(__xludf.DUMMYFUNCTION("""COMPUTED_VALUE"""),0.423385510809673)</f>
        <v>0.42338551080967302</v>
      </c>
      <c r="P411" s="17">
        <f ca="1">IFERROR(__xludf.DUMMYFUNCTION("""COMPUTED_VALUE"""),1.44615911996009)</f>
        <v>1.4461591199600901</v>
      </c>
      <c r="Q411" s="17">
        <f ca="1">IFERROR(__xludf.DUMMYFUNCTION("""COMPUTED_VALUE"""),0.382162639499061)</f>
        <v>0.38216263949906099</v>
      </c>
      <c r="R411" s="17">
        <f ca="1">IFERROR(__xludf.DUMMYFUNCTION("""COMPUTED_VALUE"""),0.563212021649278)</f>
        <v>0.56321202164927797</v>
      </c>
      <c r="S411" s="17">
        <f ca="1">IFERROR(__xludf.DUMMYFUNCTION("""COMPUTED_VALUE"""),0.451111498679275)</f>
        <v>0.45111149867927502</v>
      </c>
      <c r="T411" s="17">
        <f ca="1">IFERROR(__xludf.DUMMYFUNCTION("""COMPUTED_VALUE"""),0.399806942007734)</f>
        <v>0.39980694200773398</v>
      </c>
      <c r="U411" s="17">
        <f ca="1">IFERROR(__xludf.DUMMYFUNCTION("""COMPUTED_VALUE"""),0.352899372385)</f>
        <v>0.35289937238500002</v>
      </c>
      <c r="V411" s="17">
        <f ca="1">IFERROR(__xludf.DUMMYFUNCTION("""COMPUTED_VALUE"""),0.354574046465993)</f>
        <v>0.354574046465993</v>
      </c>
      <c r="W411" s="17">
        <f ca="1">IFERROR(__xludf.DUMMYFUNCTION("""COMPUTED_VALUE"""),0.360125151089936)</f>
        <v>0.36012515108993598</v>
      </c>
      <c r="X411" s="17">
        <f ca="1">IFERROR(__xludf.DUMMYFUNCTION("""COMPUTED_VALUE"""),0.339487419280808)</f>
        <v>0.339487419280808</v>
      </c>
      <c r="Y411" s="17">
        <f ca="1">IFERROR(__xludf.DUMMYFUNCTION("""COMPUTED_VALUE"""),0.380702092909727)</f>
        <v>0.38070209290972701</v>
      </c>
      <c r="Z411" s="17">
        <f ca="1">IFERROR(__xludf.DUMMYFUNCTION("""COMPUTED_VALUE"""),0.323083004090436)</f>
        <v>0.323083004090436</v>
      </c>
      <c r="AA411" s="17">
        <f ca="1">IFERROR(__xludf.DUMMYFUNCTION("""COMPUTED_VALUE"""),0.449432407873609)</f>
        <v>0.449432407873609</v>
      </c>
      <c r="AB411" s="17">
        <f ca="1">IFERROR(__xludf.DUMMYFUNCTION("""COMPUTED_VALUE"""),1.26102265346481)</f>
        <v>1.2610226534648099</v>
      </c>
      <c r="AC411" s="17">
        <f ca="1">IFERROR(__xludf.DUMMYFUNCTION("""COMPUTED_VALUE"""),0.386642308641408)</f>
        <v>0.38664230864140797</v>
      </c>
      <c r="AD411" s="17">
        <f ca="1">IFERROR(__xludf.DUMMYFUNCTION("""COMPUTED_VALUE"""),0.308840416346718)</f>
        <v>0.30884041634671799</v>
      </c>
      <c r="AE411" s="17">
        <f ca="1">IFERROR(__xludf.DUMMYFUNCTION("""COMPUTED_VALUE"""),0.770873483423733)</f>
        <v>0.77087348342373296</v>
      </c>
      <c r="AF411" s="17">
        <f ca="1">IFERROR(__xludf.DUMMYFUNCTION("""COMPUTED_VALUE"""),0.46411724757181)</f>
        <v>0.46411724757181</v>
      </c>
      <c r="AG411" s="17">
        <f ca="1">IFERROR(__xludf.DUMMYFUNCTION("""COMPUTED_VALUE"""),0.414871166544739)</f>
        <v>0.41487116654473899</v>
      </c>
      <c r="AH411" s="17">
        <f ca="1">IFERROR(__xludf.DUMMYFUNCTION("""COMPUTED_VALUE"""),0.417633545761974)</f>
        <v>0.41763354576197398</v>
      </c>
      <c r="AI411" s="17">
        <f ca="1">IFERROR(__xludf.DUMMYFUNCTION("""COMPUTED_VALUE"""),0.40231093658435)</f>
        <v>0.40231093658435002</v>
      </c>
      <c r="AJ411" s="17">
        <f ca="1">IFERROR(__xludf.DUMMYFUNCTION("""COMPUTED_VALUE"""),0.396686495624776)</f>
        <v>0.39668649562477598</v>
      </c>
    </row>
    <row r="412" spans="2:36" ht="15.75" customHeight="1" x14ac:dyDescent="0.45">
      <c r="B412" s="10" t="str">
        <f ca="1">IFERROR(__xludf.DUMMYFUNCTION("""COMPUTED_VALUE"""),"Ham")</f>
        <v>Ham</v>
      </c>
      <c r="C412" s="10" t="str">
        <f ca="1">IFERROR(__xludf.DUMMYFUNCTION("""COMPUTED_VALUE"""),"aligned_timestamps")</f>
        <v>aligned_timestamps</v>
      </c>
      <c r="D412" s="10">
        <f ca="1">IFERROR(__xludf.DUMMYFUNCTION("""COMPUTED_VALUE"""),0.1)</f>
        <v>0.1</v>
      </c>
      <c r="E412" s="17">
        <f ca="1">IFERROR(__xludf.DUMMYFUNCTION("""COMPUTED_VALUE"""),0.50161065281199)</f>
        <v>0.50161065281199002</v>
      </c>
      <c r="F412" s="17">
        <f ca="1">IFERROR(__xludf.DUMMYFUNCTION("""COMPUTED_VALUE"""),0.287510302449221)</f>
        <v>0.28751030244922099</v>
      </c>
      <c r="G412" s="17">
        <f ca="1">IFERROR(__xludf.DUMMYFUNCTION("""COMPUTED_VALUE"""),0.290005866006764)</f>
        <v>0.29000586600676398</v>
      </c>
      <c r="H412" s="17">
        <f ca="1">IFERROR(__xludf.DUMMYFUNCTION("""COMPUTED_VALUE"""),0.310086025336302)</f>
        <v>0.31008602533630197</v>
      </c>
      <c r="I412" s="17">
        <f ca="1">IFERROR(__xludf.DUMMYFUNCTION("""COMPUTED_VALUE"""),0.252038972408938)</f>
        <v>0.25203897240893802</v>
      </c>
      <c r="J412" s="17">
        <f ca="1">IFERROR(__xludf.DUMMYFUNCTION("""COMPUTED_VALUE"""),0.280334911744105)</f>
        <v>0.28033491174410502</v>
      </c>
      <c r="K412" s="17" t="str">
        <f ca="1">IFERROR(__xludf.DUMMYFUNCTION("""COMPUTED_VALUE"""),"nan")</f>
        <v>nan</v>
      </c>
      <c r="L412" s="17">
        <f ca="1">IFERROR(__xludf.DUMMYFUNCTION("""COMPUTED_VALUE"""),0.28726744384855)</f>
        <v>0.28726744384855002</v>
      </c>
      <c r="M412" s="17">
        <f ca="1">IFERROR(__xludf.DUMMYFUNCTION("""COMPUTED_VALUE"""),0.256778151094549)</f>
        <v>0.25677815109454899</v>
      </c>
      <c r="N412" s="17">
        <f ca="1">IFERROR(__xludf.DUMMYFUNCTION("""COMPUTED_VALUE"""),0.274819395178515)</f>
        <v>0.274819395178515</v>
      </c>
      <c r="O412" s="17">
        <f ca="1">IFERROR(__xludf.DUMMYFUNCTION("""COMPUTED_VALUE"""),0.274017374212863)</f>
        <v>0.27401737421286299</v>
      </c>
      <c r="P412" s="17">
        <f ca="1">IFERROR(__xludf.DUMMYFUNCTION("""COMPUTED_VALUE"""),0.699027731394238)</f>
        <v>0.69902773139423802</v>
      </c>
      <c r="Q412" s="17">
        <f ca="1">IFERROR(__xludf.DUMMYFUNCTION("""COMPUTED_VALUE"""),0.360295562704221)</f>
        <v>0.36029556270422097</v>
      </c>
      <c r="R412" s="17">
        <f ca="1">IFERROR(__xludf.DUMMYFUNCTION("""COMPUTED_VALUE"""),0.437921399396169)</f>
        <v>0.43792139939616898</v>
      </c>
      <c r="S412" s="17">
        <f ca="1">IFERROR(__xludf.DUMMYFUNCTION("""COMPUTED_VALUE"""),0.298680420446159)</f>
        <v>0.298680420446159</v>
      </c>
      <c r="T412" s="17">
        <f ca="1">IFERROR(__xludf.DUMMYFUNCTION("""COMPUTED_VALUE"""),0.214570153029213)</f>
        <v>0.21457015302921301</v>
      </c>
      <c r="U412" s="17">
        <f ca="1">IFERROR(__xludf.DUMMYFUNCTION("""COMPUTED_VALUE"""),0.201191012259165)</f>
        <v>0.201191012259165</v>
      </c>
      <c r="V412" s="17">
        <f ca="1">IFERROR(__xludf.DUMMYFUNCTION("""COMPUTED_VALUE"""),0.199826766449169)</f>
        <v>0.199826766449169</v>
      </c>
      <c r="W412" s="17">
        <f ca="1">IFERROR(__xludf.DUMMYFUNCTION("""COMPUTED_VALUE"""),0.375067012234486)</f>
        <v>0.37506701223448602</v>
      </c>
      <c r="X412" s="17">
        <f ca="1">IFERROR(__xludf.DUMMYFUNCTION("""COMPUTED_VALUE"""),0.292010308736607)</f>
        <v>0.29201030873660699</v>
      </c>
      <c r="Y412" s="17">
        <f ca="1">IFERROR(__xludf.DUMMYFUNCTION("""COMPUTED_VALUE"""),0.257341259419994)</f>
        <v>0.25734125941999397</v>
      </c>
      <c r="Z412" s="17">
        <f ca="1">IFERROR(__xludf.DUMMYFUNCTION("""COMPUTED_VALUE"""),0.226917692301439)</f>
        <v>0.22691769230143899</v>
      </c>
      <c r="AA412" s="17">
        <f ca="1">IFERROR(__xludf.DUMMYFUNCTION("""COMPUTED_VALUE"""),0.401337548201179)</f>
        <v>0.40133754820117901</v>
      </c>
      <c r="AB412" s="17">
        <f ca="1">IFERROR(__xludf.DUMMYFUNCTION("""COMPUTED_VALUE"""),0.651530313147688)</f>
        <v>0.65153031314768795</v>
      </c>
      <c r="AC412" s="17">
        <f ca="1">IFERROR(__xludf.DUMMYFUNCTION("""COMPUTED_VALUE"""),0.264558704797486)</f>
        <v>0.264558704797486</v>
      </c>
      <c r="AD412" s="17">
        <f ca="1">IFERROR(__xludf.DUMMYFUNCTION("""COMPUTED_VALUE"""),0.213656128272353)</f>
        <v>0.213656128272353</v>
      </c>
      <c r="AE412" s="17">
        <f ca="1">IFERROR(__xludf.DUMMYFUNCTION("""COMPUTED_VALUE"""),0.709650975350701)</f>
        <v>0.70965097535070099</v>
      </c>
      <c r="AF412" s="17">
        <f ca="1">IFERROR(__xludf.DUMMYFUNCTION("""COMPUTED_VALUE"""),0.228379670925302)</f>
        <v>0.22837967092530201</v>
      </c>
      <c r="AG412" s="17">
        <f ca="1">IFERROR(__xludf.DUMMYFUNCTION("""COMPUTED_VALUE"""),0.230476244795783)</f>
        <v>0.23047624479578299</v>
      </c>
      <c r="AH412" s="17">
        <f ca="1">IFERROR(__xludf.DUMMYFUNCTION("""COMPUTED_VALUE"""),0.212342919508261)</f>
        <v>0.21234291950826101</v>
      </c>
      <c r="AI412" s="17">
        <f ca="1">IFERROR(__xludf.DUMMYFUNCTION("""COMPUTED_VALUE"""),0.208920831604274)</f>
        <v>0.20892083160427399</v>
      </c>
      <c r="AJ412" s="17">
        <f ca="1">IFERROR(__xludf.DUMMYFUNCTION("""COMPUTED_VALUE"""),0.170441584836944)</f>
        <v>0.17044158483694399</v>
      </c>
    </row>
    <row r="413" spans="2:36" ht="15.75" customHeight="1" x14ac:dyDescent="0.45">
      <c r="B413" s="10" t="str">
        <f ca="1">IFERROR(__xludf.DUMMYFUNCTION("""COMPUTED_VALUE"""),"Ham")</f>
        <v>Ham</v>
      </c>
      <c r="C413" s="10" t="str">
        <f ca="1">IFERROR(__xludf.DUMMYFUNCTION("""COMPUTED_VALUE"""),"aligned_timestamps")</f>
        <v>aligned_timestamps</v>
      </c>
      <c r="D413" s="10">
        <f ca="1">IFERROR(__xludf.DUMMYFUNCTION("""COMPUTED_VALUE"""),0.2)</f>
        <v>0.2</v>
      </c>
      <c r="E413" s="17">
        <f ca="1">IFERROR(__xludf.DUMMYFUNCTION("""COMPUTED_VALUE"""),0.475891199535567)</f>
        <v>0.47589119953556702</v>
      </c>
      <c r="F413" s="17">
        <f ca="1">IFERROR(__xludf.DUMMYFUNCTION("""COMPUTED_VALUE"""),0.309751007634554)</f>
        <v>0.30975100763455399</v>
      </c>
      <c r="G413" s="17">
        <f ca="1">IFERROR(__xludf.DUMMYFUNCTION("""COMPUTED_VALUE"""),0.31276512562067)</f>
        <v>0.31276512562066999</v>
      </c>
      <c r="H413" s="17">
        <f ca="1">IFERROR(__xludf.DUMMYFUNCTION("""COMPUTED_VALUE"""),0.325850330228576)</f>
        <v>0.32585033022857601</v>
      </c>
      <c r="I413" s="17">
        <f ca="1">IFERROR(__xludf.DUMMYFUNCTION("""COMPUTED_VALUE"""),0.279494136430785)</f>
        <v>0.27949413643078502</v>
      </c>
      <c r="J413" s="17">
        <f ca="1">IFERROR(__xludf.DUMMYFUNCTION("""COMPUTED_VALUE"""),0.319733656698728)</f>
        <v>0.319733656698728</v>
      </c>
      <c r="K413" s="17" t="str">
        <f ca="1">IFERROR(__xludf.DUMMYFUNCTION("""COMPUTED_VALUE"""),"nan")</f>
        <v>nan</v>
      </c>
      <c r="L413" s="17">
        <f ca="1">IFERROR(__xludf.DUMMYFUNCTION("""COMPUTED_VALUE"""),0.310885037955056)</f>
        <v>0.31088503795505601</v>
      </c>
      <c r="M413" s="17">
        <f ca="1">IFERROR(__xludf.DUMMYFUNCTION("""COMPUTED_VALUE"""),0.282178375536466)</f>
        <v>0.28217837553646602</v>
      </c>
      <c r="N413" s="17">
        <f ca="1">IFERROR(__xludf.DUMMYFUNCTION("""COMPUTED_VALUE"""),0.320699860971146)</f>
        <v>0.320699860971146</v>
      </c>
      <c r="O413" s="17">
        <f ca="1">IFERROR(__xludf.DUMMYFUNCTION("""COMPUTED_VALUE"""),0.304547608301215)</f>
        <v>0.30454760830121502</v>
      </c>
      <c r="P413" s="17">
        <f ca="1">IFERROR(__xludf.DUMMYFUNCTION("""COMPUTED_VALUE"""),0.684138328836583)</f>
        <v>0.68413832883658299</v>
      </c>
      <c r="Q413" s="17">
        <f ca="1">IFERROR(__xludf.DUMMYFUNCTION("""COMPUTED_VALUE"""),0.373717288655082)</f>
        <v>0.37371728865508202</v>
      </c>
      <c r="R413" s="17">
        <f ca="1">IFERROR(__xludf.DUMMYFUNCTION("""COMPUTED_VALUE"""),0.448103701054081)</f>
        <v>0.44810370105408098</v>
      </c>
      <c r="S413" s="17">
        <f ca="1">IFERROR(__xludf.DUMMYFUNCTION("""COMPUTED_VALUE"""),0.386581308221157)</f>
        <v>0.38658130822115699</v>
      </c>
      <c r="T413" s="17">
        <f ca="1">IFERROR(__xludf.DUMMYFUNCTION("""COMPUTED_VALUE"""),0.262460370400774)</f>
        <v>0.26246037040077402</v>
      </c>
      <c r="U413" s="17">
        <f ca="1">IFERROR(__xludf.DUMMYFUNCTION("""COMPUTED_VALUE"""),0.267517112619531)</f>
        <v>0.26751711261953098</v>
      </c>
      <c r="V413" s="17">
        <f ca="1">IFERROR(__xludf.DUMMYFUNCTION("""COMPUTED_VALUE"""),0.25505468446835)</f>
        <v>0.25505468446835</v>
      </c>
      <c r="W413" s="17">
        <f ca="1">IFERROR(__xludf.DUMMYFUNCTION("""COMPUTED_VALUE"""),0.383205352367827)</f>
        <v>0.38320535236782699</v>
      </c>
      <c r="X413" s="17">
        <f ca="1">IFERROR(__xludf.DUMMYFUNCTION("""COMPUTED_VALUE"""),0.300447268790612)</f>
        <v>0.30044726879061201</v>
      </c>
      <c r="Y413" s="17">
        <f ca="1">IFERROR(__xludf.DUMMYFUNCTION("""COMPUTED_VALUE"""),0.326785971174811)</f>
        <v>0.32678597117481101</v>
      </c>
      <c r="Z413" s="17">
        <f ca="1">IFERROR(__xludf.DUMMYFUNCTION("""COMPUTED_VALUE"""),0.27128333383861)</f>
        <v>0.27128333383860997</v>
      </c>
      <c r="AA413" s="17">
        <f ca="1">IFERROR(__xludf.DUMMYFUNCTION("""COMPUTED_VALUE"""),0.344512848879998)</f>
        <v>0.344512848879998</v>
      </c>
      <c r="AB413" s="17">
        <f ca="1">IFERROR(__xludf.DUMMYFUNCTION("""COMPUTED_VALUE"""),0.537444073800001)</f>
        <v>0.53744407380000103</v>
      </c>
      <c r="AC413" s="17">
        <f ca="1">IFERROR(__xludf.DUMMYFUNCTION("""COMPUTED_VALUE"""),0.390895591869569)</f>
        <v>0.39089559186956901</v>
      </c>
      <c r="AD413" s="17">
        <f ca="1">IFERROR(__xludf.DUMMYFUNCTION("""COMPUTED_VALUE"""),0.296385239143755)</f>
        <v>0.29638523914375497</v>
      </c>
      <c r="AE413" s="17">
        <f ca="1">IFERROR(__xludf.DUMMYFUNCTION("""COMPUTED_VALUE"""),0.757997531132721)</f>
        <v>0.75799753113272095</v>
      </c>
      <c r="AF413" s="17">
        <f ca="1">IFERROR(__xludf.DUMMYFUNCTION("""COMPUTED_VALUE"""),0.340012835581285)</f>
        <v>0.34001283558128498</v>
      </c>
      <c r="AG413" s="17">
        <f ca="1">IFERROR(__xludf.DUMMYFUNCTION("""COMPUTED_VALUE"""),0.376606329294621)</f>
        <v>0.37660632929462101</v>
      </c>
      <c r="AH413" s="17">
        <f ca="1">IFERROR(__xludf.DUMMYFUNCTION("""COMPUTED_VALUE"""),0.369087153885576)</f>
        <v>0.369087153885576</v>
      </c>
      <c r="AI413" s="17">
        <f ca="1">IFERROR(__xludf.DUMMYFUNCTION("""COMPUTED_VALUE"""),0.356540136024076)</f>
        <v>0.35654013602407603</v>
      </c>
      <c r="AJ413" s="17">
        <f ca="1">IFERROR(__xludf.DUMMYFUNCTION("""COMPUTED_VALUE"""),0.316377834639972)</f>
        <v>0.31637783463997199</v>
      </c>
    </row>
    <row r="414" spans="2:36" ht="15.75" customHeight="1" x14ac:dyDescent="0.45">
      <c r="B414" s="10" t="str">
        <f ca="1">IFERROR(__xludf.DUMMYFUNCTION("""COMPUTED_VALUE"""),"Ham")</f>
        <v>Ham</v>
      </c>
      <c r="C414" s="10" t="str">
        <f ca="1">IFERROR(__xludf.DUMMYFUNCTION("""COMPUTED_VALUE"""),"aligned_timestamps")</f>
        <v>aligned_timestamps</v>
      </c>
      <c r="D414" s="10">
        <f ca="1">IFERROR(__xludf.DUMMYFUNCTION("""COMPUTED_VALUE"""),0.4)</f>
        <v>0.4</v>
      </c>
      <c r="E414" s="17">
        <f ca="1">IFERROR(__xludf.DUMMYFUNCTION("""COMPUTED_VALUE"""),0.757181878855196)</f>
        <v>0.75718187885519606</v>
      </c>
      <c r="F414" s="17">
        <f ca="1">IFERROR(__xludf.DUMMYFUNCTION("""COMPUTED_VALUE"""),0.349784890406052)</f>
        <v>0.34978489040605198</v>
      </c>
      <c r="G414" s="17">
        <f ca="1">IFERROR(__xludf.DUMMYFUNCTION("""COMPUTED_VALUE"""),0.359582184187281)</f>
        <v>0.359582184187281</v>
      </c>
      <c r="H414" s="17">
        <f ca="1">IFERROR(__xludf.DUMMYFUNCTION("""COMPUTED_VALUE"""),0.363027627429309)</f>
        <v>0.363027627429309</v>
      </c>
      <c r="I414" s="17">
        <f ca="1">IFERROR(__xludf.DUMMYFUNCTION("""COMPUTED_VALUE"""),0.344349249293408)</f>
        <v>0.34434924929340799</v>
      </c>
      <c r="J414" s="17">
        <f ca="1">IFERROR(__xludf.DUMMYFUNCTION("""COMPUTED_VALUE"""),0.516390578394778)</f>
        <v>0.51639057839477798</v>
      </c>
      <c r="K414" s="17" t="str">
        <f ca="1">IFERROR(__xludf.DUMMYFUNCTION("""COMPUTED_VALUE"""),"nan")</f>
        <v>nan</v>
      </c>
      <c r="L414" s="17">
        <f ca="1">IFERROR(__xludf.DUMMYFUNCTION("""COMPUTED_VALUE"""),0.343570679060478)</f>
        <v>0.343570679060478</v>
      </c>
      <c r="M414" s="17">
        <f ca="1">IFERROR(__xludf.DUMMYFUNCTION("""COMPUTED_VALUE"""),0.341189991996517)</f>
        <v>0.34118999199651701</v>
      </c>
      <c r="N414" s="17">
        <f ca="1">IFERROR(__xludf.DUMMYFUNCTION("""COMPUTED_VALUE"""),0.351047074055616)</f>
        <v>0.35104707405561603</v>
      </c>
      <c r="O414" s="17">
        <f ca="1">IFERROR(__xludf.DUMMYFUNCTION("""COMPUTED_VALUE"""),0.347846179963471)</f>
        <v>0.347846179963471</v>
      </c>
      <c r="P414" s="17">
        <f ca="1">IFERROR(__xludf.DUMMYFUNCTION("""COMPUTED_VALUE"""),0.732849325003619)</f>
        <v>0.73284932500361899</v>
      </c>
      <c r="Q414" s="17">
        <f ca="1">IFERROR(__xludf.DUMMYFUNCTION("""COMPUTED_VALUE"""),0.425580179399877)</f>
        <v>0.42558017939987702</v>
      </c>
      <c r="R414" s="17">
        <f ca="1">IFERROR(__xludf.DUMMYFUNCTION("""COMPUTED_VALUE"""),0.694864087494136)</f>
        <v>0.69486408749413597</v>
      </c>
      <c r="S414" s="17">
        <f ca="1">IFERROR(__xludf.DUMMYFUNCTION("""COMPUTED_VALUE"""),0.451785336765143)</f>
        <v>0.45178533676514299</v>
      </c>
      <c r="T414" s="17">
        <f ca="1">IFERROR(__xludf.DUMMYFUNCTION("""COMPUTED_VALUE"""),0.385250653118155)</f>
        <v>0.38525065311815498</v>
      </c>
      <c r="U414" s="17">
        <f ca="1">IFERROR(__xludf.DUMMYFUNCTION("""COMPUTED_VALUE"""),0.367899372679179)</f>
        <v>0.36789937267917899</v>
      </c>
      <c r="V414" s="17">
        <f ca="1">IFERROR(__xludf.DUMMYFUNCTION("""COMPUTED_VALUE"""),0.369726866096718)</f>
        <v>0.36972686609671801</v>
      </c>
      <c r="W414" s="17">
        <f ca="1">IFERROR(__xludf.DUMMYFUNCTION("""COMPUTED_VALUE"""),0.653902314990212)</f>
        <v>0.65390231499021201</v>
      </c>
      <c r="X414" s="17">
        <f ca="1">IFERROR(__xludf.DUMMYFUNCTION("""COMPUTED_VALUE"""),0.345796010559707)</f>
        <v>0.34579601055970699</v>
      </c>
      <c r="Y414" s="17">
        <f ca="1">IFERROR(__xludf.DUMMYFUNCTION("""COMPUTED_VALUE"""),0.355850583622877)</f>
        <v>0.35585058362287703</v>
      </c>
      <c r="Z414" s="17">
        <f ca="1">IFERROR(__xludf.DUMMYFUNCTION("""COMPUTED_VALUE"""),0.455064826347417)</f>
        <v>0.45506482634741702</v>
      </c>
      <c r="AA414" s="17">
        <f ca="1">IFERROR(__xludf.DUMMYFUNCTION("""COMPUTED_VALUE"""),0.55077785981598)</f>
        <v>0.55077785981598004</v>
      </c>
      <c r="AB414" s="17">
        <f ca="1">IFERROR(__xludf.DUMMYFUNCTION("""COMPUTED_VALUE"""),0.774039519322904)</f>
        <v>0.77403951932290405</v>
      </c>
      <c r="AC414" s="17">
        <f ca="1">IFERROR(__xludf.DUMMYFUNCTION("""COMPUTED_VALUE"""),0.699513542715662)</f>
        <v>0.69951354271566202</v>
      </c>
      <c r="AD414" s="17">
        <f ca="1">IFERROR(__xludf.DUMMYFUNCTION("""COMPUTED_VALUE"""),0.456237207449941)</f>
        <v>0.45623720744994101</v>
      </c>
      <c r="AE414" s="17">
        <f ca="1">IFERROR(__xludf.DUMMYFUNCTION("""COMPUTED_VALUE"""),0.896671556095305)</f>
        <v>0.89667155609530502</v>
      </c>
      <c r="AF414" s="17">
        <f ca="1">IFERROR(__xludf.DUMMYFUNCTION("""COMPUTED_VALUE"""),0.410046268632229)</f>
        <v>0.41004626863222898</v>
      </c>
      <c r="AG414" s="17">
        <f ca="1">IFERROR(__xludf.DUMMYFUNCTION("""COMPUTED_VALUE"""),0.662607377806465)</f>
        <v>0.66260737780646495</v>
      </c>
      <c r="AH414" s="17">
        <f ca="1">IFERROR(__xludf.DUMMYFUNCTION("""COMPUTED_VALUE"""),0.700255965410434)</f>
        <v>0.700255965410434</v>
      </c>
      <c r="AI414" s="17">
        <f ca="1">IFERROR(__xludf.DUMMYFUNCTION("""COMPUTED_VALUE"""),0.702450602464388)</f>
        <v>0.70245060246438795</v>
      </c>
      <c r="AJ414" s="17">
        <f ca="1">IFERROR(__xludf.DUMMYFUNCTION("""COMPUTED_VALUE"""),0.507321571077477)</f>
        <v>0.507321571077477</v>
      </c>
    </row>
    <row r="415" spans="2:36" ht="15.75" customHeight="1" x14ac:dyDescent="0.45">
      <c r="B415" s="10" t="str">
        <f ca="1">IFERROR(__xludf.DUMMYFUNCTION("""COMPUTED_VALUE"""),"Ham")</f>
        <v>Ham</v>
      </c>
      <c r="C415" s="10" t="str">
        <f ca="1">IFERROR(__xludf.DUMMYFUNCTION("""COMPUTED_VALUE"""),"aligned_timestamps")</f>
        <v>aligned_timestamps</v>
      </c>
      <c r="D415" s="10">
        <f ca="1">IFERROR(__xludf.DUMMYFUNCTION("""COMPUTED_VALUE"""),0.6)</f>
        <v>0.6</v>
      </c>
      <c r="E415" s="17">
        <f ca="1">IFERROR(__xludf.DUMMYFUNCTION("""COMPUTED_VALUE"""),0.857278107425099)</f>
        <v>0.85727810742509902</v>
      </c>
      <c r="F415" s="17">
        <f ca="1">IFERROR(__xludf.DUMMYFUNCTION("""COMPUTED_VALUE"""),0.477393032328263)</f>
        <v>0.47739303232826302</v>
      </c>
      <c r="G415" s="17">
        <f ca="1">IFERROR(__xludf.DUMMYFUNCTION("""COMPUTED_VALUE"""),0.57128633752491)</f>
        <v>0.57128633752490998</v>
      </c>
      <c r="H415" s="17">
        <f ca="1">IFERROR(__xludf.DUMMYFUNCTION("""COMPUTED_VALUE"""),0.451966710517709)</f>
        <v>0.45196671051770898</v>
      </c>
      <c r="I415" s="17">
        <f ca="1">IFERROR(__xludf.DUMMYFUNCTION("""COMPUTED_VALUE"""),0.437552504366745)</f>
        <v>0.43755250436674498</v>
      </c>
      <c r="J415" s="17">
        <f ca="1">IFERROR(__xludf.DUMMYFUNCTION("""COMPUTED_VALUE"""),0.926187680259143)</f>
        <v>0.926187680259143</v>
      </c>
      <c r="K415" s="17" t="str">
        <f ca="1">IFERROR(__xludf.DUMMYFUNCTION("""COMPUTED_VALUE"""),"nan")</f>
        <v>nan</v>
      </c>
      <c r="L415" s="17">
        <f ca="1">IFERROR(__xludf.DUMMYFUNCTION("""COMPUTED_VALUE"""),0.438016581524135)</f>
        <v>0.43801658152413497</v>
      </c>
      <c r="M415" s="17">
        <f ca="1">IFERROR(__xludf.DUMMYFUNCTION("""COMPUTED_VALUE"""),0.747822274875109)</f>
        <v>0.74782227487510899</v>
      </c>
      <c r="N415" s="17">
        <f ca="1">IFERROR(__xludf.DUMMYFUNCTION("""COMPUTED_VALUE"""),0.412367459531765)</f>
        <v>0.41236745953176501</v>
      </c>
      <c r="O415" s="17">
        <f ca="1">IFERROR(__xludf.DUMMYFUNCTION("""COMPUTED_VALUE"""),0.508315945402437)</f>
        <v>0.50831594540243696</v>
      </c>
      <c r="P415" s="17">
        <f ca="1">IFERROR(__xludf.DUMMYFUNCTION("""COMPUTED_VALUE"""),1.16790587605717)</f>
        <v>1.1679058760571699</v>
      </c>
      <c r="Q415" s="17">
        <f ca="1">IFERROR(__xludf.DUMMYFUNCTION("""COMPUTED_VALUE"""),0.526303684370769)</f>
        <v>0.52630368437076902</v>
      </c>
      <c r="R415" s="17">
        <f ca="1">IFERROR(__xludf.DUMMYFUNCTION("""COMPUTED_VALUE"""),0.776049898709108)</f>
        <v>0.77604989870910801</v>
      </c>
      <c r="S415" s="17">
        <f ca="1">IFERROR(__xludf.DUMMYFUNCTION("""COMPUTED_VALUE"""),0.499466543312301)</f>
        <v>0.499466543312301</v>
      </c>
      <c r="T415" s="17">
        <f ca="1">IFERROR(__xludf.DUMMYFUNCTION("""COMPUTED_VALUE"""),0.444572175139281)</f>
        <v>0.44457217513928099</v>
      </c>
      <c r="U415" s="17">
        <f ca="1">IFERROR(__xludf.DUMMYFUNCTION("""COMPUTED_VALUE"""),0.468791032947447)</f>
        <v>0.46879103294744701</v>
      </c>
      <c r="V415" s="17">
        <f ca="1">IFERROR(__xludf.DUMMYFUNCTION("""COMPUTED_VALUE"""),0.554627253188786)</f>
        <v>0.55462725318878603</v>
      </c>
      <c r="W415" s="17">
        <f ca="1">IFERROR(__xludf.DUMMYFUNCTION("""COMPUTED_VALUE"""),0.776160072824422)</f>
        <v>0.77616007282442201</v>
      </c>
      <c r="X415" s="17">
        <f ca="1">IFERROR(__xludf.DUMMYFUNCTION("""COMPUTED_VALUE"""),0.440477911984465)</f>
        <v>0.44047791198446501</v>
      </c>
      <c r="Y415" s="17">
        <f ca="1">IFERROR(__xludf.DUMMYFUNCTION("""COMPUTED_VALUE"""),0.405655515476452)</f>
        <v>0.40565551547645201</v>
      </c>
      <c r="Z415" s="17">
        <f ca="1">IFERROR(__xludf.DUMMYFUNCTION("""COMPUTED_VALUE"""),0.816653026095827)</f>
        <v>0.81665302609582702</v>
      </c>
      <c r="AA415" s="17">
        <f ca="1">IFERROR(__xludf.DUMMYFUNCTION("""COMPUTED_VALUE"""),0.813606465711216)</f>
        <v>0.81360646571121598</v>
      </c>
      <c r="AB415" s="17">
        <f ca="1">IFERROR(__xludf.DUMMYFUNCTION("""COMPUTED_VALUE"""),0.483103121282641)</f>
        <v>0.48310312128264099</v>
      </c>
      <c r="AC415" s="17">
        <f ca="1">IFERROR(__xludf.DUMMYFUNCTION("""COMPUTED_VALUE"""),0.751100306825391)</f>
        <v>0.75110030682539097</v>
      </c>
      <c r="AD415" s="17">
        <f ca="1">IFERROR(__xludf.DUMMYFUNCTION("""COMPUTED_VALUE"""),0.488138978047641)</f>
        <v>0.488138978047641</v>
      </c>
      <c r="AE415" s="17" t="str">
        <f ca="1">IFERROR(__xludf.DUMMYFUNCTION("""COMPUTED_VALUE"""),"nan")</f>
        <v>nan</v>
      </c>
      <c r="AF415" s="17">
        <f ca="1">IFERROR(__xludf.DUMMYFUNCTION("""COMPUTED_VALUE"""),0.612010586164504)</f>
        <v>0.61201058616450399</v>
      </c>
      <c r="AG415" s="17">
        <f ca="1">IFERROR(__xludf.DUMMYFUNCTION("""COMPUTED_VALUE"""),0.950356422261993)</f>
        <v>0.95035642226199302</v>
      </c>
      <c r="AH415" s="17">
        <f ca="1">IFERROR(__xludf.DUMMYFUNCTION("""COMPUTED_VALUE"""),0.866418963129131)</f>
        <v>0.86641896312913103</v>
      </c>
      <c r="AI415" s="17" t="str">
        <f ca="1">IFERROR(__xludf.DUMMYFUNCTION("""COMPUTED_VALUE"""),"nan")</f>
        <v>nan</v>
      </c>
      <c r="AJ415" s="17">
        <f ca="1">IFERROR(__xludf.DUMMYFUNCTION("""COMPUTED_VALUE"""),1.00280745309049)</f>
        <v>1.00280745309049</v>
      </c>
    </row>
    <row r="416" spans="2:36" ht="15.75" customHeight="1" x14ac:dyDescent="0.45">
      <c r="B416" s="10" t="str">
        <f ca="1">IFERROR(__xludf.DUMMYFUNCTION("""COMPUTED_VALUE"""),"Ham")</f>
        <v>Ham</v>
      </c>
      <c r="C416" s="10" t="str">
        <f ca="1">IFERROR(__xludf.DUMMYFUNCTION("""COMPUTED_VALUE"""),"aligned_timestamps")</f>
        <v>aligned_timestamps</v>
      </c>
      <c r="D416" s="10">
        <f ca="1">IFERROR(__xludf.DUMMYFUNCTION("""COMPUTED_VALUE"""),0.8)</f>
        <v>0.8</v>
      </c>
      <c r="E416" s="17">
        <f ca="1">IFERROR(__xludf.DUMMYFUNCTION("""COMPUTED_VALUE"""),1.04809437989886)</f>
        <v>1.04809437989886</v>
      </c>
      <c r="F416" s="17">
        <f ca="1">IFERROR(__xludf.DUMMYFUNCTION("""COMPUTED_VALUE"""),0.530941595000426)</f>
        <v>0.53094159500042604</v>
      </c>
      <c r="G416" s="17">
        <f ca="1">IFERROR(__xludf.DUMMYFUNCTION("""COMPUTED_VALUE"""),0.608316264894457)</f>
        <v>0.608316264894457</v>
      </c>
      <c r="H416" s="17">
        <f ca="1">IFERROR(__xludf.DUMMYFUNCTION("""COMPUTED_VALUE"""),0.495702152499786)</f>
        <v>0.495702152499786</v>
      </c>
      <c r="I416" s="17">
        <f ca="1">IFERROR(__xludf.DUMMYFUNCTION("""COMPUTED_VALUE"""),0.771987788131253)</f>
        <v>0.77198778813125302</v>
      </c>
      <c r="J416" s="17">
        <f ca="1">IFERROR(__xludf.DUMMYFUNCTION("""COMPUTED_VALUE"""),1.239740735379)</f>
        <v>1.239740735379</v>
      </c>
      <c r="K416" s="17" t="str">
        <f ca="1">IFERROR(__xludf.DUMMYFUNCTION("""COMPUTED_VALUE"""),"nan")</f>
        <v>nan</v>
      </c>
      <c r="L416" s="17">
        <f ca="1">IFERROR(__xludf.DUMMYFUNCTION("""COMPUTED_VALUE"""),0.483660079910719)</f>
        <v>0.48366007991071902</v>
      </c>
      <c r="M416" s="17">
        <f ca="1">IFERROR(__xludf.DUMMYFUNCTION("""COMPUTED_VALUE"""),1.22683854568641)</f>
        <v>1.2268385456864099</v>
      </c>
      <c r="N416" s="17">
        <f ca="1">IFERROR(__xludf.DUMMYFUNCTION("""COMPUTED_VALUE"""),0.483999711585266)</f>
        <v>0.483999711585266</v>
      </c>
      <c r="O416" s="17">
        <f ca="1">IFERROR(__xludf.DUMMYFUNCTION("""COMPUTED_VALUE"""),0.558914864731575)</f>
        <v>0.55891486473157503</v>
      </c>
      <c r="P416" s="17">
        <f ca="1">IFERROR(__xludf.DUMMYFUNCTION("""COMPUTED_VALUE"""),0.980328664809043)</f>
        <v>0.98032866480904302</v>
      </c>
      <c r="Q416" s="17">
        <f ca="1">IFERROR(__xludf.DUMMYFUNCTION("""COMPUTED_VALUE"""),0.60457592502071)</f>
        <v>0.60457592502071</v>
      </c>
      <c r="R416" s="17">
        <f ca="1">IFERROR(__xludf.DUMMYFUNCTION("""COMPUTED_VALUE"""),0.99896334904597)</f>
        <v>0.99896334904596995</v>
      </c>
      <c r="S416" s="17">
        <f ca="1">IFERROR(__xludf.DUMMYFUNCTION("""COMPUTED_VALUE"""),0.743606491103851)</f>
        <v>0.74360649110385102</v>
      </c>
      <c r="T416" s="17">
        <f ca="1">IFERROR(__xludf.DUMMYFUNCTION("""COMPUTED_VALUE"""),0.706954368054976)</f>
        <v>0.70695436805497602</v>
      </c>
      <c r="U416" s="17">
        <f ca="1">IFERROR(__xludf.DUMMYFUNCTION("""COMPUTED_VALUE"""),0.679314294616032)</f>
        <v>0.67931429461603199</v>
      </c>
      <c r="V416" s="17">
        <f ca="1">IFERROR(__xludf.DUMMYFUNCTION("""COMPUTED_VALUE"""),1.06609771949402)</f>
        <v>1.06609771949402</v>
      </c>
      <c r="W416" s="17">
        <f ca="1">IFERROR(__xludf.DUMMYFUNCTION("""COMPUTED_VALUE"""),0.991957559299519)</f>
        <v>0.99195755929951901</v>
      </c>
      <c r="X416" s="17">
        <f ca="1">IFERROR(__xludf.DUMMYFUNCTION("""COMPUTED_VALUE"""),4.63398041143065)</f>
        <v>4.6339804114306498</v>
      </c>
      <c r="Y416" s="17">
        <f ca="1">IFERROR(__xludf.DUMMYFUNCTION("""COMPUTED_VALUE"""),0.75910987196383)</f>
        <v>0.75910987196382995</v>
      </c>
      <c r="Z416" s="17">
        <f ca="1">IFERROR(__xludf.DUMMYFUNCTION("""COMPUTED_VALUE"""),1.03386555515557)</f>
        <v>1.03386555515557</v>
      </c>
      <c r="AA416" s="17">
        <f ca="1">IFERROR(__xludf.DUMMYFUNCTION("""COMPUTED_VALUE"""),0.680705294431754)</f>
        <v>0.68070529443175398</v>
      </c>
      <c r="AB416" s="17">
        <f ca="1">IFERROR(__xludf.DUMMYFUNCTION("""COMPUTED_VALUE"""),0.865523412990358)</f>
        <v>0.86552341299035795</v>
      </c>
      <c r="AC416" s="17">
        <f ca="1">IFERROR(__xludf.DUMMYFUNCTION("""COMPUTED_VALUE"""),0.940210994660432)</f>
        <v>0.94021099466043201</v>
      </c>
      <c r="AD416" s="17">
        <f ca="1">IFERROR(__xludf.DUMMYFUNCTION("""COMPUTED_VALUE"""),0.60742456633479)</f>
        <v>0.60742456633479003</v>
      </c>
      <c r="AE416" s="17" t="str">
        <f ca="1">IFERROR(__xludf.DUMMYFUNCTION("""COMPUTED_VALUE"""),"nan")</f>
        <v>nan</v>
      </c>
      <c r="AF416" s="17">
        <f ca="1">IFERROR(__xludf.DUMMYFUNCTION("""COMPUTED_VALUE"""),0.69798944053439)</f>
        <v>0.69798944053439005</v>
      </c>
      <c r="AG416" s="17">
        <f ca="1">IFERROR(__xludf.DUMMYFUNCTION("""COMPUTED_VALUE"""),1.16369620768017)</f>
        <v>1.16369620768017</v>
      </c>
      <c r="AH416" s="17">
        <f ca="1">IFERROR(__xludf.DUMMYFUNCTION("""COMPUTED_VALUE"""),1.13139252086462)</f>
        <v>1.1313925208646201</v>
      </c>
      <c r="AI416" s="17" t="str">
        <f ca="1">IFERROR(__xludf.DUMMYFUNCTION("""COMPUTED_VALUE"""),"nan")</f>
        <v>nan</v>
      </c>
      <c r="AJ416" s="17">
        <f ca="1">IFERROR(__xludf.DUMMYFUNCTION("""COMPUTED_VALUE"""),1.34325248225662)</f>
        <v>1.3432524822566201</v>
      </c>
    </row>
    <row r="417" spans="2:36" ht="15.75" customHeight="1" x14ac:dyDescent="0.45">
      <c r="B417" s="10" t="str">
        <f ca="1">IFERROR(__xludf.DUMMYFUNCTION("""COMPUTED_VALUE"""),"Ham")</f>
        <v>Ham</v>
      </c>
      <c r="C417" s="10" t="str">
        <f ca="1">IFERROR(__xludf.DUMMYFUNCTION("""COMPUTED_VALUE"""),"mcar")</f>
        <v>mcar</v>
      </c>
      <c r="D417" s="10">
        <f ca="1">IFERROR(__xludf.DUMMYFUNCTION("""COMPUTED_VALUE"""),0.1)</f>
        <v>0.1</v>
      </c>
      <c r="E417" s="17">
        <f ca="1">IFERROR(__xludf.DUMMYFUNCTION("""COMPUTED_VALUE"""),0.886738143965356)</f>
        <v>0.886738143965356</v>
      </c>
      <c r="F417" s="17">
        <f ca="1">IFERROR(__xludf.DUMMYFUNCTION("""COMPUTED_VALUE"""),0.372267884249469)</f>
        <v>0.37226788424946899</v>
      </c>
      <c r="G417" s="17">
        <f ca="1">IFERROR(__xludf.DUMMYFUNCTION("""COMPUTED_VALUE"""),0.387092672242882)</f>
        <v>0.38709267224288202</v>
      </c>
      <c r="H417" s="17">
        <f ca="1">IFERROR(__xludf.DUMMYFUNCTION("""COMPUTED_VALUE"""),0.356923223290589)</f>
        <v>0.35692322329058901</v>
      </c>
      <c r="I417" s="17">
        <f ca="1">IFERROR(__xludf.DUMMYFUNCTION("""COMPUTED_VALUE"""),0.285642526053807)</f>
        <v>0.28564252605380702</v>
      </c>
      <c r="J417" s="17">
        <f ca="1">IFERROR(__xludf.DUMMYFUNCTION("""COMPUTED_VALUE"""),0.351379014684344)</f>
        <v>0.35137901468434402</v>
      </c>
      <c r="K417" s="17" t="str">
        <f ca="1">IFERROR(__xludf.DUMMYFUNCTION("""COMPUTED_VALUE"""),"nan")</f>
        <v>nan</v>
      </c>
      <c r="L417" s="17">
        <f ca="1">IFERROR(__xludf.DUMMYFUNCTION("""COMPUTED_VALUE"""),0.348966902160491)</f>
        <v>0.34896690216049098</v>
      </c>
      <c r="M417" s="17">
        <f ca="1">IFERROR(__xludf.DUMMYFUNCTION("""COMPUTED_VALUE"""),0.40448829856266)</f>
        <v>0.40448829856266</v>
      </c>
      <c r="N417" s="17">
        <f ca="1">IFERROR(__xludf.DUMMYFUNCTION("""COMPUTED_VALUE"""),0.375025039156496)</f>
        <v>0.37502503915649599</v>
      </c>
      <c r="O417" s="17">
        <f ca="1">IFERROR(__xludf.DUMMYFUNCTION("""COMPUTED_VALUE"""),0.392140636734092)</f>
        <v>0.392140636734092</v>
      </c>
      <c r="P417" s="17">
        <f ca="1">IFERROR(__xludf.DUMMYFUNCTION("""COMPUTED_VALUE"""),0.541004644426229)</f>
        <v>0.54100464442622898</v>
      </c>
      <c r="Q417" s="17">
        <f ca="1">IFERROR(__xludf.DUMMYFUNCTION("""COMPUTED_VALUE"""),0.539883766813561)</f>
        <v>0.53988376681356098</v>
      </c>
      <c r="R417" s="17">
        <f ca="1">IFERROR(__xludf.DUMMYFUNCTION("""COMPUTED_VALUE"""),0.322317309360549)</f>
        <v>0.32231730936054898</v>
      </c>
      <c r="S417" s="17">
        <f ca="1">IFERROR(__xludf.DUMMYFUNCTION("""COMPUTED_VALUE"""),0.374909204260349)</f>
        <v>0.37490920426034902</v>
      </c>
      <c r="T417" s="17">
        <f ca="1">IFERROR(__xludf.DUMMYFUNCTION("""COMPUTED_VALUE"""),0.28388584433788)</f>
        <v>0.28388584433788</v>
      </c>
      <c r="U417" s="17">
        <f ca="1">IFERROR(__xludf.DUMMYFUNCTION("""COMPUTED_VALUE"""),0.293723707416062)</f>
        <v>0.29372370741606202</v>
      </c>
      <c r="V417" s="17">
        <f ca="1">IFERROR(__xludf.DUMMYFUNCTION("""COMPUTED_VALUE"""),0.426081592843962)</f>
        <v>0.42608159284396202</v>
      </c>
      <c r="W417" s="17">
        <f ca="1">IFERROR(__xludf.DUMMYFUNCTION("""COMPUTED_VALUE"""),0.586382297889534)</f>
        <v>0.586382297889534</v>
      </c>
      <c r="X417" s="17">
        <f ca="1">IFERROR(__xludf.DUMMYFUNCTION("""COMPUTED_VALUE"""),0.307221299602294)</f>
        <v>0.307221299602294</v>
      </c>
      <c r="Y417" s="17">
        <f ca="1">IFERROR(__xludf.DUMMYFUNCTION("""COMPUTED_VALUE"""),0.252064434805683)</f>
        <v>0.25206443480568302</v>
      </c>
      <c r="Z417" s="17">
        <f ca="1">IFERROR(__xludf.DUMMYFUNCTION("""COMPUTED_VALUE"""),0.335886293362243)</f>
        <v>0.33588629336224302</v>
      </c>
      <c r="AA417" s="17">
        <f ca="1">IFERROR(__xludf.DUMMYFUNCTION("""COMPUTED_VALUE"""),0.413068002125474)</f>
        <v>0.41306800212547401</v>
      </c>
      <c r="AB417" s="17">
        <f ca="1">IFERROR(__xludf.DUMMYFUNCTION("""COMPUTED_VALUE"""),0.322275724933114)</f>
        <v>0.32227572493311402</v>
      </c>
      <c r="AC417" s="17">
        <f ca="1">IFERROR(__xludf.DUMMYFUNCTION("""COMPUTED_VALUE"""),0.524859952058521)</f>
        <v>0.52485995205852098</v>
      </c>
      <c r="AD417" s="17">
        <f ca="1">IFERROR(__xludf.DUMMYFUNCTION("""COMPUTED_VALUE"""),0.353629089939183)</f>
        <v>0.35362908993918302</v>
      </c>
      <c r="AE417" s="17">
        <f ca="1">IFERROR(__xludf.DUMMYFUNCTION("""COMPUTED_VALUE"""),0.799963005373585)</f>
        <v>0.799963005373585</v>
      </c>
      <c r="AF417" s="17">
        <f ca="1">IFERROR(__xludf.DUMMYFUNCTION("""COMPUTED_VALUE"""),0.319136320108554)</f>
        <v>0.31913632010855397</v>
      </c>
      <c r="AG417" s="17">
        <f ca="1">IFERROR(__xludf.DUMMYFUNCTION("""COMPUTED_VALUE"""),0.713412356306041)</f>
        <v>0.71341235630604105</v>
      </c>
      <c r="AH417" s="17">
        <f ca="1">IFERROR(__xludf.DUMMYFUNCTION("""COMPUTED_VALUE"""),0.896550596932483)</f>
        <v>0.89655059693248296</v>
      </c>
      <c r="AI417" s="17">
        <f ca="1">IFERROR(__xludf.DUMMYFUNCTION("""COMPUTED_VALUE"""),0.906129251167174)</f>
        <v>0.90612925116717402</v>
      </c>
      <c r="AJ417" s="17">
        <f ca="1">IFERROR(__xludf.DUMMYFUNCTION("""COMPUTED_VALUE"""),0.357958062384384)</f>
        <v>0.35795806238438399</v>
      </c>
    </row>
    <row r="418" spans="2:36" ht="15.75" customHeight="1" x14ac:dyDescent="0.45">
      <c r="B418" s="10" t="str">
        <f ca="1">IFERROR(__xludf.DUMMYFUNCTION("""COMPUTED_VALUE"""),"Ham")</f>
        <v>Ham</v>
      </c>
      <c r="C418" s="10" t="str">
        <f ca="1">IFERROR(__xludf.DUMMYFUNCTION("""COMPUTED_VALUE"""),"mcar")</f>
        <v>mcar</v>
      </c>
      <c r="D418" s="10">
        <f ca="1">IFERROR(__xludf.DUMMYFUNCTION("""COMPUTED_VALUE"""),0.2)</f>
        <v>0.2</v>
      </c>
      <c r="E418" s="17">
        <f ca="1">IFERROR(__xludf.DUMMYFUNCTION("""COMPUTED_VALUE"""),0.930581786223881)</f>
        <v>0.93058178622388099</v>
      </c>
      <c r="F418" s="17">
        <f ca="1">IFERROR(__xludf.DUMMYFUNCTION("""COMPUTED_VALUE"""),0.413048791169167)</f>
        <v>0.41304879116916698</v>
      </c>
      <c r="G418" s="17">
        <f ca="1">IFERROR(__xludf.DUMMYFUNCTION("""COMPUTED_VALUE"""),0.430184783338247)</f>
        <v>0.430184783338247</v>
      </c>
      <c r="H418" s="17">
        <f ca="1">IFERROR(__xludf.DUMMYFUNCTION("""COMPUTED_VALUE"""),0.427948974605753)</f>
        <v>0.42794897460575299</v>
      </c>
      <c r="I418" s="17">
        <f ca="1">IFERROR(__xludf.DUMMYFUNCTION("""COMPUTED_VALUE"""),0.282734443067917)</f>
        <v>0.28273444306791701</v>
      </c>
      <c r="J418" s="17">
        <f ca="1">IFERROR(__xludf.DUMMYFUNCTION("""COMPUTED_VALUE"""),0.37562280393303)</f>
        <v>0.37562280393302999</v>
      </c>
      <c r="K418" s="17" t="str">
        <f ca="1">IFERROR(__xludf.DUMMYFUNCTION("""COMPUTED_VALUE"""),"nan")</f>
        <v>nan</v>
      </c>
      <c r="L418" s="17">
        <f ca="1">IFERROR(__xludf.DUMMYFUNCTION("""COMPUTED_VALUE"""),0.394665153932156)</f>
        <v>0.39466515393215601</v>
      </c>
      <c r="M418" s="17">
        <f ca="1">IFERROR(__xludf.DUMMYFUNCTION("""COMPUTED_VALUE"""),0.415646663788296)</f>
        <v>0.41564666378829601</v>
      </c>
      <c r="N418" s="17">
        <f ca="1">IFERROR(__xludf.DUMMYFUNCTION("""COMPUTED_VALUE"""),0.353451594673847)</f>
        <v>0.35345159467384701</v>
      </c>
      <c r="O418" s="17">
        <f ca="1">IFERROR(__xludf.DUMMYFUNCTION("""COMPUTED_VALUE"""),0.413259476870369)</f>
        <v>0.41325947687036901</v>
      </c>
      <c r="P418" s="17">
        <f ca="1">IFERROR(__xludf.DUMMYFUNCTION("""COMPUTED_VALUE"""),0.578365738067493)</f>
        <v>0.57836573806749303</v>
      </c>
      <c r="Q418" s="17">
        <f ca="1">IFERROR(__xludf.DUMMYFUNCTION("""COMPUTED_VALUE"""),0.575368683491452)</f>
        <v>0.57536868349145198</v>
      </c>
      <c r="R418" s="17">
        <f ca="1">IFERROR(__xludf.DUMMYFUNCTION("""COMPUTED_VALUE"""),0.39458047517766)</f>
        <v>0.39458047517765998</v>
      </c>
      <c r="S418" s="17">
        <f ca="1">IFERROR(__xludf.DUMMYFUNCTION("""COMPUTED_VALUE"""),0.492752979382647)</f>
        <v>0.49275297938264701</v>
      </c>
      <c r="T418" s="17">
        <f ca="1">IFERROR(__xludf.DUMMYFUNCTION("""COMPUTED_VALUE"""),0.319280749441098)</f>
        <v>0.31928074944109802</v>
      </c>
      <c r="U418" s="17">
        <f ca="1">IFERROR(__xludf.DUMMYFUNCTION("""COMPUTED_VALUE"""),0.311942830739517)</f>
        <v>0.31194283073951701</v>
      </c>
      <c r="V418" s="17">
        <f ca="1">IFERROR(__xludf.DUMMYFUNCTION("""COMPUTED_VALUE"""),0.415194381607598)</f>
        <v>0.41519438160759797</v>
      </c>
      <c r="W418" s="17">
        <f ca="1">IFERROR(__xludf.DUMMYFUNCTION("""COMPUTED_VALUE"""),0.624592864608133)</f>
        <v>0.62459286460813301</v>
      </c>
      <c r="X418" s="17">
        <f ca="1">IFERROR(__xludf.DUMMYFUNCTION("""COMPUTED_VALUE"""),0.343780036442464)</f>
        <v>0.34378003644246402</v>
      </c>
      <c r="Y418" s="17">
        <f ca="1">IFERROR(__xludf.DUMMYFUNCTION("""COMPUTED_VALUE"""),0.29166354946407)</f>
        <v>0.29166354946407003</v>
      </c>
      <c r="Z418" s="17">
        <f ca="1">IFERROR(__xludf.DUMMYFUNCTION("""COMPUTED_VALUE"""),0.323870604913588)</f>
        <v>0.32387060491358799</v>
      </c>
      <c r="AA418" s="17">
        <f ca="1">IFERROR(__xludf.DUMMYFUNCTION("""COMPUTED_VALUE"""),0.481272328250674)</f>
        <v>0.48127232825067401</v>
      </c>
      <c r="AB418" s="17">
        <f ca="1">IFERROR(__xludf.DUMMYFUNCTION("""COMPUTED_VALUE"""),0.338264186244398)</f>
        <v>0.33826418624439802</v>
      </c>
      <c r="AC418" s="17">
        <f ca="1">IFERROR(__xludf.DUMMYFUNCTION("""COMPUTED_VALUE"""),0.573455411778908)</f>
        <v>0.57345541177890802</v>
      </c>
      <c r="AD418" s="17">
        <f ca="1">IFERROR(__xludf.DUMMYFUNCTION("""COMPUTED_VALUE"""),0.35410367922876)</f>
        <v>0.35410367922876002</v>
      </c>
      <c r="AE418" s="17">
        <f ca="1">IFERROR(__xludf.DUMMYFUNCTION("""COMPUTED_VALUE"""),0.84315302658382)</f>
        <v>0.84315302658381996</v>
      </c>
      <c r="AF418" s="17">
        <f ca="1">IFERROR(__xludf.DUMMYFUNCTION("""COMPUTED_VALUE"""),0.500685502640863)</f>
        <v>0.50068550264086298</v>
      </c>
      <c r="AG418" s="17">
        <f ca="1">IFERROR(__xludf.DUMMYFUNCTION("""COMPUTED_VALUE"""),0.757075327636557)</f>
        <v>0.75707532763655705</v>
      </c>
      <c r="AH418" s="17">
        <f ca="1">IFERROR(__xludf.DUMMYFUNCTION("""COMPUTED_VALUE"""),0.855751317044052)</f>
        <v>0.85575131704405205</v>
      </c>
      <c r="AI418" s="17">
        <f ca="1">IFERROR(__xludf.DUMMYFUNCTION("""COMPUTED_VALUE"""),0.882900719890496)</f>
        <v>0.88290071989049601</v>
      </c>
      <c r="AJ418" s="17">
        <f ca="1">IFERROR(__xludf.DUMMYFUNCTION("""COMPUTED_VALUE"""),0.384690299562011)</f>
        <v>0.38469029956201101</v>
      </c>
    </row>
    <row r="419" spans="2:36" ht="15.75" customHeight="1" x14ac:dyDescent="0.45">
      <c r="B419" s="10" t="str">
        <f ca="1">IFERROR(__xludf.DUMMYFUNCTION("""COMPUTED_VALUE"""),"Ham")</f>
        <v>Ham</v>
      </c>
      <c r="C419" s="10" t="str">
        <f ca="1">IFERROR(__xludf.DUMMYFUNCTION("""COMPUTED_VALUE"""),"mcar")</f>
        <v>mcar</v>
      </c>
      <c r="D419" s="10">
        <f ca="1">IFERROR(__xludf.DUMMYFUNCTION("""COMPUTED_VALUE"""),0.4)</f>
        <v>0.4</v>
      </c>
      <c r="E419" s="17">
        <f ca="1">IFERROR(__xludf.DUMMYFUNCTION("""COMPUTED_VALUE"""),0.988722901554902)</f>
        <v>0.98872290155490195</v>
      </c>
      <c r="F419" s="17">
        <f ca="1">IFERROR(__xludf.DUMMYFUNCTION("""COMPUTED_VALUE"""),0.414518081486978)</f>
        <v>0.414518081486978</v>
      </c>
      <c r="G419" s="17">
        <f ca="1">IFERROR(__xludf.DUMMYFUNCTION("""COMPUTED_VALUE"""),0.425166520639328)</f>
        <v>0.42516652063932803</v>
      </c>
      <c r="H419" s="17">
        <f ca="1">IFERROR(__xludf.DUMMYFUNCTION("""COMPUTED_VALUE"""),0.427542367748722)</f>
        <v>0.42754236774872201</v>
      </c>
      <c r="I419" s="17">
        <f ca="1">IFERROR(__xludf.DUMMYFUNCTION("""COMPUTED_VALUE"""),0.323774025480585)</f>
        <v>0.32377402548058498</v>
      </c>
      <c r="J419" s="17">
        <f ca="1">IFERROR(__xludf.DUMMYFUNCTION("""COMPUTED_VALUE"""),0.426943870191785)</f>
        <v>0.42694387019178498</v>
      </c>
      <c r="K419" s="17" t="str">
        <f ca="1">IFERROR(__xludf.DUMMYFUNCTION("""COMPUTED_VALUE"""),"nan")</f>
        <v>nan</v>
      </c>
      <c r="L419" s="17">
        <f ca="1">IFERROR(__xludf.DUMMYFUNCTION("""COMPUTED_VALUE"""),0.389836901548893)</f>
        <v>0.389836901548893</v>
      </c>
      <c r="M419" s="17">
        <f ca="1">IFERROR(__xludf.DUMMYFUNCTION("""COMPUTED_VALUE"""),0.435594854385547)</f>
        <v>0.43559485438554701</v>
      </c>
      <c r="N419" s="17">
        <f ca="1">IFERROR(__xludf.DUMMYFUNCTION("""COMPUTED_VALUE"""),0.346898762263822)</f>
        <v>0.34689876226382199</v>
      </c>
      <c r="O419" s="17">
        <f ca="1">IFERROR(__xludf.DUMMYFUNCTION("""COMPUTED_VALUE"""),0.419848224014486)</f>
        <v>0.41984822401448602</v>
      </c>
      <c r="P419" s="17">
        <f ca="1">IFERROR(__xludf.DUMMYFUNCTION("""COMPUTED_VALUE"""),0.643246144809788)</f>
        <v>0.64324614480978803</v>
      </c>
      <c r="Q419" s="17">
        <f ca="1">IFERROR(__xludf.DUMMYFUNCTION("""COMPUTED_VALUE"""),0.60069487841808)</f>
        <v>0.60069487841808</v>
      </c>
      <c r="R419" s="17">
        <f ca="1">IFERROR(__xludf.DUMMYFUNCTION("""COMPUTED_VALUE"""),0.414003274309775)</f>
        <v>0.41400327430977502</v>
      </c>
      <c r="S419" s="17">
        <f ca="1">IFERROR(__xludf.DUMMYFUNCTION("""COMPUTED_VALUE"""),1.24121092200808)</f>
        <v>1.24121092200808</v>
      </c>
      <c r="T419" s="17">
        <f ca="1">IFERROR(__xludf.DUMMYFUNCTION("""COMPUTED_VALUE"""),0.361611426642339)</f>
        <v>0.36161142664233897</v>
      </c>
      <c r="U419" s="17">
        <f ca="1">IFERROR(__xludf.DUMMYFUNCTION("""COMPUTED_VALUE"""),0.365458722563437)</f>
        <v>0.36545872256343698</v>
      </c>
      <c r="V419" s="17">
        <f ca="1">IFERROR(__xludf.DUMMYFUNCTION("""COMPUTED_VALUE"""),0.426472621238643)</f>
        <v>0.42647262123864299</v>
      </c>
      <c r="W419" s="17">
        <f ca="1">IFERROR(__xludf.DUMMYFUNCTION("""COMPUTED_VALUE"""),0.650638235502299)</f>
        <v>0.65063823550229904</v>
      </c>
      <c r="X419" s="17">
        <f ca="1">IFERROR(__xludf.DUMMYFUNCTION("""COMPUTED_VALUE"""),0.384678291840838)</f>
        <v>0.38467829184083802</v>
      </c>
      <c r="Y419" s="17">
        <f ca="1">IFERROR(__xludf.DUMMYFUNCTION("""COMPUTED_VALUE"""),0.343255657382972)</f>
        <v>0.34325565738297198</v>
      </c>
      <c r="Z419" s="17">
        <f ca="1">IFERROR(__xludf.DUMMYFUNCTION("""COMPUTED_VALUE"""),0.451090759515798)</f>
        <v>0.45109075951579802</v>
      </c>
      <c r="AA419" s="17">
        <f ca="1">IFERROR(__xludf.DUMMYFUNCTION("""COMPUTED_VALUE"""),0.408561115308066)</f>
        <v>0.40856111530806599</v>
      </c>
      <c r="AB419" s="17">
        <f ca="1">IFERROR(__xludf.DUMMYFUNCTION("""COMPUTED_VALUE"""),0.39120494245837)</f>
        <v>0.39120494245837001</v>
      </c>
      <c r="AC419" s="17">
        <f ca="1">IFERROR(__xludf.DUMMYFUNCTION("""COMPUTED_VALUE"""),0.64664694373689)</f>
        <v>0.64664694373689002</v>
      </c>
      <c r="AD419" s="17">
        <f ca="1">IFERROR(__xludf.DUMMYFUNCTION("""COMPUTED_VALUE"""),0.426877601391827)</f>
        <v>0.42687760139182701</v>
      </c>
      <c r="AE419" s="17">
        <f ca="1">IFERROR(__xludf.DUMMYFUNCTION("""COMPUTED_VALUE"""),0.94004486889299)</f>
        <v>0.94004486889298999</v>
      </c>
      <c r="AF419" s="17">
        <f ca="1">IFERROR(__xludf.DUMMYFUNCTION("""COMPUTED_VALUE"""),0.398750862016236)</f>
        <v>0.398750862016236</v>
      </c>
      <c r="AG419" s="17">
        <f ca="1">IFERROR(__xludf.DUMMYFUNCTION("""COMPUTED_VALUE"""),0.832062183123461)</f>
        <v>0.83206218312346103</v>
      </c>
      <c r="AH419" s="17">
        <f ca="1">IFERROR(__xludf.DUMMYFUNCTION("""COMPUTED_VALUE"""),0.959080566440936)</f>
        <v>0.95908056644093598</v>
      </c>
      <c r="AI419" s="17">
        <f ca="1">IFERROR(__xludf.DUMMYFUNCTION("""COMPUTED_VALUE"""),0.94840092973435)</f>
        <v>0.94840092973434997</v>
      </c>
      <c r="AJ419" s="17">
        <f ca="1">IFERROR(__xludf.DUMMYFUNCTION("""COMPUTED_VALUE"""),0.481646445393713)</f>
        <v>0.48164644539371299</v>
      </c>
    </row>
    <row r="420" spans="2:36" ht="15.75" customHeight="1" x14ac:dyDescent="0.45">
      <c r="B420" s="10" t="str">
        <f ca="1">IFERROR(__xludf.DUMMYFUNCTION("""COMPUTED_VALUE"""),"Ham")</f>
        <v>Ham</v>
      </c>
      <c r="C420" s="10" t="str">
        <f ca="1">IFERROR(__xludf.DUMMYFUNCTION("""COMPUTED_VALUE"""),"mcar")</f>
        <v>mcar</v>
      </c>
      <c r="D420" s="10">
        <f ca="1">IFERROR(__xludf.DUMMYFUNCTION("""COMPUTED_VALUE"""),0.6)</f>
        <v>0.6</v>
      </c>
      <c r="E420" s="17">
        <f ca="1">IFERROR(__xludf.DUMMYFUNCTION("""COMPUTED_VALUE"""),1.0046394443841)</f>
        <v>1.0046394443841</v>
      </c>
      <c r="F420" s="17">
        <f ca="1">IFERROR(__xludf.DUMMYFUNCTION("""COMPUTED_VALUE"""),0.422254706026974)</f>
        <v>0.42225470602697401</v>
      </c>
      <c r="G420" s="17">
        <f ca="1">IFERROR(__xludf.DUMMYFUNCTION("""COMPUTED_VALUE"""),0.441763054358949)</f>
        <v>0.44176305435894903</v>
      </c>
      <c r="H420" s="17">
        <f ca="1">IFERROR(__xludf.DUMMYFUNCTION("""COMPUTED_VALUE"""),0.436430607579928)</f>
        <v>0.43643060757992802</v>
      </c>
      <c r="I420" s="17">
        <f ca="1">IFERROR(__xludf.DUMMYFUNCTION("""COMPUTED_VALUE"""),0.373935034983402)</f>
        <v>0.37393503498340203</v>
      </c>
      <c r="J420" s="17">
        <f ca="1">IFERROR(__xludf.DUMMYFUNCTION("""COMPUTED_VALUE"""),0.543052531073648)</f>
        <v>0.54305253107364804</v>
      </c>
      <c r="K420" s="17" t="str">
        <f ca="1">IFERROR(__xludf.DUMMYFUNCTION("""COMPUTED_VALUE"""),"nan")</f>
        <v>nan</v>
      </c>
      <c r="L420" s="17">
        <f ca="1">IFERROR(__xludf.DUMMYFUNCTION("""COMPUTED_VALUE"""),0.405786858795299)</f>
        <v>0.40578685879529902</v>
      </c>
      <c r="M420" s="17">
        <f ca="1">IFERROR(__xludf.DUMMYFUNCTION("""COMPUTED_VALUE"""),0.445321207920112)</f>
        <v>0.44532120792011198</v>
      </c>
      <c r="N420" s="17">
        <f ca="1">IFERROR(__xludf.DUMMYFUNCTION("""COMPUTED_VALUE"""),0.383367780089012)</f>
        <v>0.38336778008901201</v>
      </c>
      <c r="O420" s="17">
        <f ca="1">IFERROR(__xludf.DUMMYFUNCTION("""COMPUTED_VALUE"""),0.428913791638769)</f>
        <v>0.42891379163876903</v>
      </c>
      <c r="P420" s="17">
        <f ca="1">IFERROR(__xludf.DUMMYFUNCTION("""COMPUTED_VALUE"""),0.683367222154551)</f>
        <v>0.68336722215455104</v>
      </c>
      <c r="Q420" s="17">
        <f ca="1">IFERROR(__xludf.DUMMYFUNCTION("""COMPUTED_VALUE"""),0.667620577018657)</f>
        <v>0.66762057701865696</v>
      </c>
      <c r="R420" s="17">
        <f ca="1">IFERROR(__xludf.DUMMYFUNCTION("""COMPUTED_VALUE"""),0.517336306010518)</f>
        <v>0.51733630601051805</v>
      </c>
      <c r="S420" s="17">
        <f ca="1">IFERROR(__xludf.DUMMYFUNCTION("""COMPUTED_VALUE"""),1.27837170436729)</f>
        <v>1.27837170436729</v>
      </c>
      <c r="T420" s="17">
        <f ca="1">IFERROR(__xludf.DUMMYFUNCTION("""COMPUTED_VALUE"""),0.40990894668237)</f>
        <v>0.40990894668236999</v>
      </c>
      <c r="U420" s="17">
        <f ca="1">IFERROR(__xludf.DUMMYFUNCTION("""COMPUTED_VALUE"""),0.409574348360575)</f>
        <v>0.40957434836057499</v>
      </c>
      <c r="V420" s="17">
        <f ca="1">IFERROR(__xludf.DUMMYFUNCTION("""COMPUTED_VALUE"""),0.452422968036267)</f>
        <v>0.45242296803626703</v>
      </c>
      <c r="W420" s="17">
        <f ca="1">IFERROR(__xludf.DUMMYFUNCTION("""COMPUTED_VALUE"""),0.780965781320425)</f>
        <v>0.78096578132042505</v>
      </c>
      <c r="X420" s="17">
        <f ca="1">IFERROR(__xludf.DUMMYFUNCTION("""COMPUTED_VALUE"""),0.400589537092032)</f>
        <v>0.40058953709203199</v>
      </c>
      <c r="Y420" s="17">
        <f ca="1">IFERROR(__xludf.DUMMYFUNCTION("""COMPUTED_VALUE"""),0.363577884532143)</f>
        <v>0.36357788453214301</v>
      </c>
      <c r="Z420" s="17">
        <f ca="1">IFERROR(__xludf.DUMMYFUNCTION("""COMPUTED_VALUE"""),0.599012445570769)</f>
        <v>0.59901244557076905</v>
      </c>
      <c r="AA420" s="17">
        <f ca="1">IFERROR(__xludf.DUMMYFUNCTION("""COMPUTED_VALUE"""),0.455635255173787)</f>
        <v>0.455635255173787</v>
      </c>
      <c r="AB420" s="17">
        <f ca="1">IFERROR(__xludf.DUMMYFUNCTION("""COMPUTED_VALUE"""),0.773698191107576)</f>
        <v>0.77369819110757598</v>
      </c>
      <c r="AC420" s="17">
        <f ca="1">IFERROR(__xludf.DUMMYFUNCTION("""COMPUTED_VALUE"""),0.75093713166778)</f>
        <v>0.75093713166777998</v>
      </c>
      <c r="AD420" s="17">
        <f ca="1">IFERROR(__xludf.DUMMYFUNCTION("""COMPUTED_VALUE"""),0.525661389401367)</f>
        <v>0.52566138940136697</v>
      </c>
      <c r="AE420" s="17">
        <f ca="1">IFERROR(__xludf.DUMMYFUNCTION("""COMPUTED_VALUE"""),1.1140844139471)</f>
        <v>1.1140844139471</v>
      </c>
      <c r="AF420" s="17">
        <f ca="1">IFERROR(__xludf.DUMMYFUNCTION("""COMPUTED_VALUE"""),0.486586744572703)</f>
        <v>0.48658674457270301</v>
      </c>
      <c r="AG420" s="17">
        <f ca="1">IFERROR(__xludf.DUMMYFUNCTION("""COMPUTED_VALUE"""),1.15979696911986)</f>
        <v>1.15979696911986</v>
      </c>
      <c r="AH420" s="17">
        <f ca="1">IFERROR(__xludf.DUMMYFUNCTION("""COMPUTED_VALUE"""),1.0139019277)</f>
        <v>1.0139019277000001</v>
      </c>
      <c r="AI420" s="17" t="str">
        <f ca="1">IFERROR(__xludf.DUMMYFUNCTION("""COMPUTED_VALUE"""),"nan")</f>
        <v>nan</v>
      </c>
      <c r="AJ420" s="17">
        <f ca="1">IFERROR(__xludf.DUMMYFUNCTION("""COMPUTED_VALUE"""),0.680015573918033)</f>
        <v>0.68001557391803302</v>
      </c>
    </row>
    <row r="421" spans="2:36" ht="15.75" customHeight="1" x14ac:dyDescent="0.45">
      <c r="B421" s="10" t="str">
        <f ca="1">IFERROR(__xludf.DUMMYFUNCTION("""COMPUTED_VALUE"""),"Ham")</f>
        <v>Ham</v>
      </c>
      <c r="C421" s="10" t="str">
        <f ca="1">IFERROR(__xludf.DUMMYFUNCTION("""COMPUTED_VALUE"""),"mcar")</f>
        <v>mcar</v>
      </c>
      <c r="D421" s="10">
        <f ca="1">IFERROR(__xludf.DUMMYFUNCTION("""COMPUTED_VALUE"""),0.8)</f>
        <v>0.8</v>
      </c>
      <c r="E421" s="17">
        <f ca="1">IFERROR(__xludf.DUMMYFUNCTION("""COMPUTED_VALUE"""),0.9713137458529)</f>
        <v>0.97131374585289998</v>
      </c>
      <c r="F421" s="17">
        <f ca="1">IFERROR(__xludf.DUMMYFUNCTION("""COMPUTED_VALUE"""),0.42495428778859)</f>
        <v>0.42495428778859001</v>
      </c>
      <c r="G421" s="17">
        <f ca="1">IFERROR(__xludf.DUMMYFUNCTION("""COMPUTED_VALUE"""),0.45221725746978)</f>
        <v>0.45221725746977998</v>
      </c>
      <c r="H421" s="17">
        <f ca="1">IFERROR(__xludf.DUMMYFUNCTION("""COMPUTED_VALUE"""),0.435503550022976)</f>
        <v>0.43550355002297603</v>
      </c>
      <c r="I421" s="17">
        <f ca="1">IFERROR(__xludf.DUMMYFUNCTION("""COMPUTED_VALUE"""),0.456483182597713)</f>
        <v>0.45648318259771298</v>
      </c>
      <c r="J421" s="17">
        <f ca="1">IFERROR(__xludf.DUMMYFUNCTION("""COMPUTED_VALUE"""),0.682946943741704)</f>
        <v>0.68294694374170395</v>
      </c>
      <c r="K421" s="17" t="str">
        <f ca="1">IFERROR(__xludf.DUMMYFUNCTION("""COMPUTED_VALUE"""),"nan")</f>
        <v>nan</v>
      </c>
      <c r="L421" s="17">
        <f ca="1">IFERROR(__xludf.DUMMYFUNCTION("""COMPUTED_VALUE"""),0.415099451939778)</f>
        <v>0.41509945193977799</v>
      </c>
      <c r="M421" s="17">
        <f ca="1">IFERROR(__xludf.DUMMYFUNCTION("""COMPUTED_VALUE"""),0.45206085641435)</f>
        <v>0.45206085641435001</v>
      </c>
      <c r="N421" s="17">
        <f ca="1">IFERROR(__xludf.DUMMYFUNCTION("""COMPUTED_VALUE"""),0.391863748463906)</f>
        <v>0.39186374846390598</v>
      </c>
      <c r="O421" s="17">
        <f ca="1">IFERROR(__xludf.DUMMYFUNCTION("""COMPUTED_VALUE"""),0.414667561352466)</f>
        <v>0.41466756135246602</v>
      </c>
      <c r="P421" s="17">
        <f ca="1">IFERROR(__xludf.DUMMYFUNCTION("""COMPUTED_VALUE"""),0.736451385722489)</f>
        <v>0.73645138572248903</v>
      </c>
      <c r="Q421" s="17">
        <f ca="1">IFERROR(__xludf.DUMMYFUNCTION("""COMPUTED_VALUE"""),0.676793229897921)</f>
        <v>0.67679322989792101</v>
      </c>
      <c r="R421" s="17">
        <f ca="1">IFERROR(__xludf.DUMMYFUNCTION("""COMPUTED_VALUE"""),0.636266966351324)</f>
        <v>0.63626696635132396</v>
      </c>
      <c r="S421" s="17">
        <f ca="1">IFERROR(__xludf.DUMMYFUNCTION("""COMPUTED_VALUE"""),1.23463915766598)</f>
        <v>1.2346391576659801</v>
      </c>
      <c r="T421" s="17">
        <f ca="1">IFERROR(__xludf.DUMMYFUNCTION("""COMPUTED_VALUE"""),0.429722783042746)</f>
        <v>0.42972278304274603</v>
      </c>
      <c r="U421" s="17">
        <f ca="1">IFERROR(__xludf.DUMMYFUNCTION("""COMPUTED_VALUE"""),0.493556660391823)</f>
        <v>0.493556660391823</v>
      </c>
      <c r="V421" s="17">
        <f ca="1">IFERROR(__xludf.DUMMYFUNCTION("""COMPUTED_VALUE"""),0.49282426915818)</f>
        <v>0.49282426915818001</v>
      </c>
      <c r="W421" s="17">
        <f ca="1">IFERROR(__xludf.DUMMYFUNCTION("""COMPUTED_VALUE"""),0.796828228947965)</f>
        <v>0.79682822894796501</v>
      </c>
      <c r="X421" s="17">
        <f ca="1">IFERROR(__xludf.DUMMYFUNCTION("""COMPUTED_VALUE"""),0.420398152159066)</f>
        <v>0.42039815215906601</v>
      </c>
      <c r="Y421" s="17">
        <f ca="1">IFERROR(__xludf.DUMMYFUNCTION("""COMPUTED_VALUE"""),0.392115247955984)</f>
        <v>0.39211524795598401</v>
      </c>
      <c r="Z421" s="17">
        <f ca="1">IFERROR(__xludf.DUMMYFUNCTION("""COMPUTED_VALUE"""),0.738598771100652)</f>
        <v>0.73859877110065197</v>
      </c>
      <c r="AA421" s="17">
        <f ca="1">IFERROR(__xludf.DUMMYFUNCTION("""COMPUTED_VALUE"""),0.540561417302876)</f>
        <v>0.54056141730287599</v>
      </c>
      <c r="AB421" s="17">
        <f ca="1">IFERROR(__xludf.DUMMYFUNCTION("""COMPUTED_VALUE"""),0.823744353053454)</f>
        <v>0.82374435305345395</v>
      </c>
      <c r="AC421" s="17">
        <f ca="1">IFERROR(__xludf.DUMMYFUNCTION("""COMPUTED_VALUE"""),0.781516594221909)</f>
        <v>0.781516594221909</v>
      </c>
      <c r="AD421" s="17">
        <f ca="1">IFERROR(__xludf.DUMMYFUNCTION("""COMPUTED_VALUE"""),0.497822696862274)</f>
        <v>0.49782269686227398</v>
      </c>
      <c r="AE421" s="17" t="str">
        <f ca="1">IFERROR(__xludf.DUMMYFUNCTION("""COMPUTED_VALUE"""),"nan")</f>
        <v>nan</v>
      </c>
      <c r="AF421" s="17">
        <f ca="1">IFERROR(__xludf.DUMMYFUNCTION("""COMPUTED_VALUE"""),0.565292819598395)</f>
        <v>0.56529281959839495</v>
      </c>
      <c r="AG421" s="17">
        <f ca="1">IFERROR(__xludf.DUMMYFUNCTION("""COMPUTED_VALUE"""),1.22511791879245)</f>
        <v>1.2251179187924499</v>
      </c>
      <c r="AH421" s="17">
        <f ca="1">IFERROR(__xludf.DUMMYFUNCTION("""COMPUTED_VALUE"""),1.02656969099165)</f>
        <v>1.02656969099165</v>
      </c>
      <c r="AI421" s="17" t="str">
        <f ca="1">IFERROR(__xludf.DUMMYFUNCTION("""COMPUTED_VALUE"""),"nan")</f>
        <v>nan</v>
      </c>
      <c r="AJ421" s="17">
        <f ca="1">IFERROR(__xludf.DUMMYFUNCTION("""COMPUTED_VALUE"""),0.879967719915321)</f>
        <v>0.87996771991532097</v>
      </c>
    </row>
    <row r="422" spans="2:36" ht="15.75" customHeight="1" x14ac:dyDescent="0.45">
      <c r="B422" s="10" t="str">
        <f ca="1">IFERROR(__xludf.DUMMYFUNCTION("""COMPUTED_VALUE"""),"Haptics")</f>
        <v>Haptics</v>
      </c>
      <c r="C422" s="10" t="str">
        <f ca="1">IFERROR(__xludf.DUMMYFUNCTION("""COMPUTED_VALUE"""),"aligned_series")</f>
        <v>aligned_series</v>
      </c>
      <c r="D422" s="10">
        <f ca="1">IFERROR(__xludf.DUMMYFUNCTION("""COMPUTED_VALUE"""),0.1)</f>
        <v>0.1</v>
      </c>
      <c r="E422" s="17">
        <f ca="1">IFERROR(__xludf.DUMMYFUNCTION("""COMPUTED_VALUE"""),1.09651299203646)</f>
        <v>1.09651299203646</v>
      </c>
      <c r="F422" s="17">
        <f ca="1">IFERROR(__xludf.DUMMYFUNCTION("""COMPUTED_VALUE"""),0.212160886226068)</f>
        <v>0.21216088622606799</v>
      </c>
      <c r="G422" s="17">
        <f ca="1">IFERROR(__xludf.DUMMYFUNCTION("""COMPUTED_VALUE"""),0.211000472268305)</f>
        <v>0.21100047226830501</v>
      </c>
      <c r="H422" s="17">
        <f ca="1">IFERROR(__xludf.DUMMYFUNCTION("""COMPUTED_VALUE"""),0.243744436248014)</f>
        <v>0.24374443624801401</v>
      </c>
      <c r="I422" s="17">
        <f ca="1">IFERROR(__xludf.DUMMYFUNCTION("""COMPUTED_VALUE"""),0.354091181302185)</f>
        <v>0.35409118130218498</v>
      </c>
      <c r="J422" s="17">
        <f ca="1">IFERROR(__xludf.DUMMYFUNCTION("""COMPUTED_VALUE"""),0.211586446573893)</f>
        <v>0.211586446573893</v>
      </c>
      <c r="K422" s="17" t="str">
        <f ca="1">IFERROR(__xludf.DUMMYFUNCTION("""COMPUTED_VALUE"""),"nan")</f>
        <v>nan</v>
      </c>
      <c r="L422" s="17">
        <f ca="1">IFERROR(__xludf.DUMMYFUNCTION("""COMPUTED_VALUE"""),0.224681606689334)</f>
        <v>0.22468160668933401</v>
      </c>
      <c r="M422" s="17">
        <f ca="1">IFERROR(__xludf.DUMMYFUNCTION("""COMPUTED_VALUE"""),0.216520455687315)</f>
        <v>0.21652045568731501</v>
      </c>
      <c r="N422" s="17">
        <f ca="1">IFERROR(__xludf.DUMMYFUNCTION("""COMPUTED_VALUE"""),0.221824276849469)</f>
        <v>0.22182427684946901</v>
      </c>
      <c r="O422" s="17">
        <f ca="1">IFERROR(__xludf.DUMMYFUNCTION("""COMPUTED_VALUE"""),0.209035242882758)</f>
        <v>0.20903524288275799</v>
      </c>
      <c r="P422" s="17">
        <f ca="1">IFERROR(__xludf.DUMMYFUNCTION("""COMPUTED_VALUE"""),0.802506027329445)</f>
        <v>0.80250602732944498</v>
      </c>
      <c r="Q422" s="17">
        <f ca="1">IFERROR(__xludf.DUMMYFUNCTION("""COMPUTED_VALUE"""),0.27836647045522)</f>
        <v>0.27836647045522001</v>
      </c>
      <c r="R422" s="17">
        <f ca="1">IFERROR(__xludf.DUMMYFUNCTION("""COMPUTED_VALUE"""),0.650902246330495)</f>
        <v>0.65090224633049498</v>
      </c>
      <c r="S422" s="17">
        <f ca="1">IFERROR(__xludf.DUMMYFUNCTION("""COMPUTED_VALUE"""),0.284455194197903)</f>
        <v>0.28445519419790299</v>
      </c>
      <c r="T422" s="17">
        <f ca="1">IFERROR(__xludf.DUMMYFUNCTION("""COMPUTED_VALUE"""),0.392258031266456)</f>
        <v>0.39225803126645598</v>
      </c>
      <c r="U422" s="17">
        <f ca="1">IFERROR(__xludf.DUMMYFUNCTION("""COMPUTED_VALUE"""),0.288649982641381)</f>
        <v>0.28864998264138098</v>
      </c>
      <c r="V422" s="17">
        <f ca="1">IFERROR(__xludf.DUMMYFUNCTION("""COMPUTED_VALUE"""),0.234871325368169)</f>
        <v>0.23487132536816899</v>
      </c>
      <c r="W422" s="17">
        <f ca="1">IFERROR(__xludf.DUMMYFUNCTION("""COMPUTED_VALUE"""),0.494895663570967)</f>
        <v>0.49489566357096698</v>
      </c>
      <c r="X422" s="17">
        <f ca="1">IFERROR(__xludf.DUMMYFUNCTION("""COMPUTED_VALUE"""),0.350713894052823)</f>
        <v>0.35071389405282299</v>
      </c>
      <c r="Y422" s="17">
        <f ca="1">IFERROR(__xludf.DUMMYFUNCTION("""COMPUTED_VALUE"""),0.232188555004421)</f>
        <v>0.23218855500442101</v>
      </c>
      <c r="Z422" s="17">
        <f ca="1">IFERROR(__xludf.DUMMYFUNCTION("""COMPUTED_VALUE"""),0.306459967010985)</f>
        <v>0.30645996701098499</v>
      </c>
      <c r="AA422" s="17">
        <f ca="1">IFERROR(__xludf.DUMMYFUNCTION("""COMPUTED_VALUE"""),0.625382915184537)</f>
        <v>0.62538291518453704</v>
      </c>
      <c r="AB422" s="17">
        <f ca="1">IFERROR(__xludf.DUMMYFUNCTION("""COMPUTED_VALUE"""),0.412534236466655)</f>
        <v>0.41253423646665499</v>
      </c>
      <c r="AC422" s="17">
        <f ca="1">IFERROR(__xludf.DUMMYFUNCTION("""COMPUTED_VALUE"""),0.965835395964843)</f>
        <v>0.96583539596484302</v>
      </c>
      <c r="AD422" s="17">
        <f ca="1">IFERROR(__xludf.DUMMYFUNCTION("""COMPUTED_VALUE"""),0.592966458470564)</f>
        <v>0.59296645847056395</v>
      </c>
      <c r="AE422" s="17">
        <f ca="1">IFERROR(__xludf.DUMMYFUNCTION("""COMPUTED_VALUE"""),1.43195483771881)</f>
        <v>1.43195483771881</v>
      </c>
      <c r="AF422" s="17">
        <f ca="1">IFERROR(__xludf.DUMMYFUNCTION("""COMPUTED_VALUE"""),0.454355561793541)</f>
        <v>0.45435556179354097</v>
      </c>
      <c r="AG422" s="17">
        <f ca="1">IFERROR(__xludf.DUMMYFUNCTION("""COMPUTED_VALUE"""),0.405026325269304)</f>
        <v>0.40502632526930399</v>
      </c>
      <c r="AH422" s="17">
        <f ca="1">IFERROR(__xludf.DUMMYFUNCTION("""COMPUTED_VALUE"""),0.421793436022045)</f>
        <v>0.421793436022045</v>
      </c>
      <c r="AI422" s="17" t="str">
        <f ca="1">IFERROR(__xludf.DUMMYFUNCTION("""COMPUTED_VALUE"""),"nan")</f>
        <v>nan</v>
      </c>
      <c r="AJ422" s="17">
        <f ca="1">IFERROR(__xludf.DUMMYFUNCTION("""COMPUTED_VALUE"""),0.403731217874307)</f>
        <v>0.40373121787430699</v>
      </c>
    </row>
    <row r="423" spans="2:36" ht="15.75" customHeight="1" x14ac:dyDescent="0.45">
      <c r="B423" s="10" t="str">
        <f ca="1">IFERROR(__xludf.DUMMYFUNCTION("""COMPUTED_VALUE"""),"Haptics")</f>
        <v>Haptics</v>
      </c>
      <c r="C423" s="10" t="str">
        <f ca="1">IFERROR(__xludf.DUMMYFUNCTION("""COMPUTED_VALUE"""),"aligned_series")</f>
        <v>aligned_series</v>
      </c>
      <c r="D423" s="10">
        <f ca="1">IFERROR(__xludf.DUMMYFUNCTION("""COMPUTED_VALUE"""),0.2)</f>
        <v>0.2</v>
      </c>
      <c r="E423" s="17">
        <f ca="1">IFERROR(__xludf.DUMMYFUNCTION("""COMPUTED_VALUE"""),1.13557821551393)</f>
        <v>1.13557821551393</v>
      </c>
      <c r="F423" s="17">
        <f ca="1">IFERROR(__xludf.DUMMYFUNCTION("""COMPUTED_VALUE"""),0.236254362269603)</f>
        <v>0.236254362269603</v>
      </c>
      <c r="G423" s="17">
        <f ca="1">IFERROR(__xludf.DUMMYFUNCTION("""COMPUTED_VALUE"""),0.23162877777253)</f>
        <v>0.23162877777252999</v>
      </c>
      <c r="H423" s="17">
        <f ca="1">IFERROR(__xludf.DUMMYFUNCTION("""COMPUTED_VALUE"""),0.3068064498136)</f>
        <v>0.3068064498136</v>
      </c>
      <c r="I423" s="17">
        <f ca="1">IFERROR(__xludf.DUMMYFUNCTION("""COMPUTED_VALUE"""),0.271615574726528)</f>
        <v>0.27161557472652798</v>
      </c>
      <c r="J423" s="17">
        <f ca="1">IFERROR(__xludf.DUMMYFUNCTION("""COMPUTED_VALUE"""),0.225867784430248)</f>
        <v>0.22586778443024799</v>
      </c>
      <c r="K423" s="17" t="str">
        <f ca="1">IFERROR(__xludf.DUMMYFUNCTION("""COMPUTED_VALUE"""),"nan")</f>
        <v>nan</v>
      </c>
      <c r="L423" s="17">
        <f ca="1">IFERROR(__xludf.DUMMYFUNCTION("""COMPUTED_VALUE"""),0.226373472949646)</f>
        <v>0.22637347294964599</v>
      </c>
      <c r="M423" s="17">
        <f ca="1">IFERROR(__xludf.DUMMYFUNCTION("""COMPUTED_VALUE"""),0.24520569358331)</f>
        <v>0.24520569358331001</v>
      </c>
      <c r="N423" s="17">
        <f ca="1">IFERROR(__xludf.DUMMYFUNCTION("""COMPUTED_VALUE"""),0.255884372488317)</f>
        <v>0.25588437248831702</v>
      </c>
      <c r="O423" s="17">
        <f ca="1">IFERROR(__xludf.DUMMYFUNCTION("""COMPUTED_VALUE"""),0.217547174122249)</f>
        <v>0.217547174122249</v>
      </c>
      <c r="P423" s="17">
        <f ca="1">IFERROR(__xludf.DUMMYFUNCTION("""COMPUTED_VALUE"""),0.890641039061879)</f>
        <v>0.89064103906187897</v>
      </c>
      <c r="Q423" s="17">
        <f ca="1">IFERROR(__xludf.DUMMYFUNCTION("""COMPUTED_VALUE"""),0.342335219455899)</f>
        <v>0.34233521945589901</v>
      </c>
      <c r="R423" s="17">
        <f ca="1">IFERROR(__xludf.DUMMYFUNCTION("""COMPUTED_VALUE"""),0.716150141965922)</f>
        <v>0.71615014196592197</v>
      </c>
      <c r="S423" s="17">
        <f ca="1">IFERROR(__xludf.DUMMYFUNCTION("""COMPUTED_VALUE"""),0.348445048305244)</f>
        <v>0.34844504830524398</v>
      </c>
      <c r="T423" s="17">
        <f ca="1">IFERROR(__xludf.DUMMYFUNCTION("""COMPUTED_VALUE"""),0.343865028901718)</f>
        <v>0.343865028901718</v>
      </c>
      <c r="U423" s="17">
        <f ca="1">IFERROR(__xludf.DUMMYFUNCTION("""COMPUTED_VALUE"""),0.296592979119849)</f>
        <v>0.296592979119849</v>
      </c>
      <c r="V423" s="17">
        <f ca="1">IFERROR(__xludf.DUMMYFUNCTION("""COMPUTED_VALUE"""),0.24695499383526)</f>
        <v>0.24695499383526001</v>
      </c>
      <c r="W423" s="17">
        <f ca="1">IFERROR(__xludf.DUMMYFUNCTION("""COMPUTED_VALUE"""),0.557231667337409)</f>
        <v>0.55723166733740903</v>
      </c>
      <c r="X423" s="17">
        <f ca="1">IFERROR(__xludf.DUMMYFUNCTION("""COMPUTED_VALUE"""),0.360739887642372)</f>
        <v>0.36073988764237203</v>
      </c>
      <c r="Y423" s="17">
        <f ca="1">IFERROR(__xludf.DUMMYFUNCTION("""COMPUTED_VALUE"""),0.233719968960872)</f>
        <v>0.23371996896087199</v>
      </c>
      <c r="Z423" s="17">
        <f ca="1">IFERROR(__xludf.DUMMYFUNCTION("""COMPUTED_VALUE"""),0.299890773843569)</f>
        <v>0.29989077384356899</v>
      </c>
      <c r="AA423" s="17">
        <f ca="1">IFERROR(__xludf.DUMMYFUNCTION("""COMPUTED_VALUE"""),0.528474102105759)</f>
        <v>0.52847410210575896</v>
      </c>
      <c r="AB423" s="17">
        <f ca="1">IFERROR(__xludf.DUMMYFUNCTION("""COMPUTED_VALUE"""),0.657361593132531)</f>
        <v>0.65736159313253095</v>
      </c>
      <c r="AC423" s="17">
        <f ca="1">IFERROR(__xludf.DUMMYFUNCTION("""COMPUTED_VALUE"""),0.925330827250428)</f>
        <v>0.92533082725042803</v>
      </c>
      <c r="AD423" s="17">
        <f ca="1">IFERROR(__xludf.DUMMYFUNCTION("""COMPUTED_VALUE"""),0.556726747027433)</f>
        <v>0.55672674702743297</v>
      </c>
      <c r="AE423" s="17">
        <f ca="1">IFERROR(__xludf.DUMMYFUNCTION("""COMPUTED_VALUE"""),1.43546528597122)</f>
        <v>1.43546528597122</v>
      </c>
      <c r="AF423" s="17">
        <f ca="1">IFERROR(__xludf.DUMMYFUNCTION("""COMPUTED_VALUE"""),0.433725599175185)</f>
        <v>0.43372559917518499</v>
      </c>
      <c r="AG423" s="17">
        <f ca="1">IFERROR(__xludf.DUMMYFUNCTION("""COMPUTED_VALUE"""),0.396177798153375)</f>
        <v>0.396177798153375</v>
      </c>
      <c r="AH423" s="17">
        <f ca="1">IFERROR(__xludf.DUMMYFUNCTION("""COMPUTED_VALUE"""),0.413928949399592)</f>
        <v>0.41392894939959202</v>
      </c>
      <c r="AI423" s="17" t="str">
        <f ca="1">IFERROR(__xludf.DUMMYFUNCTION("""COMPUTED_VALUE"""),"nan")</f>
        <v>nan</v>
      </c>
      <c r="AJ423" s="17">
        <f ca="1">IFERROR(__xludf.DUMMYFUNCTION("""COMPUTED_VALUE"""),0.39354178472324)</f>
        <v>0.39354178472323997</v>
      </c>
    </row>
    <row r="424" spans="2:36" ht="15.75" customHeight="1" x14ac:dyDescent="0.45">
      <c r="B424" s="10" t="str">
        <f ca="1">IFERROR(__xludf.DUMMYFUNCTION("""COMPUTED_VALUE"""),"Haptics")</f>
        <v>Haptics</v>
      </c>
      <c r="C424" s="10" t="str">
        <f ca="1">IFERROR(__xludf.DUMMYFUNCTION("""COMPUTED_VALUE"""),"aligned_series")</f>
        <v>aligned_series</v>
      </c>
      <c r="D424" s="10">
        <f ca="1">IFERROR(__xludf.DUMMYFUNCTION("""COMPUTED_VALUE"""),0.4)</f>
        <v>0.4</v>
      </c>
      <c r="E424" s="17">
        <f ca="1">IFERROR(__xludf.DUMMYFUNCTION("""COMPUTED_VALUE"""),1.15892764403596)</f>
        <v>1.1589276440359599</v>
      </c>
      <c r="F424" s="17">
        <f ca="1">IFERROR(__xludf.DUMMYFUNCTION("""COMPUTED_VALUE"""),0.287214270730684)</f>
        <v>0.28721427073068401</v>
      </c>
      <c r="G424" s="17">
        <f ca="1">IFERROR(__xludf.DUMMYFUNCTION("""COMPUTED_VALUE"""),0.284464630584057)</f>
        <v>0.28446463058405702</v>
      </c>
      <c r="H424" s="17">
        <f ca="1">IFERROR(__xludf.DUMMYFUNCTION("""COMPUTED_VALUE"""),0.337119110254987)</f>
        <v>0.33711911025498698</v>
      </c>
      <c r="I424" s="17">
        <f ca="1">IFERROR(__xludf.DUMMYFUNCTION("""COMPUTED_VALUE"""),0.342876202909293)</f>
        <v>0.34287620290929299</v>
      </c>
      <c r="J424" s="17">
        <f ca="1">IFERROR(__xludf.DUMMYFUNCTION("""COMPUTED_VALUE"""),0.280848043665656)</f>
        <v>0.28084804366565602</v>
      </c>
      <c r="K424" s="17" t="str">
        <f ca="1">IFERROR(__xludf.DUMMYFUNCTION("""COMPUTED_VALUE"""),"nan")</f>
        <v>nan</v>
      </c>
      <c r="L424" s="17">
        <f ca="1">IFERROR(__xludf.DUMMYFUNCTION("""COMPUTED_VALUE"""),0.317887231862529)</f>
        <v>0.31788723186252899</v>
      </c>
      <c r="M424" s="17">
        <f ca="1">IFERROR(__xludf.DUMMYFUNCTION("""COMPUTED_VALUE"""),0.325653496224314)</f>
        <v>0.325653496224314</v>
      </c>
      <c r="N424" s="17">
        <f ca="1">IFERROR(__xludf.DUMMYFUNCTION("""COMPUTED_VALUE"""),0.247537900026279)</f>
        <v>0.24753790002627901</v>
      </c>
      <c r="O424" s="17">
        <f ca="1">IFERROR(__xludf.DUMMYFUNCTION("""COMPUTED_VALUE"""),0.278677098808235)</f>
        <v>0.27867709880823499</v>
      </c>
      <c r="P424" s="17">
        <f ca="1">IFERROR(__xludf.DUMMYFUNCTION("""COMPUTED_VALUE"""),1.14412387358637)</f>
        <v>1.1441238735863699</v>
      </c>
      <c r="Q424" s="17">
        <f ca="1">IFERROR(__xludf.DUMMYFUNCTION("""COMPUTED_VALUE"""),0.313085080146653)</f>
        <v>0.31308508014665298</v>
      </c>
      <c r="R424" s="17">
        <f ca="1">IFERROR(__xludf.DUMMYFUNCTION("""COMPUTED_VALUE"""),1.38117476519158)</f>
        <v>1.38117476519158</v>
      </c>
      <c r="S424" s="17">
        <f ca="1">IFERROR(__xludf.DUMMYFUNCTION("""COMPUTED_VALUE"""),0.522440384213215)</f>
        <v>0.52244038421321504</v>
      </c>
      <c r="T424" s="17">
        <f ca="1">IFERROR(__xludf.DUMMYFUNCTION("""COMPUTED_VALUE"""),0.360997144560019)</f>
        <v>0.36099714456001902</v>
      </c>
      <c r="U424" s="17">
        <f ca="1">IFERROR(__xludf.DUMMYFUNCTION("""COMPUTED_VALUE"""),0.357989044282858)</f>
        <v>0.35798904428285799</v>
      </c>
      <c r="V424" s="17">
        <f ca="1">IFERROR(__xludf.DUMMYFUNCTION("""COMPUTED_VALUE"""),0.284891367159458)</f>
        <v>0.28489136715945801</v>
      </c>
      <c r="W424" s="17">
        <f ca="1">IFERROR(__xludf.DUMMYFUNCTION("""COMPUTED_VALUE"""),0.443759738608985)</f>
        <v>0.44375973860898499</v>
      </c>
      <c r="X424" s="17">
        <f ca="1">IFERROR(__xludf.DUMMYFUNCTION("""COMPUTED_VALUE"""),0.390494359279446)</f>
        <v>0.39049435927944598</v>
      </c>
      <c r="Y424" s="17">
        <f ca="1">IFERROR(__xludf.DUMMYFUNCTION("""COMPUTED_VALUE"""),0.246325457450137)</f>
        <v>0.24632545745013701</v>
      </c>
      <c r="Z424" s="17">
        <f ca="1">IFERROR(__xludf.DUMMYFUNCTION("""COMPUTED_VALUE"""),0.319903346976076)</f>
        <v>0.31990334697607598</v>
      </c>
      <c r="AA424" s="17">
        <f ca="1">IFERROR(__xludf.DUMMYFUNCTION("""COMPUTED_VALUE"""),0.567887240653239)</f>
        <v>0.56788724065323903</v>
      </c>
      <c r="AB424" s="17">
        <f ca="1">IFERROR(__xludf.DUMMYFUNCTION("""COMPUTED_VALUE"""),1.72506814459286)</f>
        <v>1.72506814459286</v>
      </c>
      <c r="AC424" s="17">
        <f ca="1">IFERROR(__xludf.DUMMYFUNCTION("""COMPUTED_VALUE"""),0.94543479144672)</f>
        <v>0.94543479144672005</v>
      </c>
      <c r="AD424" s="17">
        <f ca="1">IFERROR(__xludf.DUMMYFUNCTION("""COMPUTED_VALUE"""),0.555497415793505)</f>
        <v>0.55549741579350498</v>
      </c>
      <c r="AE424" s="17">
        <f ca="1">IFERROR(__xludf.DUMMYFUNCTION("""COMPUTED_VALUE"""),1.43325865410312)</f>
        <v>1.43325865410312</v>
      </c>
      <c r="AF424" s="17">
        <f ca="1">IFERROR(__xludf.DUMMYFUNCTION("""COMPUTED_VALUE"""),0.395433572287178)</f>
        <v>0.39543357228717801</v>
      </c>
      <c r="AG424" s="17">
        <f ca="1">IFERROR(__xludf.DUMMYFUNCTION("""COMPUTED_VALUE"""),0.412585081457271)</f>
        <v>0.41258508145727102</v>
      </c>
      <c r="AH424" s="17">
        <f ca="1">IFERROR(__xludf.DUMMYFUNCTION("""COMPUTED_VALUE"""),0.42064230488217)</f>
        <v>0.42064230488217003</v>
      </c>
      <c r="AI424" s="17" t="str">
        <f ca="1">IFERROR(__xludf.DUMMYFUNCTION("""COMPUTED_VALUE"""),"nan")</f>
        <v>nan</v>
      </c>
      <c r="AJ424" s="17">
        <f ca="1">IFERROR(__xludf.DUMMYFUNCTION("""COMPUTED_VALUE"""),0.398516891498978)</f>
        <v>0.39851689149897801</v>
      </c>
    </row>
    <row r="425" spans="2:36" ht="15.75" customHeight="1" x14ac:dyDescent="0.45">
      <c r="B425" s="10" t="str">
        <f ca="1">IFERROR(__xludf.DUMMYFUNCTION("""COMPUTED_VALUE"""),"Haptics")</f>
        <v>Haptics</v>
      </c>
      <c r="C425" s="10" t="str">
        <f ca="1">IFERROR(__xludf.DUMMYFUNCTION("""COMPUTED_VALUE"""),"aligned_series")</f>
        <v>aligned_series</v>
      </c>
      <c r="D425" s="10">
        <f ca="1">IFERROR(__xludf.DUMMYFUNCTION("""COMPUTED_VALUE"""),0.6)</f>
        <v>0.6</v>
      </c>
      <c r="E425" s="17">
        <f ca="1">IFERROR(__xludf.DUMMYFUNCTION("""COMPUTED_VALUE"""),1.21362019163805)</f>
        <v>1.21362019163805</v>
      </c>
      <c r="F425" s="17">
        <f ca="1">IFERROR(__xludf.DUMMYFUNCTION("""COMPUTED_VALUE"""),0.289249853522252)</f>
        <v>0.28924985352225202</v>
      </c>
      <c r="G425" s="17">
        <f ca="1">IFERROR(__xludf.DUMMYFUNCTION("""COMPUTED_VALUE"""),0.286510248361227)</f>
        <v>0.28651024836122702</v>
      </c>
      <c r="H425" s="17">
        <f ca="1">IFERROR(__xludf.DUMMYFUNCTION("""COMPUTED_VALUE"""),0.326950009163956)</f>
        <v>0.326950009163956</v>
      </c>
      <c r="I425" s="17">
        <f ca="1">IFERROR(__xludf.DUMMYFUNCTION("""COMPUTED_VALUE"""),0.468439571528026)</f>
        <v>0.46843957152802601</v>
      </c>
      <c r="J425" s="17">
        <f ca="1">IFERROR(__xludf.DUMMYFUNCTION("""COMPUTED_VALUE"""),0.320581147183503)</f>
        <v>0.320581147183503</v>
      </c>
      <c r="K425" s="17" t="str">
        <f ca="1">IFERROR(__xludf.DUMMYFUNCTION("""COMPUTED_VALUE"""),"nan")</f>
        <v>nan</v>
      </c>
      <c r="L425" s="17">
        <f ca="1">IFERROR(__xludf.DUMMYFUNCTION("""COMPUTED_VALUE"""),0.322829783637276)</f>
        <v>0.32282978363727599</v>
      </c>
      <c r="M425" s="17">
        <f ca="1">IFERROR(__xludf.DUMMYFUNCTION("""COMPUTED_VALUE"""),0.302427873272327)</f>
        <v>0.30242787327232701</v>
      </c>
      <c r="N425" s="17">
        <f ca="1">IFERROR(__xludf.DUMMYFUNCTION("""COMPUTED_VALUE"""),0.247850963058205)</f>
        <v>0.247850963058205</v>
      </c>
      <c r="O425" s="17">
        <f ca="1">IFERROR(__xludf.DUMMYFUNCTION("""COMPUTED_VALUE"""),0.264059676579963)</f>
        <v>0.26405967657996299</v>
      </c>
      <c r="P425" s="17">
        <f ca="1">IFERROR(__xludf.DUMMYFUNCTION("""COMPUTED_VALUE"""),1.39761455378017)</f>
        <v>1.3976145537801701</v>
      </c>
      <c r="Q425" s="17">
        <f ca="1">IFERROR(__xludf.DUMMYFUNCTION("""COMPUTED_VALUE"""),0.822360019820159)</f>
        <v>0.82236001982015905</v>
      </c>
      <c r="R425" s="17">
        <f ca="1">IFERROR(__xludf.DUMMYFUNCTION("""COMPUTED_VALUE"""),1.35856264923416)</f>
        <v>1.35856264923416</v>
      </c>
      <c r="S425" s="17">
        <f ca="1">IFERROR(__xludf.DUMMYFUNCTION("""COMPUTED_VALUE"""),0.865255358856481)</f>
        <v>0.86525535885648097</v>
      </c>
      <c r="T425" s="17">
        <f ca="1">IFERROR(__xludf.DUMMYFUNCTION("""COMPUTED_VALUE"""),0.302567167693025)</f>
        <v>0.302567167693025</v>
      </c>
      <c r="U425" s="17">
        <f ca="1">IFERROR(__xludf.DUMMYFUNCTION("""COMPUTED_VALUE"""),0.35095069063635)</f>
        <v>0.35095069063634998</v>
      </c>
      <c r="V425" s="17">
        <f ca="1">IFERROR(__xludf.DUMMYFUNCTION("""COMPUTED_VALUE"""),0.333375493683067)</f>
        <v>0.33337549368306701</v>
      </c>
      <c r="W425" s="17">
        <f ca="1">IFERROR(__xludf.DUMMYFUNCTION("""COMPUTED_VALUE"""),0.281264572591863)</f>
        <v>0.28126457259186299</v>
      </c>
      <c r="X425" s="17">
        <f ca="1">IFERROR(__xludf.DUMMYFUNCTION("""COMPUTED_VALUE"""),0.376453880532778)</f>
        <v>0.37645388053277801</v>
      </c>
      <c r="Y425" s="17">
        <f ca="1">IFERROR(__xludf.DUMMYFUNCTION("""COMPUTED_VALUE"""),0.273987412911123)</f>
        <v>0.273987412911123</v>
      </c>
      <c r="Z425" s="17">
        <f ca="1">IFERROR(__xludf.DUMMYFUNCTION("""COMPUTED_VALUE"""),0.310746137037414)</f>
        <v>0.31074613703741399</v>
      </c>
      <c r="AA425" s="17">
        <f ca="1">IFERROR(__xludf.DUMMYFUNCTION("""COMPUTED_VALUE"""),0.517165436331235)</f>
        <v>0.51716543633123502</v>
      </c>
      <c r="AB425" s="17">
        <f ca="1">IFERROR(__xludf.DUMMYFUNCTION("""COMPUTED_VALUE"""),1.8826955301866)</f>
        <v>1.8826955301866</v>
      </c>
      <c r="AC425" s="17">
        <f ca="1">IFERROR(__xludf.DUMMYFUNCTION("""COMPUTED_VALUE"""),1.02746835669001)</f>
        <v>1.02746835669001</v>
      </c>
      <c r="AD425" s="17">
        <f ca="1">IFERROR(__xludf.DUMMYFUNCTION("""COMPUTED_VALUE"""),0.640910512759176)</f>
        <v>0.64091051275917599</v>
      </c>
      <c r="AE425" s="17">
        <f ca="1">IFERROR(__xludf.DUMMYFUNCTION("""COMPUTED_VALUE"""),1.42820573829842)</f>
        <v>1.4282057382984199</v>
      </c>
      <c r="AF425" s="17">
        <f ca="1">IFERROR(__xludf.DUMMYFUNCTION("""COMPUTED_VALUE"""),0.378612450326498)</f>
        <v>0.37861245032649798</v>
      </c>
      <c r="AG425" s="17">
        <f ca="1">IFERROR(__xludf.DUMMYFUNCTION("""COMPUTED_VALUE"""),0.41491587125704)</f>
        <v>0.41491587125703999</v>
      </c>
      <c r="AH425" s="17">
        <f ca="1">IFERROR(__xludf.DUMMYFUNCTION("""COMPUTED_VALUE"""),0.413608672855066)</f>
        <v>0.41360867285506597</v>
      </c>
      <c r="AI425" s="17" t="str">
        <f ca="1">IFERROR(__xludf.DUMMYFUNCTION("""COMPUTED_VALUE"""),"nan")</f>
        <v>nan</v>
      </c>
      <c r="AJ425" s="17">
        <f ca="1">IFERROR(__xludf.DUMMYFUNCTION("""COMPUTED_VALUE"""),0.387478230856594)</f>
        <v>0.387478230856594</v>
      </c>
    </row>
    <row r="426" spans="2:36" ht="15.75" customHeight="1" x14ac:dyDescent="0.45">
      <c r="B426" s="10" t="str">
        <f ca="1">IFERROR(__xludf.DUMMYFUNCTION("""COMPUTED_VALUE"""),"Haptics")</f>
        <v>Haptics</v>
      </c>
      <c r="C426" s="10" t="str">
        <f ca="1">IFERROR(__xludf.DUMMYFUNCTION("""COMPUTED_VALUE"""),"aligned_series")</f>
        <v>aligned_series</v>
      </c>
      <c r="D426" s="10">
        <f ca="1">IFERROR(__xludf.DUMMYFUNCTION("""COMPUTED_VALUE"""),0.8)</f>
        <v>0.8</v>
      </c>
      <c r="E426" s="17">
        <f ca="1">IFERROR(__xludf.DUMMYFUNCTION("""COMPUTED_VALUE"""),1.28202954808452)</f>
        <v>1.2820295480845201</v>
      </c>
      <c r="F426" s="17">
        <f ca="1">IFERROR(__xludf.DUMMYFUNCTION("""COMPUTED_VALUE"""),0.364636500887398)</f>
        <v>0.36463650088739802</v>
      </c>
      <c r="G426" s="17">
        <f ca="1">IFERROR(__xludf.DUMMYFUNCTION("""COMPUTED_VALUE"""),0.351509650848904)</f>
        <v>0.35150965084890401</v>
      </c>
      <c r="H426" s="17">
        <f ca="1">IFERROR(__xludf.DUMMYFUNCTION("""COMPUTED_VALUE"""),0.408921304935839)</f>
        <v>0.408921304935839</v>
      </c>
      <c r="I426" s="17">
        <f ca="1">IFERROR(__xludf.DUMMYFUNCTION("""COMPUTED_VALUE"""),0.68794463050832)</f>
        <v>0.68794463050832</v>
      </c>
      <c r="J426" s="17">
        <f ca="1">IFERROR(__xludf.DUMMYFUNCTION("""COMPUTED_VALUE"""),0.361943884685845)</f>
        <v>0.36194388468584499</v>
      </c>
      <c r="K426" s="17" t="str">
        <f ca="1">IFERROR(__xludf.DUMMYFUNCTION("""COMPUTED_VALUE"""),"nan")</f>
        <v>nan</v>
      </c>
      <c r="L426" s="17">
        <f ca="1">IFERROR(__xludf.DUMMYFUNCTION("""COMPUTED_VALUE"""),0.387128153725489)</f>
        <v>0.38712815372548898</v>
      </c>
      <c r="M426" s="17">
        <f ca="1">IFERROR(__xludf.DUMMYFUNCTION("""COMPUTED_VALUE"""),0.341468502530878)</f>
        <v>0.34146850253087802</v>
      </c>
      <c r="N426" s="17">
        <f ca="1">IFERROR(__xludf.DUMMYFUNCTION("""COMPUTED_VALUE"""),0.258662503580242)</f>
        <v>0.25866250358024201</v>
      </c>
      <c r="O426" s="17">
        <f ca="1">IFERROR(__xludf.DUMMYFUNCTION("""COMPUTED_VALUE"""),0.325805644504354)</f>
        <v>0.32580564450435401</v>
      </c>
      <c r="P426" s="17">
        <f ca="1">IFERROR(__xludf.DUMMYFUNCTION("""COMPUTED_VALUE"""),1.70163626800507)</f>
        <v>1.7016362680050701</v>
      </c>
      <c r="Q426" s="17">
        <f ca="1">IFERROR(__xludf.DUMMYFUNCTION("""COMPUTED_VALUE"""),1.14766680757118)</f>
        <v>1.14766680757118</v>
      </c>
      <c r="R426" s="17">
        <f ca="1">IFERROR(__xludf.DUMMYFUNCTION("""COMPUTED_VALUE"""),1.38818923427885)</f>
        <v>1.38818923427885</v>
      </c>
      <c r="S426" s="17">
        <f ca="1">IFERROR(__xludf.DUMMYFUNCTION("""COMPUTED_VALUE"""),1.01834293538281)</f>
        <v>1.01834293538281</v>
      </c>
      <c r="T426" s="17">
        <f ca="1">IFERROR(__xludf.DUMMYFUNCTION("""COMPUTED_VALUE"""),0.409509650794119)</f>
        <v>0.409509650794119</v>
      </c>
      <c r="U426" s="17">
        <f ca="1">IFERROR(__xludf.DUMMYFUNCTION("""COMPUTED_VALUE"""),0.393882788574034)</f>
        <v>0.39388278857403403</v>
      </c>
      <c r="V426" s="17">
        <f ca="1">IFERROR(__xludf.DUMMYFUNCTION("""COMPUTED_VALUE"""),0.392782098768537)</f>
        <v>0.39278209876853698</v>
      </c>
      <c r="W426" s="17">
        <f ca="1">IFERROR(__xludf.DUMMYFUNCTION("""COMPUTED_VALUE"""),0.253934775016293)</f>
        <v>0.25393477501629302</v>
      </c>
      <c r="X426" s="17">
        <f ca="1">IFERROR(__xludf.DUMMYFUNCTION("""COMPUTED_VALUE"""),0.406049045683744)</f>
        <v>0.406049045683744</v>
      </c>
      <c r="Y426" s="17">
        <f ca="1">IFERROR(__xludf.DUMMYFUNCTION("""COMPUTED_VALUE"""),0.381484308654026)</f>
        <v>0.38148430865402599</v>
      </c>
      <c r="Z426" s="17">
        <f ca="1">IFERROR(__xludf.DUMMYFUNCTION("""COMPUTED_VALUE"""),0.332767102025077)</f>
        <v>0.33276710202507698</v>
      </c>
      <c r="AA426" s="17">
        <f ca="1">IFERROR(__xludf.DUMMYFUNCTION("""COMPUTED_VALUE"""),0.389232184023633)</f>
        <v>0.38923218402363302</v>
      </c>
      <c r="AB426" s="17">
        <f ca="1">IFERROR(__xludf.DUMMYFUNCTION("""COMPUTED_VALUE"""),2.44819742600291)</f>
        <v>2.4481974260029098</v>
      </c>
      <c r="AC426" s="17">
        <f ca="1">IFERROR(__xludf.DUMMYFUNCTION("""COMPUTED_VALUE"""),0.829547653400389)</f>
        <v>0.82954765340038905</v>
      </c>
      <c r="AD426" s="17">
        <f ca="1">IFERROR(__xludf.DUMMYFUNCTION("""COMPUTED_VALUE"""),0.832590227180582)</f>
        <v>0.83259022718058195</v>
      </c>
      <c r="AE426" s="17">
        <f ca="1">IFERROR(__xludf.DUMMYFUNCTION("""COMPUTED_VALUE"""),1.43557940708622)</f>
        <v>1.43557940708622</v>
      </c>
      <c r="AF426" s="17">
        <f ca="1">IFERROR(__xludf.DUMMYFUNCTION("""COMPUTED_VALUE"""),0.37810101475504)</f>
        <v>0.37810101475503999</v>
      </c>
      <c r="AG426" s="17">
        <f ca="1">IFERROR(__xludf.DUMMYFUNCTION("""COMPUTED_VALUE"""),0.394263306665657)</f>
        <v>0.39426330666565701</v>
      </c>
      <c r="AH426" s="17">
        <f ca="1">IFERROR(__xludf.DUMMYFUNCTION("""COMPUTED_VALUE"""),0.411492130266395)</f>
        <v>0.41149213026639497</v>
      </c>
      <c r="AI426" s="17" t="str">
        <f ca="1">IFERROR(__xludf.DUMMYFUNCTION("""COMPUTED_VALUE"""),"nan")</f>
        <v>nan</v>
      </c>
      <c r="AJ426" s="17">
        <f ca="1">IFERROR(__xludf.DUMMYFUNCTION("""COMPUTED_VALUE"""),0.384610725493821)</f>
        <v>0.38461072549382103</v>
      </c>
    </row>
    <row r="427" spans="2:36" ht="15.75" customHeight="1" x14ac:dyDescent="0.45">
      <c r="B427" s="10" t="str">
        <f ca="1">IFERROR(__xludf.DUMMYFUNCTION("""COMPUTED_VALUE"""),"Haptics")</f>
        <v>Haptics</v>
      </c>
      <c r="C427" s="10" t="str">
        <f ca="1">IFERROR(__xludf.DUMMYFUNCTION("""COMPUTED_VALUE"""),"aligned_timestamps")</f>
        <v>aligned_timestamps</v>
      </c>
      <c r="D427" s="10">
        <f ca="1">IFERROR(__xludf.DUMMYFUNCTION("""COMPUTED_VALUE"""),0.1)</f>
        <v>0.1</v>
      </c>
      <c r="E427" s="17">
        <f ca="1">IFERROR(__xludf.DUMMYFUNCTION("""COMPUTED_VALUE"""),1.10560812102927)</f>
        <v>1.1056081210292701</v>
      </c>
      <c r="F427" s="17">
        <f ca="1">IFERROR(__xludf.DUMMYFUNCTION("""COMPUTED_VALUE"""),0.208470525961756)</f>
        <v>0.208470525961756</v>
      </c>
      <c r="G427" s="17">
        <f ca="1">IFERROR(__xludf.DUMMYFUNCTION("""COMPUTED_VALUE"""),0.204505719798455)</f>
        <v>0.204505719798455</v>
      </c>
      <c r="H427" s="17">
        <f ca="1">IFERROR(__xludf.DUMMYFUNCTION("""COMPUTED_VALUE"""),0.285336730111296)</f>
        <v>0.28533673011129601</v>
      </c>
      <c r="I427" s="17">
        <f ca="1">IFERROR(__xludf.DUMMYFUNCTION("""COMPUTED_VALUE"""),0.328102852415613)</f>
        <v>0.32810285241561299</v>
      </c>
      <c r="J427" s="17">
        <f ca="1">IFERROR(__xludf.DUMMYFUNCTION("""COMPUTED_VALUE"""),0.203737394943388)</f>
        <v>0.20373739494338799</v>
      </c>
      <c r="K427" s="17" t="str">
        <f ca="1">IFERROR(__xludf.DUMMYFUNCTION("""COMPUTED_VALUE"""),"nan")</f>
        <v>nan</v>
      </c>
      <c r="L427" s="17">
        <f ca="1">IFERROR(__xludf.DUMMYFUNCTION("""COMPUTED_VALUE"""),0.220777775121817)</f>
        <v>0.22077777512181701</v>
      </c>
      <c r="M427" s="17">
        <f ca="1">IFERROR(__xludf.DUMMYFUNCTION("""COMPUTED_VALUE"""),0.20718110762107)</f>
        <v>0.20718110762107</v>
      </c>
      <c r="N427" s="17">
        <f ca="1">IFERROR(__xludf.DUMMYFUNCTION("""COMPUTED_VALUE"""),0.230328997181588)</f>
        <v>0.230328997181588</v>
      </c>
      <c r="O427" s="17">
        <f ca="1">IFERROR(__xludf.DUMMYFUNCTION("""COMPUTED_VALUE"""),0.198268998735966)</f>
        <v>0.19826899873596601</v>
      </c>
      <c r="P427" s="17">
        <f ca="1">IFERROR(__xludf.DUMMYFUNCTION("""COMPUTED_VALUE"""),0.798145366460654)</f>
        <v>0.79814536646065404</v>
      </c>
      <c r="Q427" s="17">
        <f ca="1">IFERROR(__xludf.DUMMYFUNCTION("""COMPUTED_VALUE"""),0.327227409581984)</f>
        <v>0.32722740958198399</v>
      </c>
      <c r="R427" s="17">
        <f ca="1">IFERROR(__xludf.DUMMYFUNCTION("""COMPUTED_VALUE"""),0.594111656338447)</f>
        <v>0.59411165633844698</v>
      </c>
      <c r="S427" s="17">
        <f ca="1">IFERROR(__xludf.DUMMYFUNCTION("""COMPUTED_VALUE"""),0.341107827784981)</f>
        <v>0.341107827784981</v>
      </c>
      <c r="T427" s="17">
        <f ca="1">IFERROR(__xludf.DUMMYFUNCTION("""COMPUTED_VALUE"""),0.280758182849397)</f>
        <v>0.28075818284939702</v>
      </c>
      <c r="U427" s="17">
        <f ca="1">IFERROR(__xludf.DUMMYFUNCTION("""COMPUTED_VALUE"""),0.266054427707208)</f>
        <v>0.266054427707208</v>
      </c>
      <c r="V427" s="17">
        <f ca="1">IFERROR(__xludf.DUMMYFUNCTION("""COMPUTED_VALUE"""),0.164203835207681)</f>
        <v>0.164203835207681</v>
      </c>
      <c r="W427" s="17">
        <f ca="1">IFERROR(__xludf.DUMMYFUNCTION("""COMPUTED_VALUE"""),0.550618202552115)</f>
        <v>0.55061820255211502</v>
      </c>
      <c r="X427" s="17">
        <f ca="1">IFERROR(__xludf.DUMMYFUNCTION("""COMPUTED_VALUE"""),0.355005543188388)</f>
        <v>0.35500554318838801</v>
      </c>
      <c r="Y427" s="17">
        <f ca="1">IFERROR(__xludf.DUMMYFUNCTION("""COMPUTED_VALUE"""),0.178126674352206)</f>
        <v>0.178126674352206</v>
      </c>
      <c r="Z427" s="17">
        <f ca="1">IFERROR(__xludf.DUMMYFUNCTION("""COMPUTED_VALUE"""),0.231401309140918)</f>
        <v>0.231401309140918</v>
      </c>
      <c r="AA427" s="17">
        <f ca="1">IFERROR(__xludf.DUMMYFUNCTION("""COMPUTED_VALUE"""),0.305368462193608)</f>
        <v>0.30536846219360803</v>
      </c>
      <c r="AB427" s="17">
        <f ca="1">IFERROR(__xludf.DUMMYFUNCTION("""COMPUTED_VALUE"""),0.434770168624801)</f>
        <v>0.434770168624801</v>
      </c>
      <c r="AC427" s="17">
        <f ca="1">IFERROR(__xludf.DUMMYFUNCTION("""COMPUTED_VALUE"""),0.9690168028902)</f>
        <v>0.96901680289019998</v>
      </c>
      <c r="AD427" s="17">
        <f ca="1">IFERROR(__xludf.DUMMYFUNCTION("""COMPUTED_VALUE"""),0.511198710001809)</f>
        <v>0.51119871000180905</v>
      </c>
      <c r="AE427" s="17">
        <f ca="1">IFERROR(__xludf.DUMMYFUNCTION("""COMPUTED_VALUE"""),0.904277550906142)</f>
        <v>0.90427755090614204</v>
      </c>
      <c r="AF427" s="17">
        <f ca="1">IFERROR(__xludf.DUMMYFUNCTION("""COMPUTED_VALUE"""),0.267317128295666)</f>
        <v>0.26731712829566601</v>
      </c>
      <c r="AG427" s="17">
        <f ca="1">IFERROR(__xludf.DUMMYFUNCTION("""COMPUTED_VALUE"""),0.334103018471365)</f>
        <v>0.33410301847136498</v>
      </c>
      <c r="AH427" s="17">
        <f ca="1">IFERROR(__xludf.DUMMYFUNCTION("""COMPUTED_VALUE"""),0.347999178727293)</f>
        <v>0.34799917872729302</v>
      </c>
      <c r="AI427" s="17">
        <f ca="1">IFERROR(__xludf.DUMMYFUNCTION("""COMPUTED_VALUE"""),0.358699932198438)</f>
        <v>0.35869993219843799</v>
      </c>
      <c r="AJ427" s="17">
        <f ca="1">IFERROR(__xludf.DUMMYFUNCTION("""COMPUTED_VALUE"""),0.340777319068524)</f>
        <v>0.34077731906852399</v>
      </c>
    </row>
    <row r="428" spans="2:36" ht="15.75" customHeight="1" x14ac:dyDescent="0.45">
      <c r="B428" s="10" t="str">
        <f ca="1">IFERROR(__xludf.DUMMYFUNCTION("""COMPUTED_VALUE"""),"Haptics")</f>
        <v>Haptics</v>
      </c>
      <c r="C428" s="10" t="str">
        <f ca="1">IFERROR(__xludf.DUMMYFUNCTION("""COMPUTED_VALUE"""),"aligned_timestamps")</f>
        <v>aligned_timestamps</v>
      </c>
      <c r="D428" s="10">
        <f ca="1">IFERROR(__xludf.DUMMYFUNCTION("""COMPUTED_VALUE"""),0.2)</f>
        <v>0.2</v>
      </c>
      <c r="E428" s="17">
        <f ca="1">IFERROR(__xludf.DUMMYFUNCTION("""COMPUTED_VALUE"""),1.13557821551393)</f>
        <v>1.13557821551393</v>
      </c>
      <c r="F428" s="17">
        <f ca="1">IFERROR(__xludf.DUMMYFUNCTION("""COMPUTED_VALUE"""),0.236254362269603)</f>
        <v>0.236254362269603</v>
      </c>
      <c r="G428" s="17">
        <f ca="1">IFERROR(__xludf.DUMMYFUNCTION("""COMPUTED_VALUE"""),0.23162877777253)</f>
        <v>0.23162877777252999</v>
      </c>
      <c r="H428" s="17">
        <f ca="1">IFERROR(__xludf.DUMMYFUNCTION("""COMPUTED_VALUE"""),0.3068064498136)</f>
        <v>0.3068064498136</v>
      </c>
      <c r="I428" s="17">
        <f ca="1">IFERROR(__xludf.DUMMYFUNCTION("""COMPUTED_VALUE"""),0.271615574726528)</f>
        <v>0.27161557472652798</v>
      </c>
      <c r="J428" s="17">
        <f ca="1">IFERROR(__xludf.DUMMYFUNCTION("""COMPUTED_VALUE"""),0.225867784430248)</f>
        <v>0.22586778443024799</v>
      </c>
      <c r="K428" s="17" t="str">
        <f ca="1">IFERROR(__xludf.DUMMYFUNCTION("""COMPUTED_VALUE"""),"nan")</f>
        <v>nan</v>
      </c>
      <c r="L428" s="17">
        <f ca="1">IFERROR(__xludf.DUMMYFUNCTION("""COMPUTED_VALUE"""),0.226373472949646)</f>
        <v>0.22637347294964599</v>
      </c>
      <c r="M428" s="17">
        <f ca="1">IFERROR(__xludf.DUMMYFUNCTION("""COMPUTED_VALUE"""),0.24520569358331)</f>
        <v>0.24520569358331001</v>
      </c>
      <c r="N428" s="17">
        <f ca="1">IFERROR(__xludf.DUMMYFUNCTION("""COMPUTED_VALUE"""),0.255884372488317)</f>
        <v>0.25588437248831702</v>
      </c>
      <c r="O428" s="17">
        <f ca="1">IFERROR(__xludf.DUMMYFUNCTION("""COMPUTED_VALUE"""),0.217547174122249)</f>
        <v>0.217547174122249</v>
      </c>
      <c r="P428" s="17">
        <f ca="1">IFERROR(__xludf.DUMMYFUNCTION("""COMPUTED_VALUE"""),0.890641039061879)</f>
        <v>0.89064103906187897</v>
      </c>
      <c r="Q428" s="17">
        <f ca="1">IFERROR(__xludf.DUMMYFUNCTION("""COMPUTED_VALUE"""),0.342335219455899)</f>
        <v>0.34233521945589901</v>
      </c>
      <c r="R428" s="17">
        <f ca="1">IFERROR(__xludf.DUMMYFUNCTION("""COMPUTED_VALUE"""),0.716150141965922)</f>
        <v>0.71615014196592197</v>
      </c>
      <c r="S428" s="17">
        <f ca="1">IFERROR(__xludf.DUMMYFUNCTION("""COMPUTED_VALUE"""),0.348445048305244)</f>
        <v>0.34844504830524398</v>
      </c>
      <c r="T428" s="17">
        <f ca="1">IFERROR(__xludf.DUMMYFUNCTION("""COMPUTED_VALUE"""),0.343865028901718)</f>
        <v>0.343865028901718</v>
      </c>
      <c r="U428" s="17">
        <f ca="1">IFERROR(__xludf.DUMMYFUNCTION("""COMPUTED_VALUE"""),0.296592979119849)</f>
        <v>0.296592979119849</v>
      </c>
      <c r="V428" s="17">
        <f ca="1">IFERROR(__xludf.DUMMYFUNCTION("""COMPUTED_VALUE"""),0.24695499383526)</f>
        <v>0.24695499383526001</v>
      </c>
      <c r="W428" s="17">
        <f ca="1">IFERROR(__xludf.DUMMYFUNCTION("""COMPUTED_VALUE"""),0.489903123059385)</f>
        <v>0.48990312305938499</v>
      </c>
      <c r="X428" s="17">
        <f ca="1">IFERROR(__xludf.DUMMYFUNCTION("""COMPUTED_VALUE"""),0.378465451375461)</f>
        <v>0.378465451375461</v>
      </c>
      <c r="Y428" s="17">
        <f ca="1">IFERROR(__xludf.DUMMYFUNCTION("""COMPUTED_VALUE"""),0.233719968960872)</f>
        <v>0.23371996896087199</v>
      </c>
      <c r="Z428" s="17">
        <f ca="1">IFERROR(__xludf.DUMMYFUNCTION("""COMPUTED_VALUE"""),0.299890773843569)</f>
        <v>0.29989077384356899</v>
      </c>
      <c r="AA428" s="17">
        <f ca="1">IFERROR(__xludf.DUMMYFUNCTION("""COMPUTED_VALUE"""),0.528474102105759)</f>
        <v>0.52847410210575896</v>
      </c>
      <c r="AB428" s="17">
        <f ca="1">IFERROR(__xludf.DUMMYFUNCTION("""COMPUTED_VALUE"""),0.599698117923891)</f>
        <v>0.59969811792389105</v>
      </c>
      <c r="AC428" s="17">
        <f ca="1">IFERROR(__xludf.DUMMYFUNCTION("""COMPUTED_VALUE"""),0.925330827250428)</f>
        <v>0.92533082725042803</v>
      </c>
      <c r="AD428" s="17">
        <f ca="1">IFERROR(__xludf.DUMMYFUNCTION("""COMPUTED_VALUE"""),0.658991902330146)</f>
        <v>0.65899190233014604</v>
      </c>
      <c r="AE428" s="17">
        <f ca="1">IFERROR(__xludf.DUMMYFUNCTION("""COMPUTED_VALUE"""),1.42761892965126)</f>
        <v>1.42761892965126</v>
      </c>
      <c r="AF428" s="17">
        <f ca="1">IFERROR(__xludf.DUMMYFUNCTION("""COMPUTED_VALUE"""),0.433725599175185)</f>
        <v>0.43372559917518499</v>
      </c>
      <c r="AG428" s="17">
        <f ca="1">IFERROR(__xludf.DUMMYFUNCTION("""COMPUTED_VALUE"""),0.41526213478182)</f>
        <v>0.41526213478182</v>
      </c>
      <c r="AH428" s="17">
        <f ca="1">IFERROR(__xludf.DUMMYFUNCTION("""COMPUTED_VALUE"""),0.413928949399592)</f>
        <v>0.41392894939959202</v>
      </c>
      <c r="AI428" s="17" t="str">
        <f ca="1">IFERROR(__xludf.DUMMYFUNCTION("""COMPUTED_VALUE"""),"nan")</f>
        <v>nan</v>
      </c>
      <c r="AJ428" s="17">
        <f ca="1">IFERROR(__xludf.DUMMYFUNCTION("""COMPUTED_VALUE"""),0.390460845529687)</f>
        <v>0.39046084552968702</v>
      </c>
    </row>
    <row r="429" spans="2:36" ht="15.75" customHeight="1" x14ac:dyDescent="0.45">
      <c r="B429" s="10" t="str">
        <f ca="1">IFERROR(__xludf.DUMMYFUNCTION("""COMPUTED_VALUE"""),"Haptics")</f>
        <v>Haptics</v>
      </c>
      <c r="C429" s="10" t="str">
        <f ca="1">IFERROR(__xludf.DUMMYFUNCTION("""COMPUTED_VALUE"""),"aligned_timestamps")</f>
        <v>aligned_timestamps</v>
      </c>
      <c r="D429" s="10">
        <f ca="1">IFERROR(__xludf.DUMMYFUNCTION("""COMPUTED_VALUE"""),0.4)</f>
        <v>0.4</v>
      </c>
      <c r="E429" s="17">
        <f ca="1">IFERROR(__xludf.DUMMYFUNCTION("""COMPUTED_VALUE"""),0.961313713574707)</f>
        <v>0.96131371357470696</v>
      </c>
      <c r="F429" s="17">
        <f ca="1">IFERROR(__xludf.DUMMYFUNCTION("""COMPUTED_VALUE"""),0.259537006093193)</f>
        <v>0.25953700609319302</v>
      </c>
      <c r="G429" s="17">
        <f ca="1">IFERROR(__xludf.DUMMYFUNCTION("""COMPUTED_VALUE"""),0.256261802396162)</f>
        <v>0.25626180239616198</v>
      </c>
      <c r="H429" s="17">
        <f ca="1">IFERROR(__xludf.DUMMYFUNCTION("""COMPUTED_VALUE"""),0.332877745326149)</f>
        <v>0.332877745326149</v>
      </c>
      <c r="I429" s="17">
        <f ca="1">IFERROR(__xludf.DUMMYFUNCTION("""COMPUTED_VALUE"""),0.269624771741017)</f>
        <v>0.26962477174101701</v>
      </c>
      <c r="J429" s="17">
        <f ca="1">IFERROR(__xludf.DUMMYFUNCTION("""COMPUTED_VALUE"""),0.510233771473026)</f>
        <v>0.51023377147302595</v>
      </c>
      <c r="K429" s="17" t="str">
        <f ca="1">IFERROR(__xludf.DUMMYFUNCTION("""COMPUTED_VALUE"""),"nan")</f>
        <v>nan</v>
      </c>
      <c r="L429" s="17">
        <f ca="1">IFERROR(__xludf.DUMMYFUNCTION("""COMPUTED_VALUE"""),0.260679380714799)</f>
        <v>0.26067938071479901</v>
      </c>
      <c r="M429" s="17">
        <f ca="1">IFERROR(__xludf.DUMMYFUNCTION("""COMPUTED_VALUE"""),0.267217658090004)</f>
        <v>0.26721765809000397</v>
      </c>
      <c r="N429" s="17">
        <f ca="1">IFERROR(__xludf.DUMMYFUNCTION("""COMPUTED_VALUE"""),0.350029810183227)</f>
        <v>0.35002981018322699</v>
      </c>
      <c r="O429" s="17">
        <f ca="1">IFERROR(__xludf.DUMMYFUNCTION("""COMPUTED_VALUE"""),0.249739949067248)</f>
        <v>0.249739949067248</v>
      </c>
      <c r="P429" s="17">
        <f ca="1">IFERROR(__xludf.DUMMYFUNCTION("""COMPUTED_VALUE"""),0.876883938751798)</f>
        <v>0.87688393875179804</v>
      </c>
      <c r="Q429" s="17">
        <f ca="1">IFERROR(__xludf.DUMMYFUNCTION("""COMPUTED_VALUE"""),0.46515802682861)</f>
        <v>0.46515802682861002</v>
      </c>
      <c r="R429" s="17">
        <f ca="1">IFERROR(__xludf.DUMMYFUNCTION("""COMPUTED_VALUE"""),0.728144303700012)</f>
        <v>0.72814430370001204</v>
      </c>
      <c r="S429" s="17">
        <f ca="1">IFERROR(__xludf.DUMMYFUNCTION("""COMPUTED_VALUE"""),0.54461331360472)</f>
        <v>0.54461331360471998</v>
      </c>
      <c r="T429" s="17">
        <f ca="1">IFERROR(__xludf.DUMMYFUNCTION("""COMPUTED_VALUE"""),0.463365597825618)</f>
        <v>0.46336559782561798</v>
      </c>
      <c r="U429" s="17">
        <f ca="1">IFERROR(__xludf.DUMMYFUNCTION("""COMPUTED_VALUE"""),0.366195333564819)</f>
        <v>0.36619533356481898</v>
      </c>
      <c r="V429" s="17">
        <f ca="1">IFERROR(__xludf.DUMMYFUNCTION("""COMPUTED_VALUE"""),0.337119032154069)</f>
        <v>0.33711903215406902</v>
      </c>
      <c r="W429" s="17">
        <f ca="1">IFERROR(__xludf.DUMMYFUNCTION("""COMPUTED_VALUE"""),0.589530241206155)</f>
        <v>0.58953024120615505</v>
      </c>
      <c r="X429" s="17">
        <f ca="1">IFERROR(__xludf.DUMMYFUNCTION("""COMPUTED_VALUE"""),0.329512462621907)</f>
        <v>0.32951246262190698</v>
      </c>
      <c r="Y429" s="17">
        <f ca="1">IFERROR(__xludf.DUMMYFUNCTION("""COMPUTED_VALUE"""),0.294590676616742)</f>
        <v>0.29459067661674199</v>
      </c>
      <c r="Z429" s="17">
        <f ca="1">IFERROR(__xludf.DUMMYFUNCTION("""COMPUTED_VALUE"""),0.702990710158153)</f>
        <v>0.70299071015815295</v>
      </c>
      <c r="AA429" s="17">
        <f ca="1">IFERROR(__xludf.DUMMYFUNCTION("""COMPUTED_VALUE"""),1.01368208685436)</f>
        <v>1.0136820868543599</v>
      </c>
      <c r="AB429" s="17">
        <f ca="1">IFERROR(__xludf.DUMMYFUNCTION("""COMPUTED_VALUE"""),0.679619579928848)</f>
        <v>0.67961957992884803</v>
      </c>
      <c r="AC429" s="17">
        <f ca="1">IFERROR(__xludf.DUMMYFUNCTION("""COMPUTED_VALUE"""),0.909833719924342)</f>
        <v>0.90983371992434203</v>
      </c>
      <c r="AD429" s="17">
        <f ca="1">IFERROR(__xludf.DUMMYFUNCTION("""COMPUTED_VALUE"""),0.580905141347384)</f>
        <v>0.58090514134738402</v>
      </c>
      <c r="AE429" s="17" t="str">
        <f ca="1">IFERROR(__xludf.DUMMYFUNCTION("""COMPUTED_VALUE"""),"nan")</f>
        <v>nan</v>
      </c>
      <c r="AF429" s="17">
        <f ca="1">IFERROR(__xludf.DUMMYFUNCTION("""COMPUTED_VALUE"""),0.735918709513966)</f>
        <v>0.73591870951396599</v>
      </c>
      <c r="AG429" s="17">
        <f ca="1">IFERROR(__xludf.DUMMYFUNCTION("""COMPUTED_VALUE"""),0.516871545242486)</f>
        <v>0.51687154524248602</v>
      </c>
      <c r="AH429" s="17">
        <f ca="1">IFERROR(__xludf.DUMMYFUNCTION("""COMPUTED_VALUE"""),0.494102127244002)</f>
        <v>0.49410212724400199</v>
      </c>
      <c r="AI429" s="17" t="str">
        <f ca="1">IFERROR(__xludf.DUMMYFUNCTION("""COMPUTED_VALUE"""),"nan")</f>
        <v>nan</v>
      </c>
      <c r="AJ429" s="17">
        <f ca="1">IFERROR(__xludf.DUMMYFUNCTION("""COMPUTED_VALUE"""),0.485321029679177)</f>
        <v>0.48532102967917701</v>
      </c>
    </row>
    <row r="430" spans="2:36" ht="15.75" customHeight="1" x14ac:dyDescent="0.45">
      <c r="B430" s="10" t="str">
        <f ca="1">IFERROR(__xludf.DUMMYFUNCTION("""COMPUTED_VALUE"""),"Haptics")</f>
        <v>Haptics</v>
      </c>
      <c r="C430" s="10" t="str">
        <f ca="1">IFERROR(__xludf.DUMMYFUNCTION("""COMPUTED_VALUE"""),"aligned_timestamps")</f>
        <v>aligned_timestamps</v>
      </c>
      <c r="D430" s="10">
        <f ca="1">IFERROR(__xludf.DUMMYFUNCTION("""COMPUTED_VALUE"""),0.6)</f>
        <v>0.6</v>
      </c>
      <c r="E430" s="17">
        <f ca="1">IFERROR(__xludf.DUMMYFUNCTION("""COMPUTED_VALUE"""),0.907415211938742)</f>
        <v>0.90741521193874197</v>
      </c>
      <c r="F430" s="17">
        <f ca="1">IFERROR(__xludf.DUMMYFUNCTION("""COMPUTED_VALUE"""),0.379112343679348)</f>
        <v>0.37911234367934799</v>
      </c>
      <c r="G430" s="17">
        <f ca="1">IFERROR(__xludf.DUMMYFUNCTION("""COMPUTED_VALUE"""),0.38787379336622)</f>
        <v>0.38787379336622002</v>
      </c>
      <c r="H430" s="17">
        <f ca="1">IFERROR(__xludf.DUMMYFUNCTION("""COMPUTED_VALUE"""),0.463583367701997)</f>
        <v>0.46358336770199698</v>
      </c>
      <c r="I430" s="17">
        <f ca="1">IFERROR(__xludf.DUMMYFUNCTION("""COMPUTED_VALUE"""),0.391141820748368)</f>
        <v>0.39114182074836801</v>
      </c>
      <c r="J430" s="17">
        <f ca="1">IFERROR(__xludf.DUMMYFUNCTION("""COMPUTED_VALUE"""),1.06033660694872)</f>
        <v>1.0603366069487199</v>
      </c>
      <c r="K430" s="17" t="str">
        <f ca="1">IFERROR(__xludf.DUMMYFUNCTION("""COMPUTED_VALUE"""),"nan")</f>
        <v>nan</v>
      </c>
      <c r="L430" s="17">
        <f ca="1">IFERROR(__xludf.DUMMYFUNCTION("""COMPUTED_VALUE"""),0.353423209626668)</f>
        <v>0.35342320962666801</v>
      </c>
      <c r="M430" s="17">
        <f ca="1">IFERROR(__xludf.DUMMYFUNCTION("""COMPUTED_VALUE"""),0.428922101521898)</f>
        <v>0.42892210152189802</v>
      </c>
      <c r="N430" s="17">
        <f ca="1">IFERROR(__xludf.DUMMYFUNCTION("""COMPUTED_VALUE"""),0.428933548760395)</f>
        <v>0.42893354876039502</v>
      </c>
      <c r="O430" s="17">
        <f ca="1">IFERROR(__xludf.DUMMYFUNCTION("""COMPUTED_VALUE"""),0.380028455260906)</f>
        <v>0.38002845526090601</v>
      </c>
      <c r="P430" s="17">
        <f ca="1">IFERROR(__xludf.DUMMYFUNCTION("""COMPUTED_VALUE"""),0.967449838694996)</f>
        <v>0.96744983869499601</v>
      </c>
      <c r="Q430" s="17">
        <f ca="1">IFERROR(__xludf.DUMMYFUNCTION("""COMPUTED_VALUE"""),0.604107311029023)</f>
        <v>0.60410731102902304</v>
      </c>
      <c r="R430" s="17">
        <f ca="1">IFERROR(__xludf.DUMMYFUNCTION("""COMPUTED_VALUE"""),0.810304401798423)</f>
        <v>0.810304401798423</v>
      </c>
      <c r="S430" s="17">
        <f ca="1">IFERROR(__xludf.DUMMYFUNCTION("""COMPUTED_VALUE"""),0.555033655364848)</f>
        <v>0.55503365536484806</v>
      </c>
      <c r="T430" s="17">
        <f ca="1">IFERROR(__xludf.DUMMYFUNCTION("""COMPUTED_VALUE"""),0.487129253308856)</f>
        <v>0.48712925330885598</v>
      </c>
      <c r="U430" s="17">
        <f ca="1">IFERROR(__xludf.DUMMYFUNCTION("""COMPUTED_VALUE"""),0.480826847674232)</f>
        <v>0.48082684767423201</v>
      </c>
      <c r="V430" s="17">
        <f ca="1">IFERROR(__xludf.DUMMYFUNCTION("""COMPUTED_VALUE"""),0.393353904242569)</f>
        <v>0.393353904242569</v>
      </c>
      <c r="W430" s="17">
        <f ca="1">IFERROR(__xludf.DUMMYFUNCTION("""COMPUTED_VALUE"""),0.62619435417395)</f>
        <v>0.62619435417394997</v>
      </c>
      <c r="X430" s="17">
        <f ca="1">IFERROR(__xludf.DUMMYFUNCTION("""COMPUTED_VALUE"""),0.380473544537989)</f>
        <v>0.38047354453798898</v>
      </c>
      <c r="Y430" s="17">
        <f ca="1">IFERROR(__xludf.DUMMYFUNCTION("""COMPUTED_VALUE"""),0.453230702193611)</f>
        <v>0.453230702193611</v>
      </c>
      <c r="Z430" s="17">
        <f ca="1">IFERROR(__xludf.DUMMYFUNCTION("""COMPUTED_VALUE"""),0.652466461570407)</f>
        <v>0.652466461570407</v>
      </c>
      <c r="AA430" s="17">
        <f ca="1">IFERROR(__xludf.DUMMYFUNCTION("""COMPUTED_VALUE"""),1.40888131370095)</f>
        <v>1.4088813137009499</v>
      </c>
      <c r="AB430" s="17">
        <f ca="1">IFERROR(__xludf.DUMMYFUNCTION("""COMPUTED_VALUE"""),1.18642583783351)</f>
        <v>1.18642583783351</v>
      </c>
      <c r="AC430" s="17">
        <f ca="1">IFERROR(__xludf.DUMMYFUNCTION("""COMPUTED_VALUE"""),0.912247760805844)</f>
        <v>0.91224776080584402</v>
      </c>
      <c r="AD430" s="17">
        <f ca="1">IFERROR(__xludf.DUMMYFUNCTION("""COMPUTED_VALUE"""),0.643889953601507)</f>
        <v>0.64388995360150703</v>
      </c>
      <c r="AE430" s="17" t="str">
        <f ca="1">IFERROR(__xludf.DUMMYFUNCTION("""COMPUTED_VALUE"""),"nan")</f>
        <v>nan</v>
      </c>
      <c r="AF430" s="17">
        <f ca="1">IFERROR(__xludf.DUMMYFUNCTION("""COMPUTED_VALUE"""),0.708592088175595)</f>
        <v>0.70859208817559505</v>
      </c>
      <c r="AG430" s="17">
        <f ca="1">IFERROR(__xludf.DUMMYFUNCTION("""COMPUTED_VALUE"""),1.20648024580541)</f>
        <v>1.20648024580541</v>
      </c>
      <c r="AH430" s="17">
        <f ca="1">IFERROR(__xludf.DUMMYFUNCTION("""COMPUTED_VALUE"""),0.965003484272724)</f>
        <v>0.96500348427272398</v>
      </c>
      <c r="AI430" s="17" t="str">
        <f ca="1">IFERROR(__xludf.DUMMYFUNCTION("""COMPUTED_VALUE"""),"nan")</f>
        <v>nan</v>
      </c>
      <c r="AJ430" s="17">
        <f ca="1">IFERROR(__xludf.DUMMYFUNCTION("""COMPUTED_VALUE"""),0.819916782364021)</f>
        <v>0.81991678236402099</v>
      </c>
    </row>
    <row r="431" spans="2:36" ht="15.75" customHeight="1" x14ac:dyDescent="0.45">
      <c r="B431" s="10" t="str">
        <f ca="1">IFERROR(__xludf.DUMMYFUNCTION("""COMPUTED_VALUE"""),"Haptics")</f>
        <v>Haptics</v>
      </c>
      <c r="C431" s="10" t="str">
        <f ca="1">IFERROR(__xludf.DUMMYFUNCTION("""COMPUTED_VALUE"""),"aligned_timestamps")</f>
        <v>aligned_timestamps</v>
      </c>
      <c r="D431" s="10">
        <f ca="1">IFERROR(__xludf.DUMMYFUNCTION("""COMPUTED_VALUE"""),0.8)</f>
        <v>0.8</v>
      </c>
      <c r="E431" s="17">
        <f ca="1">IFERROR(__xludf.DUMMYFUNCTION("""COMPUTED_VALUE"""),1.03971133058182)</f>
        <v>1.03971133058182</v>
      </c>
      <c r="F431" s="17">
        <f ca="1">IFERROR(__xludf.DUMMYFUNCTION("""COMPUTED_VALUE"""),0.438590714280227)</f>
        <v>0.438590714280227</v>
      </c>
      <c r="G431" s="17">
        <f ca="1">IFERROR(__xludf.DUMMYFUNCTION("""COMPUTED_VALUE"""),0.52746816035291)</f>
        <v>0.52746816035291</v>
      </c>
      <c r="H431" s="17">
        <f ca="1">IFERROR(__xludf.DUMMYFUNCTION("""COMPUTED_VALUE"""),0.495017762642705)</f>
        <v>0.49501776264270497</v>
      </c>
      <c r="I431" s="17">
        <f ca="1">IFERROR(__xludf.DUMMYFUNCTION("""COMPUTED_VALUE"""),0.700914009731285)</f>
        <v>0.70091400973128504</v>
      </c>
      <c r="J431" s="17">
        <f ca="1">IFERROR(__xludf.DUMMYFUNCTION("""COMPUTED_VALUE"""),1.49095813506078)</f>
        <v>1.4909581350607799</v>
      </c>
      <c r="K431" s="17" t="str">
        <f ca="1">IFERROR(__xludf.DUMMYFUNCTION("""COMPUTED_VALUE"""),"nan")</f>
        <v>nan</v>
      </c>
      <c r="L431" s="17">
        <f ca="1">IFERROR(__xludf.DUMMYFUNCTION("""COMPUTED_VALUE"""),0.436150687446352)</f>
        <v>0.43615068744635199</v>
      </c>
      <c r="M431" s="17">
        <f ca="1">IFERROR(__xludf.DUMMYFUNCTION("""COMPUTED_VALUE"""),1.44948096452233)</f>
        <v>1.4494809645223301</v>
      </c>
      <c r="N431" s="17">
        <f ca="1">IFERROR(__xludf.DUMMYFUNCTION("""COMPUTED_VALUE"""),0.499597436828641)</f>
        <v>0.499597436828641</v>
      </c>
      <c r="O431" s="17">
        <f ca="1">IFERROR(__xludf.DUMMYFUNCTION("""COMPUTED_VALUE"""),0.554524909489796)</f>
        <v>0.55452490948979605</v>
      </c>
      <c r="P431" s="17">
        <f ca="1">IFERROR(__xludf.DUMMYFUNCTION("""COMPUTED_VALUE"""),0.962743782321204)</f>
        <v>0.96274378232120394</v>
      </c>
      <c r="Q431" s="17">
        <f ca="1">IFERROR(__xludf.DUMMYFUNCTION("""COMPUTED_VALUE"""),0.698392067830993)</f>
        <v>0.69839206783099295</v>
      </c>
      <c r="R431" s="17">
        <f ca="1">IFERROR(__xludf.DUMMYFUNCTION("""COMPUTED_VALUE"""),0.878633676452659)</f>
        <v>0.878633676452659</v>
      </c>
      <c r="S431" s="17">
        <f ca="1">IFERROR(__xludf.DUMMYFUNCTION("""COMPUTED_VALUE"""),0.710014190513573)</f>
        <v>0.71001419051357295</v>
      </c>
      <c r="T431" s="17">
        <f ca="1">IFERROR(__xludf.DUMMYFUNCTION("""COMPUTED_VALUE"""),0.601498657088791)</f>
        <v>0.60149865708879102</v>
      </c>
      <c r="U431" s="17">
        <f ca="1">IFERROR(__xludf.DUMMYFUNCTION("""COMPUTED_VALUE"""),0.629853974427658)</f>
        <v>0.629853974427658</v>
      </c>
      <c r="V431" s="17">
        <f ca="1">IFERROR(__xludf.DUMMYFUNCTION("""COMPUTED_VALUE"""),0.955859867101054)</f>
        <v>0.95585986710105397</v>
      </c>
      <c r="W431" s="17">
        <f ca="1">IFERROR(__xludf.DUMMYFUNCTION("""COMPUTED_VALUE"""),1.26578262334009)</f>
        <v>1.26578262334009</v>
      </c>
      <c r="X431" s="17">
        <f ca="1">IFERROR(__xludf.DUMMYFUNCTION("""COMPUTED_VALUE"""),0.419859064955405)</f>
        <v>0.41985906495540498</v>
      </c>
      <c r="Y431" s="17">
        <f ca="1">IFERROR(__xludf.DUMMYFUNCTION("""COMPUTED_VALUE"""),1.53750980297272)</f>
        <v>1.5375098029727201</v>
      </c>
      <c r="Z431" s="17">
        <f ca="1">IFERROR(__xludf.DUMMYFUNCTION("""COMPUTED_VALUE"""),0.955960332180009)</f>
        <v>0.95596033218000898</v>
      </c>
      <c r="AA431" s="17">
        <f ca="1">IFERROR(__xludf.DUMMYFUNCTION("""COMPUTED_VALUE"""),1.80718133026526)</f>
        <v>1.80718133026526</v>
      </c>
      <c r="AB431" s="17">
        <f ca="1">IFERROR(__xludf.DUMMYFUNCTION("""COMPUTED_VALUE"""),0.99605876521778)</f>
        <v>0.99605876521778003</v>
      </c>
      <c r="AC431" s="17">
        <f ca="1">IFERROR(__xludf.DUMMYFUNCTION("""COMPUTED_VALUE"""),1.16394861872702)</f>
        <v>1.16394861872702</v>
      </c>
      <c r="AD431" s="17">
        <f ca="1">IFERROR(__xludf.DUMMYFUNCTION("""COMPUTED_VALUE"""),1.02801083754438)</f>
        <v>1.0280108375443799</v>
      </c>
      <c r="AE431" s="17" t="str">
        <f ca="1">IFERROR(__xludf.DUMMYFUNCTION("""COMPUTED_VALUE"""),"nan")</f>
        <v>nan</v>
      </c>
      <c r="AF431" s="17">
        <f ca="1">IFERROR(__xludf.DUMMYFUNCTION("""COMPUTED_VALUE"""),0.77890028007861)</f>
        <v>0.77890028007861001</v>
      </c>
      <c r="AG431" s="17">
        <f ca="1">IFERROR(__xludf.DUMMYFUNCTION("""COMPUTED_VALUE"""),1.10783155282955)</f>
        <v>1.1078315528295499</v>
      </c>
      <c r="AH431" s="17">
        <f ca="1">IFERROR(__xludf.DUMMYFUNCTION("""COMPUTED_VALUE"""),1.04297662280377)</f>
        <v>1.04297662280377</v>
      </c>
      <c r="AI431" s="17" t="str">
        <f ca="1">IFERROR(__xludf.DUMMYFUNCTION("""COMPUTED_VALUE"""),"nan")</f>
        <v>nan</v>
      </c>
      <c r="AJ431" s="17">
        <f ca="1">IFERROR(__xludf.DUMMYFUNCTION("""COMPUTED_VALUE"""),1.10707243847585)</f>
        <v>1.1070724384758499</v>
      </c>
    </row>
    <row r="432" spans="2:36" ht="15.75" customHeight="1" x14ac:dyDescent="0.45">
      <c r="B432" s="10" t="str">
        <f ca="1">IFERROR(__xludf.DUMMYFUNCTION("""COMPUTED_VALUE"""),"Haptics")</f>
        <v>Haptics</v>
      </c>
      <c r="C432" s="10" t="str">
        <f ca="1">IFERROR(__xludf.DUMMYFUNCTION("""COMPUTED_VALUE"""),"mcar")</f>
        <v>mcar</v>
      </c>
      <c r="D432" s="10">
        <f ca="1">IFERROR(__xludf.DUMMYFUNCTION("""COMPUTED_VALUE"""),0.1)</f>
        <v>0.1</v>
      </c>
      <c r="E432" s="17">
        <f ca="1">IFERROR(__xludf.DUMMYFUNCTION("""COMPUTED_VALUE"""),0.888784154819411)</f>
        <v>0.88878415481941098</v>
      </c>
      <c r="F432" s="17">
        <f ca="1">IFERROR(__xludf.DUMMYFUNCTION("""COMPUTED_VALUE"""),0.316959141230286)</f>
        <v>0.31695914123028601</v>
      </c>
      <c r="G432" s="17">
        <f ca="1">IFERROR(__xludf.DUMMYFUNCTION("""COMPUTED_VALUE"""),0.318801269105029)</f>
        <v>0.31880126910502898</v>
      </c>
      <c r="H432" s="17">
        <f ca="1">IFERROR(__xludf.DUMMYFUNCTION("""COMPUTED_VALUE"""),0.442497167579196)</f>
        <v>0.44249716757919599</v>
      </c>
      <c r="I432" s="17">
        <f ca="1">IFERROR(__xludf.DUMMYFUNCTION("""COMPUTED_VALUE"""),0.352723947811314)</f>
        <v>0.352723947811314</v>
      </c>
      <c r="J432" s="17">
        <f ca="1">IFERROR(__xludf.DUMMYFUNCTION("""COMPUTED_VALUE"""),0.34045345472153)</f>
        <v>0.34045345472152999</v>
      </c>
      <c r="K432" s="17" t="str">
        <f ca="1">IFERROR(__xludf.DUMMYFUNCTION("""COMPUTED_VALUE"""),"nan")</f>
        <v>nan</v>
      </c>
      <c r="L432" s="17">
        <f ca="1">IFERROR(__xludf.DUMMYFUNCTION("""COMPUTED_VALUE"""),0.295905531449814)</f>
        <v>0.29590553144981402</v>
      </c>
      <c r="M432" s="17">
        <f ca="1">IFERROR(__xludf.DUMMYFUNCTION("""COMPUTED_VALUE"""),0.326824059396932)</f>
        <v>0.32682405939693199</v>
      </c>
      <c r="N432" s="17">
        <f ca="1">IFERROR(__xludf.DUMMYFUNCTION("""COMPUTED_VALUE"""),0.237495784869801)</f>
        <v>0.237495784869801</v>
      </c>
      <c r="O432" s="17">
        <f ca="1">IFERROR(__xludf.DUMMYFUNCTION("""COMPUTED_VALUE"""),0.267249447895159)</f>
        <v>0.26724944789515898</v>
      </c>
      <c r="P432" s="17">
        <f ca="1">IFERROR(__xludf.DUMMYFUNCTION("""COMPUTED_VALUE"""),0.465758166366504)</f>
        <v>0.46575816636650402</v>
      </c>
      <c r="Q432" s="17">
        <f ca="1">IFERROR(__xludf.DUMMYFUNCTION("""COMPUTED_VALUE"""),0.594996276327489)</f>
        <v>0.59499627632748897</v>
      </c>
      <c r="R432" s="17">
        <f ca="1">IFERROR(__xludf.DUMMYFUNCTION("""COMPUTED_VALUE"""),0.127287767600648)</f>
        <v>0.127287767600648</v>
      </c>
      <c r="S432" s="17">
        <f ca="1">IFERROR(__xludf.DUMMYFUNCTION("""COMPUTED_VALUE"""),0.163644428374235)</f>
        <v>0.16364442837423501</v>
      </c>
      <c r="T432" s="17">
        <f ca="1">IFERROR(__xludf.DUMMYFUNCTION("""COMPUTED_VALUE"""),0.201047080283629)</f>
        <v>0.201047080283629</v>
      </c>
      <c r="U432" s="17">
        <f ca="1">IFERROR(__xludf.DUMMYFUNCTION("""COMPUTED_VALUE"""),0.179886581243015)</f>
        <v>0.17988658124301499</v>
      </c>
      <c r="V432" s="17">
        <f ca="1">IFERROR(__xludf.DUMMYFUNCTION("""COMPUTED_VALUE"""),0.271406422432083)</f>
        <v>0.27140642243208302</v>
      </c>
      <c r="W432" s="17">
        <f ca="1">IFERROR(__xludf.DUMMYFUNCTION("""COMPUTED_VALUE"""),0.128843845285872)</f>
        <v>0.12884384528587201</v>
      </c>
      <c r="X432" s="17">
        <f ca="1">IFERROR(__xludf.DUMMYFUNCTION("""COMPUTED_VALUE"""),1.98520656179486)</f>
        <v>1.98520656179486</v>
      </c>
      <c r="Y432" s="17">
        <f ca="1">IFERROR(__xludf.DUMMYFUNCTION("""COMPUTED_VALUE"""),0.105011966356884)</f>
        <v>0.10501196635688401</v>
      </c>
      <c r="Z432" s="17">
        <f ca="1">IFERROR(__xludf.DUMMYFUNCTION("""COMPUTED_VALUE"""),0.198526233115648)</f>
        <v>0.19852623311564799</v>
      </c>
      <c r="AA432" s="17">
        <f ca="1">IFERROR(__xludf.DUMMYFUNCTION("""COMPUTED_VALUE"""),0.0854751654787226)</f>
        <v>8.5475165478722595E-2</v>
      </c>
      <c r="AB432" s="17">
        <f ca="1">IFERROR(__xludf.DUMMYFUNCTION("""COMPUTED_VALUE"""),0.166621365305949)</f>
        <v>0.16662136530594901</v>
      </c>
      <c r="AC432" s="17">
        <f ca="1">IFERROR(__xludf.DUMMYFUNCTION("""COMPUTED_VALUE"""),0.194838607233942)</f>
        <v>0.194838607233942</v>
      </c>
      <c r="AD432" s="17">
        <f ca="1">IFERROR(__xludf.DUMMYFUNCTION("""COMPUTED_VALUE"""),0.0450746841471845)</f>
        <v>4.5074684147184498E-2</v>
      </c>
      <c r="AE432" s="17">
        <f ca="1">IFERROR(__xludf.DUMMYFUNCTION("""COMPUTED_VALUE"""),0.845592064080245)</f>
        <v>0.84559206408024501</v>
      </c>
      <c r="AF432" s="17">
        <f ca="1">IFERROR(__xludf.DUMMYFUNCTION("""COMPUTED_VALUE"""),0.14423393557953)</f>
        <v>0.14423393557952999</v>
      </c>
      <c r="AG432" s="17">
        <f ca="1">IFERROR(__xludf.DUMMYFUNCTION("""COMPUTED_VALUE"""),0.2321373755974)</f>
        <v>0.2321373755974</v>
      </c>
      <c r="AH432" s="17">
        <f ca="1">IFERROR(__xludf.DUMMYFUNCTION("""COMPUTED_VALUE"""),0.0737525816820729)</f>
        <v>7.3752581682072896E-2</v>
      </c>
      <c r="AI432" s="17">
        <f ca="1">IFERROR(__xludf.DUMMYFUNCTION("""COMPUTED_VALUE"""),0.326703099470768)</f>
        <v>0.32670309947076798</v>
      </c>
      <c r="AJ432" s="17">
        <f ca="1">IFERROR(__xludf.DUMMYFUNCTION("""COMPUTED_VALUE"""),0.233248850979014)</f>
        <v>0.23324885097901399</v>
      </c>
    </row>
    <row r="433" spans="2:36" ht="15.75" customHeight="1" x14ac:dyDescent="0.45">
      <c r="B433" s="10" t="str">
        <f ca="1">IFERROR(__xludf.DUMMYFUNCTION("""COMPUTED_VALUE"""),"Haptics")</f>
        <v>Haptics</v>
      </c>
      <c r="C433" s="10" t="str">
        <f ca="1">IFERROR(__xludf.DUMMYFUNCTION("""COMPUTED_VALUE"""),"mcar")</f>
        <v>mcar</v>
      </c>
      <c r="D433" s="10">
        <f ca="1">IFERROR(__xludf.DUMMYFUNCTION("""COMPUTED_VALUE"""),0.2)</f>
        <v>0.2</v>
      </c>
      <c r="E433" s="17">
        <f ca="1">IFERROR(__xludf.DUMMYFUNCTION("""COMPUTED_VALUE"""),0.908266242144152)</f>
        <v>0.90826624214415197</v>
      </c>
      <c r="F433" s="17">
        <f ca="1">IFERROR(__xludf.DUMMYFUNCTION("""COMPUTED_VALUE"""),0.305499576051151)</f>
        <v>0.30549957605115102</v>
      </c>
      <c r="G433" s="17">
        <f ca="1">IFERROR(__xludf.DUMMYFUNCTION("""COMPUTED_VALUE"""),0.307436884144257)</f>
        <v>0.30743688414425702</v>
      </c>
      <c r="H433" s="17">
        <f ca="1">IFERROR(__xludf.DUMMYFUNCTION("""COMPUTED_VALUE"""),0.430409213478341)</f>
        <v>0.43040921347834099</v>
      </c>
      <c r="I433" s="17">
        <f ca="1">IFERROR(__xludf.DUMMYFUNCTION("""COMPUTED_VALUE"""),0.306275803187633)</f>
        <v>0.30627580318763298</v>
      </c>
      <c r="J433" s="17">
        <f ca="1">IFERROR(__xludf.DUMMYFUNCTION("""COMPUTED_VALUE"""),0.327382365131645)</f>
        <v>0.32738236513164498</v>
      </c>
      <c r="K433" s="17" t="str">
        <f ca="1">IFERROR(__xludf.DUMMYFUNCTION("""COMPUTED_VALUE"""),"nan")</f>
        <v>nan</v>
      </c>
      <c r="L433" s="17">
        <f ca="1">IFERROR(__xludf.DUMMYFUNCTION("""COMPUTED_VALUE"""),0.28860013705823)</f>
        <v>0.28860013705823001</v>
      </c>
      <c r="M433" s="17">
        <f ca="1">IFERROR(__xludf.DUMMYFUNCTION("""COMPUTED_VALUE"""),0.312306678222905)</f>
        <v>0.31230667822290498</v>
      </c>
      <c r="N433" s="17">
        <f ca="1">IFERROR(__xludf.DUMMYFUNCTION("""COMPUTED_VALUE"""),0.266687522618998)</f>
        <v>0.26668752261899797</v>
      </c>
      <c r="O433" s="17">
        <f ca="1">IFERROR(__xludf.DUMMYFUNCTION("""COMPUTED_VALUE"""),0.260539359100841)</f>
        <v>0.26053935910084097</v>
      </c>
      <c r="P433" s="17">
        <f ca="1">IFERROR(__xludf.DUMMYFUNCTION("""COMPUTED_VALUE"""),0.486209209472939)</f>
        <v>0.486209209472939</v>
      </c>
      <c r="Q433" s="17">
        <f ca="1">IFERROR(__xludf.DUMMYFUNCTION("""COMPUTED_VALUE"""),0.575266109226021)</f>
        <v>0.57526610922602095</v>
      </c>
      <c r="R433" s="17">
        <f ca="1">IFERROR(__xludf.DUMMYFUNCTION("""COMPUTED_VALUE"""),0.133196853931593)</f>
        <v>0.133196853931593</v>
      </c>
      <c r="S433" s="17">
        <f ca="1">IFERROR(__xludf.DUMMYFUNCTION("""COMPUTED_VALUE"""),0.24231159249336)</f>
        <v>0.24231159249336001</v>
      </c>
      <c r="T433" s="17">
        <f ca="1">IFERROR(__xludf.DUMMYFUNCTION("""COMPUTED_VALUE"""),0.169193068277334)</f>
        <v>0.16919306827733399</v>
      </c>
      <c r="U433" s="17">
        <f ca="1">IFERROR(__xludf.DUMMYFUNCTION("""COMPUTED_VALUE"""),0.199885845996881)</f>
        <v>0.199885845996881</v>
      </c>
      <c r="V433" s="17">
        <f ca="1">IFERROR(__xludf.DUMMYFUNCTION("""COMPUTED_VALUE"""),0.260762844906138)</f>
        <v>0.26076284490613799</v>
      </c>
      <c r="W433" s="17">
        <f ca="1">IFERROR(__xludf.DUMMYFUNCTION("""COMPUTED_VALUE"""),0.174397852431488)</f>
        <v>0.174397852431488</v>
      </c>
      <c r="X433" s="17">
        <f ca="1">IFERROR(__xludf.DUMMYFUNCTION("""COMPUTED_VALUE"""),2.4979195603215)</f>
        <v>2.4979195603214999</v>
      </c>
      <c r="Y433" s="17">
        <f ca="1">IFERROR(__xludf.DUMMYFUNCTION("""COMPUTED_VALUE"""),0.12603831115149)</f>
        <v>0.12603831115149</v>
      </c>
      <c r="Z433" s="17">
        <f ca="1">IFERROR(__xludf.DUMMYFUNCTION("""COMPUTED_VALUE"""),0.205815249577172)</f>
        <v>0.20581524957717201</v>
      </c>
      <c r="AA433" s="17">
        <f ca="1">IFERROR(__xludf.DUMMYFUNCTION("""COMPUTED_VALUE"""),0.0931513019988281)</f>
        <v>9.3151301998828095E-2</v>
      </c>
      <c r="AB433" s="17">
        <f ca="1">IFERROR(__xludf.DUMMYFUNCTION("""COMPUTED_VALUE"""),0.165119236505488)</f>
        <v>0.16511923650548799</v>
      </c>
      <c r="AC433" s="17">
        <f ca="1">IFERROR(__xludf.DUMMYFUNCTION("""COMPUTED_VALUE"""),0.211933218518822)</f>
        <v>0.21193321851882199</v>
      </c>
      <c r="AD433" s="17">
        <f ca="1">IFERROR(__xludf.DUMMYFUNCTION("""COMPUTED_VALUE"""),0.0778808824530019)</f>
        <v>7.7880882453001898E-2</v>
      </c>
      <c r="AE433" s="17">
        <f ca="1">IFERROR(__xludf.DUMMYFUNCTION("""COMPUTED_VALUE"""),0.913492713766054)</f>
        <v>0.91349271376605401</v>
      </c>
      <c r="AF433" s="17">
        <f ca="1">IFERROR(__xludf.DUMMYFUNCTION("""COMPUTED_VALUE"""),0.211772341434228)</f>
        <v>0.21177234143422799</v>
      </c>
      <c r="AG433" s="17">
        <f ca="1">IFERROR(__xludf.DUMMYFUNCTION("""COMPUTED_VALUE"""),0.360871848665146)</f>
        <v>0.36087184866514599</v>
      </c>
      <c r="AH433" s="17">
        <f ca="1">IFERROR(__xludf.DUMMYFUNCTION("""COMPUTED_VALUE"""),0.140447705244172)</f>
        <v>0.14044770524417199</v>
      </c>
      <c r="AI433" s="17" t="str">
        <f ca="1">IFERROR(__xludf.DUMMYFUNCTION("""COMPUTED_VALUE"""),"nan")</f>
        <v>nan</v>
      </c>
      <c r="AJ433" s="17">
        <f ca="1">IFERROR(__xludf.DUMMYFUNCTION("""COMPUTED_VALUE"""),0.290382855167906)</f>
        <v>0.29038285516790602</v>
      </c>
    </row>
    <row r="434" spans="2:36" ht="15.75" customHeight="1" x14ac:dyDescent="0.45">
      <c r="B434" s="10" t="str">
        <f ca="1">IFERROR(__xludf.DUMMYFUNCTION("""COMPUTED_VALUE"""),"Haptics")</f>
        <v>Haptics</v>
      </c>
      <c r="C434" s="10" t="str">
        <f ca="1">IFERROR(__xludf.DUMMYFUNCTION("""COMPUTED_VALUE"""),"mcar")</f>
        <v>mcar</v>
      </c>
      <c r="D434" s="10">
        <f ca="1">IFERROR(__xludf.DUMMYFUNCTION("""COMPUTED_VALUE"""),0.4)</f>
        <v>0.4</v>
      </c>
      <c r="E434" s="17">
        <f ca="1">IFERROR(__xludf.DUMMYFUNCTION("""COMPUTED_VALUE"""),0.946754571123045)</f>
        <v>0.94675457112304495</v>
      </c>
      <c r="F434" s="17">
        <f ca="1">IFERROR(__xludf.DUMMYFUNCTION("""COMPUTED_VALUE"""),0.322485216063581)</f>
        <v>0.32248521606358099</v>
      </c>
      <c r="G434" s="17">
        <f ca="1">IFERROR(__xludf.DUMMYFUNCTION("""COMPUTED_VALUE"""),0.322073400639228)</f>
        <v>0.32207340063922801</v>
      </c>
      <c r="H434" s="17">
        <f ca="1">IFERROR(__xludf.DUMMYFUNCTION("""COMPUTED_VALUE"""),0.458856470902518)</f>
        <v>0.45885647090251802</v>
      </c>
      <c r="I434" s="17">
        <f ca="1">IFERROR(__xludf.DUMMYFUNCTION("""COMPUTED_VALUE"""),0.244764666315882)</f>
        <v>0.24476466631588201</v>
      </c>
      <c r="J434" s="17">
        <f ca="1">IFERROR(__xludf.DUMMYFUNCTION("""COMPUTED_VALUE"""),0.355353624238152)</f>
        <v>0.35535362423815198</v>
      </c>
      <c r="K434" s="17" t="str">
        <f ca="1">IFERROR(__xludf.DUMMYFUNCTION("""COMPUTED_VALUE"""),"nan")</f>
        <v>nan</v>
      </c>
      <c r="L434" s="17">
        <f ca="1">IFERROR(__xludf.DUMMYFUNCTION("""COMPUTED_VALUE"""),0.305390942966506)</f>
        <v>0.30539094296650598</v>
      </c>
      <c r="M434" s="17">
        <f ca="1">IFERROR(__xludf.DUMMYFUNCTION("""COMPUTED_VALUE"""),0.335698009319691)</f>
        <v>0.33569800931969102</v>
      </c>
      <c r="N434" s="17">
        <f ca="1">IFERROR(__xludf.DUMMYFUNCTION("""COMPUTED_VALUE"""),0.34301576296725)</f>
        <v>0.34301576296725</v>
      </c>
      <c r="O434" s="17">
        <f ca="1">IFERROR(__xludf.DUMMYFUNCTION("""COMPUTED_VALUE"""),0.280024292055161)</f>
        <v>0.28002429205516099</v>
      </c>
      <c r="P434" s="17">
        <f ca="1">IFERROR(__xludf.DUMMYFUNCTION("""COMPUTED_VALUE"""),0.520820517702489)</f>
        <v>0.52082051770248905</v>
      </c>
      <c r="Q434" s="17">
        <f ca="1">IFERROR(__xludf.DUMMYFUNCTION("""COMPUTED_VALUE"""),0.648393431986209)</f>
        <v>0.64839343198620902</v>
      </c>
      <c r="R434" s="17">
        <f ca="1">IFERROR(__xludf.DUMMYFUNCTION("""COMPUTED_VALUE"""),0.165544166816407)</f>
        <v>0.16554416681640699</v>
      </c>
      <c r="S434" s="17">
        <f ca="1">IFERROR(__xludf.DUMMYFUNCTION("""COMPUTED_VALUE"""),0.566896565362073)</f>
        <v>0.566896565362073</v>
      </c>
      <c r="T434" s="17">
        <f ca="1">IFERROR(__xludf.DUMMYFUNCTION("""COMPUTED_VALUE"""),0.197012422201091)</f>
        <v>0.197012422201091</v>
      </c>
      <c r="U434" s="17">
        <f ca="1">IFERROR(__xludf.DUMMYFUNCTION("""COMPUTED_VALUE"""),0.248410784391769)</f>
        <v>0.248410784391769</v>
      </c>
      <c r="V434" s="17">
        <f ca="1">IFERROR(__xludf.DUMMYFUNCTION("""COMPUTED_VALUE"""),0.321800442859176)</f>
        <v>0.32180044285917597</v>
      </c>
      <c r="W434" s="17">
        <f ca="1">IFERROR(__xludf.DUMMYFUNCTION("""COMPUTED_VALUE"""),0.258651703822527)</f>
        <v>0.258651703822527</v>
      </c>
      <c r="X434" s="17">
        <f ca="1">IFERROR(__xludf.DUMMYFUNCTION("""COMPUTED_VALUE"""),2.77591310949312)</f>
        <v>2.77591310949312</v>
      </c>
      <c r="Y434" s="17">
        <f ca="1">IFERROR(__xludf.DUMMYFUNCTION("""COMPUTED_VALUE"""),0.200377534486006)</f>
        <v>0.20037753448600601</v>
      </c>
      <c r="Z434" s="17">
        <f ca="1">IFERROR(__xludf.DUMMYFUNCTION("""COMPUTED_VALUE"""),0.258447362538568)</f>
        <v>0.25844736253856798</v>
      </c>
      <c r="AA434" s="17">
        <f ca="1">IFERROR(__xludf.DUMMYFUNCTION("""COMPUTED_VALUE"""),0.146135135293)</f>
        <v>0.14613513529300001</v>
      </c>
      <c r="AB434" s="17">
        <f ca="1">IFERROR(__xludf.DUMMYFUNCTION("""COMPUTED_VALUE"""),0.231020124225722)</f>
        <v>0.23102012422572199</v>
      </c>
      <c r="AC434" s="17">
        <f ca="1">IFERROR(__xludf.DUMMYFUNCTION("""COMPUTED_VALUE"""),0.350812331036706)</f>
        <v>0.350812331036706</v>
      </c>
      <c r="AD434" s="17">
        <f ca="1">IFERROR(__xludf.DUMMYFUNCTION("""COMPUTED_VALUE"""),0.239886968579294)</f>
        <v>0.23988696857929401</v>
      </c>
      <c r="AE434" s="17">
        <f ca="1">IFERROR(__xludf.DUMMYFUNCTION("""COMPUTED_VALUE"""),0.976066956097826)</f>
        <v>0.97606695609782601</v>
      </c>
      <c r="AF434" s="17">
        <f ca="1">IFERROR(__xludf.DUMMYFUNCTION("""COMPUTED_VALUE"""),0.390408791909375)</f>
        <v>0.390408791909375</v>
      </c>
      <c r="AG434" s="17">
        <f ca="1">IFERROR(__xludf.DUMMYFUNCTION("""COMPUTED_VALUE"""),0.543544977720053)</f>
        <v>0.54354497772005295</v>
      </c>
      <c r="AH434" s="17">
        <f ca="1">IFERROR(__xludf.DUMMYFUNCTION("""COMPUTED_VALUE"""),0.277104242621119)</f>
        <v>0.27710424262111899</v>
      </c>
      <c r="AI434" s="17" t="str">
        <f ca="1">IFERROR(__xludf.DUMMYFUNCTION("""COMPUTED_VALUE"""),"nan")</f>
        <v>nan</v>
      </c>
      <c r="AJ434" s="17">
        <f ca="1">IFERROR(__xludf.DUMMYFUNCTION("""COMPUTED_VALUE"""),0.359223524399046)</f>
        <v>0.35922352439904598</v>
      </c>
    </row>
    <row r="435" spans="2:36" ht="15.75" customHeight="1" x14ac:dyDescent="0.45">
      <c r="B435" s="10" t="str">
        <f ca="1">IFERROR(__xludf.DUMMYFUNCTION("""COMPUTED_VALUE"""),"Haptics")</f>
        <v>Haptics</v>
      </c>
      <c r="C435" s="10" t="str">
        <f ca="1">IFERROR(__xludf.DUMMYFUNCTION("""COMPUTED_VALUE"""),"mcar")</f>
        <v>mcar</v>
      </c>
      <c r="D435" s="10">
        <f ca="1">IFERROR(__xludf.DUMMYFUNCTION("""COMPUTED_VALUE"""),0.6)</f>
        <v>0.6</v>
      </c>
      <c r="E435" s="17">
        <f ca="1">IFERROR(__xludf.DUMMYFUNCTION("""COMPUTED_VALUE"""),0.971092695944743)</f>
        <v>0.97109269594474301</v>
      </c>
      <c r="F435" s="17">
        <f ca="1">IFERROR(__xludf.DUMMYFUNCTION("""COMPUTED_VALUE"""),0.324694510690343)</f>
        <v>0.324694510690343</v>
      </c>
      <c r="G435" s="17">
        <f ca="1">IFERROR(__xludf.DUMMYFUNCTION("""COMPUTED_VALUE"""),0.319918571337585)</f>
        <v>0.319918571337585</v>
      </c>
      <c r="H435" s="17">
        <f ca="1">IFERROR(__xludf.DUMMYFUNCTION("""COMPUTED_VALUE"""),0.475234584919823)</f>
        <v>0.47523458491982301</v>
      </c>
      <c r="I435" s="17">
        <f ca="1">IFERROR(__xludf.DUMMYFUNCTION("""COMPUTED_VALUE"""),0.270330594872294)</f>
        <v>0.27033059487229399</v>
      </c>
      <c r="J435" s="17">
        <f ca="1">IFERROR(__xludf.DUMMYFUNCTION("""COMPUTED_VALUE"""),0.392930922834855)</f>
        <v>0.39293092283485498</v>
      </c>
      <c r="K435" s="17" t="str">
        <f ca="1">IFERROR(__xludf.DUMMYFUNCTION("""COMPUTED_VALUE"""),"nan")</f>
        <v>nan</v>
      </c>
      <c r="L435" s="17">
        <f ca="1">IFERROR(__xludf.DUMMYFUNCTION("""COMPUTED_VALUE"""),0.306369175108356)</f>
        <v>0.30636917510835598</v>
      </c>
      <c r="M435" s="17">
        <f ca="1">IFERROR(__xludf.DUMMYFUNCTION("""COMPUTED_VALUE"""),0.352405989022725)</f>
        <v>0.35240598902272502</v>
      </c>
      <c r="N435" s="17">
        <f ca="1">IFERROR(__xludf.DUMMYFUNCTION("""COMPUTED_VALUE"""),0.383457034138233)</f>
        <v>0.38345703413823301</v>
      </c>
      <c r="O435" s="17">
        <f ca="1">IFERROR(__xludf.DUMMYFUNCTION("""COMPUTED_VALUE"""),0.282198625195979)</f>
        <v>0.28219862519597899</v>
      </c>
      <c r="P435" s="17">
        <f ca="1">IFERROR(__xludf.DUMMYFUNCTION("""COMPUTED_VALUE"""),0.583013588138858)</f>
        <v>0.58301358813885795</v>
      </c>
      <c r="Q435" s="17">
        <f ca="1">IFERROR(__xludf.DUMMYFUNCTION("""COMPUTED_VALUE"""),0.691535872450907)</f>
        <v>0.69153587245090697</v>
      </c>
      <c r="R435" s="17">
        <f ca="1">IFERROR(__xludf.DUMMYFUNCTION("""COMPUTED_VALUE"""),0.246275029198503)</f>
        <v>0.246275029198503</v>
      </c>
      <c r="S435" s="17">
        <f ca="1">IFERROR(__xludf.DUMMYFUNCTION("""COMPUTED_VALUE"""),0.915523317972999)</f>
        <v>0.91552331797299902</v>
      </c>
      <c r="T435" s="17">
        <f ca="1">IFERROR(__xludf.DUMMYFUNCTION("""COMPUTED_VALUE"""),0.235362166631604)</f>
        <v>0.235362166631604</v>
      </c>
      <c r="U435" s="17">
        <f ca="1">IFERROR(__xludf.DUMMYFUNCTION("""COMPUTED_VALUE"""),0.318054194705749)</f>
        <v>0.31805419470574903</v>
      </c>
      <c r="V435" s="17">
        <f ca="1">IFERROR(__xludf.DUMMYFUNCTION("""COMPUTED_VALUE"""),0.369328267669925)</f>
        <v>0.36932826766992499</v>
      </c>
      <c r="W435" s="17">
        <f ca="1">IFERROR(__xludf.DUMMYFUNCTION("""COMPUTED_VALUE"""),0.362970154501551)</f>
        <v>0.36297015450155101</v>
      </c>
      <c r="X435" s="17">
        <f ca="1">IFERROR(__xludf.DUMMYFUNCTION("""COMPUTED_VALUE"""),3.38227668883071)</f>
        <v>3.3822766888307099</v>
      </c>
      <c r="Y435" s="17">
        <f ca="1">IFERROR(__xludf.DUMMYFUNCTION("""COMPUTED_VALUE"""),0.255784908872119)</f>
        <v>0.25578490887211902</v>
      </c>
      <c r="Z435" s="17">
        <f ca="1">IFERROR(__xludf.DUMMYFUNCTION("""COMPUTED_VALUE"""),0.34692500120504)</f>
        <v>0.34692500120504</v>
      </c>
      <c r="AA435" s="17">
        <f ca="1">IFERROR(__xludf.DUMMYFUNCTION("""COMPUTED_VALUE"""),0.367588934126629)</f>
        <v>0.36758893412662902</v>
      </c>
      <c r="AB435" s="17">
        <f ca="1">IFERROR(__xludf.DUMMYFUNCTION("""COMPUTED_VALUE"""),0.437486871504961)</f>
        <v>0.43748687150496102</v>
      </c>
      <c r="AC435" s="17">
        <f ca="1">IFERROR(__xludf.DUMMYFUNCTION("""COMPUTED_VALUE"""),0.575359327501509)</f>
        <v>0.57535932750150898</v>
      </c>
      <c r="AD435" s="17">
        <f ca="1">IFERROR(__xludf.DUMMYFUNCTION("""COMPUTED_VALUE"""),0.367592657230983)</f>
        <v>0.367592657230983</v>
      </c>
      <c r="AE435" s="17">
        <f ca="1">IFERROR(__xludf.DUMMYFUNCTION("""COMPUTED_VALUE"""),1.09256203992815)</f>
        <v>1.0925620399281499</v>
      </c>
      <c r="AF435" s="17">
        <f ca="1">IFERROR(__xludf.DUMMYFUNCTION("""COMPUTED_VALUE"""),0.36762879481305)</f>
        <v>0.36762879481305</v>
      </c>
      <c r="AG435" s="17">
        <f ca="1">IFERROR(__xludf.DUMMYFUNCTION("""COMPUTED_VALUE"""),0.869582574461315)</f>
        <v>0.86958257446131504</v>
      </c>
      <c r="AH435" s="17">
        <f ca="1">IFERROR(__xludf.DUMMYFUNCTION("""COMPUTED_VALUE"""),0.597534596810133)</f>
        <v>0.59753459681013299</v>
      </c>
      <c r="AI435" s="17" t="str">
        <f ca="1">IFERROR(__xludf.DUMMYFUNCTION("""COMPUTED_VALUE"""),"nan")</f>
        <v>nan</v>
      </c>
      <c r="AJ435" s="17">
        <f ca="1">IFERROR(__xludf.DUMMYFUNCTION("""COMPUTED_VALUE"""),0.551888165728638)</f>
        <v>0.55188816572863797</v>
      </c>
    </row>
    <row r="436" spans="2:36" ht="15.75" customHeight="1" x14ac:dyDescent="0.45">
      <c r="B436" s="10" t="str">
        <f ca="1">IFERROR(__xludf.DUMMYFUNCTION("""COMPUTED_VALUE"""),"Haptics")</f>
        <v>Haptics</v>
      </c>
      <c r="C436" s="10" t="str">
        <f ca="1">IFERROR(__xludf.DUMMYFUNCTION("""COMPUTED_VALUE"""),"mcar")</f>
        <v>mcar</v>
      </c>
      <c r="D436" s="10">
        <f ca="1">IFERROR(__xludf.DUMMYFUNCTION("""COMPUTED_VALUE"""),0.8)</f>
        <v>0.8</v>
      </c>
      <c r="E436" s="17">
        <f ca="1">IFERROR(__xludf.DUMMYFUNCTION("""COMPUTED_VALUE"""),0.975232399888846)</f>
        <v>0.97523239988884602</v>
      </c>
      <c r="F436" s="17">
        <f ca="1">IFERROR(__xludf.DUMMYFUNCTION("""COMPUTED_VALUE"""),0.359375014112991)</f>
        <v>0.359375014112991</v>
      </c>
      <c r="G436" s="17">
        <f ca="1">IFERROR(__xludf.DUMMYFUNCTION("""COMPUTED_VALUE"""),0.35517543200505)</f>
        <v>0.35517543200504997</v>
      </c>
      <c r="H436" s="17">
        <f ca="1">IFERROR(__xludf.DUMMYFUNCTION("""COMPUTED_VALUE"""),0.50014056980024)</f>
        <v>0.50014056980024002</v>
      </c>
      <c r="I436" s="17">
        <f ca="1">IFERROR(__xludf.DUMMYFUNCTION("""COMPUTED_VALUE"""),0.360131591274985)</f>
        <v>0.36013159127498501</v>
      </c>
      <c r="J436" s="17">
        <f ca="1">IFERROR(__xludf.DUMMYFUNCTION("""COMPUTED_VALUE"""),0.516094122278268)</f>
        <v>0.51609412227826801</v>
      </c>
      <c r="K436" s="17" t="str">
        <f ca="1">IFERROR(__xludf.DUMMYFUNCTION("""COMPUTED_VALUE"""),"nan")</f>
        <v>nan</v>
      </c>
      <c r="L436" s="17">
        <f ca="1">IFERROR(__xludf.DUMMYFUNCTION("""COMPUTED_VALUE"""),0.344380196250844)</f>
        <v>0.34438019625084398</v>
      </c>
      <c r="M436" s="17">
        <f ca="1">IFERROR(__xludf.DUMMYFUNCTION("""COMPUTED_VALUE"""),0.3878786309191)</f>
        <v>0.38787863091910002</v>
      </c>
      <c r="N436" s="17">
        <f ca="1">IFERROR(__xludf.DUMMYFUNCTION("""COMPUTED_VALUE"""),0.431315416149776)</f>
        <v>0.43131541614977598</v>
      </c>
      <c r="O436" s="17">
        <f ca="1">IFERROR(__xludf.DUMMYFUNCTION("""COMPUTED_VALUE"""),0.341850377183044)</f>
        <v>0.34185037718304401</v>
      </c>
      <c r="P436" s="17">
        <f ca="1">IFERROR(__xludf.DUMMYFUNCTION("""COMPUTED_VALUE"""),0.74342340043052)</f>
        <v>0.74342340043052002</v>
      </c>
      <c r="Q436" s="17">
        <f ca="1">IFERROR(__xludf.DUMMYFUNCTION("""COMPUTED_VALUE"""),0.747777209477958)</f>
        <v>0.747777209477958</v>
      </c>
      <c r="R436" s="17">
        <f ca="1">IFERROR(__xludf.DUMMYFUNCTION("""COMPUTED_VALUE"""),0.444150715952648)</f>
        <v>0.44415071595264799</v>
      </c>
      <c r="S436" s="17">
        <f ca="1">IFERROR(__xludf.DUMMYFUNCTION("""COMPUTED_VALUE"""),0.944761292626395)</f>
        <v>0.94476129262639497</v>
      </c>
      <c r="T436" s="17">
        <f ca="1">IFERROR(__xludf.DUMMYFUNCTION("""COMPUTED_VALUE"""),0.372418723591356)</f>
        <v>0.37241872359135603</v>
      </c>
      <c r="U436" s="17">
        <f ca="1">IFERROR(__xludf.DUMMYFUNCTION("""COMPUTED_VALUE"""),0.406449218915311)</f>
        <v>0.40644921891531099</v>
      </c>
      <c r="V436" s="17">
        <f ca="1">IFERROR(__xludf.DUMMYFUNCTION("""COMPUTED_VALUE"""),0.51611855926327)</f>
        <v>0.51611855926326999</v>
      </c>
      <c r="W436" s="17">
        <f ca="1">IFERROR(__xludf.DUMMYFUNCTION("""COMPUTED_VALUE"""),0.507019789192596)</f>
        <v>0.50701978919259605</v>
      </c>
      <c r="X436" s="17">
        <f ca="1">IFERROR(__xludf.DUMMYFUNCTION("""COMPUTED_VALUE"""),1.54198867506821)</f>
        <v>1.5419886750682099</v>
      </c>
      <c r="Y436" s="17">
        <f ca="1">IFERROR(__xludf.DUMMYFUNCTION("""COMPUTED_VALUE"""),0.368287930677727)</f>
        <v>0.36828793067772703</v>
      </c>
      <c r="Z436" s="17">
        <f ca="1">IFERROR(__xludf.DUMMYFUNCTION("""COMPUTED_VALUE"""),0.599392834563467)</f>
        <v>0.59939283456346704</v>
      </c>
      <c r="AA436" s="17">
        <f ca="1">IFERROR(__xludf.DUMMYFUNCTION("""COMPUTED_VALUE"""),0.471015843385968)</f>
        <v>0.47101584338596802</v>
      </c>
      <c r="AB436" s="17">
        <f ca="1">IFERROR(__xludf.DUMMYFUNCTION("""COMPUTED_VALUE"""),0.763756203544594)</f>
        <v>0.76375620354459395</v>
      </c>
      <c r="AC436" s="17">
        <f ca="1">IFERROR(__xludf.DUMMYFUNCTION("""COMPUTED_VALUE"""),0.92375405114767)</f>
        <v>0.92375405114766995</v>
      </c>
      <c r="AD436" s="17">
        <f ca="1">IFERROR(__xludf.DUMMYFUNCTION("""COMPUTED_VALUE"""),0.652992418693147)</f>
        <v>0.65299241869314695</v>
      </c>
      <c r="AE436" s="17" t="str">
        <f ca="1">IFERROR(__xludf.DUMMYFUNCTION("""COMPUTED_VALUE"""),"nan")</f>
        <v>nan</v>
      </c>
      <c r="AF436" s="17">
        <f ca="1">IFERROR(__xludf.DUMMYFUNCTION("""COMPUTED_VALUE"""),0.658282432624662)</f>
        <v>0.65828243262466202</v>
      </c>
      <c r="AG436" s="17">
        <f ca="1">IFERROR(__xludf.DUMMYFUNCTION("""COMPUTED_VALUE"""),1.0682556817003)</f>
        <v>1.0682556817002999</v>
      </c>
      <c r="AH436" s="17">
        <f ca="1">IFERROR(__xludf.DUMMYFUNCTION("""COMPUTED_VALUE"""),0.923950164074985)</f>
        <v>0.92395016407498498</v>
      </c>
      <c r="AI436" s="17" t="str">
        <f ca="1">IFERROR(__xludf.DUMMYFUNCTION("""COMPUTED_VALUE"""),"nan")</f>
        <v>nan</v>
      </c>
      <c r="AJ436" s="17">
        <f ca="1">IFERROR(__xludf.DUMMYFUNCTION("""COMPUTED_VALUE"""),0.78678818298833)</f>
        <v>0.78678818298832998</v>
      </c>
    </row>
    <row r="437" spans="2:36" ht="15.75" customHeight="1" x14ac:dyDescent="0.45">
      <c r="B437" s="10" t="str">
        <f ca="1">IFERROR(__xludf.DUMMYFUNCTION("""COMPUTED_VALUE"""),"Herring")</f>
        <v>Herring</v>
      </c>
      <c r="C437" s="10" t="str">
        <f ca="1">IFERROR(__xludf.DUMMYFUNCTION("""COMPUTED_VALUE"""),"aligned_series")</f>
        <v>aligned_series</v>
      </c>
      <c r="D437" s="10">
        <f ca="1">IFERROR(__xludf.DUMMYFUNCTION("""COMPUTED_VALUE"""),0.1)</f>
        <v>0.1</v>
      </c>
      <c r="E437" s="17">
        <f ca="1">IFERROR(__xludf.DUMMYFUNCTION("""COMPUTED_VALUE"""),0.83725743649226)</f>
        <v>0.83725743649226003</v>
      </c>
      <c r="F437" s="17">
        <f ca="1">IFERROR(__xludf.DUMMYFUNCTION("""COMPUTED_VALUE"""),0.207136098716252)</f>
        <v>0.20713609871625199</v>
      </c>
      <c r="G437" s="17">
        <f ca="1">IFERROR(__xludf.DUMMYFUNCTION("""COMPUTED_VALUE"""),0.196419983782709)</f>
        <v>0.196419983782709</v>
      </c>
      <c r="H437" s="17">
        <f ca="1">IFERROR(__xludf.DUMMYFUNCTION("""COMPUTED_VALUE"""),0.301310606261155)</f>
        <v>0.30131060626115502</v>
      </c>
      <c r="I437" s="17">
        <f ca="1">IFERROR(__xludf.DUMMYFUNCTION("""COMPUTED_VALUE"""),0.528074882616594)</f>
        <v>0.52807488261659397</v>
      </c>
      <c r="J437" s="17">
        <f ca="1">IFERROR(__xludf.DUMMYFUNCTION("""COMPUTED_VALUE"""),1.32964075667175)</f>
        <v>1.3296407566717501</v>
      </c>
      <c r="K437" s="17" t="str">
        <f ca="1">IFERROR(__xludf.DUMMYFUNCTION("""COMPUTED_VALUE"""),"nan")</f>
        <v>nan</v>
      </c>
      <c r="L437" s="17">
        <f ca="1">IFERROR(__xludf.DUMMYFUNCTION("""COMPUTED_VALUE"""),0.241811819720188)</f>
        <v>0.241811819720188</v>
      </c>
      <c r="M437" s="17">
        <f ca="1">IFERROR(__xludf.DUMMYFUNCTION("""COMPUTED_VALUE"""),0.201241480797947)</f>
        <v>0.20124148079794699</v>
      </c>
      <c r="N437" s="17">
        <f ca="1">IFERROR(__xludf.DUMMYFUNCTION("""COMPUTED_VALUE"""),0.289814053064229)</f>
        <v>0.28981405306422903</v>
      </c>
      <c r="O437" s="17">
        <f ca="1">IFERROR(__xludf.DUMMYFUNCTION("""COMPUTED_VALUE"""),0.206502635133857)</f>
        <v>0.206502635133857</v>
      </c>
      <c r="P437" s="17">
        <f ca="1">IFERROR(__xludf.DUMMYFUNCTION("""COMPUTED_VALUE"""),0.596685693198784)</f>
        <v>0.59668569319878395</v>
      </c>
      <c r="Q437" s="17">
        <f ca="1">IFERROR(__xludf.DUMMYFUNCTION("""COMPUTED_VALUE"""),0.39217034358593)</f>
        <v>0.39217034358593</v>
      </c>
      <c r="R437" s="17">
        <f ca="1">IFERROR(__xludf.DUMMYFUNCTION("""COMPUTED_VALUE"""),0.335518502222385)</f>
        <v>0.335518502222385</v>
      </c>
      <c r="S437" s="17">
        <f ca="1">IFERROR(__xludf.DUMMYFUNCTION("""COMPUTED_VALUE"""),0.29760744396167)</f>
        <v>0.29760744396166999</v>
      </c>
      <c r="T437" s="17">
        <f ca="1">IFERROR(__xludf.DUMMYFUNCTION("""COMPUTED_VALUE"""),0.264676650181994)</f>
        <v>0.26467665018199399</v>
      </c>
      <c r="U437" s="17">
        <f ca="1">IFERROR(__xludf.DUMMYFUNCTION("""COMPUTED_VALUE"""),0.276932067793496)</f>
        <v>0.276932067793496</v>
      </c>
      <c r="V437" s="17">
        <f ca="1">IFERROR(__xludf.DUMMYFUNCTION("""COMPUTED_VALUE"""),0.236664156434376)</f>
        <v>0.23666415643437599</v>
      </c>
      <c r="W437" s="17">
        <f ca="1">IFERROR(__xludf.DUMMYFUNCTION("""COMPUTED_VALUE"""),0.602496183573886)</f>
        <v>0.60249618357388601</v>
      </c>
      <c r="X437" s="17">
        <f ca="1">IFERROR(__xludf.DUMMYFUNCTION("""COMPUTED_VALUE"""),1.42989379330358)</f>
        <v>1.42989379330358</v>
      </c>
      <c r="Y437" s="17">
        <f ca="1">IFERROR(__xludf.DUMMYFUNCTION("""COMPUTED_VALUE"""),0.318658867274387)</f>
        <v>0.31865886727438703</v>
      </c>
      <c r="Z437" s="17">
        <f ca="1">IFERROR(__xludf.DUMMYFUNCTION("""COMPUTED_VALUE"""),0.277833525712759)</f>
        <v>0.27783352571275899</v>
      </c>
      <c r="AA437" s="17">
        <f ca="1">IFERROR(__xludf.DUMMYFUNCTION("""COMPUTED_VALUE"""),0.31992102192309)</f>
        <v>0.31992102192309002</v>
      </c>
      <c r="AB437" s="17">
        <f ca="1">IFERROR(__xludf.DUMMYFUNCTION("""COMPUTED_VALUE"""),0.314502903189975)</f>
        <v>0.31450290318997498</v>
      </c>
      <c r="AC437" s="17">
        <f ca="1">IFERROR(__xludf.DUMMYFUNCTION("""COMPUTED_VALUE"""),0.702514896267187)</f>
        <v>0.70251489626718699</v>
      </c>
      <c r="AD437" s="17">
        <f ca="1">IFERROR(__xludf.DUMMYFUNCTION("""COMPUTED_VALUE"""),0.521017217956403)</f>
        <v>0.52101721795640299</v>
      </c>
      <c r="AE437" s="17">
        <f ca="1">IFERROR(__xludf.DUMMYFUNCTION("""COMPUTED_VALUE"""),1.11837945532918)</f>
        <v>1.1183794553291799</v>
      </c>
      <c r="AF437" s="17">
        <f ca="1">IFERROR(__xludf.DUMMYFUNCTION("""COMPUTED_VALUE"""),0.35969821619626)</f>
        <v>0.35969821619626002</v>
      </c>
      <c r="AG437" s="17">
        <f ca="1">IFERROR(__xludf.DUMMYFUNCTION("""COMPUTED_VALUE"""),0.410994982020906)</f>
        <v>0.41099498202090601</v>
      </c>
      <c r="AH437" s="17">
        <f ca="1">IFERROR(__xludf.DUMMYFUNCTION("""COMPUTED_VALUE"""),0.621392030177352)</f>
        <v>0.62139203017735201</v>
      </c>
      <c r="AI437" s="17">
        <f ca="1">IFERROR(__xludf.DUMMYFUNCTION("""COMPUTED_VALUE"""),0.51566836428396)</f>
        <v>0.51566836428396001</v>
      </c>
      <c r="AJ437" s="17">
        <f ca="1">IFERROR(__xludf.DUMMYFUNCTION("""COMPUTED_VALUE"""),0.314424790283773)</f>
        <v>0.31442479028377301</v>
      </c>
    </row>
    <row r="438" spans="2:36" ht="15.75" customHeight="1" x14ac:dyDescent="0.45">
      <c r="B438" s="10" t="str">
        <f ca="1">IFERROR(__xludf.DUMMYFUNCTION("""COMPUTED_VALUE"""),"Herring")</f>
        <v>Herring</v>
      </c>
      <c r="C438" s="10" t="str">
        <f ca="1">IFERROR(__xludf.DUMMYFUNCTION("""COMPUTED_VALUE"""),"aligned_series")</f>
        <v>aligned_series</v>
      </c>
      <c r="D438" s="10">
        <f ca="1">IFERROR(__xludf.DUMMYFUNCTION("""COMPUTED_VALUE"""),0.2)</f>
        <v>0.2</v>
      </c>
      <c r="E438" s="17">
        <f ca="1">IFERROR(__xludf.DUMMYFUNCTION("""COMPUTED_VALUE"""),0.826770890475473)</f>
        <v>0.82677089047547303</v>
      </c>
      <c r="F438" s="17">
        <f ca="1">IFERROR(__xludf.DUMMYFUNCTION("""COMPUTED_VALUE"""),0.234246267374949)</f>
        <v>0.234246267374949</v>
      </c>
      <c r="G438" s="17">
        <f ca="1">IFERROR(__xludf.DUMMYFUNCTION("""COMPUTED_VALUE"""),0.231070386917995)</f>
        <v>0.231070386917995</v>
      </c>
      <c r="H438" s="17">
        <f ca="1">IFERROR(__xludf.DUMMYFUNCTION("""COMPUTED_VALUE"""),0.283777182719461)</f>
        <v>0.28377718271946101</v>
      </c>
      <c r="I438" s="17">
        <f ca="1">IFERROR(__xludf.DUMMYFUNCTION("""COMPUTED_VALUE"""),0.522745030324295)</f>
        <v>0.52274503032429498</v>
      </c>
      <c r="J438" s="17">
        <f ca="1">IFERROR(__xludf.DUMMYFUNCTION("""COMPUTED_VALUE"""),1.48329316679827)</f>
        <v>1.4832931667982701</v>
      </c>
      <c r="K438" s="17" t="str">
        <f ca="1">IFERROR(__xludf.DUMMYFUNCTION("""COMPUTED_VALUE"""),"nan")</f>
        <v>nan</v>
      </c>
      <c r="L438" s="17">
        <f ca="1">IFERROR(__xludf.DUMMYFUNCTION("""COMPUTED_VALUE"""),0.238709967125155)</f>
        <v>0.23870996712515499</v>
      </c>
      <c r="M438" s="17">
        <f ca="1">IFERROR(__xludf.DUMMYFUNCTION("""COMPUTED_VALUE"""),0.235024063728376)</f>
        <v>0.235024063728376</v>
      </c>
      <c r="N438" s="17">
        <f ca="1">IFERROR(__xludf.DUMMYFUNCTION("""COMPUTED_VALUE"""),0.256121382663829)</f>
        <v>0.256121382663829</v>
      </c>
      <c r="O438" s="17">
        <f ca="1">IFERROR(__xludf.DUMMYFUNCTION("""COMPUTED_VALUE"""),0.240683423365062)</f>
        <v>0.24068342336506199</v>
      </c>
      <c r="P438" s="17">
        <f ca="1">IFERROR(__xludf.DUMMYFUNCTION("""COMPUTED_VALUE"""),0.596345273700143)</f>
        <v>0.59634527370014301</v>
      </c>
      <c r="Q438" s="17">
        <f ca="1">IFERROR(__xludf.DUMMYFUNCTION("""COMPUTED_VALUE"""),0.380700602062498)</f>
        <v>0.38070060206249801</v>
      </c>
      <c r="R438" s="17">
        <f ca="1">IFERROR(__xludf.DUMMYFUNCTION("""COMPUTED_VALUE"""),0.331490724485621)</f>
        <v>0.331490724485621</v>
      </c>
      <c r="S438" s="17">
        <f ca="1">IFERROR(__xludf.DUMMYFUNCTION("""COMPUTED_VALUE"""),0.374360564987274)</f>
        <v>0.37436056498727399</v>
      </c>
      <c r="T438" s="17">
        <f ca="1">IFERROR(__xludf.DUMMYFUNCTION("""COMPUTED_VALUE"""),0.320627365642051)</f>
        <v>0.32062736564205102</v>
      </c>
      <c r="U438" s="17">
        <f ca="1">IFERROR(__xludf.DUMMYFUNCTION("""COMPUTED_VALUE"""),0.293923927094914)</f>
        <v>0.29392392709491399</v>
      </c>
      <c r="V438" s="17">
        <f ca="1">IFERROR(__xludf.DUMMYFUNCTION("""COMPUTED_VALUE"""),0.281274616782132)</f>
        <v>0.281274616782132</v>
      </c>
      <c r="W438" s="17">
        <f ca="1">IFERROR(__xludf.DUMMYFUNCTION("""COMPUTED_VALUE"""),0.489021084344989)</f>
        <v>0.48902108434498898</v>
      </c>
      <c r="X438" s="17">
        <f ca="1">IFERROR(__xludf.DUMMYFUNCTION("""COMPUTED_VALUE"""),0.414598351928033)</f>
        <v>0.41459835192803302</v>
      </c>
      <c r="Y438" s="17">
        <f ca="1">IFERROR(__xludf.DUMMYFUNCTION("""COMPUTED_VALUE"""),0.291164884423706)</f>
        <v>0.29116488442370603</v>
      </c>
      <c r="Z438" s="17">
        <f ca="1">IFERROR(__xludf.DUMMYFUNCTION("""COMPUTED_VALUE"""),0.279309106436669)</f>
        <v>0.27930910643666901</v>
      </c>
      <c r="AA438" s="17">
        <f ca="1">IFERROR(__xludf.DUMMYFUNCTION("""COMPUTED_VALUE"""),0.385586432472721)</f>
        <v>0.38558643247272101</v>
      </c>
      <c r="AB438" s="17">
        <f ca="1">IFERROR(__xludf.DUMMYFUNCTION("""COMPUTED_VALUE"""),0.450621341895088)</f>
        <v>0.45062134189508801</v>
      </c>
      <c r="AC438" s="17">
        <f ca="1">IFERROR(__xludf.DUMMYFUNCTION("""COMPUTED_VALUE"""),0.666296072251717)</f>
        <v>0.66629607225171705</v>
      </c>
      <c r="AD438" s="17">
        <f ca="1">IFERROR(__xludf.DUMMYFUNCTION("""COMPUTED_VALUE"""),0.488709522305257)</f>
        <v>0.48870952230525699</v>
      </c>
      <c r="AE438" s="17">
        <f ca="1">IFERROR(__xludf.DUMMYFUNCTION("""COMPUTED_VALUE"""),1.08880821193579)</f>
        <v>1.08880821193579</v>
      </c>
      <c r="AF438" s="17">
        <f ca="1">IFERROR(__xludf.DUMMYFUNCTION("""COMPUTED_VALUE"""),0.310184257831138)</f>
        <v>0.31018425783113801</v>
      </c>
      <c r="AG438" s="17">
        <f ca="1">IFERROR(__xludf.DUMMYFUNCTION("""COMPUTED_VALUE"""),0.32453337534652)</f>
        <v>0.32453337534651999</v>
      </c>
      <c r="AH438" s="17">
        <f ca="1">IFERROR(__xludf.DUMMYFUNCTION("""COMPUTED_VALUE"""),0.558707682092826)</f>
        <v>0.55870768209282595</v>
      </c>
      <c r="AI438" s="17">
        <f ca="1">IFERROR(__xludf.DUMMYFUNCTION("""COMPUTED_VALUE"""),0.483492120357597)</f>
        <v>0.48349212035759698</v>
      </c>
      <c r="AJ438" s="17">
        <f ca="1">IFERROR(__xludf.DUMMYFUNCTION("""COMPUTED_VALUE"""),0.314548157639363)</f>
        <v>0.314548157639363</v>
      </c>
    </row>
    <row r="439" spans="2:36" ht="15.75" customHeight="1" x14ac:dyDescent="0.45">
      <c r="B439" s="10" t="str">
        <f ca="1">IFERROR(__xludf.DUMMYFUNCTION("""COMPUTED_VALUE"""),"Herring")</f>
        <v>Herring</v>
      </c>
      <c r="C439" s="10" t="str">
        <f ca="1">IFERROR(__xludf.DUMMYFUNCTION("""COMPUTED_VALUE"""),"aligned_series")</f>
        <v>aligned_series</v>
      </c>
      <c r="D439" s="10">
        <f ca="1">IFERROR(__xludf.DUMMYFUNCTION("""COMPUTED_VALUE"""),0.4)</f>
        <v>0.4</v>
      </c>
      <c r="E439" s="17">
        <f ca="1">IFERROR(__xludf.DUMMYFUNCTION("""COMPUTED_VALUE"""),0.83020667060403)</f>
        <v>0.83020667060402997</v>
      </c>
      <c r="F439" s="17">
        <f ca="1">IFERROR(__xludf.DUMMYFUNCTION("""COMPUTED_VALUE"""),0.250746410793197)</f>
        <v>0.25074641079319698</v>
      </c>
      <c r="G439" s="17">
        <f ca="1">IFERROR(__xludf.DUMMYFUNCTION("""COMPUTED_VALUE"""),0.270064640695419)</f>
        <v>0.27006464069541902</v>
      </c>
      <c r="H439" s="17">
        <f ca="1">IFERROR(__xludf.DUMMYFUNCTION("""COMPUTED_VALUE"""),0.30413910831084)</f>
        <v>0.30413910831084001</v>
      </c>
      <c r="I439" s="17">
        <f ca="1">IFERROR(__xludf.DUMMYFUNCTION("""COMPUTED_VALUE"""),0.552170248957314)</f>
        <v>0.55217024895731404</v>
      </c>
      <c r="J439" s="17">
        <f ca="1">IFERROR(__xludf.DUMMYFUNCTION("""COMPUTED_VALUE"""),1.47167207832944)</f>
        <v>1.4716720783294399</v>
      </c>
      <c r="K439" s="17" t="str">
        <f ca="1">IFERROR(__xludf.DUMMYFUNCTION("""COMPUTED_VALUE"""),"nan")</f>
        <v>nan</v>
      </c>
      <c r="L439" s="17">
        <f ca="1">IFERROR(__xludf.DUMMYFUNCTION("""COMPUTED_VALUE"""),0.28087200206022)</f>
        <v>0.28087200206022001</v>
      </c>
      <c r="M439" s="17">
        <f ca="1">IFERROR(__xludf.DUMMYFUNCTION("""COMPUTED_VALUE"""),0.267079958241173)</f>
        <v>0.26707995824117298</v>
      </c>
      <c r="N439" s="17">
        <f ca="1">IFERROR(__xludf.DUMMYFUNCTION("""COMPUTED_VALUE"""),0.282344415772945)</f>
        <v>0.282344415772945</v>
      </c>
      <c r="O439" s="17">
        <f ca="1">IFERROR(__xludf.DUMMYFUNCTION("""COMPUTED_VALUE"""),0.501817883503405)</f>
        <v>0.50181788350340495</v>
      </c>
      <c r="P439" s="17">
        <f ca="1">IFERROR(__xludf.DUMMYFUNCTION("""COMPUTED_VALUE"""),0.975062786814668)</f>
        <v>0.97506278681466796</v>
      </c>
      <c r="Q439" s="17">
        <f ca="1">IFERROR(__xludf.DUMMYFUNCTION("""COMPUTED_VALUE"""),0.349608488907626)</f>
        <v>0.34960848890762602</v>
      </c>
      <c r="R439" s="17">
        <f ca="1">IFERROR(__xludf.DUMMYFUNCTION("""COMPUTED_VALUE"""),0.601216076781983)</f>
        <v>0.60121607678198297</v>
      </c>
      <c r="S439" s="17">
        <f ca="1">IFERROR(__xludf.DUMMYFUNCTION("""COMPUTED_VALUE"""),0.436453610743348)</f>
        <v>0.43645361074334799</v>
      </c>
      <c r="T439" s="17">
        <f ca="1">IFERROR(__xludf.DUMMYFUNCTION("""COMPUTED_VALUE"""),0.30757404464602)</f>
        <v>0.30757404464602001</v>
      </c>
      <c r="U439" s="17">
        <f ca="1">IFERROR(__xludf.DUMMYFUNCTION("""COMPUTED_VALUE"""),0.302985701777682)</f>
        <v>0.30298570177768203</v>
      </c>
      <c r="V439" s="17">
        <f ca="1">IFERROR(__xludf.DUMMYFUNCTION("""COMPUTED_VALUE"""),0.324268451028947)</f>
        <v>0.32426845102894702</v>
      </c>
      <c r="W439" s="17">
        <f ca="1">IFERROR(__xludf.DUMMYFUNCTION("""COMPUTED_VALUE"""),0.496492488982935)</f>
        <v>0.49649248898293502</v>
      </c>
      <c r="X439" s="17">
        <f ca="1">IFERROR(__xludf.DUMMYFUNCTION("""COMPUTED_VALUE"""),0.304143669521688)</f>
        <v>0.30414366952168798</v>
      </c>
      <c r="Y439" s="17">
        <f ca="1">IFERROR(__xludf.DUMMYFUNCTION("""COMPUTED_VALUE"""),0.280675648238531)</f>
        <v>0.28067564823853097</v>
      </c>
      <c r="Z439" s="17">
        <f ca="1">IFERROR(__xludf.DUMMYFUNCTION("""COMPUTED_VALUE"""),0.269049960957306)</f>
        <v>0.26904996095730599</v>
      </c>
      <c r="AA439" s="17">
        <f ca="1">IFERROR(__xludf.DUMMYFUNCTION("""COMPUTED_VALUE"""),0.324916767313474)</f>
        <v>0.32491676731347402</v>
      </c>
      <c r="AB439" s="17">
        <f ca="1">IFERROR(__xludf.DUMMYFUNCTION("""COMPUTED_VALUE"""),1.03105721196302)</f>
        <v>1.0310572119630199</v>
      </c>
      <c r="AC439" s="17">
        <f ca="1">IFERROR(__xludf.DUMMYFUNCTION("""COMPUTED_VALUE"""),0.538982736231224)</f>
        <v>0.53898273623122395</v>
      </c>
      <c r="AD439" s="17">
        <f ca="1">IFERROR(__xludf.DUMMYFUNCTION("""COMPUTED_VALUE"""),0.384396458287918)</f>
        <v>0.38439645828791802</v>
      </c>
      <c r="AE439" s="17">
        <f ca="1">IFERROR(__xludf.DUMMYFUNCTION("""COMPUTED_VALUE"""),1.10798906693903)</f>
        <v>1.10798906693903</v>
      </c>
      <c r="AF439" s="17">
        <f ca="1">IFERROR(__xludf.DUMMYFUNCTION("""COMPUTED_VALUE"""),0.301577347739707)</f>
        <v>0.30157734773970701</v>
      </c>
      <c r="AG439" s="17">
        <f ca="1">IFERROR(__xludf.DUMMYFUNCTION("""COMPUTED_VALUE"""),0.353692667353683)</f>
        <v>0.35369266735368299</v>
      </c>
      <c r="AH439" s="17">
        <f ca="1">IFERROR(__xludf.DUMMYFUNCTION("""COMPUTED_VALUE"""),0.535954035802671)</f>
        <v>0.53595403580267098</v>
      </c>
      <c r="AI439" s="17">
        <f ca="1">IFERROR(__xludf.DUMMYFUNCTION("""COMPUTED_VALUE"""),0.47504004746824)</f>
        <v>0.47504004746824002</v>
      </c>
      <c r="AJ439" s="17">
        <f ca="1">IFERROR(__xludf.DUMMYFUNCTION("""COMPUTED_VALUE"""),0.336539954175982)</f>
        <v>0.33653995417598198</v>
      </c>
    </row>
    <row r="440" spans="2:36" ht="15.75" customHeight="1" x14ac:dyDescent="0.45">
      <c r="B440" s="10" t="str">
        <f ca="1">IFERROR(__xludf.DUMMYFUNCTION("""COMPUTED_VALUE"""),"Herring")</f>
        <v>Herring</v>
      </c>
      <c r="C440" s="10" t="str">
        <f ca="1">IFERROR(__xludf.DUMMYFUNCTION("""COMPUTED_VALUE"""),"aligned_series")</f>
        <v>aligned_series</v>
      </c>
      <c r="D440" s="10">
        <f ca="1">IFERROR(__xludf.DUMMYFUNCTION("""COMPUTED_VALUE"""),0.6)</f>
        <v>0.6</v>
      </c>
      <c r="E440" s="17">
        <f ca="1">IFERROR(__xludf.DUMMYFUNCTION("""COMPUTED_VALUE"""),0.883739405351479)</f>
        <v>0.88373940535147899</v>
      </c>
      <c r="F440" s="17">
        <f ca="1">IFERROR(__xludf.DUMMYFUNCTION("""COMPUTED_VALUE"""),0.281508195806348)</f>
        <v>0.281508195806348</v>
      </c>
      <c r="G440" s="17">
        <f ca="1">IFERROR(__xludf.DUMMYFUNCTION("""COMPUTED_VALUE"""),0.266277466612694)</f>
        <v>0.26627746661269402</v>
      </c>
      <c r="H440" s="17">
        <f ca="1">IFERROR(__xludf.DUMMYFUNCTION("""COMPUTED_VALUE"""),0.327120659787384)</f>
        <v>0.32712065978738403</v>
      </c>
      <c r="I440" s="17">
        <f ca="1">IFERROR(__xludf.DUMMYFUNCTION("""COMPUTED_VALUE"""),0.619928218760558)</f>
        <v>0.61992821876055804</v>
      </c>
      <c r="J440" s="17">
        <f ca="1">IFERROR(__xludf.DUMMYFUNCTION("""COMPUTED_VALUE"""),1.42792843072028)</f>
        <v>1.42792843072028</v>
      </c>
      <c r="K440" s="17" t="str">
        <f ca="1">IFERROR(__xludf.DUMMYFUNCTION("""COMPUTED_VALUE"""),"nan")</f>
        <v>nan</v>
      </c>
      <c r="L440" s="17">
        <f ca="1">IFERROR(__xludf.DUMMYFUNCTION("""COMPUTED_VALUE"""),0.325782517619899)</f>
        <v>0.32578251761989901</v>
      </c>
      <c r="M440" s="17">
        <f ca="1">IFERROR(__xludf.DUMMYFUNCTION("""COMPUTED_VALUE"""),0.31347419432163)</f>
        <v>0.31347419432162998</v>
      </c>
      <c r="N440" s="17">
        <f ca="1">IFERROR(__xludf.DUMMYFUNCTION("""COMPUTED_VALUE"""),0.277496742413444)</f>
        <v>0.27749674241344402</v>
      </c>
      <c r="O440" s="17">
        <f ca="1">IFERROR(__xludf.DUMMYFUNCTION("""COMPUTED_VALUE"""),0.97064412313331)</f>
        <v>0.97064412313331005</v>
      </c>
      <c r="P440" s="17">
        <f ca="1">IFERROR(__xludf.DUMMYFUNCTION("""COMPUTED_VALUE"""),1.06750800155134)</f>
        <v>1.0675080015513401</v>
      </c>
      <c r="Q440" s="17">
        <f ca="1">IFERROR(__xludf.DUMMYFUNCTION("""COMPUTED_VALUE"""),0.666562879424706)</f>
        <v>0.66656287942470605</v>
      </c>
      <c r="R440" s="17">
        <f ca="1">IFERROR(__xludf.DUMMYFUNCTION("""COMPUTED_VALUE"""),0.786713443708953)</f>
        <v>0.78671344370895302</v>
      </c>
      <c r="S440" s="17">
        <f ca="1">IFERROR(__xludf.DUMMYFUNCTION("""COMPUTED_VALUE"""),0.593078209605317)</f>
        <v>0.59307820960531699</v>
      </c>
      <c r="T440" s="17">
        <f ca="1">IFERROR(__xludf.DUMMYFUNCTION("""COMPUTED_VALUE"""),0.377986134785682)</f>
        <v>0.37798613478568199</v>
      </c>
      <c r="U440" s="17">
        <f ca="1">IFERROR(__xludf.DUMMYFUNCTION("""COMPUTED_VALUE"""),0.368156284159426)</f>
        <v>0.36815628415942597</v>
      </c>
      <c r="V440" s="17">
        <f ca="1">IFERROR(__xludf.DUMMYFUNCTION("""COMPUTED_VALUE"""),0.463284808383229)</f>
        <v>0.463284808383229</v>
      </c>
      <c r="W440" s="17">
        <f ca="1">IFERROR(__xludf.DUMMYFUNCTION("""COMPUTED_VALUE"""),0.46350273752767)</f>
        <v>0.46350273752767002</v>
      </c>
      <c r="X440" s="17">
        <f ca="1">IFERROR(__xludf.DUMMYFUNCTION("""COMPUTED_VALUE"""),0.357159930917957)</f>
        <v>0.357159930917957</v>
      </c>
      <c r="Y440" s="17">
        <f ca="1">IFERROR(__xludf.DUMMYFUNCTION("""COMPUTED_VALUE"""),0.342154684196628)</f>
        <v>0.34215468419662798</v>
      </c>
      <c r="Z440" s="17">
        <f ca="1">IFERROR(__xludf.DUMMYFUNCTION("""COMPUTED_VALUE"""),0.312822971110323)</f>
        <v>0.31282297111032298</v>
      </c>
      <c r="AA440" s="17">
        <f ca="1">IFERROR(__xludf.DUMMYFUNCTION("""COMPUTED_VALUE"""),0.415362078614558)</f>
        <v>0.41536207861455798</v>
      </c>
      <c r="AB440" s="17">
        <f ca="1">IFERROR(__xludf.DUMMYFUNCTION("""COMPUTED_VALUE"""),1.54551095373598)</f>
        <v>1.5455109537359799</v>
      </c>
      <c r="AC440" s="17">
        <f ca="1">IFERROR(__xludf.DUMMYFUNCTION("""COMPUTED_VALUE"""),0.681337756066626)</f>
        <v>0.68133775606662605</v>
      </c>
      <c r="AD440" s="17">
        <f ca="1">IFERROR(__xludf.DUMMYFUNCTION("""COMPUTED_VALUE"""),0.429400301088306)</f>
        <v>0.42940030108830601</v>
      </c>
      <c r="AE440" s="17">
        <f ca="1">IFERROR(__xludf.DUMMYFUNCTION("""COMPUTED_VALUE"""),1.10266562846962)</f>
        <v>1.1026656284696199</v>
      </c>
      <c r="AF440" s="17">
        <f ca="1">IFERROR(__xludf.DUMMYFUNCTION("""COMPUTED_VALUE"""),0.399761571469811)</f>
        <v>0.39976157146981101</v>
      </c>
      <c r="AG440" s="17">
        <f ca="1">IFERROR(__xludf.DUMMYFUNCTION("""COMPUTED_VALUE"""),0.374666342690935)</f>
        <v>0.37466634269093502</v>
      </c>
      <c r="AH440" s="17">
        <f ca="1">IFERROR(__xludf.DUMMYFUNCTION("""COMPUTED_VALUE"""),0.571945759468986)</f>
        <v>0.57194575946898596</v>
      </c>
      <c r="AI440" s="17">
        <f ca="1">IFERROR(__xludf.DUMMYFUNCTION("""COMPUTED_VALUE"""),0.489828437392097)</f>
        <v>0.48982843739209703</v>
      </c>
      <c r="AJ440" s="17">
        <f ca="1">IFERROR(__xludf.DUMMYFUNCTION("""COMPUTED_VALUE"""),0.381641088261035)</f>
        <v>0.38164108826103499</v>
      </c>
    </row>
    <row r="441" spans="2:36" ht="15.75" customHeight="1" x14ac:dyDescent="0.45">
      <c r="B441" s="10" t="str">
        <f ca="1">IFERROR(__xludf.DUMMYFUNCTION("""COMPUTED_VALUE"""),"Herring")</f>
        <v>Herring</v>
      </c>
      <c r="C441" s="10" t="str">
        <f ca="1">IFERROR(__xludf.DUMMYFUNCTION("""COMPUTED_VALUE"""),"aligned_series")</f>
        <v>aligned_series</v>
      </c>
      <c r="D441" s="10">
        <f ca="1">IFERROR(__xludf.DUMMYFUNCTION("""COMPUTED_VALUE"""),0.8)</f>
        <v>0.8</v>
      </c>
      <c r="E441" s="17">
        <f ca="1">IFERROR(__xludf.DUMMYFUNCTION("""COMPUTED_VALUE"""),0.897700637434887)</f>
        <v>0.89770063743488704</v>
      </c>
      <c r="F441" s="17">
        <f ca="1">IFERROR(__xludf.DUMMYFUNCTION("""COMPUTED_VALUE"""),0.294637378683638)</f>
        <v>0.29463737868363798</v>
      </c>
      <c r="G441" s="17">
        <f ca="1">IFERROR(__xludf.DUMMYFUNCTION("""COMPUTED_VALUE"""),0.305566377852685)</f>
        <v>0.30556637785268498</v>
      </c>
      <c r="H441" s="17">
        <f ca="1">IFERROR(__xludf.DUMMYFUNCTION("""COMPUTED_VALUE"""),0.365919868073971)</f>
        <v>0.36591986807397098</v>
      </c>
      <c r="I441" s="17">
        <f ca="1">IFERROR(__xludf.DUMMYFUNCTION("""COMPUTED_VALUE"""),0.659156798132023)</f>
        <v>0.65915679813202299</v>
      </c>
      <c r="J441" s="17">
        <f ca="1">IFERROR(__xludf.DUMMYFUNCTION("""COMPUTED_VALUE"""),1.49703944593965)</f>
        <v>1.4970394459396501</v>
      </c>
      <c r="K441" s="17" t="str">
        <f ca="1">IFERROR(__xludf.DUMMYFUNCTION("""COMPUTED_VALUE"""),"nan")</f>
        <v>nan</v>
      </c>
      <c r="L441" s="17">
        <f ca="1">IFERROR(__xludf.DUMMYFUNCTION("""COMPUTED_VALUE"""),0.318106254368911)</f>
        <v>0.31810625436891099</v>
      </c>
      <c r="M441" s="17">
        <f ca="1">IFERROR(__xludf.DUMMYFUNCTION("""COMPUTED_VALUE"""),0.300145206623822)</f>
        <v>0.30014520662382199</v>
      </c>
      <c r="N441" s="17">
        <f ca="1">IFERROR(__xludf.DUMMYFUNCTION("""COMPUTED_VALUE"""),0.277418968235229)</f>
        <v>0.27741896823522899</v>
      </c>
      <c r="O441" s="17">
        <f ca="1">IFERROR(__xludf.DUMMYFUNCTION("""COMPUTED_VALUE"""),1.06419279343485)</f>
        <v>1.0641927934348501</v>
      </c>
      <c r="P441" s="17">
        <f ca="1">IFERROR(__xludf.DUMMYFUNCTION("""COMPUTED_VALUE"""),1.28770223272247)</f>
        <v>1.2877022327224701</v>
      </c>
      <c r="Q441" s="17">
        <f ca="1">IFERROR(__xludf.DUMMYFUNCTION("""COMPUTED_VALUE"""),0.845897600245917)</f>
        <v>0.84589760024591698</v>
      </c>
      <c r="R441" s="17">
        <f ca="1">IFERROR(__xludf.DUMMYFUNCTION("""COMPUTED_VALUE"""),0.83263138987396)</f>
        <v>0.83263138987396002</v>
      </c>
      <c r="S441" s="17">
        <f ca="1">IFERROR(__xludf.DUMMYFUNCTION("""COMPUTED_VALUE"""),0.711516521068664)</f>
        <v>0.71151652106866403</v>
      </c>
      <c r="T441" s="17">
        <f ca="1">IFERROR(__xludf.DUMMYFUNCTION("""COMPUTED_VALUE"""),0.713006401019993)</f>
        <v>0.71300640101999302</v>
      </c>
      <c r="U441" s="17">
        <f ca="1">IFERROR(__xludf.DUMMYFUNCTION("""COMPUTED_VALUE"""),0.366748630967177)</f>
        <v>0.36674863096717703</v>
      </c>
      <c r="V441" s="17">
        <f ca="1">IFERROR(__xludf.DUMMYFUNCTION("""COMPUTED_VALUE"""),0.388959738146734)</f>
        <v>0.38895973814673401</v>
      </c>
      <c r="W441" s="17">
        <f ca="1">IFERROR(__xludf.DUMMYFUNCTION("""COMPUTED_VALUE"""),0.460333989237803)</f>
        <v>0.460333989237803</v>
      </c>
      <c r="X441" s="17">
        <f ca="1">IFERROR(__xludf.DUMMYFUNCTION("""COMPUTED_VALUE"""),7.80119646141696)</f>
        <v>7.8011964614169598</v>
      </c>
      <c r="Y441" s="17">
        <f ca="1">IFERROR(__xludf.DUMMYFUNCTION("""COMPUTED_VALUE"""),0.362904537880733)</f>
        <v>0.36290453788073301</v>
      </c>
      <c r="Z441" s="17">
        <f ca="1">IFERROR(__xludf.DUMMYFUNCTION("""COMPUTED_VALUE"""),0.360690733203122)</f>
        <v>0.360690733203122</v>
      </c>
      <c r="AA441" s="17">
        <f ca="1">IFERROR(__xludf.DUMMYFUNCTION("""COMPUTED_VALUE"""),0.273254690463928)</f>
        <v>0.27325469046392797</v>
      </c>
      <c r="AB441" s="17">
        <f ca="1">IFERROR(__xludf.DUMMYFUNCTION("""COMPUTED_VALUE"""),1.55703350349194)</f>
        <v>1.55703350349194</v>
      </c>
      <c r="AC441" s="17">
        <f ca="1">IFERROR(__xludf.DUMMYFUNCTION("""COMPUTED_VALUE"""),0.679190552920437)</f>
        <v>0.67919055292043695</v>
      </c>
      <c r="AD441" s="17">
        <f ca="1">IFERROR(__xludf.DUMMYFUNCTION("""COMPUTED_VALUE"""),0.44891925232762)</f>
        <v>0.44891925232761998</v>
      </c>
      <c r="AE441" s="17">
        <f ca="1">IFERROR(__xludf.DUMMYFUNCTION("""COMPUTED_VALUE"""),1.122878529392)</f>
        <v>1.1228785293920001</v>
      </c>
      <c r="AF441" s="17">
        <f ca="1">IFERROR(__xludf.DUMMYFUNCTION("""COMPUTED_VALUE"""),0.530027605614632)</f>
        <v>0.53002760561463202</v>
      </c>
      <c r="AG441" s="17">
        <f ca="1">IFERROR(__xludf.DUMMYFUNCTION("""COMPUTED_VALUE"""),0.384217106610298)</f>
        <v>0.38421710661029801</v>
      </c>
      <c r="AH441" s="17">
        <f ca="1">IFERROR(__xludf.DUMMYFUNCTION("""COMPUTED_VALUE"""),0.551472860565371)</f>
        <v>0.55147286056537104</v>
      </c>
      <c r="AI441" s="17">
        <f ca="1">IFERROR(__xludf.DUMMYFUNCTION("""COMPUTED_VALUE"""),0.480264180895312)</f>
        <v>0.48026418089531198</v>
      </c>
      <c r="AJ441" s="17">
        <f ca="1">IFERROR(__xludf.DUMMYFUNCTION("""COMPUTED_VALUE"""),0.404064222767806)</f>
        <v>0.40406422276780601</v>
      </c>
    </row>
    <row r="442" spans="2:36" ht="15.75" customHeight="1" x14ac:dyDescent="0.45">
      <c r="B442" s="10" t="str">
        <f ca="1">IFERROR(__xludf.DUMMYFUNCTION("""COMPUTED_VALUE"""),"Herring")</f>
        <v>Herring</v>
      </c>
      <c r="C442" s="10" t="str">
        <f ca="1">IFERROR(__xludf.DUMMYFUNCTION("""COMPUTED_VALUE"""),"aligned_timestamps")</f>
        <v>aligned_timestamps</v>
      </c>
      <c r="D442" s="10">
        <f ca="1">IFERROR(__xludf.DUMMYFUNCTION("""COMPUTED_VALUE"""),0.1)</f>
        <v>0.1</v>
      </c>
      <c r="E442" s="17">
        <f ca="1">IFERROR(__xludf.DUMMYFUNCTION("""COMPUTED_VALUE"""),0.856006399518656)</f>
        <v>0.85600639951865598</v>
      </c>
      <c r="F442" s="17">
        <f ca="1">IFERROR(__xludf.DUMMYFUNCTION("""COMPUTED_VALUE"""),0.224269098926553)</f>
        <v>0.224269098926553</v>
      </c>
      <c r="G442" s="17">
        <f ca="1">IFERROR(__xludf.DUMMYFUNCTION("""COMPUTED_VALUE"""),0.223777452601844)</f>
        <v>0.22377745260184401</v>
      </c>
      <c r="H442" s="17">
        <f ca="1">IFERROR(__xludf.DUMMYFUNCTION("""COMPUTED_VALUE"""),0.257386106064535)</f>
        <v>0.25738610606453499</v>
      </c>
      <c r="I442" s="17">
        <f ca="1">IFERROR(__xludf.DUMMYFUNCTION("""COMPUTED_VALUE"""),0.517541134754163)</f>
        <v>0.51754113475416297</v>
      </c>
      <c r="J442" s="17">
        <f ca="1">IFERROR(__xludf.DUMMYFUNCTION("""COMPUTED_VALUE"""),1.44475032926908)</f>
        <v>1.44475032926908</v>
      </c>
      <c r="K442" s="17" t="str">
        <f ca="1">IFERROR(__xludf.DUMMYFUNCTION("""COMPUTED_VALUE"""),"nan")</f>
        <v>nan</v>
      </c>
      <c r="L442" s="17">
        <f ca="1">IFERROR(__xludf.DUMMYFUNCTION("""COMPUTED_VALUE"""),0.239565395561943)</f>
        <v>0.23956539556194301</v>
      </c>
      <c r="M442" s="17">
        <f ca="1">IFERROR(__xludf.DUMMYFUNCTION("""COMPUTED_VALUE"""),0.231399587251055)</f>
        <v>0.231399587251055</v>
      </c>
      <c r="N442" s="17">
        <f ca="1">IFERROR(__xludf.DUMMYFUNCTION("""COMPUTED_VALUE"""),0.202172427599463)</f>
        <v>0.20217242759946299</v>
      </c>
      <c r="O442" s="17">
        <f ca="1">IFERROR(__xludf.DUMMYFUNCTION("""COMPUTED_VALUE"""),0.195626310311264)</f>
        <v>0.19562631031126401</v>
      </c>
      <c r="P442" s="17">
        <f ca="1">IFERROR(__xludf.DUMMYFUNCTION("""COMPUTED_VALUE"""),0.555853861832401)</f>
        <v>0.55585386183240104</v>
      </c>
      <c r="Q442" s="17">
        <f ca="1">IFERROR(__xludf.DUMMYFUNCTION("""COMPUTED_VALUE"""),0.362206925129169)</f>
        <v>0.36220692512916902</v>
      </c>
      <c r="R442" s="17">
        <f ca="1">IFERROR(__xludf.DUMMYFUNCTION("""COMPUTED_VALUE"""),0.316131050727971)</f>
        <v>0.31613105072797099</v>
      </c>
      <c r="S442" s="17">
        <f ca="1">IFERROR(__xludf.DUMMYFUNCTION("""COMPUTED_VALUE"""),0.324532621863517)</f>
        <v>0.324532621863517</v>
      </c>
      <c r="T442" s="17">
        <f ca="1">IFERROR(__xludf.DUMMYFUNCTION("""COMPUTED_VALUE"""),0.268695380357404)</f>
        <v>0.26869538035740398</v>
      </c>
      <c r="U442" s="17">
        <f ca="1">IFERROR(__xludf.DUMMYFUNCTION("""COMPUTED_VALUE"""),0.252419602034342)</f>
        <v>0.25241960203434199</v>
      </c>
      <c r="V442" s="17">
        <f ca="1">IFERROR(__xludf.DUMMYFUNCTION("""COMPUTED_VALUE"""),0.225910668042271)</f>
        <v>0.225910668042271</v>
      </c>
      <c r="W442" s="17">
        <f ca="1">IFERROR(__xludf.DUMMYFUNCTION("""COMPUTED_VALUE"""),0.539054079744741)</f>
        <v>0.53905407974474095</v>
      </c>
      <c r="X442" s="17">
        <f ca="1">IFERROR(__xludf.DUMMYFUNCTION("""COMPUTED_VALUE"""),0.324190674184457)</f>
        <v>0.32419067418445702</v>
      </c>
      <c r="Y442" s="17">
        <f ca="1">IFERROR(__xludf.DUMMYFUNCTION("""COMPUTED_VALUE"""),0.16368015409869)</f>
        <v>0.16368015409868999</v>
      </c>
      <c r="Z442" s="17">
        <f ca="1">IFERROR(__xludf.DUMMYFUNCTION("""COMPUTED_VALUE"""),0.248952757645023)</f>
        <v>0.248952757645023</v>
      </c>
      <c r="AA442" s="17">
        <f ca="1">IFERROR(__xludf.DUMMYFUNCTION("""COMPUTED_VALUE"""),0.149612239634348)</f>
        <v>0.149612239634348</v>
      </c>
      <c r="AB442" s="17">
        <f ca="1">IFERROR(__xludf.DUMMYFUNCTION("""COMPUTED_VALUE"""),0.487514523906081)</f>
        <v>0.48751452390608102</v>
      </c>
      <c r="AC442" s="17">
        <f ca="1">IFERROR(__xludf.DUMMYFUNCTION("""COMPUTED_VALUE"""),0.355252414769402)</f>
        <v>0.355252414769402</v>
      </c>
      <c r="AD442" s="17">
        <f ca="1">IFERROR(__xludf.DUMMYFUNCTION("""COMPUTED_VALUE"""),0.264623990124304)</f>
        <v>0.26462399012430399</v>
      </c>
      <c r="AE442" s="17">
        <f ca="1">IFERROR(__xludf.DUMMYFUNCTION("""COMPUTED_VALUE"""),0.599740851207042)</f>
        <v>0.59974085120704201</v>
      </c>
      <c r="AF442" s="17">
        <f ca="1">IFERROR(__xludf.DUMMYFUNCTION("""COMPUTED_VALUE"""),0.228292594344382)</f>
        <v>0.22829259434438201</v>
      </c>
      <c r="AG442" s="17">
        <f ca="1">IFERROR(__xludf.DUMMYFUNCTION("""COMPUTED_VALUE"""),0.312673830902753)</f>
        <v>0.31267383090275302</v>
      </c>
      <c r="AH442" s="17">
        <f ca="1">IFERROR(__xludf.DUMMYFUNCTION("""COMPUTED_VALUE"""),0.593681743933914)</f>
        <v>0.59368174393391404</v>
      </c>
      <c r="AI442" s="17">
        <f ca="1">IFERROR(__xludf.DUMMYFUNCTION("""COMPUTED_VALUE"""),0.642949416488293)</f>
        <v>0.64294941648829296</v>
      </c>
      <c r="AJ442" s="17">
        <f ca="1">IFERROR(__xludf.DUMMYFUNCTION("""COMPUTED_VALUE"""),0.301865412842616)</f>
        <v>0.30186541284261598</v>
      </c>
    </row>
    <row r="443" spans="2:36" ht="15.75" customHeight="1" x14ac:dyDescent="0.45">
      <c r="B443" s="10" t="str">
        <f ca="1">IFERROR(__xludf.DUMMYFUNCTION("""COMPUTED_VALUE"""),"Herring")</f>
        <v>Herring</v>
      </c>
      <c r="C443" s="10" t="str">
        <f ca="1">IFERROR(__xludf.DUMMYFUNCTION("""COMPUTED_VALUE"""),"aligned_timestamps")</f>
        <v>aligned_timestamps</v>
      </c>
      <c r="D443" s="10">
        <f ca="1">IFERROR(__xludf.DUMMYFUNCTION("""COMPUTED_VALUE"""),0.2)</f>
        <v>0.2</v>
      </c>
      <c r="E443" s="17">
        <f ca="1">IFERROR(__xludf.DUMMYFUNCTION("""COMPUTED_VALUE"""),0.826770890475473)</f>
        <v>0.82677089047547303</v>
      </c>
      <c r="F443" s="17">
        <f ca="1">IFERROR(__xludf.DUMMYFUNCTION("""COMPUTED_VALUE"""),0.234246267374949)</f>
        <v>0.234246267374949</v>
      </c>
      <c r="G443" s="17">
        <f ca="1">IFERROR(__xludf.DUMMYFUNCTION("""COMPUTED_VALUE"""),0.231070386917995)</f>
        <v>0.231070386917995</v>
      </c>
      <c r="H443" s="17">
        <f ca="1">IFERROR(__xludf.DUMMYFUNCTION("""COMPUTED_VALUE"""),0.283777182719461)</f>
        <v>0.28377718271946101</v>
      </c>
      <c r="I443" s="17">
        <f ca="1">IFERROR(__xludf.DUMMYFUNCTION("""COMPUTED_VALUE"""),0.522745030324295)</f>
        <v>0.52274503032429498</v>
      </c>
      <c r="J443" s="17">
        <f ca="1">IFERROR(__xludf.DUMMYFUNCTION("""COMPUTED_VALUE"""),1.48329316679827)</f>
        <v>1.4832931667982701</v>
      </c>
      <c r="K443" s="17" t="str">
        <f ca="1">IFERROR(__xludf.DUMMYFUNCTION("""COMPUTED_VALUE"""),"nan")</f>
        <v>nan</v>
      </c>
      <c r="L443" s="17">
        <f ca="1">IFERROR(__xludf.DUMMYFUNCTION("""COMPUTED_VALUE"""),0.238709967125155)</f>
        <v>0.23870996712515499</v>
      </c>
      <c r="M443" s="17">
        <f ca="1">IFERROR(__xludf.DUMMYFUNCTION("""COMPUTED_VALUE"""),0.235024063728376)</f>
        <v>0.235024063728376</v>
      </c>
      <c r="N443" s="17">
        <f ca="1">IFERROR(__xludf.DUMMYFUNCTION("""COMPUTED_VALUE"""),0.256121382663829)</f>
        <v>0.256121382663829</v>
      </c>
      <c r="O443" s="17">
        <f ca="1">IFERROR(__xludf.DUMMYFUNCTION("""COMPUTED_VALUE"""),0.240683423365062)</f>
        <v>0.24068342336506199</v>
      </c>
      <c r="P443" s="17">
        <f ca="1">IFERROR(__xludf.DUMMYFUNCTION("""COMPUTED_VALUE"""),0.596345273700143)</f>
        <v>0.59634527370014301</v>
      </c>
      <c r="Q443" s="17">
        <f ca="1">IFERROR(__xludf.DUMMYFUNCTION("""COMPUTED_VALUE"""),0.380700602062498)</f>
        <v>0.38070060206249801</v>
      </c>
      <c r="R443" s="17">
        <f ca="1">IFERROR(__xludf.DUMMYFUNCTION("""COMPUTED_VALUE"""),0.331490724485621)</f>
        <v>0.331490724485621</v>
      </c>
      <c r="S443" s="17">
        <f ca="1">IFERROR(__xludf.DUMMYFUNCTION("""COMPUTED_VALUE"""),0.374360564987274)</f>
        <v>0.37436056498727399</v>
      </c>
      <c r="T443" s="17">
        <f ca="1">IFERROR(__xludf.DUMMYFUNCTION("""COMPUTED_VALUE"""),0.320627365642051)</f>
        <v>0.32062736564205102</v>
      </c>
      <c r="U443" s="17">
        <f ca="1">IFERROR(__xludf.DUMMYFUNCTION("""COMPUTED_VALUE"""),0.293923927094914)</f>
        <v>0.29392392709491399</v>
      </c>
      <c r="V443" s="17">
        <f ca="1">IFERROR(__xludf.DUMMYFUNCTION("""COMPUTED_VALUE"""),0.281274616782132)</f>
        <v>0.281274616782132</v>
      </c>
      <c r="W443" s="17">
        <f ca="1">IFERROR(__xludf.DUMMYFUNCTION("""COMPUTED_VALUE"""),0.545649539829093)</f>
        <v>0.54564953982909303</v>
      </c>
      <c r="X443" s="17">
        <f ca="1">IFERROR(__xludf.DUMMYFUNCTION("""COMPUTED_VALUE"""),0.330440814472893)</f>
        <v>0.33044081447289297</v>
      </c>
      <c r="Y443" s="17">
        <f ca="1">IFERROR(__xludf.DUMMYFUNCTION("""COMPUTED_VALUE"""),0.291164884423706)</f>
        <v>0.29116488442370603</v>
      </c>
      <c r="Z443" s="17">
        <f ca="1">IFERROR(__xludf.DUMMYFUNCTION("""COMPUTED_VALUE"""),0.279309106436669)</f>
        <v>0.27930910643666901</v>
      </c>
      <c r="AA443" s="17">
        <f ca="1">IFERROR(__xludf.DUMMYFUNCTION("""COMPUTED_VALUE"""),0.385586432472721)</f>
        <v>0.38558643247272101</v>
      </c>
      <c r="AB443" s="17">
        <f ca="1">IFERROR(__xludf.DUMMYFUNCTION("""COMPUTED_VALUE"""),0.362931255337906)</f>
        <v>0.36293125533790599</v>
      </c>
      <c r="AC443" s="17">
        <f ca="1">IFERROR(__xludf.DUMMYFUNCTION("""COMPUTED_VALUE"""),0.666296072251717)</f>
        <v>0.66629607225171705</v>
      </c>
      <c r="AD443" s="17">
        <f ca="1">IFERROR(__xludf.DUMMYFUNCTION("""COMPUTED_VALUE"""),0.418576937565348)</f>
        <v>0.41857693756534797</v>
      </c>
      <c r="AE443" s="17">
        <f ca="1">IFERROR(__xludf.DUMMYFUNCTION("""COMPUTED_VALUE"""),1.08137106410357)</f>
        <v>1.0813710641035701</v>
      </c>
      <c r="AF443" s="17">
        <f ca="1">IFERROR(__xludf.DUMMYFUNCTION("""COMPUTED_VALUE"""),0.310184257831138)</f>
        <v>0.31018425783113801</v>
      </c>
      <c r="AG443" s="17">
        <f ca="1">IFERROR(__xludf.DUMMYFUNCTION("""COMPUTED_VALUE"""),0.384529353050362)</f>
        <v>0.38452935305036201</v>
      </c>
      <c r="AH443" s="17">
        <f ca="1">IFERROR(__xludf.DUMMYFUNCTION("""COMPUTED_VALUE"""),0.558707682092826)</f>
        <v>0.55870768209282595</v>
      </c>
      <c r="AI443" s="17">
        <f ca="1">IFERROR(__xludf.DUMMYFUNCTION("""COMPUTED_VALUE"""),0.483492120357597)</f>
        <v>0.48349212035759698</v>
      </c>
      <c r="AJ443" s="17">
        <f ca="1">IFERROR(__xludf.DUMMYFUNCTION("""COMPUTED_VALUE"""),0.306797473689692)</f>
        <v>0.30679747368969201</v>
      </c>
    </row>
    <row r="444" spans="2:36" ht="15.75" customHeight="1" x14ac:dyDescent="0.45">
      <c r="B444" s="10" t="str">
        <f ca="1">IFERROR(__xludf.DUMMYFUNCTION("""COMPUTED_VALUE"""),"Herring")</f>
        <v>Herring</v>
      </c>
      <c r="C444" s="10" t="str">
        <f ca="1">IFERROR(__xludf.DUMMYFUNCTION("""COMPUTED_VALUE"""),"aligned_timestamps")</f>
        <v>aligned_timestamps</v>
      </c>
      <c r="D444" s="10">
        <f ca="1">IFERROR(__xludf.DUMMYFUNCTION("""COMPUTED_VALUE"""),0.4)</f>
        <v>0.4</v>
      </c>
      <c r="E444" s="17">
        <f ca="1">IFERROR(__xludf.DUMMYFUNCTION("""COMPUTED_VALUE"""),0.789177357381153)</f>
        <v>0.78917735738115302</v>
      </c>
      <c r="F444" s="17">
        <f ca="1">IFERROR(__xludf.DUMMYFUNCTION("""COMPUTED_VALUE"""),0.193771372307013)</f>
        <v>0.193771372307013</v>
      </c>
      <c r="G444" s="17">
        <f ca="1">IFERROR(__xludf.DUMMYFUNCTION("""COMPUTED_VALUE"""),0.188545689177444)</f>
        <v>0.18854568917744399</v>
      </c>
      <c r="H444" s="17">
        <f ca="1">IFERROR(__xludf.DUMMYFUNCTION("""COMPUTED_VALUE"""),0.264855223725429)</f>
        <v>0.26485522372542902</v>
      </c>
      <c r="I444" s="17">
        <f ca="1">IFERROR(__xludf.DUMMYFUNCTION("""COMPUTED_VALUE"""),0.540547955879182)</f>
        <v>0.54054795587918203</v>
      </c>
      <c r="J444" s="17">
        <f ca="1">IFERROR(__xludf.DUMMYFUNCTION("""COMPUTED_VALUE"""),1.37386213988159)</f>
        <v>1.37386213988159</v>
      </c>
      <c r="K444" s="17" t="str">
        <f ca="1">IFERROR(__xludf.DUMMYFUNCTION("""COMPUTED_VALUE"""),"nan")</f>
        <v>nan</v>
      </c>
      <c r="L444" s="17">
        <f ca="1">IFERROR(__xludf.DUMMYFUNCTION("""COMPUTED_VALUE"""),0.244869315943638)</f>
        <v>0.24486931594363801</v>
      </c>
      <c r="M444" s="17">
        <f ca="1">IFERROR(__xludf.DUMMYFUNCTION("""COMPUTED_VALUE"""),0.191968512793781)</f>
        <v>0.19196851279378099</v>
      </c>
      <c r="N444" s="17">
        <f ca="1">IFERROR(__xludf.DUMMYFUNCTION("""COMPUTED_VALUE"""),0.253127906848436)</f>
        <v>0.253127906848436</v>
      </c>
      <c r="O444" s="17">
        <f ca="1">IFERROR(__xludf.DUMMYFUNCTION("""COMPUTED_VALUE"""),0.217227561560481)</f>
        <v>0.21722756156048101</v>
      </c>
      <c r="P444" s="17">
        <f ca="1">IFERROR(__xludf.DUMMYFUNCTION("""COMPUTED_VALUE"""),0.654725108121677)</f>
        <v>0.65472510812167695</v>
      </c>
      <c r="Q444" s="17">
        <f ca="1">IFERROR(__xludf.DUMMYFUNCTION("""COMPUTED_VALUE"""),0.327370080711786)</f>
        <v>0.32737008071178603</v>
      </c>
      <c r="R444" s="17">
        <f ca="1">IFERROR(__xludf.DUMMYFUNCTION("""COMPUTED_VALUE"""),0.346028572078968)</f>
        <v>0.34602857207896798</v>
      </c>
      <c r="S444" s="17">
        <f ca="1">IFERROR(__xludf.DUMMYFUNCTION("""COMPUTED_VALUE"""),0.324362485968567)</f>
        <v>0.32436248596856698</v>
      </c>
      <c r="T444" s="17">
        <f ca="1">IFERROR(__xludf.DUMMYFUNCTION("""COMPUTED_VALUE"""),0.297618550299528)</f>
        <v>0.297618550299528</v>
      </c>
      <c r="U444" s="17">
        <f ca="1">IFERROR(__xludf.DUMMYFUNCTION("""COMPUTED_VALUE"""),0.268815474466832)</f>
        <v>0.26881547446683202</v>
      </c>
      <c r="V444" s="17">
        <f ca="1">IFERROR(__xludf.DUMMYFUNCTION("""COMPUTED_VALUE"""),0.371678037578236)</f>
        <v>0.37167803757823598</v>
      </c>
      <c r="W444" s="17">
        <f ca="1">IFERROR(__xludf.DUMMYFUNCTION("""COMPUTED_VALUE"""),0.633432317688367)</f>
        <v>0.63343231768836705</v>
      </c>
      <c r="X444" s="17">
        <f ca="1">IFERROR(__xludf.DUMMYFUNCTION("""COMPUTED_VALUE"""),0.272000773446194)</f>
        <v>0.272000773446194</v>
      </c>
      <c r="Y444" s="17">
        <f ca="1">IFERROR(__xludf.DUMMYFUNCTION("""COMPUTED_VALUE"""),0.348607172106943)</f>
        <v>0.34860717210694298</v>
      </c>
      <c r="Z444" s="17">
        <f ca="1">IFERROR(__xludf.DUMMYFUNCTION("""COMPUTED_VALUE"""),0.554464086226884)</f>
        <v>0.55446408622688403</v>
      </c>
      <c r="AA444" s="17">
        <f ca="1">IFERROR(__xludf.DUMMYFUNCTION("""COMPUTED_VALUE"""),0.499206869449985)</f>
        <v>0.49920686944998499</v>
      </c>
      <c r="AB444" s="17">
        <f ca="1">IFERROR(__xludf.DUMMYFUNCTION("""COMPUTED_VALUE"""),0.399661124098447)</f>
        <v>0.39966112409844701</v>
      </c>
      <c r="AC444" s="17">
        <f ca="1">IFERROR(__xludf.DUMMYFUNCTION("""COMPUTED_VALUE"""),0.649422655443659)</f>
        <v>0.64942265544365896</v>
      </c>
      <c r="AD444" s="17">
        <f ca="1">IFERROR(__xludf.DUMMYFUNCTION("""COMPUTED_VALUE"""),0.687479610172292)</f>
        <v>0.68747961017229198</v>
      </c>
      <c r="AE444" s="17">
        <f ca="1">IFERROR(__xludf.DUMMYFUNCTION("""COMPUTED_VALUE"""),1.17053382175636)</f>
        <v>1.1705338217563599</v>
      </c>
      <c r="AF444" s="17">
        <f ca="1">IFERROR(__xludf.DUMMYFUNCTION("""COMPUTED_VALUE"""),0.288112799306697)</f>
        <v>0.28811279930669698</v>
      </c>
      <c r="AG444" s="17">
        <f ca="1">IFERROR(__xludf.DUMMYFUNCTION("""COMPUTED_VALUE"""),1.28805929414214)</f>
        <v>1.28805929414214</v>
      </c>
      <c r="AH444" s="17">
        <f ca="1">IFERROR(__xludf.DUMMYFUNCTION("""COMPUTED_VALUE"""),1.30885071552515)</f>
        <v>1.3088507155251501</v>
      </c>
      <c r="AI444" s="17">
        <f ca="1">IFERROR(__xludf.DUMMYFUNCTION("""COMPUTED_VALUE"""),1.31309918549329)</f>
        <v>1.3130991854932901</v>
      </c>
      <c r="AJ444" s="17">
        <f ca="1">IFERROR(__xludf.DUMMYFUNCTION("""COMPUTED_VALUE"""),1.04508397915168)</f>
        <v>1.0450839791516799</v>
      </c>
    </row>
    <row r="445" spans="2:36" ht="15.75" customHeight="1" x14ac:dyDescent="0.45">
      <c r="B445" s="10" t="str">
        <f ca="1">IFERROR(__xludf.DUMMYFUNCTION("""COMPUTED_VALUE"""),"Herring")</f>
        <v>Herring</v>
      </c>
      <c r="C445" s="10" t="str">
        <f ca="1">IFERROR(__xludf.DUMMYFUNCTION("""COMPUTED_VALUE"""),"aligned_timestamps")</f>
        <v>aligned_timestamps</v>
      </c>
      <c r="D445" s="10">
        <f ca="1">IFERROR(__xludf.DUMMYFUNCTION("""COMPUTED_VALUE"""),0.6)</f>
        <v>0.6</v>
      </c>
      <c r="E445" s="17">
        <f ca="1">IFERROR(__xludf.DUMMYFUNCTION("""COMPUTED_VALUE"""),0.857056181769445)</f>
        <v>0.85705618176944498</v>
      </c>
      <c r="F445" s="17">
        <f ca="1">IFERROR(__xludf.DUMMYFUNCTION("""COMPUTED_VALUE"""),0.214861106376905)</f>
        <v>0.214861106376905</v>
      </c>
      <c r="G445" s="17">
        <f ca="1">IFERROR(__xludf.DUMMYFUNCTION("""COMPUTED_VALUE"""),0.209287863704845)</f>
        <v>0.20928786370484501</v>
      </c>
      <c r="H445" s="17">
        <f ca="1">IFERROR(__xludf.DUMMYFUNCTION("""COMPUTED_VALUE"""),0.280429412144579)</f>
        <v>0.280429412144579</v>
      </c>
      <c r="I445" s="17">
        <f ca="1">IFERROR(__xludf.DUMMYFUNCTION("""COMPUTED_VALUE"""),0.644597006748224)</f>
        <v>0.64459700674822396</v>
      </c>
      <c r="J445" s="17">
        <f ca="1">IFERROR(__xludf.DUMMYFUNCTION("""COMPUTED_VALUE"""),1.1714637078158)</f>
        <v>1.1714637078157999</v>
      </c>
      <c r="K445" s="17" t="str">
        <f ca="1">IFERROR(__xludf.DUMMYFUNCTION("""COMPUTED_VALUE"""),"nan")</f>
        <v>nan</v>
      </c>
      <c r="L445" s="17">
        <f ca="1">IFERROR(__xludf.DUMMYFUNCTION("""COMPUTED_VALUE"""),0.2460677632222)</f>
        <v>0.2460677632222</v>
      </c>
      <c r="M445" s="17">
        <f ca="1">IFERROR(__xludf.DUMMYFUNCTION("""COMPUTED_VALUE"""),1.19623061620895)</f>
        <v>1.19623061620895</v>
      </c>
      <c r="N445" s="17">
        <f ca="1">IFERROR(__xludf.DUMMYFUNCTION("""COMPUTED_VALUE"""),0.256919562786679)</f>
        <v>0.25691956278667899</v>
      </c>
      <c r="O445" s="17">
        <f ca="1">IFERROR(__xludf.DUMMYFUNCTION("""COMPUTED_VALUE"""),0.284120742859485)</f>
        <v>0.28412074285948502</v>
      </c>
      <c r="P445" s="17">
        <f ca="1">IFERROR(__xludf.DUMMYFUNCTION("""COMPUTED_VALUE"""),0.910576245822826)</f>
        <v>0.91057624582282604</v>
      </c>
      <c r="Q445" s="17">
        <f ca="1">IFERROR(__xludf.DUMMYFUNCTION("""COMPUTED_VALUE"""),0.32761587344937)</f>
        <v>0.32761587344936999</v>
      </c>
      <c r="R445" s="17">
        <f ca="1">IFERROR(__xludf.DUMMYFUNCTION("""COMPUTED_VALUE"""),0.579659365937801)</f>
        <v>0.57965936593780099</v>
      </c>
      <c r="S445" s="17">
        <f ca="1">IFERROR(__xludf.DUMMYFUNCTION("""COMPUTED_VALUE"""),0.336514844968505)</f>
        <v>0.33651484496850498</v>
      </c>
      <c r="T445" s="17">
        <f ca="1">IFERROR(__xludf.DUMMYFUNCTION("""COMPUTED_VALUE"""),0.3348270632924)</f>
        <v>0.33482706329239997</v>
      </c>
      <c r="U445" s="17">
        <f ca="1">IFERROR(__xludf.DUMMYFUNCTION("""COMPUTED_VALUE"""),0.305039425767127)</f>
        <v>0.305039425767127</v>
      </c>
      <c r="V445" s="17">
        <f ca="1">IFERROR(__xludf.DUMMYFUNCTION("""COMPUTED_VALUE"""),0.328845417077204)</f>
        <v>0.32884541707720399</v>
      </c>
      <c r="W445" s="17">
        <f ca="1">IFERROR(__xludf.DUMMYFUNCTION("""COMPUTED_VALUE"""),0.754022257215779)</f>
        <v>0.75402225721577898</v>
      </c>
      <c r="X445" s="17">
        <f ca="1">IFERROR(__xludf.DUMMYFUNCTION("""COMPUTED_VALUE"""),0.250439844250634)</f>
        <v>0.25043984425063398</v>
      </c>
      <c r="Y445" s="17">
        <f ca="1">IFERROR(__xludf.DUMMYFUNCTION("""COMPUTED_VALUE"""),0.329637809533824)</f>
        <v>0.32963780953382399</v>
      </c>
      <c r="Z445" s="17">
        <f ca="1">IFERROR(__xludf.DUMMYFUNCTION("""COMPUTED_VALUE"""),0.745000335538741)</f>
        <v>0.74500033553874101</v>
      </c>
      <c r="AA445" s="17">
        <f ca="1">IFERROR(__xludf.DUMMYFUNCTION("""COMPUTED_VALUE"""),0.524939498492554)</f>
        <v>0.52493949849255395</v>
      </c>
      <c r="AB445" s="17">
        <f ca="1">IFERROR(__xludf.DUMMYFUNCTION("""COMPUTED_VALUE"""),0.38770804753438)</f>
        <v>0.38770804753437998</v>
      </c>
      <c r="AC445" s="17">
        <f ca="1">IFERROR(__xludf.DUMMYFUNCTION("""COMPUTED_VALUE"""),0.804606987938056)</f>
        <v>0.80460698793805596</v>
      </c>
      <c r="AD445" s="17">
        <f ca="1">IFERROR(__xludf.DUMMYFUNCTION("""COMPUTED_VALUE"""),0.536828870280815)</f>
        <v>0.53682887028081505</v>
      </c>
      <c r="AE445" s="17" t="str">
        <f ca="1">IFERROR(__xludf.DUMMYFUNCTION("""COMPUTED_VALUE"""),"nan")</f>
        <v>nan</v>
      </c>
      <c r="AF445" s="17">
        <f ca="1">IFERROR(__xludf.DUMMYFUNCTION("""COMPUTED_VALUE"""),0.346031059316508)</f>
        <v>0.34603105931650802</v>
      </c>
      <c r="AG445" s="17">
        <f ca="1">IFERROR(__xludf.DUMMYFUNCTION("""COMPUTED_VALUE"""),1.0002597683677)</f>
        <v>1.0002597683676999</v>
      </c>
      <c r="AH445" s="17">
        <f ca="1">IFERROR(__xludf.DUMMYFUNCTION("""COMPUTED_VALUE"""),0.994500769072981)</f>
        <v>0.99450076907298102</v>
      </c>
      <c r="AI445" s="17" t="str">
        <f ca="1">IFERROR(__xludf.DUMMYFUNCTION("""COMPUTED_VALUE"""),"nan")</f>
        <v>nan</v>
      </c>
      <c r="AJ445" s="17">
        <f ca="1">IFERROR(__xludf.DUMMYFUNCTION("""COMPUTED_VALUE"""),0.780890205676164)</f>
        <v>0.78089020567616396</v>
      </c>
    </row>
    <row r="446" spans="2:36" ht="15.75" customHeight="1" x14ac:dyDescent="0.45">
      <c r="B446" s="10" t="str">
        <f ca="1">IFERROR(__xludf.DUMMYFUNCTION("""COMPUTED_VALUE"""),"Herring")</f>
        <v>Herring</v>
      </c>
      <c r="C446" s="10" t="str">
        <f ca="1">IFERROR(__xludf.DUMMYFUNCTION("""COMPUTED_VALUE"""),"aligned_timestamps")</f>
        <v>aligned_timestamps</v>
      </c>
      <c r="D446" s="10">
        <f ca="1">IFERROR(__xludf.DUMMYFUNCTION("""COMPUTED_VALUE"""),0.8)</f>
        <v>0.8</v>
      </c>
      <c r="E446" s="17">
        <f ca="1">IFERROR(__xludf.DUMMYFUNCTION("""COMPUTED_VALUE"""),0.939546536228609)</f>
        <v>0.93954653622860895</v>
      </c>
      <c r="F446" s="17">
        <f ca="1">IFERROR(__xludf.DUMMYFUNCTION("""COMPUTED_VALUE"""),0.245619720142058)</f>
        <v>0.24561972014205799</v>
      </c>
      <c r="G446" s="17">
        <f ca="1">IFERROR(__xludf.DUMMYFUNCTION("""COMPUTED_VALUE"""),0.473774690514035)</f>
        <v>0.47377469051403498</v>
      </c>
      <c r="H446" s="17">
        <f ca="1">IFERROR(__xludf.DUMMYFUNCTION("""COMPUTED_VALUE"""),0.267569736357623)</f>
        <v>0.26756973635762299</v>
      </c>
      <c r="I446" s="17">
        <f ca="1">IFERROR(__xludf.DUMMYFUNCTION("""COMPUTED_VALUE"""),0.575974843749322)</f>
        <v>0.57597484374932195</v>
      </c>
      <c r="J446" s="17">
        <f ca="1">IFERROR(__xludf.DUMMYFUNCTION("""COMPUTED_VALUE"""),1.40355275020985)</f>
        <v>1.4035527502098499</v>
      </c>
      <c r="K446" s="17" t="str">
        <f ca="1">IFERROR(__xludf.DUMMYFUNCTION("""COMPUTED_VALUE"""),"nan")</f>
        <v>nan</v>
      </c>
      <c r="L446" s="17">
        <f ca="1">IFERROR(__xludf.DUMMYFUNCTION("""COMPUTED_VALUE"""),0.25932346492367)</f>
        <v>0.25932346492366998</v>
      </c>
      <c r="M446" s="17">
        <f ca="1">IFERROR(__xludf.DUMMYFUNCTION("""COMPUTED_VALUE"""),1.19631148978388)</f>
        <v>1.19631148978388</v>
      </c>
      <c r="N446" s="17">
        <f ca="1">IFERROR(__xludf.DUMMYFUNCTION("""COMPUTED_VALUE"""),0.250760231716934)</f>
        <v>0.25076023171693401</v>
      </c>
      <c r="O446" s="17">
        <f ca="1">IFERROR(__xludf.DUMMYFUNCTION("""COMPUTED_VALUE"""),0.689929772920027)</f>
        <v>0.689929772920027</v>
      </c>
      <c r="P446" s="17">
        <f ca="1">IFERROR(__xludf.DUMMYFUNCTION("""COMPUTED_VALUE"""),1.5673776752146)</f>
        <v>1.5673776752146</v>
      </c>
      <c r="Q446" s="17">
        <f ca="1">IFERROR(__xludf.DUMMYFUNCTION("""COMPUTED_VALUE"""),0.307419225966386)</f>
        <v>0.30741922596638599</v>
      </c>
      <c r="R446" s="17">
        <f ca="1">IFERROR(__xludf.DUMMYFUNCTION("""COMPUTED_VALUE"""),0.759071761235826)</f>
        <v>0.75907176123582598</v>
      </c>
      <c r="S446" s="17">
        <f ca="1">IFERROR(__xludf.DUMMYFUNCTION("""COMPUTED_VALUE"""),0.404627404768969)</f>
        <v>0.40462740476896902</v>
      </c>
      <c r="T446" s="17">
        <f ca="1">IFERROR(__xludf.DUMMYFUNCTION("""COMPUTED_VALUE"""),0.393304014012446)</f>
        <v>0.39330401401244602</v>
      </c>
      <c r="U446" s="17">
        <f ca="1">IFERROR(__xludf.DUMMYFUNCTION("""COMPUTED_VALUE"""),0.395764267693044)</f>
        <v>0.39576426769304401</v>
      </c>
      <c r="V446" s="17">
        <f ca="1">IFERROR(__xludf.DUMMYFUNCTION("""COMPUTED_VALUE"""),0.704375798157923)</f>
        <v>0.70437579815792295</v>
      </c>
      <c r="W446" s="17">
        <f ca="1">IFERROR(__xludf.DUMMYFUNCTION("""COMPUTED_VALUE"""),0.813105762354583)</f>
        <v>0.81310576235458298</v>
      </c>
      <c r="X446" s="17">
        <f ca="1">IFERROR(__xludf.DUMMYFUNCTION("""COMPUTED_VALUE"""),0.282495344274407)</f>
        <v>0.28249534427440698</v>
      </c>
      <c r="Y446" s="17">
        <f ca="1">IFERROR(__xludf.DUMMYFUNCTION("""COMPUTED_VALUE"""),0.669551773431442)</f>
        <v>0.66955177343144201</v>
      </c>
      <c r="Z446" s="17">
        <f ca="1">IFERROR(__xludf.DUMMYFUNCTION("""COMPUTED_VALUE"""),0.861829216474116)</f>
        <v>0.86182921647411603</v>
      </c>
      <c r="AA446" s="17">
        <f ca="1">IFERROR(__xludf.DUMMYFUNCTION("""COMPUTED_VALUE"""),0.305742032339027)</f>
        <v>0.30574203233902703</v>
      </c>
      <c r="AB446" s="17">
        <f ca="1">IFERROR(__xludf.DUMMYFUNCTION("""COMPUTED_VALUE"""),0.787187722988635)</f>
        <v>0.78718772298863504</v>
      </c>
      <c r="AC446" s="17">
        <f ca="1">IFERROR(__xludf.DUMMYFUNCTION("""COMPUTED_VALUE"""),0.853923305604977)</f>
        <v>0.85392330560497698</v>
      </c>
      <c r="AD446" s="17">
        <f ca="1">IFERROR(__xludf.DUMMYFUNCTION("""COMPUTED_VALUE"""),0.607999275985568)</f>
        <v>0.60799927598556802</v>
      </c>
      <c r="AE446" s="17" t="str">
        <f ca="1">IFERROR(__xludf.DUMMYFUNCTION("""COMPUTED_VALUE"""),"nan")</f>
        <v>nan</v>
      </c>
      <c r="AF446" s="17">
        <f ca="1">IFERROR(__xludf.DUMMYFUNCTION("""COMPUTED_VALUE"""),1.0246913704468)</f>
        <v>1.0246913704467999</v>
      </c>
      <c r="AG446" s="17">
        <f ca="1">IFERROR(__xludf.DUMMYFUNCTION("""COMPUTED_VALUE"""),1.09162414241928)</f>
        <v>1.0916241424192801</v>
      </c>
      <c r="AH446" s="17">
        <f ca="1">IFERROR(__xludf.DUMMYFUNCTION("""COMPUTED_VALUE"""),1.00764962874439)</f>
        <v>1.0076496287443899</v>
      </c>
      <c r="AI446" s="17" t="str">
        <f ca="1">IFERROR(__xludf.DUMMYFUNCTION("""COMPUTED_VALUE"""),"nan")</f>
        <v>nan</v>
      </c>
      <c r="AJ446" s="17">
        <f ca="1">IFERROR(__xludf.DUMMYFUNCTION("""COMPUTED_VALUE"""),1.20163553600152)</f>
        <v>1.2016355360015201</v>
      </c>
    </row>
    <row r="447" spans="2:36" ht="15.75" customHeight="1" x14ac:dyDescent="0.45">
      <c r="B447" s="10" t="str">
        <f ca="1">IFERROR(__xludf.DUMMYFUNCTION("""COMPUTED_VALUE"""),"Herring")</f>
        <v>Herring</v>
      </c>
      <c r="C447" s="10" t="str">
        <f ca="1">IFERROR(__xludf.DUMMYFUNCTION("""COMPUTED_VALUE"""),"mcar")</f>
        <v>mcar</v>
      </c>
      <c r="D447" s="10">
        <f ca="1">IFERROR(__xludf.DUMMYFUNCTION("""COMPUTED_VALUE"""),0.1)</f>
        <v>0.1</v>
      </c>
      <c r="E447" s="17">
        <f ca="1">IFERROR(__xludf.DUMMYFUNCTION("""COMPUTED_VALUE"""),0.931836470310809)</f>
        <v>0.93183647031080896</v>
      </c>
      <c r="F447" s="17">
        <f ca="1">IFERROR(__xludf.DUMMYFUNCTION("""COMPUTED_VALUE"""),0.158151619515504)</f>
        <v>0.15815161951550399</v>
      </c>
      <c r="G447" s="17">
        <f ca="1">IFERROR(__xludf.DUMMYFUNCTION("""COMPUTED_VALUE"""),0.158434465820983)</f>
        <v>0.158434465820983</v>
      </c>
      <c r="H447" s="17">
        <f ca="1">IFERROR(__xludf.DUMMYFUNCTION("""COMPUTED_VALUE"""),0.199541927812352)</f>
        <v>0.199541927812352</v>
      </c>
      <c r="I447" s="17">
        <f ca="1">IFERROR(__xludf.DUMMYFUNCTION("""COMPUTED_VALUE"""),0.550075221213925)</f>
        <v>0.55007522121392505</v>
      </c>
      <c r="J447" s="17">
        <f ca="1">IFERROR(__xludf.DUMMYFUNCTION("""COMPUTED_VALUE"""),0.16376893186004)</f>
        <v>0.16376893186003999</v>
      </c>
      <c r="K447" s="17" t="str">
        <f ca="1">IFERROR(__xludf.DUMMYFUNCTION("""COMPUTED_VALUE"""),"nan")</f>
        <v>nan</v>
      </c>
      <c r="L447" s="17">
        <f ca="1">IFERROR(__xludf.DUMMYFUNCTION("""COMPUTED_VALUE"""),0.179295414149625)</f>
        <v>0.17929541414962499</v>
      </c>
      <c r="M447" s="17">
        <f ca="1">IFERROR(__xludf.DUMMYFUNCTION("""COMPUTED_VALUE"""),0.158326293506434)</f>
        <v>0.15832629350643401</v>
      </c>
      <c r="N447" s="17">
        <f ca="1">IFERROR(__xludf.DUMMYFUNCTION("""COMPUTED_VALUE"""),0.104934449031709)</f>
        <v>0.104934449031709</v>
      </c>
      <c r="O447" s="17">
        <f ca="1">IFERROR(__xludf.DUMMYFUNCTION("""COMPUTED_VALUE"""),0.166094346170958)</f>
        <v>0.166094346170958</v>
      </c>
      <c r="P447" s="17">
        <f ca="1">IFERROR(__xludf.DUMMYFUNCTION("""COMPUTED_VALUE"""),0.502038667945871)</f>
        <v>0.50203866794587104</v>
      </c>
      <c r="Q447" s="17">
        <f ca="1">IFERROR(__xludf.DUMMYFUNCTION("""COMPUTED_VALUE"""),0.27756029547513)</f>
        <v>0.27756029547513</v>
      </c>
      <c r="R447" s="17">
        <f ca="1">IFERROR(__xludf.DUMMYFUNCTION("""COMPUTED_VALUE"""),0.0909918206450487)</f>
        <v>9.0991820645048696E-2</v>
      </c>
      <c r="S447" s="17">
        <f ca="1">IFERROR(__xludf.DUMMYFUNCTION("""COMPUTED_VALUE"""),0.205641843729885)</f>
        <v>0.205641843729885</v>
      </c>
      <c r="T447" s="17">
        <f ca="1">IFERROR(__xludf.DUMMYFUNCTION("""COMPUTED_VALUE"""),0.149081263476401)</f>
        <v>0.14908126347640099</v>
      </c>
      <c r="U447" s="17">
        <f ca="1">IFERROR(__xludf.DUMMYFUNCTION("""COMPUTED_VALUE"""),0.177097709471861)</f>
        <v>0.17709770947186099</v>
      </c>
      <c r="V447" s="17">
        <f ca="1">IFERROR(__xludf.DUMMYFUNCTION("""COMPUTED_VALUE"""),0.153461735884683)</f>
        <v>0.15346173588468301</v>
      </c>
      <c r="W447" s="17">
        <f ca="1">IFERROR(__xludf.DUMMYFUNCTION("""COMPUTED_VALUE"""),0.282762519848703)</f>
        <v>0.28276251984870299</v>
      </c>
      <c r="X447" s="17">
        <f ca="1">IFERROR(__xludf.DUMMYFUNCTION("""COMPUTED_VALUE"""),0.20941952435905)</f>
        <v>0.20941952435905001</v>
      </c>
      <c r="Y447" s="17">
        <f ca="1">IFERROR(__xludf.DUMMYFUNCTION("""COMPUTED_VALUE"""),0.0560845810931499)</f>
        <v>5.6084581093149899E-2</v>
      </c>
      <c r="Z447" s="17">
        <f ca="1">IFERROR(__xludf.DUMMYFUNCTION("""COMPUTED_VALUE"""),0.159774817887373)</f>
        <v>0.15977481788737299</v>
      </c>
      <c r="AA447" s="17">
        <f ca="1">IFERROR(__xludf.DUMMYFUNCTION("""COMPUTED_VALUE"""),0.0827353714292165)</f>
        <v>8.2735371429216498E-2</v>
      </c>
      <c r="AB447" s="17">
        <f ca="1">IFERROR(__xludf.DUMMYFUNCTION("""COMPUTED_VALUE"""),0.119857137203663)</f>
        <v>0.11985713720366301</v>
      </c>
      <c r="AC447" s="17">
        <f ca="1">IFERROR(__xludf.DUMMYFUNCTION("""COMPUTED_VALUE"""),0.247074390171028)</f>
        <v>0.247074390171028</v>
      </c>
      <c r="AD447" s="17">
        <f ca="1">IFERROR(__xludf.DUMMYFUNCTION("""COMPUTED_VALUE"""),0.0676644091443496)</f>
        <v>6.7664409144349597E-2</v>
      </c>
      <c r="AE447" s="17">
        <f ca="1">IFERROR(__xludf.DUMMYFUNCTION("""COMPUTED_VALUE"""),0.77659582596668)</f>
        <v>0.77659582596667998</v>
      </c>
      <c r="AF447" s="17">
        <f ca="1">IFERROR(__xludf.DUMMYFUNCTION("""COMPUTED_VALUE"""),0.186130006765915)</f>
        <v>0.18613000676591501</v>
      </c>
      <c r="AG447" s="17">
        <f ca="1">IFERROR(__xludf.DUMMYFUNCTION("""COMPUTED_VALUE"""),0.276678477293382)</f>
        <v>0.27667847729338202</v>
      </c>
      <c r="AH447" s="17">
        <f ca="1">IFERROR(__xludf.DUMMYFUNCTION("""COMPUTED_VALUE"""),0.115349193370794)</f>
        <v>0.115349193370794</v>
      </c>
      <c r="AI447" s="17">
        <f ca="1">IFERROR(__xludf.DUMMYFUNCTION("""COMPUTED_VALUE"""),0.396394196447644)</f>
        <v>0.39639419644764401</v>
      </c>
      <c r="AJ447" s="17">
        <f ca="1">IFERROR(__xludf.DUMMYFUNCTION("""COMPUTED_VALUE"""),0.147393263480636)</f>
        <v>0.147393263480636</v>
      </c>
    </row>
    <row r="448" spans="2:36" ht="15.75" customHeight="1" x14ac:dyDescent="0.45">
      <c r="B448" s="10" t="str">
        <f ca="1">IFERROR(__xludf.DUMMYFUNCTION("""COMPUTED_VALUE"""),"Herring")</f>
        <v>Herring</v>
      </c>
      <c r="C448" s="10" t="str">
        <f ca="1">IFERROR(__xludf.DUMMYFUNCTION("""COMPUTED_VALUE"""),"mcar")</f>
        <v>mcar</v>
      </c>
      <c r="D448" s="10">
        <f ca="1">IFERROR(__xludf.DUMMYFUNCTION("""COMPUTED_VALUE"""),0.2)</f>
        <v>0.2</v>
      </c>
      <c r="E448" s="17">
        <f ca="1">IFERROR(__xludf.DUMMYFUNCTION("""COMPUTED_VALUE"""),0.948916824267471)</f>
        <v>0.94891682426747104</v>
      </c>
      <c r="F448" s="17">
        <f ca="1">IFERROR(__xludf.DUMMYFUNCTION("""COMPUTED_VALUE"""),0.143410078631885)</f>
        <v>0.14341007863188501</v>
      </c>
      <c r="G448" s="17">
        <f ca="1">IFERROR(__xludf.DUMMYFUNCTION("""COMPUTED_VALUE"""),0.142823666138083)</f>
        <v>0.14282366613808301</v>
      </c>
      <c r="H448" s="17">
        <f ca="1">IFERROR(__xludf.DUMMYFUNCTION("""COMPUTED_VALUE"""),0.191939747529499)</f>
        <v>0.19193974752949899</v>
      </c>
      <c r="I448" s="17">
        <f ca="1">IFERROR(__xludf.DUMMYFUNCTION("""COMPUTED_VALUE"""),0.639571266349689)</f>
        <v>0.63957126634968897</v>
      </c>
      <c r="J448" s="17">
        <f ca="1">IFERROR(__xludf.DUMMYFUNCTION("""COMPUTED_VALUE"""),0.143653390188751)</f>
        <v>0.14365339018875101</v>
      </c>
      <c r="K448" s="17" t="str">
        <f ca="1">IFERROR(__xludf.DUMMYFUNCTION("""COMPUTED_VALUE"""),"nan")</f>
        <v>nan</v>
      </c>
      <c r="L448" s="17">
        <f ca="1">IFERROR(__xludf.DUMMYFUNCTION("""COMPUTED_VALUE"""),0.172130903291727)</f>
        <v>0.17213090329172701</v>
      </c>
      <c r="M448" s="17">
        <f ca="1">IFERROR(__xludf.DUMMYFUNCTION("""COMPUTED_VALUE"""),0.145851942981126)</f>
        <v>0.145851942981126</v>
      </c>
      <c r="N448" s="17">
        <f ca="1">IFERROR(__xludf.DUMMYFUNCTION("""COMPUTED_VALUE"""),0.132511364004367)</f>
        <v>0.132511364004367</v>
      </c>
      <c r="O448" s="17">
        <f ca="1">IFERROR(__xludf.DUMMYFUNCTION("""COMPUTED_VALUE"""),0.15116739667102)</f>
        <v>0.15116739667102</v>
      </c>
      <c r="P448" s="17">
        <f ca="1">IFERROR(__xludf.DUMMYFUNCTION("""COMPUTED_VALUE"""),0.510015426716726)</f>
        <v>0.51001542671672595</v>
      </c>
      <c r="Q448" s="17">
        <f ca="1">IFERROR(__xludf.DUMMYFUNCTION("""COMPUTED_VALUE"""),0.290485947664931)</f>
        <v>0.29048594766493102</v>
      </c>
      <c r="R448" s="17">
        <f ca="1">IFERROR(__xludf.DUMMYFUNCTION("""COMPUTED_VALUE"""),0.101395100098115)</f>
        <v>0.101395100098115</v>
      </c>
      <c r="S448" s="17">
        <f ca="1">IFERROR(__xludf.DUMMYFUNCTION("""COMPUTED_VALUE"""),0.222598881553867)</f>
        <v>0.22259888155386701</v>
      </c>
      <c r="T448" s="17">
        <f ca="1">IFERROR(__xludf.DUMMYFUNCTION("""COMPUTED_VALUE"""),0.162362440296936)</f>
        <v>0.162362440296936</v>
      </c>
      <c r="U448" s="17">
        <f ca="1">IFERROR(__xludf.DUMMYFUNCTION("""COMPUTED_VALUE"""),0.170062151656773)</f>
        <v>0.17006215165677299</v>
      </c>
      <c r="V448" s="17">
        <f ca="1">IFERROR(__xludf.DUMMYFUNCTION("""COMPUTED_VALUE"""),0.147712758809595)</f>
        <v>0.147712758809595</v>
      </c>
      <c r="W448" s="17">
        <f ca="1">IFERROR(__xludf.DUMMYFUNCTION("""COMPUTED_VALUE"""),0.31007336052699)</f>
        <v>0.31007336052699003</v>
      </c>
      <c r="X448" s="17">
        <f ca="1">IFERROR(__xludf.DUMMYFUNCTION("""COMPUTED_VALUE"""),0.794378687997135)</f>
        <v>0.79437868799713496</v>
      </c>
      <c r="Y448" s="17">
        <f ca="1">IFERROR(__xludf.DUMMYFUNCTION("""COMPUTED_VALUE"""),0.077504287189583)</f>
        <v>7.7504287189582993E-2</v>
      </c>
      <c r="Z448" s="17">
        <f ca="1">IFERROR(__xludf.DUMMYFUNCTION("""COMPUTED_VALUE"""),0.155479493944256)</f>
        <v>0.155479493944256</v>
      </c>
      <c r="AA448" s="17">
        <f ca="1">IFERROR(__xludf.DUMMYFUNCTION("""COMPUTED_VALUE"""),0.100341851413953)</f>
        <v>0.10034185141395301</v>
      </c>
      <c r="AB448" s="17">
        <f ca="1">IFERROR(__xludf.DUMMYFUNCTION("""COMPUTED_VALUE"""),0.141348812328054)</f>
        <v>0.14134881232805399</v>
      </c>
      <c r="AC448" s="17">
        <f ca="1">IFERROR(__xludf.DUMMYFUNCTION("""COMPUTED_VALUE"""),0.25548187973076)</f>
        <v>0.25548187973075998</v>
      </c>
      <c r="AD448" s="17">
        <f ca="1">IFERROR(__xludf.DUMMYFUNCTION("""COMPUTED_VALUE"""),0.0977546471745311)</f>
        <v>9.7754647174531098E-2</v>
      </c>
      <c r="AE448" s="17">
        <f ca="1">IFERROR(__xludf.DUMMYFUNCTION("""COMPUTED_VALUE"""),1.05256269545828)</f>
        <v>1.0525626954582801</v>
      </c>
      <c r="AF448" s="17">
        <f ca="1">IFERROR(__xludf.DUMMYFUNCTION("""COMPUTED_VALUE"""),0.242580481454256)</f>
        <v>0.24258048145425601</v>
      </c>
      <c r="AG448" s="17">
        <f ca="1">IFERROR(__xludf.DUMMYFUNCTION("""COMPUTED_VALUE"""),0.378013743283213)</f>
        <v>0.37801374328321302</v>
      </c>
      <c r="AH448" s="17">
        <f ca="1">IFERROR(__xludf.DUMMYFUNCTION("""COMPUTED_VALUE"""),0.166084369797529)</f>
        <v>0.166084369797529</v>
      </c>
      <c r="AI448" s="17">
        <f ca="1">IFERROR(__xludf.DUMMYFUNCTION("""COMPUTED_VALUE"""),0.691774765904832)</f>
        <v>0.691774765904832</v>
      </c>
      <c r="AJ448" s="17">
        <f ca="1">IFERROR(__xludf.DUMMYFUNCTION("""COMPUTED_VALUE"""),0.200009617733831)</f>
        <v>0.200009617733831</v>
      </c>
    </row>
    <row r="449" spans="2:36" ht="15.75" customHeight="1" x14ac:dyDescent="0.45">
      <c r="B449" s="10" t="str">
        <f ca="1">IFERROR(__xludf.DUMMYFUNCTION("""COMPUTED_VALUE"""),"Herring")</f>
        <v>Herring</v>
      </c>
      <c r="C449" s="10" t="str">
        <f ca="1">IFERROR(__xludf.DUMMYFUNCTION("""COMPUTED_VALUE"""),"mcar")</f>
        <v>mcar</v>
      </c>
      <c r="D449" s="10">
        <f ca="1">IFERROR(__xludf.DUMMYFUNCTION("""COMPUTED_VALUE"""),0.4)</f>
        <v>0.4</v>
      </c>
      <c r="E449" s="17">
        <f ca="1">IFERROR(__xludf.DUMMYFUNCTION("""COMPUTED_VALUE"""),0.944484047846111)</f>
        <v>0.94448404784611095</v>
      </c>
      <c r="F449" s="17">
        <f ca="1">IFERROR(__xludf.DUMMYFUNCTION("""COMPUTED_VALUE"""),0.149077527211903)</f>
        <v>0.14907752721190301</v>
      </c>
      <c r="G449" s="17">
        <f ca="1">IFERROR(__xludf.DUMMYFUNCTION("""COMPUTED_VALUE"""),0.146853679587529)</f>
        <v>0.14685367958752901</v>
      </c>
      <c r="H449" s="17">
        <f ca="1">IFERROR(__xludf.DUMMYFUNCTION("""COMPUTED_VALUE"""),0.188687888862257)</f>
        <v>0.18868788886225701</v>
      </c>
      <c r="I449" s="17">
        <f ca="1">IFERROR(__xludf.DUMMYFUNCTION("""COMPUTED_VALUE"""),0.54223956979233)</f>
        <v>0.54223956979233001</v>
      </c>
      <c r="J449" s="17">
        <f ca="1">IFERROR(__xludf.DUMMYFUNCTION("""COMPUTED_VALUE"""),0.147638068948251)</f>
        <v>0.14763806894825099</v>
      </c>
      <c r="K449" s="17" t="str">
        <f ca="1">IFERROR(__xludf.DUMMYFUNCTION("""COMPUTED_VALUE"""),"nan")</f>
        <v>nan</v>
      </c>
      <c r="L449" s="17">
        <f ca="1">IFERROR(__xludf.DUMMYFUNCTION("""COMPUTED_VALUE"""),0.171312034847172)</f>
        <v>0.171312034847172</v>
      </c>
      <c r="M449" s="17">
        <f ca="1">IFERROR(__xludf.DUMMYFUNCTION("""COMPUTED_VALUE"""),0.148289145886934)</f>
        <v>0.14828914588693401</v>
      </c>
      <c r="N449" s="17">
        <f ca="1">IFERROR(__xludf.DUMMYFUNCTION("""COMPUTED_VALUE"""),0.146599879555934)</f>
        <v>0.14659987955593401</v>
      </c>
      <c r="O449" s="17">
        <f ca="1">IFERROR(__xludf.DUMMYFUNCTION("""COMPUTED_VALUE"""),0.146273935055711)</f>
        <v>0.14627393505571101</v>
      </c>
      <c r="P449" s="17">
        <f ca="1">IFERROR(__xludf.DUMMYFUNCTION("""COMPUTED_VALUE"""),0.520149922329575)</f>
        <v>0.52014992232957502</v>
      </c>
      <c r="Q449" s="17">
        <f ca="1">IFERROR(__xludf.DUMMYFUNCTION("""COMPUTED_VALUE"""),0.331877451953299)</f>
        <v>0.33187745195329899</v>
      </c>
      <c r="R449" s="17">
        <f ca="1">IFERROR(__xludf.DUMMYFUNCTION("""COMPUTED_VALUE"""),0.118201632424339)</f>
        <v>0.118201632424339</v>
      </c>
      <c r="S449" s="17">
        <f ca="1">IFERROR(__xludf.DUMMYFUNCTION("""COMPUTED_VALUE"""),0.413256892970735)</f>
        <v>0.41325689297073498</v>
      </c>
      <c r="T449" s="17">
        <f ca="1">IFERROR(__xludf.DUMMYFUNCTION("""COMPUTED_VALUE"""),0.149240053212073)</f>
        <v>0.14924005321207301</v>
      </c>
      <c r="U449" s="17">
        <f ca="1">IFERROR(__xludf.DUMMYFUNCTION("""COMPUTED_VALUE"""),0.180855328150318)</f>
        <v>0.18085532815031799</v>
      </c>
      <c r="V449" s="17">
        <f ca="1">IFERROR(__xludf.DUMMYFUNCTION("""COMPUTED_VALUE"""),0.169817551385382)</f>
        <v>0.16981755138538199</v>
      </c>
      <c r="W449" s="17">
        <f ca="1">IFERROR(__xludf.DUMMYFUNCTION("""COMPUTED_VALUE"""),0.39689675163404)</f>
        <v>0.39689675163403998</v>
      </c>
      <c r="X449" s="17">
        <f ca="1">IFERROR(__xludf.DUMMYFUNCTION("""COMPUTED_VALUE"""),0.196154923499438)</f>
        <v>0.196154923499438</v>
      </c>
      <c r="Y449" s="17">
        <f ca="1">IFERROR(__xludf.DUMMYFUNCTION("""COMPUTED_VALUE"""),0.100179143540782)</f>
        <v>0.100179143540782</v>
      </c>
      <c r="Z449" s="17">
        <f ca="1">IFERROR(__xludf.DUMMYFUNCTION("""COMPUTED_VALUE"""),0.188949395093238)</f>
        <v>0.18894939509323799</v>
      </c>
      <c r="AA449" s="17">
        <f ca="1">IFERROR(__xludf.DUMMYFUNCTION("""COMPUTED_VALUE"""),0.116643661590928)</f>
        <v>0.116643661590928</v>
      </c>
      <c r="AB449" s="17">
        <f ca="1">IFERROR(__xludf.DUMMYFUNCTION("""COMPUTED_VALUE"""),0.232115388386258)</f>
        <v>0.232115388386258</v>
      </c>
      <c r="AC449" s="17">
        <f ca="1">IFERROR(__xludf.DUMMYFUNCTION("""COMPUTED_VALUE"""),0.208797040580802)</f>
        <v>0.20879704058080201</v>
      </c>
      <c r="AD449" s="17">
        <f ca="1">IFERROR(__xludf.DUMMYFUNCTION("""COMPUTED_VALUE"""),0.145635865009334)</f>
        <v>0.14563586500933401</v>
      </c>
      <c r="AE449" s="17">
        <f ca="1">IFERROR(__xludf.DUMMYFUNCTION("""COMPUTED_VALUE"""),1.09268923637455)</f>
        <v>1.09268923637455</v>
      </c>
      <c r="AF449" s="17">
        <f ca="1">IFERROR(__xludf.DUMMYFUNCTION("""COMPUTED_VALUE"""),0.264229341040745)</f>
        <v>0.26422934104074502</v>
      </c>
      <c r="AG449" s="17">
        <f ca="1">IFERROR(__xludf.DUMMYFUNCTION("""COMPUTED_VALUE"""),0.640420300398992)</f>
        <v>0.640420300398992</v>
      </c>
      <c r="AH449" s="17">
        <f ca="1">IFERROR(__xludf.DUMMYFUNCTION("""COMPUTED_VALUE"""),0.4139578221251)</f>
        <v>0.41395782212510002</v>
      </c>
      <c r="AI449" s="17">
        <f ca="1">IFERROR(__xludf.DUMMYFUNCTION("""COMPUTED_VALUE"""),0.959983761039928)</f>
        <v>0.959983761039928</v>
      </c>
      <c r="AJ449" s="17">
        <f ca="1">IFERROR(__xludf.DUMMYFUNCTION("""COMPUTED_VALUE"""),0.319863430205878)</f>
        <v>0.31986343020587799</v>
      </c>
    </row>
    <row r="450" spans="2:36" ht="15.75" customHeight="1" x14ac:dyDescent="0.45">
      <c r="B450" s="10" t="str">
        <f ca="1">IFERROR(__xludf.DUMMYFUNCTION("""COMPUTED_VALUE"""),"Herring")</f>
        <v>Herring</v>
      </c>
      <c r="C450" s="10" t="str">
        <f ca="1">IFERROR(__xludf.DUMMYFUNCTION("""COMPUTED_VALUE"""),"mcar")</f>
        <v>mcar</v>
      </c>
      <c r="D450" s="10">
        <f ca="1">IFERROR(__xludf.DUMMYFUNCTION("""COMPUTED_VALUE"""),0.6)</f>
        <v>0.6</v>
      </c>
      <c r="E450" s="17">
        <f ca="1">IFERROR(__xludf.DUMMYFUNCTION("""COMPUTED_VALUE"""),0.969157400254587)</f>
        <v>0.96915740025458696</v>
      </c>
      <c r="F450" s="17">
        <f ca="1">IFERROR(__xludf.DUMMYFUNCTION("""COMPUTED_VALUE"""),0.165834884427638)</f>
        <v>0.165834884427638</v>
      </c>
      <c r="G450" s="17">
        <f ca="1">IFERROR(__xludf.DUMMYFUNCTION("""COMPUTED_VALUE"""),0.157089512187377)</f>
        <v>0.15708951218737699</v>
      </c>
      <c r="H450" s="17">
        <f ca="1">IFERROR(__xludf.DUMMYFUNCTION("""COMPUTED_VALUE"""),0.19131672500935)</f>
        <v>0.19131672500935001</v>
      </c>
      <c r="I450" s="17">
        <f ca="1">IFERROR(__xludf.DUMMYFUNCTION("""COMPUTED_VALUE"""),0.40167691669633)</f>
        <v>0.40167691669632999</v>
      </c>
      <c r="J450" s="17">
        <f ca="1">IFERROR(__xludf.DUMMYFUNCTION("""COMPUTED_VALUE"""),0.349273577602728)</f>
        <v>0.34927357760272798</v>
      </c>
      <c r="K450" s="17" t="str">
        <f ca="1">IFERROR(__xludf.DUMMYFUNCTION("""COMPUTED_VALUE"""),"nan")</f>
        <v>nan</v>
      </c>
      <c r="L450" s="17">
        <f ca="1">IFERROR(__xludf.DUMMYFUNCTION("""COMPUTED_VALUE"""),0.182360205595233)</f>
        <v>0.182360205595233</v>
      </c>
      <c r="M450" s="17">
        <f ca="1">IFERROR(__xludf.DUMMYFUNCTION("""COMPUTED_VALUE"""),0.157606044009695)</f>
        <v>0.157606044009695</v>
      </c>
      <c r="N450" s="17">
        <f ca="1">IFERROR(__xludf.DUMMYFUNCTION("""COMPUTED_VALUE"""),0.171105766433524)</f>
        <v>0.17110576643352399</v>
      </c>
      <c r="O450" s="17">
        <f ca="1">IFERROR(__xludf.DUMMYFUNCTION("""COMPUTED_VALUE"""),0.146112528011175)</f>
        <v>0.146112528011175</v>
      </c>
      <c r="P450" s="17">
        <f ca="1">IFERROR(__xludf.DUMMYFUNCTION("""COMPUTED_VALUE"""),0.550879487948982)</f>
        <v>0.55087948794898201</v>
      </c>
      <c r="Q450" s="17">
        <f ca="1">IFERROR(__xludf.DUMMYFUNCTION("""COMPUTED_VALUE"""),0.404659138260935)</f>
        <v>0.40465913826093503</v>
      </c>
      <c r="R450" s="17">
        <f ca="1">IFERROR(__xludf.DUMMYFUNCTION("""COMPUTED_VALUE"""),0.145635301442928)</f>
        <v>0.14563530144292799</v>
      </c>
      <c r="S450" s="17">
        <f ca="1">IFERROR(__xludf.DUMMYFUNCTION("""COMPUTED_VALUE"""),1.23974799980244)</f>
        <v>1.2397479998024401</v>
      </c>
      <c r="T450" s="17">
        <f ca="1">IFERROR(__xludf.DUMMYFUNCTION("""COMPUTED_VALUE"""),0.172283575279679)</f>
        <v>0.172283575279679</v>
      </c>
      <c r="U450" s="17">
        <f ca="1">IFERROR(__xludf.DUMMYFUNCTION("""COMPUTED_VALUE"""),0.196780933134683)</f>
        <v>0.19678093313468301</v>
      </c>
      <c r="V450" s="17">
        <f ca="1">IFERROR(__xludf.DUMMYFUNCTION("""COMPUTED_VALUE"""),0.168737626098826)</f>
        <v>0.168737626098826</v>
      </c>
      <c r="W450" s="17">
        <f ca="1">IFERROR(__xludf.DUMMYFUNCTION("""COMPUTED_VALUE"""),0.276323785800297)</f>
        <v>0.27632378580029698</v>
      </c>
      <c r="X450" s="17">
        <f ca="1">IFERROR(__xludf.DUMMYFUNCTION("""COMPUTED_VALUE"""),0.25677481205426)</f>
        <v>0.25677481205426</v>
      </c>
      <c r="Y450" s="17">
        <f ca="1">IFERROR(__xludf.DUMMYFUNCTION("""COMPUTED_VALUE"""),0.139345794117845)</f>
        <v>0.13934579411784501</v>
      </c>
      <c r="Z450" s="17">
        <f ca="1">IFERROR(__xludf.DUMMYFUNCTION("""COMPUTED_VALUE"""),0.315249342032869)</f>
        <v>0.31524934203286897</v>
      </c>
      <c r="AA450" s="17">
        <f ca="1">IFERROR(__xludf.DUMMYFUNCTION("""COMPUTED_VALUE"""),0.143785653570728)</f>
        <v>0.14378565357072801</v>
      </c>
      <c r="AB450" s="17">
        <f ca="1">IFERROR(__xludf.DUMMYFUNCTION("""COMPUTED_VALUE"""),0.208029646092019)</f>
        <v>0.20802964609201899</v>
      </c>
      <c r="AC450" s="17">
        <f ca="1">IFERROR(__xludf.DUMMYFUNCTION("""COMPUTED_VALUE"""),0.375670321296339)</f>
        <v>0.37567032129633898</v>
      </c>
      <c r="AD450" s="17">
        <f ca="1">IFERROR(__xludf.DUMMYFUNCTION("""COMPUTED_VALUE"""),0.190342856018732)</f>
        <v>0.19034285601873199</v>
      </c>
      <c r="AE450" s="17">
        <f ca="1">IFERROR(__xludf.DUMMYFUNCTION("""COMPUTED_VALUE"""),1.10470728551779)</f>
        <v>1.10470728551779</v>
      </c>
      <c r="AF450" s="17">
        <f ca="1">IFERROR(__xludf.DUMMYFUNCTION("""COMPUTED_VALUE"""),0.269980549301909)</f>
        <v>0.26998054930190901</v>
      </c>
      <c r="AG450" s="17">
        <f ca="1">IFERROR(__xludf.DUMMYFUNCTION("""COMPUTED_VALUE"""),0.956182795226486)</f>
        <v>0.95618279522648597</v>
      </c>
      <c r="AH450" s="17">
        <f ca="1">IFERROR(__xludf.DUMMYFUNCTION("""COMPUTED_VALUE"""),0.710556906610785)</f>
        <v>0.71055690661078497</v>
      </c>
      <c r="AI450" s="17" t="str">
        <f ca="1">IFERROR(__xludf.DUMMYFUNCTION("""COMPUTED_VALUE"""),"nan")</f>
        <v>nan</v>
      </c>
      <c r="AJ450" s="17">
        <f ca="1">IFERROR(__xludf.DUMMYFUNCTION("""COMPUTED_VALUE"""),0.477817940771451)</f>
        <v>0.47781794077145101</v>
      </c>
    </row>
    <row r="451" spans="2:36" ht="15.75" customHeight="1" x14ac:dyDescent="0.45">
      <c r="B451" s="10" t="str">
        <f ca="1">IFERROR(__xludf.DUMMYFUNCTION("""COMPUTED_VALUE"""),"Herring")</f>
        <v>Herring</v>
      </c>
      <c r="C451" s="10" t="str">
        <f ca="1">IFERROR(__xludf.DUMMYFUNCTION("""COMPUTED_VALUE"""),"mcar")</f>
        <v>mcar</v>
      </c>
      <c r="D451" s="10">
        <f ca="1">IFERROR(__xludf.DUMMYFUNCTION("""COMPUTED_VALUE"""),0.8)</f>
        <v>0.8</v>
      </c>
      <c r="E451" s="17">
        <f ca="1">IFERROR(__xludf.DUMMYFUNCTION("""COMPUTED_VALUE"""),0.97081014300259)</f>
        <v>0.97081014300259005</v>
      </c>
      <c r="F451" s="17">
        <f ca="1">IFERROR(__xludf.DUMMYFUNCTION("""COMPUTED_VALUE"""),0.182422034398307)</f>
        <v>0.18242203439830701</v>
      </c>
      <c r="G451" s="17">
        <f ca="1">IFERROR(__xludf.DUMMYFUNCTION("""COMPUTED_VALUE"""),0.166493574391234)</f>
        <v>0.16649357439123399</v>
      </c>
      <c r="H451" s="17">
        <f ca="1">IFERROR(__xludf.DUMMYFUNCTION("""COMPUTED_VALUE"""),0.193113263846117)</f>
        <v>0.19311326384611699</v>
      </c>
      <c r="I451" s="17">
        <f ca="1">IFERROR(__xludf.DUMMYFUNCTION("""COMPUTED_VALUE"""),0.387979600283019)</f>
        <v>0.38797960028301898</v>
      </c>
      <c r="J451" s="17">
        <f ca="1">IFERROR(__xludf.DUMMYFUNCTION("""COMPUTED_VALUE"""),0.805762352755025)</f>
        <v>0.80576235275502495</v>
      </c>
      <c r="K451" s="17" t="str">
        <f ca="1">IFERROR(__xludf.DUMMYFUNCTION("""COMPUTED_VALUE"""),"nan")</f>
        <v>nan</v>
      </c>
      <c r="L451" s="17">
        <f ca="1">IFERROR(__xludf.DUMMYFUNCTION("""COMPUTED_VALUE"""),0.186473924683497)</f>
        <v>0.18647392468349699</v>
      </c>
      <c r="M451" s="17">
        <f ca="1">IFERROR(__xludf.DUMMYFUNCTION("""COMPUTED_VALUE"""),0.17384981428339)</f>
        <v>0.17384981428339</v>
      </c>
      <c r="N451" s="17">
        <f ca="1">IFERROR(__xludf.DUMMYFUNCTION("""COMPUTED_VALUE"""),0.179913583305881)</f>
        <v>0.179913583305881</v>
      </c>
      <c r="O451" s="17">
        <f ca="1">IFERROR(__xludf.DUMMYFUNCTION("""COMPUTED_VALUE"""),0.191543776685848)</f>
        <v>0.19154377668584799</v>
      </c>
      <c r="P451" s="17">
        <f ca="1">IFERROR(__xludf.DUMMYFUNCTION("""COMPUTED_VALUE"""),0.704236054957747)</f>
        <v>0.70423605495774699</v>
      </c>
      <c r="Q451" s="17">
        <f ca="1">IFERROR(__xludf.DUMMYFUNCTION("""COMPUTED_VALUE"""),0.491593223524291)</f>
        <v>0.49159322352429102</v>
      </c>
      <c r="R451" s="17">
        <f ca="1">IFERROR(__xludf.DUMMYFUNCTION("""COMPUTED_VALUE"""),0.22420601779112)</f>
        <v>0.22420601779112001</v>
      </c>
      <c r="S451" s="17">
        <f ca="1">IFERROR(__xludf.DUMMYFUNCTION("""COMPUTED_VALUE"""),1.30864682635658)</f>
        <v>1.30864682635658</v>
      </c>
      <c r="T451" s="17">
        <f ca="1">IFERROR(__xludf.DUMMYFUNCTION("""COMPUTED_VALUE"""),0.302213082694678)</f>
        <v>0.302213082694678</v>
      </c>
      <c r="U451" s="17">
        <f ca="1">IFERROR(__xludf.DUMMYFUNCTION("""COMPUTED_VALUE"""),0.226503439127862)</f>
        <v>0.226503439127862</v>
      </c>
      <c r="V451" s="17">
        <f ca="1">IFERROR(__xludf.DUMMYFUNCTION("""COMPUTED_VALUE"""),0.443160460401276)</f>
        <v>0.44316046040127599</v>
      </c>
      <c r="W451" s="17">
        <f ca="1">IFERROR(__xludf.DUMMYFUNCTION("""COMPUTED_VALUE"""),0.638710694554269)</f>
        <v>0.63871069455426899</v>
      </c>
      <c r="X451" s="17">
        <f ca="1">IFERROR(__xludf.DUMMYFUNCTION("""COMPUTED_VALUE"""),0.209528605149293)</f>
        <v>0.209528605149293</v>
      </c>
      <c r="Y451" s="17">
        <f ca="1">IFERROR(__xludf.DUMMYFUNCTION("""COMPUTED_VALUE"""),0.187369544906692)</f>
        <v>0.187369544906692</v>
      </c>
      <c r="Z451" s="17">
        <f ca="1">IFERROR(__xludf.DUMMYFUNCTION("""COMPUTED_VALUE"""),0.639489415160842)</f>
        <v>0.63948941516084201</v>
      </c>
      <c r="AA451" s="17">
        <f ca="1">IFERROR(__xludf.DUMMYFUNCTION("""COMPUTED_VALUE"""),0.226061246352523)</f>
        <v>0.226061246352523</v>
      </c>
      <c r="AB451" s="17">
        <f ca="1">IFERROR(__xludf.DUMMYFUNCTION("""COMPUTED_VALUE"""),0.396024121587421)</f>
        <v>0.39602412158742101</v>
      </c>
      <c r="AC451" s="17">
        <f ca="1">IFERROR(__xludf.DUMMYFUNCTION("""COMPUTED_VALUE"""),0.693705582200211)</f>
        <v>0.69370558220021095</v>
      </c>
      <c r="AD451" s="17">
        <f ca="1">IFERROR(__xludf.DUMMYFUNCTION("""COMPUTED_VALUE"""),0.291336989752702)</f>
        <v>0.291336989752702</v>
      </c>
      <c r="AE451" s="17" t="str">
        <f ca="1">IFERROR(__xludf.DUMMYFUNCTION("""COMPUTED_VALUE"""),"nan")</f>
        <v>nan</v>
      </c>
      <c r="AF451" s="17">
        <f ca="1">IFERROR(__xludf.DUMMYFUNCTION("""COMPUTED_VALUE"""),0.572197599108466)</f>
        <v>0.57219759910846602</v>
      </c>
      <c r="AG451" s="17">
        <f ca="1">IFERROR(__xludf.DUMMYFUNCTION("""COMPUTED_VALUE"""),1.16540250679678)</f>
        <v>1.1654025067967799</v>
      </c>
      <c r="AH451" s="17">
        <f ca="1">IFERROR(__xludf.DUMMYFUNCTION("""COMPUTED_VALUE"""),0.925590964273472)</f>
        <v>0.92559096427347198</v>
      </c>
      <c r="AI451" s="17" t="str">
        <f ca="1">IFERROR(__xludf.DUMMYFUNCTION("""COMPUTED_VALUE"""),"nan")</f>
        <v>nan</v>
      </c>
      <c r="AJ451" s="17">
        <f ca="1">IFERROR(__xludf.DUMMYFUNCTION("""COMPUTED_VALUE"""),0.859699649796103)</f>
        <v>0.85969964979610303</v>
      </c>
    </row>
    <row r="452" spans="2:36" ht="15.75" customHeight="1" x14ac:dyDescent="0.45">
      <c r="B452" s="10" t="str">
        <f ca="1">IFERROR(__xludf.DUMMYFUNCTION("""COMPUTED_VALUE"""),"InlineSkate")</f>
        <v>InlineSkate</v>
      </c>
      <c r="C452" s="10" t="str">
        <f ca="1">IFERROR(__xludf.DUMMYFUNCTION("""COMPUTED_VALUE"""),"aligned_series")</f>
        <v>aligned_series</v>
      </c>
      <c r="D452" s="10">
        <f ca="1">IFERROR(__xludf.DUMMYFUNCTION("""COMPUTED_VALUE"""),0.1)</f>
        <v>0.1</v>
      </c>
      <c r="E452" s="17">
        <f ca="1">IFERROR(__xludf.DUMMYFUNCTION("""COMPUTED_VALUE"""),0.840457223689135)</f>
        <v>0.840457223689135</v>
      </c>
      <c r="F452" s="17">
        <f ca="1">IFERROR(__xludf.DUMMYFUNCTION("""COMPUTED_VALUE"""),0.883836400770098)</f>
        <v>0.88383640077009795</v>
      </c>
      <c r="G452" s="17">
        <f ca="1">IFERROR(__xludf.DUMMYFUNCTION("""COMPUTED_VALUE"""),0.983809076561235)</f>
        <v>0.98380907656123495</v>
      </c>
      <c r="H452" s="17">
        <f ca="1">IFERROR(__xludf.DUMMYFUNCTION("""COMPUTED_VALUE"""),0.725201095235569)</f>
        <v>0.72520109523556897</v>
      </c>
      <c r="I452" s="17">
        <f ca="1">IFERROR(__xludf.DUMMYFUNCTION("""COMPUTED_VALUE"""),0.409640790369054)</f>
        <v>0.40964079036905399</v>
      </c>
      <c r="J452" s="17">
        <f ca="1">IFERROR(__xludf.DUMMYFUNCTION("""COMPUTED_VALUE"""),0.657743007927012)</f>
        <v>0.65774300792701201</v>
      </c>
      <c r="K452" s="17" t="str">
        <f ca="1">IFERROR(__xludf.DUMMYFUNCTION("""COMPUTED_VALUE"""),"nan")</f>
        <v>nan</v>
      </c>
      <c r="L452" s="17">
        <f ca="1">IFERROR(__xludf.DUMMYFUNCTION("""COMPUTED_VALUE"""),0.54148918298304)</f>
        <v>0.54148918298304005</v>
      </c>
      <c r="M452" s="17">
        <f ca="1">IFERROR(__xludf.DUMMYFUNCTION("""COMPUTED_VALUE"""),0.870308764472296)</f>
        <v>0.87030876447229599</v>
      </c>
      <c r="N452" s="17">
        <f ca="1">IFERROR(__xludf.DUMMYFUNCTION("""COMPUTED_VALUE"""),1.02644973083925)</f>
        <v>1.02644973083925</v>
      </c>
      <c r="O452" s="17">
        <f ca="1">IFERROR(__xludf.DUMMYFUNCTION("""COMPUTED_VALUE"""),0.620741733111712)</f>
        <v>0.62074173311171199</v>
      </c>
      <c r="P452" s="17">
        <f ca="1">IFERROR(__xludf.DUMMYFUNCTION("""COMPUTED_VALUE"""),1.14314816627316)</f>
        <v>1.14314816627316</v>
      </c>
      <c r="Q452" s="17">
        <f ca="1">IFERROR(__xludf.DUMMYFUNCTION("""COMPUTED_VALUE"""),1.23515529849693)</f>
        <v>1.2351552984969301</v>
      </c>
      <c r="R452" s="17">
        <f ca="1">IFERROR(__xludf.DUMMYFUNCTION("""COMPUTED_VALUE"""),0.44098728242888)</f>
        <v>0.44098728242888002</v>
      </c>
      <c r="S452" s="17">
        <f ca="1">IFERROR(__xludf.DUMMYFUNCTION("""COMPUTED_VALUE"""),0.467589921679324)</f>
        <v>0.46758992167932401</v>
      </c>
      <c r="T452" s="17">
        <f ca="1">IFERROR(__xludf.DUMMYFUNCTION("""COMPUTED_VALUE"""),0.525915173822141)</f>
        <v>0.52591517382214104</v>
      </c>
      <c r="U452" s="17">
        <f ca="1">IFERROR(__xludf.DUMMYFUNCTION("""COMPUTED_VALUE"""),0.737021372680743)</f>
        <v>0.73702137268074297</v>
      </c>
      <c r="V452" s="17">
        <f ca="1">IFERROR(__xludf.DUMMYFUNCTION("""COMPUTED_VALUE"""),0.349523200328241)</f>
        <v>0.34952320032824102</v>
      </c>
      <c r="W452" s="17">
        <f ca="1">IFERROR(__xludf.DUMMYFUNCTION("""COMPUTED_VALUE"""),0.571511477526983)</f>
        <v>0.57151147752698295</v>
      </c>
      <c r="X452" s="17">
        <f ca="1">IFERROR(__xludf.DUMMYFUNCTION("""COMPUTED_VALUE"""),0.448758548173441)</f>
        <v>0.44875854817344102</v>
      </c>
      <c r="Y452" s="17">
        <f ca="1">IFERROR(__xludf.DUMMYFUNCTION("""COMPUTED_VALUE"""),0.745484951053915)</f>
        <v>0.74548495105391499</v>
      </c>
      <c r="Z452" s="17">
        <f ca="1">IFERROR(__xludf.DUMMYFUNCTION("""COMPUTED_VALUE"""),0.524924564508473)</f>
        <v>0.52492456450847302</v>
      </c>
      <c r="AA452" s="17">
        <f ca="1">IFERROR(__xludf.DUMMYFUNCTION("""COMPUTED_VALUE"""),0.20302187689969)</f>
        <v>0.20302187689969001</v>
      </c>
      <c r="AB452" s="17">
        <f ca="1">IFERROR(__xludf.DUMMYFUNCTION("""COMPUTED_VALUE"""),0.613580471749775)</f>
        <v>0.61358047174977504</v>
      </c>
      <c r="AC452" s="17">
        <f ca="1">IFERROR(__xludf.DUMMYFUNCTION("""COMPUTED_VALUE"""),0.997706483123534)</f>
        <v>0.99770648312353405</v>
      </c>
      <c r="AD452" s="17">
        <f ca="1">IFERROR(__xludf.DUMMYFUNCTION("""COMPUTED_VALUE"""),0.69240844723592)</f>
        <v>0.69240844723591999</v>
      </c>
      <c r="AE452" s="17">
        <f ca="1">IFERROR(__xludf.DUMMYFUNCTION("""COMPUTED_VALUE"""),0.993323980244991)</f>
        <v>0.99332398024499102</v>
      </c>
      <c r="AF452" s="17">
        <f ca="1">IFERROR(__xludf.DUMMYFUNCTION("""COMPUTED_VALUE"""),0.463542137170581)</f>
        <v>0.46354213717058101</v>
      </c>
      <c r="AG452" s="17">
        <f ca="1">IFERROR(__xludf.DUMMYFUNCTION("""COMPUTED_VALUE"""),0.357716793490701)</f>
        <v>0.35771679349070101</v>
      </c>
      <c r="AH452" s="17">
        <f ca="1">IFERROR(__xludf.DUMMYFUNCTION("""COMPUTED_VALUE"""),0.364164525053276)</f>
        <v>0.36416452505327601</v>
      </c>
      <c r="AI452" s="17">
        <f ca="1">IFERROR(__xludf.DUMMYFUNCTION("""COMPUTED_VALUE"""),0.384816264426151)</f>
        <v>0.38481626442615102</v>
      </c>
      <c r="AJ452" s="17">
        <f ca="1">IFERROR(__xludf.DUMMYFUNCTION("""COMPUTED_VALUE"""),0.378003662718228)</f>
        <v>0.378003662718228</v>
      </c>
    </row>
    <row r="453" spans="2:36" ht="15.75" customHeight="1" x14ac:dyDescent="0.45">
      <c r="B453" s="10" t="str">
        <f ca="1">IFERROR(__xludf.DUMMYFUNCTION("""COMPUTED_VALUE"""),"InlineSkate")</f>
        <v>InlineSkate</v>
      </c>
      <c r="C453" s="10" t="str">
        <f ca="1">IFERROR(__xludf.DUMMYFUNCTION("""COMPUTED_VALUE"""),"aligned_series")</f>
        <v>aligned_series</v>
      </c>
      <c r="D453" s="10">
        <f ca="1">IFERROR(__xludf.DUMMYFUNCTION("""COMPUTED_VALUE"""),0.2)</f>
        <v>0.2</v>
      </c>
      <c r="E453" s="17">
        <f ca="1">IFERROR(__xludf.DUMMYFUNCTION("""COMPUTED_VALUE"""),0.917626374598428)</f>
        <v>0.917626374598428</v>
      </c>
      <c r="F453" s="17">
        <f ca="1">IFERROR(__xludf.DUMMYFUNCTION("""COMPUTED_VALUE"""),0.81165458497688)</f>
        <v>0.81165458497688003</v>
      </c>
      <c r="G453" s="17">
        <f ca="1">IFERROR(__xludf.DUMMYFUNCTION("""COMPUTED_VALUE"""),0.845554432524638)</f>
        <v>0.84555443252463802</v>
      </c>
      <c r="H453" s="17">
        <f ca="1">IFERROR(__xludf.DUMMYFUNCTION("""COMPUTED_VALUE"""),0.699543247973736)</f>
        <v>0.69954324797373602</v>
      </c>
      <c r="I453" s="17">
        <f ca="1">IFERROR(__xludf.DUMMYFUNCTION("""COMPUTED_VALUE"""),0.432889575217244)</f>
        <v>0.43288957521724403</v>
      </c>
      <c r="J453" s="17">
        <f ca="1">IFERROR(__xludf.DUMMYFUNCTION("""COMPUTED_VALUE"""),0.729231685771765)</f>
        <v>0.729231685771765</v>
      </c>
      <c r="K453" s="17" t="str">
        <f ca="1">IFERROR(__xludf.DUMMYFUNCTION("""COMPUTED_VALUE"""),"nan")</f>
        <v>nan</v>
      </c>
      <c r="L453" s="17">
        <f ca="1">IFERROR(__xludf.DUMMYFUNCTION("""COMPUTED_VALUE"""),0.575221573762737)</f>
        <v>0.57522157376273697</v>
      </c>
      <c r="M453" s="17">
        <f ca="1">IFERROR(__xludf.DUMMYFUNCTION("""COMPUTED_VALUE"""),0.899046580291711)</f>
        <v>0.89904658029171103</v>
      </c>
      <c r="N453" s="17">
        <f ca="1">IFERROR(__xludf.DUMMYFUNCTION("""COMPUTED_VALUE"""),0.877622597777466)</f>
        <v>0.87762259777746598</v>
      </c>
      <c r="O453" s="17">
        <f ca="1">IFERROR(__xludf.DUMMYFUNCTION("""COMPUTED_VALUE"""),0.566720075927527)</f>
        <v>0.56672007592752704</v>
      </c>
      <c r="P453" s="17">
        <f ca="1">IFERROR(__xludf.DUMMYFUNCTION("""COMPUTED_VALUE"""),1.0799388248443)</f>
        <v>1.0799388248443</v>
      </c>
      <c r="Q453" s="17">
        <f ca="1">IFERROR(__xludf.DUMMYFUNCTION("""COMPUTED_VALUE"""),1.2256532956177)</f>
        <v>1.2256532956177</v>
      </c>
      <c r="R453" s="17">
        <f ca="1">IFERROR(__xludf.DUMMYFUNCTION("""COMPUTED_VALUE"""),0.417825445461495)</f>
        <v>0.41782544546149503</v>
      </c>
      <c r="S453" s="17">
        <f ca="1">IFERROR(__xludf.DUMMYFUNCTION("""COMPUTED_VALUE"""),0.546501829157891)</f>
        <v>0.54650182915789103</v>
      </c>
      <c r="T453" s="17">
        <f ca="1">IFERROR(__xludf.DUMMYFUNCTION("""COMPUTED_VALUE"""),0.630361061597247)</f>
        <v>0.63036106159724703</v>
      </c>
      <c r="U453" s="17">
        <f ca="1">IFERROR(__xludf.DUMMYFUNCTION("""COMPUTED_VALUE"""),0.587634271611233)</f>
        <v>0.58763427161123305</v>
      </c>
      <c r="V453" s="17">
        <f ca="1">IFERROR(__xludf.DUMMYFUNCTION("""COMPUTED_VALUE"""),0.356068812231232)</f>
        <v>0.35606881223123199</v>
      </c>
      <c r="W453" s="17">
        <f ca="1">IFERROR(__xludf.DUMMYFUNCTION("""COMPUTED_VALUE"""),0.520705007632905)</f>
        <v>0.52070500763290495</v>
      </c>
      <c r="X453" s="17">
        <f ca="1">IFERROR(__xludf.DUMMYFUNCTION("""COMPUTED_VALUE"""),0.427197241016333)</f>
        <v>0.427197241016333</v>
      </c>
      <c r="Y453" s="17">
        <f ca="1">IFERROR(__xludf.DUMMYFUNCTION("""COMPUTED_VALUE"""),0.653640123349478)</f>
        <v>0.65364012334947796</v>
      </c>
      <c r="Z453" s="17">
        <f ca="1">IFERROR(__xludf.DUMMYFUNCTION("""COMPUTED_VALUE"""),0.506622279698331)</f>
        <v>0.50662227969833096</v>
      </c>
      <c r="AA453" s="17">
        <f ca="1">IFERROR(__xludf.DUMMYFUNCTION("""COMPUTED_VALUE"""),0.230081575430847)</f>
        <v>0.23008157543084701</v>
      </c>
      <c r="AB453" s="17">
        <f ca="1">IFERROR(__xludf.DUMMYFUNCTION("""COMPUTED_VALUE"""),0.528660420814705)</f>
        <v>0.52866042081470499</v>
      </c>
      <c r="AC453" s="17">
        <f ca="1">IFERROR(__xludf.DUMMYFUNCTION("""COMPUTED_VALUE"""),0.853114631308463)</f>
        <v>0.85311463130846299</v>
      </c>
      <c r="AD453" s="17">
        <f ca="1">IFERROR(__xludf.DUMMYFUNCTION("""COMPUTED_VALUE"""),0.79940123438903)</f>
        <v>0.79940123438902999</v>
      </c>
      <c r="AE453" s="17">
        <f ca="1">IFERROR(__xludf.DUMMYFUNCTION("""COMPUTED_VALUE"""),1.05989543359509)</f>
        <v>1.0598954335950901</v>
      </c>
      <c r="AF453" s="17">
        <f ca="1">IFERROR(__xludf.DUMMYFUNCTION("""COMPUTED_VALUE"""),0.548094926061427)</f>
        <v>0.54809492606142696</v>
      </c>
      <c r="AG453" s="17">
        <f ca="1">IFERROR(__xludf.DUMMYFUNCTION("""COMPUTED_VALUE"""),0.360792664123518)</f>
        <v>0.36079266412351801</v>
      </c>
      <c r="AH453" s="17">
        <f ca="1">IFERROR(__xludf.DUMMYFUNCTION("""COMPUTED_VALUE"""),0.360511303225321)</f>
        <v>0.36051130322532099</v>
      </c>
      <c r="AI453" s="17">
        <f ca="1">IFERROR(__xludf.DUMMYFUNCTION("""COMPUTED_VALUE"""),0.402837035134995)</f>
        <v>0.40283703513499503</v>
      </c>
      <c r="AJ453" s="17">
        <f ca="1">IFERROR(__xludf.DUMMYFUNCTION("""COMPUTED_VALUE"""),0.369695094013409)</f>
        <v>0.369695094013409</v>
      </c>
    </row>
    <row r="454" spans="2:36" ht="15.75" customHeight="1" x14ac:dyDescent="0.45">
      <c r="B454" s="10" t="str">
        <f ca="1">IFERROR(__xludf.DUMMYFUNCTION("""COMPUTED_VALUE"""),"InlineSkate")</f>
        <v>InlineSkate</v>
      </c>
      <c r="C454" s="10" t="str">
        <f ca="1">IFERROR(__xludf.DUMMYFUNCTION("""COMPUTED_VALUE"""),"aligned_series")</f>
        <v>aligned_series</v>
      </c>
      <c r="D454" s="10">
        <f ca="1">IFERROR(__xludf.DUMMYFUNCTION("""COMPUTED_VALUE"""),0.4)</f>
        <v>0.4</v>
      </c>
      <c r="E454" s="17">
        <f ca="1">IFERROR(__xludf.DUMMYFUNCTION("""COMPUTED_VALUE"""),0.950704324155531)</f>
        <v>0.95070432415553097</v>
      </c>
      <c r="F454" s="17">
        <f ca="1">IFERROR(__xludf.DUMMYFUNCTION("""COMPUTED_VALUE"""),0.871013405138464)</f>
        <v>0.87101340513846404</v>
      </c>
      <c r="G454" s="17">
        <f ca="1">IFERROR(__xludf.DUMMYFUNCTION("""COMPUTED_VALUE"""),0.933874606587388)</f>
        <v>0.93387460658738797</v>
      </c>
      <c r="H454" s="17">
        <f ca="1">IFERROR(__xludf.DUMMYFUNCTION("""COMPUTED_VALUE"""),0.749292787779506)</f>
        <v>0.74929278777950603</v>
      </c>
      <c r="I454" s="17">
        <f ca="1">IFERROR(__xludf.DUMMYFUNCTION("""COMPUTED_VALUE"""),0.548948776033195)</f>
        <v>0.54894877603319503</v>
      </c>
      <c r="J454" s="17">
        <f ca="1">IFERROR(__xludf.DUMMYFUNCTION("""COMPUTED_VALUE"""),0.646421708986367)</f>
        <v>0.64642170898636697</v>
      </c>
      <c r="K454" s="17" t="str">
        <f ca="1">IFERROR(__xludf.DUMMYFUNCTION("""COMPUTED_VALUE"""),"nan")</f>
        <v>nan</v>
      </c>
      <c r="L454" s="17">
        <f ca="1">IFERROR(__xludf.DUMMYFUNCTION("""COMPUTED_VALUE"""),0.641803228006522)</f>
        <v>0.64180322800652201</v>
      </c>
      <c r="M454" s="17">
        <f ca="1">IFERROR(__xludf.DUMMYFUNCTION("""COMPUTED_VALUE"""),0.908951481852072)</f>
        <v>0.90895148185207197</v>
      </c>
      <c r="N454" s="17">
        <f ca="1">IFERROR(__xludf.DUMMYFUNCTION("""COMPUTED_VALUE"""),0.998040566489453)</f>
        <v>0.99804056648945305</v>
      </c>
      <c r="O454" s="17">
        <f ca="1">IFERROR(__xludf.DUMMYFUNCTION("""COMPUTED_VALUE"""),0.776261426249806)</f>
        <v>0.77626142624980599</v>
      </c>
      <c r="P454" s="17">
        <f ca="1">IFERROR(__xludf.DUMMYFUNCTION("""COMPUTED_VALUE"""),1.12305661669356)</f>
        <v>1.1230566166935601</v>
      </c>
      <c r="Q454" s="17">
        <f ca="1">IFERROR(__xludf.DUMMYFUNCTION("""COMPUTED_VALUE"""),1.38974615104994)</f>
        <v>1.38974615104994</v>
      </c>
      <c r="R454" s="17">
        <f ca="1">IFERROR(__xludf.DUMMYFUNCTION("""COMPUTED_VALUE"""),0.849835527532891)</f>
        <v>0.84983552753289104</v>
      </c>
      <c r="S454" s="17">
        <f ca="1">IFERROR(__xludf.DUMMYFUNCTION("""COMPUTED_VALUE"""),0.803995409084824)</f>
        <v>0.80399540908482403</v>
      </c>
      <c r="T454" s="17">
        <f ca="1">IFERROR(__xludf.DUMMYFUNCTION("""COMPUTED_VALUE"""),0.590780155195662)</f>
        <v>0.59078015519566196</v>
      </c>
      <c r="U454" s="17">
        <f ca="1">IFERROR(__xludf.DUMMYFUNCTION("""COMPUTED_VALUE"""),0.635930732680582)</f>
        <v>0.63593073268058198</v>
      </c>
      <c r="V454" s="17">
        <f ca="1">IFERROR(__xludf.DUMMYFUNCTION("""COMPUTED_VALUE"""),0.464140106967571)</f>
        <v>0.46414010696757102</v>
      </c>
      <c r="W454" s="17">
        <f ca="1">IFERROR(__xludf.DUMMYFUNCTION("""COMPUTED_VALUE"""),0.473711372119037)</f>
        <v>0.47371137211903702</v>
      </c>
      <c r="X454" s="17">
        <f ca="1">IFERROR(__xludf.DUMMYFUNCTION("""COMPUTED_VALUE"""),0.451358897446343)</f>
        <v>0.451358897446343</v>
      </c>
      <c r="Y454" s="17">
        <f ca="1">IFERROR(__xludf.DUMMYFUNCTION("""COMPUTED_VALUE"""),0.653411833274567)</f>
        <v>0.65341183327456698</v>
      </c>
      <c r="Z454" s="17">
        <f ca="1">IFERROR(__xludf.DUMMYFUNCTION("""COMPUTED_VALUE"""),0.519799791892201)</f>
        <v>0.51979979189220105</v>
      </c>
      <c r="AA454" s="17">
        <f ca="1">IFERROR(__xludf.DUMMYFUNCTION("""COMPUTED_VALUE"""),0.263050235194692)</f>
        <v>0.26305023519469201</v>
      </c>
      <c r="AB454" s="17">
        <f ca="1">IFERROR(__xludf.DUMMYFUNCTION("""COMPUTED_VALUE"""),1.53887292834026)</f>
        <v>1.53887292834026</v>
      </c>
      <c r="AC454" s="17">
        <f ca="1">IFERROR(__xludf.DUMMYFUNCTION("""COMPUTED_VALUE"""),0.810624426277011)</f>
        <v>0.81062442627701103</v>
      </c>
      <c r="AD454" s="17">
        <f ca="1">IFERROR(__xludf.DUMMYFUNCTION("""COMPUTED_VALUE"""),0.818533464174474)</f>
        <v>0.81853346417447403</v>
      </c>
      <c r="AE454" s="17">
        <f ca="1">IFERROR(__xludf.DUMMYFUNCTION("""COMPUTED_VALUE"""),1.11143702265825)</f>
        <v>1.11143702265825</v>
      </c>
      <c r="AF454" s="17">
        <f ca="1">IFERROR(__xludf.DUMMYFUNCTION("""COMPUTED_VALUE"""),0.571025794677215)</f>
        <v>0.57102579467721504</v>
      </c>
      <c r="AG454" s="17">
        <f ca="1">IFERROR(__xludf.DUMMYFUNCTION("""COMPUTED_VALUE"""),0.44795480693668)</f>
        <v>0.44795480693667999</v>
      </c>
      <c r="AH454" s="17">
        <f ca="1">IFERROR(__xludf.DUMMYFUNCTION("""COMPUTED_VALUE"""),0.436780705745701)</f>
        <v>0.43678070574570099</v>
      </c>
      <c r="AI454" s="17">
        <f ca="1">IFERROR(__xludf.DUMMYFUNCTION("""COMPUTED_VALUE"""),0.49190697096111)</f>
        <v>0.49190697096111002</v>
      </c>
      <c r="AJ454" s="17">
        <f ca="1">IFERROR(__xludf.DUMMYFUNCTION("""COMPUTED_VALUE"""),0.462963151193049)</f>
        <v>0.46296315119304898</v>
      </c>
    </row>
    <row r="455" spans="2:36" ht="15.75" customHeight="1" x14ac:dyDescent="0.45">
      <c r="B455" s="10" t="str">
        <f ca="1">IFERROR(__xludf.DUMMYFUNCTION("""COMPUTED_VALUE"""),"InlineSkate")</f>
        <v>InlineSkate</v>
      </c>
      <c r="C455" s="10" t="str">
        <f ca="1">IFERROR(__xludf.DUMMYFUNCTION("""COMPUTED_VALUE"""),"aligned_series")</f>
        <v>aligned_series</v>
      </c>
      <c r="D455" s="10">
        <f ca="1">IFERROR(__xludf.DUMMYFUNCTION("""COMPUTED_VALUE"""),0.6)</f>
        <v>0.6</v>
      </c>
      <c r="E455" s="17">
        <f ca="1">IFERROR(__xludf.DUMMYFUNCTION("""COMPUTED_VALUE"""),0.927921412633927)</f>
        <v>0.92792141263392702</v>
      </c>
      <c r="F455" s="17">
        <f ca="1">IFERROR(__xludf.DUMMYFUNCTION("""COMPUTED_VALUE"""),0.91232138886304)</f>
        <v>0.91232138886304004</v>
      </c>
      <c r="G455" s="17">
        <f ca="1">IFERROR(__xludf.DUMMYFUNCTION("""COMPUTED_VALUE"""),1.09913316663655)</f>
        <v>1.09913316663655</v>
      </c>
      <c r="H455" s="17">
        <f ca="1">IFERROR(__xludf.DUMMYFUNCTION("""COMPUTED_VALUE"""),0.737089589803288)</f>
        <v>0.73708958980328798</v>
      </c>
      <c r="I455" s="17">
        <f ca="1">IFERROR(__xludf.DUMMYFUNCTION("""COMPUTED_VALUE"""),0.63461936422945)</f>
        <v>0.63461936422944998</v>
      </c>
      <c r="J455" s="17">
        <f ca="1">IFERROR(__xludf.DUMMYFUNCTION("""COMPUTED_VALUE"""),0.836932623998222)</f>
        <v>0.83693262399822199</v>
      </c>
      <c r="K455" s="17" t="str">
        <f ca="1">IFERROR(__xludf.DUMMYFUNCTION("""COMPUTED_VALUE"""),"nan")</f>
        <v>nan</v>
      </c>
      <c r="L455" s="17">
        <f ca="1">IFERROR(__xludf.DUMMYFUNCTION("""COMPUTED_VALUE"""),0.795552989029374)</f>
        <v>0.79555298902937399</v>
      </c>
      <c r="M455" s="17">
        <f ca="1">IFERROR(__xludf.DUMMYFUNCTION("""COMPUTED_VALUE"""),1.25989416192683)</f>
        <v>1.25989416192683</v>
      </c>
      <c r="N455" s="17">
        <f ca="1">IFERROR(__xludf.DUMMYFUNCTION("""COMPUTED_VALUE"""),1.00293577070224)</f>
        <v>1.0029357707022399</v>
      </c>
      <c r="O455" s="17">
        <f ca="1">IFERROR(__xludf.DUMMYFUNCTION("""COMPUTED_VALUE"""),0.745976985565872)</f>
        <v>0.745976985565872</v>
      </c>
      <c r="P455" s="17">
        <f ca="1">IFERROR(__xludf.DUMMYFUNCTION("""COMPUTED_VALUE"""),1.22200862404571)</f>
        <v>1.22200862404571</v>
      </c>
      <c r="Q455" s="17">
        <f ca="1">IFERROR(__xludf.DUMMYFUNCTION("""COMPUTED_VALUE"""),1.06414408915036)</f>
        <v>1.06414408915036</v>
      </c>
      <c r="R455" s="17">
        <f ca="1">IFERROR(__xludf.DUMMYFUNCTION("""COMPUTED_VALUE"""),1.06515574511941)</f>
        <v>1.06515574511941</v>
      </c>
      <c r="S455" s="17">
        <f ca="1">IFERROR(__xludf.DUMMYFUNCTION("""COMPUTED_VALUE"""),0.86524024974814)</f>
        <v>0.86524024974813996</v>
      </c>
      <c r="T455" s="17">
        <f ca="1">IFERROR(__xludf.DUMMYFUNCTION("""COMPUTED_VALUE"""),0.573462852476753)</f>
        <v>0.57346285247675299</v>
      </c>
      <c r="U455" s="17">
        <f ca="1">IFERROR(__xludf.DUMMYFUNCTION("""COMPUTED_VALUE"""),0.706453391607565)</f>
        <v>0.70645339160756504</v>
      </c>
      <c r="V455" s="17">
        <f ca="1">IFERROR(__xludf.DUMMYFUNCTION("""COMPUTED_VALUE"""),0.552973615627854)</f>
        <v>0.55297361562785396</v>
      </c>
      <c r="W455" s="17">
        <f ca="1">IFERROR(__xludf.DUMMYFUNCTION("""COMPUTED_VALUE"""),0.448447800478932)</f>
        <v>0.44844780047893201</v>
      </c>
      <c r="X455" s="17">
        <f ca="1">IFERROR(__xludf.DUMMYFUNCTION("""COMPUTED_VALUE"""),0.529272698221246)</f>
        <v>0.52927269822124601</v>
      </c>
      <c r="Y455" s="17">
        <f ca="1">IFERROR(__xludf.DUMMYFUNCTION("""COMPUTED_VALUE"""),0.706784263144143)</f>
        <v>0.706784263144143</v>
      </c>
      <c r="Z455" s="17">
        <f ca="1">IFERROR(__xludf.DUMMYFUNCTION("""COMPUTED_VALUE"""),0.519966675554522)</f>
        <v>0.51996667555452203</v>
      </c>
      <c r="AA455" s="17">
        <f ca="1">IFERROR(__xludf.DUMMYFUNCTION("""COMPUTED_VALUE"""),0.255845792855978)</f>
        <v>0.25584579285597803</v>
      </c>
      <c r="AB455" s="17">
        <f ca="1">IFERROR(__xludf.DUMMYFUNCTION("""COMPUTED_VALUE"""),1.47256316973457)</f>
        <v>1.47256316973457</v>
      </c>
      <c r="AC455" s="17">
        <f ca="1">IFERROR(__xludf.DUMMYFUNCTION("""COMPUTED_VALUE"""),0.783120459593252)</f>
        <v>0.78312045959325205</v>
      </c>
      <c r="AD455" s="17">
        <f ca="1">IFERROR(__xludf.DUMMYFUNCTION("""COMPUTED_VALUE"""),0.782858838721298)</f>
        <v>0.78285883872129802</v>
      </c>
      <c r="AE455" s="17">
        <f ca="1">IFERROR(__xludf.DUMMYFUNCTION("""COMPUTED_VALUE"""),1.10045364735914)</f>
        <v>1.10045364735914</v>
      </c>
      <c r="AF455" s="17">
        <f ca="1">IFERROR(__xludf.DUMMYFUNCTION("""COMPUTED_VALUE"""),0.572779620124888)</f>
        <v>0.57277962012488803</v>
      </c>
      <c r="AG455" s="17">
        <f ca="1">IFERROR(__xludf.DUMMYFUNCTION("""COMPUTED_VALUE"""),0.45763093570328)</f>
        <v>0.45763093570328001</v>
      </c>
      <c r="AH455" s="17">
        <f ca="1">IFERROR(__xludf.DUMMYFUNCTION("""COMPUTED_VALUE"""),0.419429807538486)</f>
        <v>0.41942980753848602</v>
      </c>
      <c r="AI455" s="17">
        <f ca="1">IFERROR(__xludf.DUMMYFUNCTION("""COMPUTED_VALUE"""),0.473452591749217)</f>
        <v>0.473452591749217</v>
      </c>
      <c r="AJ455" s="17">
        <f ca="1">IFERROR(__xludf.DUMMYFUNCTION("""COMPUTED_VALUE"""),0.449232416576063)</f>
        <v>0.449232416576063</v>
      </c>
    </row>
    <row r="456" spans="2:36" ht="15.75" customHeight="1" x14ac:dyDescent="0.45">
      <c r="B456" s="10" t="str">
        <f ca="1">IFERROR(__xludf.DUMMYFUNCTION("""COMPUTED_VALUE"""),"InlineSkate")</f>
        <v>InlineSkate</v>
      </c>
      <c r="C456" s="10" t="str">
        <f ca="1">IFERROR(__xludf.DUMMYFUNCTION("""COMPUTED_VALUE"""),"aligned_series")</f>
        <v>aligned_series</v>
      </c>
      <c r="D456" s="10">
        <f ca="1">IFERROR(__xludf.DUMMYFUNCTION("""COMPUTED_VALUE"""),0.8)</f>
        <v>0.8</v>
      </c>
      <c r="E456" s="17">
        <f ca="1">IFERROR(__xludf.DUMMYFUNCTION("""COMPUTED_VALUE"""),0.921695098557255)</f>
        <v>0.92169509855725495</v>
      </c>
      <c r="F456" s="17">
        <f ca="1">IFERROR(__xludf.DUMMYFUNCTION("""COMPUTED_VALUE"""),0.943368428131788)</f>
        <v>0.94336842813178801</v>
      </c>
      <c r="G456" s="17">
        <f ca="1">IFERROR(__xludf.DUMMYFUNCTION("""COMPUTED_VALUE"""),1.07956350035413)</f>
        <v>1.07956350035413</v>
      </c>
      <c r="H456" s="17">
        <f ca="1">IFERROR(__xludf.DUMMYFUNCTION("""COMPUTED_VALUE"""),1.02770001108109)</f>
        <v>1.0277000110810901</v>
      </c>
      <c r="I456" s="17">
        <f ca="1">IFERROR(__xludf.DUMMYFUNCTION("""COMPUTED_VALUE"""),0.782797155387465)</f>
        <v>0.78279715538746497</v>
      </c>
      <c r="J456" s="17">
        <f ca="1">IFERROR(__xludf.DUMMYFUNCTION("""COMPUTED_VALUE"""),0.855976083023223)</f>
        <v>0.85597608302322303</v>
      </c>
      <c r="K456" s="17" t="str">
        <f ca="1">IFERROR(__xludf.DUMMYFUNCTION("""COMPUTED_VALUE"""),"nan")</f>
        <v>nan</v>
      </c>
      <c r="L456" s="17">
        <f ca="1">IFERROR(__xludf.DUMMYFUNCTION("""COMPUTED_VALUE"""),0.98741618420122)</f>
        <v>0.98741618420122002</v>
      </c>
      <c r="M456" s="17">
        <f ca="1">IFERROR(__xludf.DUMMYFUNCTION("""COMPUTED_VALUE"""),1.12566235284183)</f>
        <v>1.1256623528418299</v>
      </c>
      <c r="N456" s="17">
        <f ca="1">IFERROR(__xludf.DUMMYFUNCTION("""COMPUTED_VALUE"""),0.991292782902821)</f>
        <v>0.99129278290282097</v>
      </c>
      <c r="O456" s="17">
        <f ca="1">IFERROR(__xludf.DUMMYFUNCTION("""COMPUTED_VALUE"""),0.717699685629172)</f>
        <v>0.71769968562917197</v>
      </c>
      <c r="P456" s="17">
        <f ca="1">IFERROR(__xludf.DUMMYFUNCTION("""COMPUTED_VALUE"""),1.28115923058191)</f>
        <v>1.2811592305819099</v>
      </c>
      <c r="Q456" s="17">
        <f ca="1">IFERROR(__xludf.DUMMYFUNCTION("""COMPUTED_VALUE"""),1.03339287095409)</f>
        <v>1.03339287095409</v>
      </c>
      <c r="R456" s="17">
        <f ca="1">IFERROR(__xludf.DUMMYFUNCTION("""COMPUTED_VALUE"""),1.02186231561543)</f>
        <v>1.0218623156154301</v>
      </c>
      <c r="S456" s="17">
        <f ca="1">IFERROR(__xludf.DUMMYFUNCTION("""COMPUTED_VALUE"""),1.01970206461562)</f>
        <v>1.0197020646156201</v>
      </c>
      <c r="T456" s="17">
        <f ca="1">IFERROR(__xludf.DUMMYFUNCTION("""COMPUTED_VALUE"""),0.668584231125877)</f>
        <v>0.66858423112587695</v>
      </c>
      <c r="U456" s="17">
        <f ca="1">IFERROR(__xludf.DUMMYFUNCTION("""COMPUTED_VALUE"""),0.745153026943846)</f>
        <v>0.745153026943846</v>
      </c>
      <c r="V456" s="17">
        <f ca="1">IFERROR(__xludf.DUMMYFUNCTION("""COMPUTED_VALUE"""),0.844674557127377)</f>
        <v>0.84467455712737705</v>
      </c>
      <c r="W456" s="17">
        <f ca="1">IFERROR(__xludf.DUMMYFUNCTION("""COMPUTED_VALUE"""),0.354251790878113)</f>
        <v>0.35425179087811298</v>
      </c>
      <c r="X456" s="17">
        <f ca="1">IFERROR(__xludf.DUMMYFUNCTION("""COMPUTED_VALUE"""),0.649555988801521)</f>
        <v>0.64955598880152099</v>
      </c>
      <c r="Y456" s="17">
        <f ca="1">IFERROR(__xludf.DUMMYFUNCTION("""COMPUTED_VALUE"""),0.824693497696866)</f>
        <v>0.82469349769686595</v>
      </c>
      <c r="Z456" s="17">
        <f ca="1">IFERROR(__xludf.DUMMYFUNCTION("""COMPUTED_VALUE"""),0.596931073021811)</f>
        <v>0.59693107302181103</v>
      </c>
      <c r="AA456" s="17">
        <f ca="1">IFERROR(__xludf.DUMMYFUNCTION("""COMPUTED_VALUE"""),0.383606761086016)</f>
        <v>0.38360676108601599</v>
      </c>
      <c r="AB456" s="17">
        <f ca="1">IFERROR(__xludf.DUMMYFUNCTION("""COMPUTED_VALUE"""),2.1477134783986)</f>
        <v>2.1477134783985998</v>
      </c>
      <c r="AC456" s="17">
        <f ca="1">IFERROR(__xludf.DUMMYFUNCTION("""COMPUTED_VALUE"""),0.793207224694807)</f>
        <v>0.79320722469480698</v>
      </c>
      <c r="AD456" s="17">
        <f ca="1">IFERROR(__xludf.DUMMYFUNCTION("""COMPUTED_VALUE"""),0.805714970686134)</f>
        <v>0.80571497068613396</v>
      </c>
      <c r="AE456" s="17">
        <f ca="1">IFERROR(__xludf.DUMMYFUNCTION("""COMPUTED_VALUE"""),1.13498508257833)</f>
        <v>1.1349850825783301</v>
      </c>
      <c r="AF456" s="17">
        <f ca="1">IFERROR(__xludf.DUMMYFUNCTION("""COMPUTED_VALUE"""),0.576281904076478)</f>
        <v>0.57628190407647795</v>
      </c>
      <c r="AG456" s="17">
        <f ca="1">IFERROR(__xludf.DUMMYFUNCTION("""COMPUTED_VALUE"""),0.468976274451887)</f>
        <v>0.468976274451887</v>
      </c>
      <c r="AH456" s="17">
        <f ca="1">IFERROR(__xludf.DUMMYFUNCTION("""COMPUTED_VALUE"""),0.409585428301379)</f>
        <v>0.40958542830137901</v>
      </c>
      <c r="AI456" s="17">
        <f ca="1">IFERROR(__xludf.DUMMYFUNCTION("""COMPUTED_VALUE"""),0.462396968945978)</f>
        <v>0.46239696894597798</v>
      </c>
      <c r="AJ456" s="17">
        <f ca="1">IFERROR(__xludf.DUMMYFUNCTION("""COMPUTED_VALUE"""),0.452365040163212)</f>
        <v>0.452365040163212</v>
      </c>
    </row>
    <row r="457" spans="2:36" ht="15.75" customHeight="1" x14ac:dyDescent="0.45">
      <c r="B457" s="10" t="str">
        <f ca="1">IFERROR(__xludf.DUMMYFUNCTION("""COMPUTED_VALUE"""),"InlineSkate")</f>
        <v>InlineSkate</v>
      </c>
      <c r="C457" s="10" t="str">
        <f ca="1">IFERROR(__xludf.DUMMYFUNCTION("""COMPUTED_VALUE"""),"aligned_timestamps")</f>
        <v>aligned_timestamps</v>
      </c>
      <c r="D457" s="10">
        <f ca="1">IFERROR(__xludf.DUMMYFUNCTION("""COMPUTED_VALUE"""),0.1)</f>
        <v>0.1</v>
      </c>
      <c r="E457" s="17">
        <f ca="1">IFERROR(__xludf.DUMMYFUNCTION("""COMPUTED_VALUE"""),0.909700439999459)</f>
        <v>0.90970043999945904</v>
      </c>
      <c r="F457" s="17">
        <f ca="1">IFERROR(__xludf.DUMMYFUNCTION("""COMPUTED_VALUE"""),0.720578317262412)</f>
        <v>0.72057831726241195</v>
      </c>
      <c r="G457" s="17">
        <f ca="1">IFERROR(__xludf.DUMMYFUNCTION("""COMPUTED_VALUE"""),0.770326454561077)</f>
        <v>0.77032645456107696</v>
      </c>
      <c r="H457" s="17">
        <f ca="1">IFERROR(__xludf.DUMMYFUNCTION("""COMPUTED_VALUE"""),0.54220777799935)</f>
        <v>0.54220777799935005</v>
      </c>
      <c r="I457" s="17">
        <f ca="1">IFERROR(__xludf.DUMMYFUNCTION("""COMPUTED_VALUE"""),0.355924479004136)</f>
        <v>0.35592447900413599</v>
      </c>
      <c r="J457" s="17">
        <f ca="1">IFERROR(__xludf.DUMMYFUNCTION("""COMPUTED_VALUE"""),0.668899802611795)</f>
        <v>0.66889980261179505</v>
      </c>
      <c r="K457" s="17" t="str">
        <f ca="1">IFERROR(__xludf.DUMMYFUNCTION("""COMPUTED_VALUE"""),"nan")</f>
        <v>nan</v>
      </c>
      <c r="L457" s="17">
        <f ca="1">IFERROR(__xludf.DUMMYFUNCTION("""COMPUTED_VALUE"""),0.514541778076486)</f>
        <v>0.51454177807648604</v>
      </c>
      <c r="M457" s="17">
        <f ca="1">IFERROR(__xludf.DUMMYFUNCTION("""COMPUTED_VALUE"""),0.867010317550348)</f>
        <v>0.86701031755034796</v>
      </c>
      <c r="N457" s="17">
        <f ca="1">IFERROR(__xludf.DUMMYFUNCTION("""COMPUTED_VALUE"""),0.814556044872186)</f>
        <v>0.81455604487218602</v>
      </c>
      <c r="O457" s="17">
        <f ca="1">IFERROR(__xludf.DUMMYFUNCTION("""COMPUTED_VALUE"""),0.533131464547658)</f>
        <v>0.53313146454765803</v>
      </c>
      <c r="P457" s="17">
        <f ca="1">IFERROR(__xludf.DUMMYFUNCTION("""COMPUTED_VALUE"""),0.853587384828919)</f>
        <v>0.85358738482891905</v>
      </c>
      <c r="Q457" s="17">
        <f ca="1">IFERROR(__xludf.DUMMYFUNCTION("""COMPUTED_VALUE"""),1.14512600501008)</f>
        <v>1.14512600501008</v>
      </c>
      <c r="R457" s="17">
        <f ca="1">IFERROR(__xludf.DUMMYFUNCTION("""COMPUTED_VALUE"""),0.636573348151408)</f>
        <v>0.63657334815140798</v>
      </c>
      <c r="S457" s="17">
        <f ca="1">IFERROR(__xludf.DUMMYFUNCTION("""COMPUTED_VALUE"""),0.407545932623431)</f>
        <v>0.40754593262343097</v>
      </c>
      <c r="T457" s="17">
        <f ca="1">IFERROR(__xludf.DUMMYFUNCTION("""COMPUTED_VALUE"""),0.416940602302388)</f>
        <v>0.416940602302388</v>
      </c>
      <c r="U457" s="17">
        <f ca="1">IFERROR(__xludf.DUMMYFUNCTION("""COMPUTED_VALUE"""),0.384958911201131)</f>
        <v>0.38495891120113102</v>
      </c>
      <c r="V457" s="17">
        <f ca="1">IFERROR(__xludf.DUMMYFUNCTION("""COMPUTED_VALUE"""),0.228617323225085)</f>
        <v>0.22861732322508499</v>
      </c>
      <c r="W457" s="17">
        <f ca="1">IFERROR(__xludf.DUMMYFUNCTION("""COMPUTED_VALUE"""),0.40036366931906)</f>
        <v>0.40036366931905998</v>
      </c>
      <c r="X457" s="17">
        <f ca="1">IFERROR(__xludf.DUMMYFUNCTION("""COMPUTED_VALUE"""),0.372986698471697)</f>
        <v>0.37298669847169702</v>
      </c>
      <c r="Y457" s="17">
        <f ca="1">IFERROR(__xludf.DUMMYFUNCTION("""COMPUTED_VALUE"""),0.404178044018902)</f>
        <v>0.40417804401890201</v>
      </c>
      <c r="Z457" s="17">
        <f ca="1">IFERROR(__xludf.DUMMYFUNCTION("""COMPUTED_VALUE"""),0.351147795392609)</f>
        <v>0.35114779539260899</v>
      </c>
      <c r="AA457" s="17">
        <f ca="1">IFERROR(__xludf.DUMMYFUNCTION("""COMPUTED_VALUE"""),0.181799328429321)</f>
        <v>0.18179932842932101</v>
      </c>
      <c r="AB457" s="17">
        <f ca="1">IFERROR(__xludf.DUMMYFUNCTION("""COMPUTED_VALUE"""),0.414421482878421)</f>
        <v>0.41442148287842101</v>
      </c>
      <c r="AC457" s="17">
        <f ca="1">IFERROR(__xludf.DUMMYFUNCTION("""COMPUTED_VALUE"""),0.76873263688505)</f>
        <v>0.76873263688505</v>
      </c>
      <c r="AD457" s="17">
        <f ca="1">IFERROR(__xludf.DUMMYFUNCTION("""COMPUTED_VALUE"""),0.677789961029308)</f>
        <v>0.677789961029308</v>
      </c>
      <c r="AE457" s="17">
        <f ca="1">IFERROR(__xludf.DUMMYFUNCTION("""COMPUTED_VALUE"""),0.887271961914719)</f>
        <v>0.88727196191471902</v>
      </c>
      <c r="AF457" s="17">
        <f ca="1">IFERROR(__xludf.DUMMYFUNCTION("""COMPUTED_VALUE"""),0.351626517279656)</f>
        <v>0.35162651727965599</v>
      </c>
      <c r="AG457" s="17">
        <f ca="1">IFERROR(__xludf.DUMMYFUNCTION("""COMPUTED_VALUE"""),0.242353444747111)</f>
        <v>0.24235344474711101</v>
      </c>
      <c r="AH457" s="17">
        <f ca="1">IFERROR(__xludf.DUMMYFUNCTION("""COMPUTED_VALUE"""),0.213083766333762)</f>
        <v>0.213083766333762</v>
      </c>
      <c r="AI457" s="17">
        <f ca="1">IFERROR(__xludf.DUMMYFUNCTION("""COMPUTED_VALUE"""),0.204921414080667)</f>
        <v>0.204921414080667</v>
      </c>
      <c r="AJ457" s="17">
        <f ca="1">IFERROR(__xludf.DUMMYFUNCTION("""COMPUTED_VALUE"""),0.253429887941952)</f>
        <v>0.25342988794195198</v>
      </c>
    </row>
    <row r="458" spans="2:36" ht="15.75" customHeight="1" x14ac:dyDescent="0.45">
      <c r="B458" s="10" t="str">
        <f ca="1">IFERROR(__xludf.DUMMYFUNCTION("""COMPUTED_VALUE"""),"InlineSkate")</f>
        <v>InlineSkate</v>
      </c>
      <c r="C458" s="10" t="str">
        <f ca="1">IFERROR(__xludf.DUMMYFUNCTION("""COMPUTED_VALUE"""),"aligned_timestamps")</f>
        <v>aligned_timestamps</v>
      </c>
      <c r="D458" s="10">
        <f ca="1">IFERROR(__xludf.DUMMYFUNCTION("""COMPUTED_VALUE"""),0.2)</f>
        <v>0.2</v>
      </c>
      <c r="E458" s="17">
        <f ca="1">IFERROR(__xludf.DUMMYFUNCTION("""COMPUTED_VALUE"""),0.917626374598428)</f>
        <v>0.917626374598428</v>
      </c>
      <c r="F458" s="17">
        <f ca="1">IFERROR(__xludf.DUMMYFUNCTION("""COMPUTED_VALUE"""),0.81165458497688)</f>
        <v>0.81165458497688003</v>
      </c>
      <c r="G458" s="17">
        <f ca="1">IFERROR(__xludf.DUMMYFUNCTION("""COMPUTED_VALUE"""),0.845554432524638)</f>
        <v>0.84555443252463802</v>
      </c>
      <c r="H458" s="17">
        <f ca="1">IFERROR(__xludf.DUMMYFUNCTION("""COMPUTED_VALUE"""),0.699543247973736)</f>
        <v>0.69954324797373602</v>
      </c>
      <c r="I458" s="17">
        <f ca="1">IFERROR(__xludf.DUMMYFUNCTION("""COMPUTED_VALUE"""),0.432889575217244)</f>
        <v>0.43288957521724403</v>
      </c>
      <c r="J458" s="17">
        <f ca="1">IFERROR(__xludf.DUMMYFUNCTION("""COMPUTED_VALUE"""),0.729231685771765)</f>
        <v>0.729231685771765</v>
      </c>
      <c r="K458" s="17" t="str">
        <f ca="1">IFERROR(__xludf.DUMMYFUNCTION("""COMPUTED_VALUE"""),"nan")</f>
        <v>nan</v>
      </c>
      <c r="L458" s="17">
        <f ca="1">IFERROR(__xludf.DUMMYFUNCTION("""COMPUTED_VALUE"""),0.575221573762737)</f>
        <v>0.57522157376273697</v>
      </c>
      <c r="M458" s="17">
        <f ca="1">IFERROR(__xludf.DUMMYFUNCTION("""COMPUTED_VALUE"""),0.899046580291711)</f>
        <v>0.89904658029171103</v>
      </c>
      <c r="N458" s="17">
        <f ca="1">IFERROR(__xludf.DUMMYFUNCTION("""COMPUTED_VALUE"""),0.877622597777466)</f>
        <v>0.87762259777746598</v>
      </c>
      <c r="O458" s="17">
        <f ca="1">IFERROR(__xludf.DUMMYFUNCTION("""COMPUTED_VALUE"""),0.566720075927527)</f>
        <v>0.56672007592752704</v>
      </c>
      <c r="P458" s="17">
        <f ca="1">IFERROR(__xludf.DUMMYFUNCTION("""COMPUTED_VALUE"""),1.0799388248443)</f>
        <v>1.0799388248443</v>
      </c>
      <c r="Q458" s="17">
        <f ca="1">IFERROR(__xludf.DUMMYFUNCTION("""COMPUTED_VALUE"""),1.2256532956177)</f>
        <v>1.2256532956177</v>
      </c>
      <c r="R458" s="17">
        <f ca="1">IFERROR(__xludf.DUMMYFUNCTION("""COMPUTED_VALUE"""),0.417825445461495)</f>
        <v>0.41782544546149503</v>
      </c>
      <c r="S458" s="17">
        <f ca="1">IFERROR(__xludf.DUMMYFUNCTION("""COMPUTED_VALUE"""),0.546501829157891)</f>
        <v>0.54650182915789103</v>
      </c>
      <c r="T458" s="17">
        <f ca="1">IFERROR(__xludf.DUMMYFUNCTION("""COMPUTED_VALUE"""),0.630361061597247)</f>
        <v>0.63036106159724703</v>
      </c>
      <c r="U458" s="17">
        <f ca="1">IFERROR(__xludf.DUMMYFUNCTION("""COMPUTED_VALUE"""),0.587634271611233)</f>
        <v>0.58763427161123305</v>
      </c>
      <c r="V458" s="17">
        <f ca="1">IFERROR(__xludf.DUMMYFUNCTION("""COMPUTED_VALUE"""),0.356068812231232)</f>
        <v>0.35606881223123199</v>
      </c>
      <c r="W458" s="17">
        <f ca="1">IFERROR(__xludf.DUMMYFUNCTION("""COMPUTED_VALUE"""),0.590390230205924)</f>
        <v>0.59039023020592396</v>
      </c>
      <c r="X458" s="17">
        <f ca="1">IFERROR(__xludf.DUMMYFUNCTION("""COMPUTED_VALUE"""),0.476437945698462)</f>
        <v>0.47643794569846198</v>
      </c>
      <c r="Y458" s="17">
        <f ca="1">IFERROR(__xludf.DUMMYFUNCTION("""COMPUTED_VALUE"""),0.653640123349478)</f>
        <v>0.65364012334947796</v>
      </c>
      <c r="Z458" s="17">
        <f ca="1">IFERROR(__xludf.DUMMYFUNCTION("""COMPUTED_VALUE"""),0.506622279698331)</f>
        <v>0.50662227969833096</v>
      </c>
      <c r="AA458" s="17">
        <f ca="1">IFERROR(__xludf.DUMMYFUNCTION("""COMPUTED_VALUE"""),0.230081575430847)</f>
        <v>0.23008157543084701</v>
      </c>
      <c r="AB458" s="17">
        <f ca="1">IFERROR(__xludf.DUMMYFUNCTION("""COMPUTED_VALUE"""),0.6377698731038)</f>
        <v>0.63776987310379996</v>
      </c>
      <c r="AC458" s="17">
        <f ca="1">IFERROR(__xludf.DUMMYFUNCTION("""COMPUTED_VALUE"""),0.853114631308463)</f>
        <v>0.85311463130846299</v>
      </c>
      <c r="AD458" s="17">
        <f ca="1">IFERROR(__xludf.DUMMYFUNCTION("""COMPUTED_VALUE"""),0.817913896524626)</f>
        <v>0.81791389652462598</v>
      </c>
      <c r="AE458" s="17">
        <f ca="1">IFERROR(__xludf.DUMMYFUNCTION("""COMPUTED_VALUE"""),1.07181232685719)</f>
        <v>1.07181232685719</v>
      </c>
      <c r="AF458" s="17">
        <f ca="1">IFERROR(__xludf.DUMMYFUNCTION("""COMPUTED_VALUE"""),0.548094926061427)</f>
        <v>0.54809492606142696</v>
      </c>
      <c r="AG458" s="17">
        <f ca="1">IFERROR(__xludf.DUMMYFUNCTION("""COMPUTED_VALUE"""),0.363326655104386)</f>
        <v>0.363326655104386</v>
      </c>
      <c r="AH458" s="17">
        <f ca="1">IFERROR(__xludf.DUMMYFUNCTION("""COMPUTED_VALUE"""),0.360511303225321)</f>
        <v>0.36051130322532099</v>
      </c>
      <c r="AI458" s="17">
        <f ca="1">IFERROR(__xludf.DUMMYFUNCTION("""COMPUTED_VALUE"""),0.402837035134995)</f>
        <v>0.40283703513499503</v>
      </c>
      <c r="AJ458" s="17">
        <f ca="1">IFERROR(__xludf.DUMMYFUNCTION("""COMPUTED_VALUE"""),0.371045519136743)</f>
        <v>0.371045519136743</v>
      </c>
    </row>
    <row r="459" spans="2:36" ht="15.75" customHeight="1" x14ac:dyDescent="0.45">
      <c r="B459" s="10" t="str">
        <f ca="1">IFERROR(__xludf.DUMMYFUNCTION("""COMPUTED_VALUE"""),"InlineSkate")</f>
        <v>InlineSkate</v>
      </c>
      <c r="C459" s="10" t="str">
        <f ca="1">IFERROR(__xludf.DUMMYFUNCTION("""COMPUTED_VALUE"""),"aligned_timestamps")</f>
        <v>aligned_timestamps</v>
      </c>
      <c r="D459" s="10">
        <f ca="1">IFERROR(__xludf.DUMMYFUNCTION("""COMPUTED_VALUE"""),0.4)</f>
        <v>0.4</v>
      </c>
      <c r="E459" s="17">
        <f ca="1">IFERROR(__xludf.DUMMYFUNCTION("""COMPUTED_VALUE"""),0.796456526364173)</f>
        <v>0.79645652636417297</v>
      </c>
      <c r="F459" s="17">
        <f ca="1">IFERROR(__xludf.DUMMYFUNCTION("""COMPUTED_VALUE"""),0.744027135999421)</f>
        <v>0.74402713599942105</v>
      </c>
      <c r="G459" s="17">
        <f ca="1">IFERROR(__xludf.DUMMYFUNCTION("""COMPUTED_VALUE"""),0.792054618914901)</f>
        <v>0.79205461891490103</v>
      </c>
      <c r="H459" s="17">
        <f ca="1">IFERROR(__xludf.DUMMYFUNCTION("""COMPUTED_VALUE"""),0.749479966370158)</f>
        <v>0.74947996637015801</v>
      </c>
      <c r="I459" s="17">
        <f ca="1">IFERROR(__xludf.DUMMYFUNCTION("""COMPUTED_VALUE"""),0.437698263386418)</f>
        <v>0.43769826338641799</v>
      </c>
      <c r="J459" s="17">
        <f ca="1">IFERROR(__xludf.DUMMYFUNCTION("""COMPUTED_VALUE"""),0.746604861432344)</f>
        <v>0.74660486143234395</v>
      </c>
      <c r="K459" s="17" t="str">
        <f ca="1">IFERROR(__xludf.DUMMYFUNCTION("""COMPUTED_VALUE"""),"nan")</f>
        <v>nan</v>
      </c>
      <c r="L459" s="17">
        <f ca="1">IFERROR(__xludf.DUMMYFUNCTION("""COMPUTED_VALUE"""),0.591599399882724)</f>
        <v>0.59159939988272403</v>
      </c>
      <c r="M459" s="17">
        <f ca="1">IFERROR(__xludf.DUMMYFUNCTION("""COMPUTED_VALUE"""),0.827894699298584)</f>
        <v>0.82789469929858395</v>
      </c>
      <c r="N459" s="17">
        <f ca="1">IFERROR(__xludf.DUMMYFUNCTION("""COMPUTED_VALUE"""),0.765911391048378)</f>
        <v>0.76591139104837802</v>
      </c>
      <c r="O459" s="17">
        <f ca="1">IFERROR(__xludf.DUMMYFUNCTION("""COMPUTED_VALUE"""),0.673788357352992)</f>
        <v>0.67378835735299203</v>
      </c>
      <c r="P459" s="17">
        <f ca="1">IFERROR(__xludf.DUMMYFUNCTION("""COMPUTED_VALUE"""),1.18678091756455)</f>
        <v>1.1867809175645501</v>
      </c>
      <c r="Q459" s="17">
        <f ca="1">IFERROR(__xludf.DUMMYFUNCTION("""COMPUTED_VALUE"""),1.12077957634089)</f>
        <v>1.1207795763408901</v>
      </c>
      <c r="R459" s="17">
        <f ca="1">IFERROR(__xludf.DUMMYFUNCTION("""COMPUTED_VALUE"""),0.652183499473232)</f>
        <v>0.65218349947323195</v>
      </c>
      <c r="S459" s="17">
        <f ca="1">IFERROR(__xludf.DUMMYFUNCTION("""COMPUTED_VALUE"""),0.891587895358362)</f>
        <v>0.89158789535836203</v>
      </c>
      <c r="T459" s="17">
        <f ca="1">IFERROR(__xludf.DUMMYFUNCTION("""COMPUTED_VALUE"""),0.636672620693247)</f>
        <v>0.63667262069324704</v>
      </c>
      <c r="U459" s="17">
        <f ca="1">IFERROR(__xludf.DUMMYFUNCTION("""COMPUTED_VALUE"""),0.835382413585232)</f>
        <v>0.83538241358523202</v>
      </c>
      <c r="V459" s="17">
        <f ca="1">IFERROR(__xludf.DUMMYFUNCTION("""COMPUTED_VALUE"""),0.675064769135272)</f>
        <v>0.67506476913527202</v>
      </c>
      <c r="W459" s="17">
        <f ca="1">IFERROR(__xludf.DUMMYFUNCTION("""COMPUTED_VALUE"""),0.696043996749136)</f>
        <v>0.69604399674913597</v>
      </c>
      <c r="X459" s="17">
        <f ca="1">IFERROR(__xludf.DUMMYFUNCTION("""COMPUTED_VALUE"""),0.508887605794923)</f>
        <v>0.50888760579492298</v>
      </c>
      <c r="Y459" s="17">
        <f ca="1">IFERROR(__xludf.DUMMYFUNCTION("""COMPUTED_VALUE"""),0.756509488804177)</f>
        <v>0.75650948880417701</v>
      </c>
      <c r="Z459" s="17">
        <f ca="1">IFERROR(__xludf.DUMMYFUNCTION("""COMPUTED_VALUE"""),0.617318643065533)</f>
        <v>0.61731864306553297</v>
      </c>
      <c r="AA459" s="17">
        <f ca="1">IFERROR(__xludf.DUMMYFUNCTION("""COMPUTED_VALUE"""),0.672568609736699)</f>
        <v>0.67256860973669896</v>
      </c>
      <c r="AB459" s="17">
        <f ca="1">IFERROR(__xludf.DUMMYFUNCTION("""COMPUTED_VALUE"""),0.860140098504034)</f>
        <v>0.86014009850403395</v>
      </c>
      <c r="AC459" s="17">
        <f ca="1">IFERROR(__xludf.DUMMYFUNCTION("""COMPUTED_VALUE"""),0.865680077712168)</f>
        <v>0.86568007771216804</v>
      </c>
      <c r="AD459" s="17">
        <f ca="1">IFERROR(__xludf.DUMMYFUNCTION("""COMPUTED_VALUE"""),0.848399983446565)</f>
        <v>0.84839998344656498</v>
      </c>
      <c r="AE459" s="17" t="str">
        <f ca="1">IFERROR(__xludf.DUMMYFUNCTION("""COMPUTED_VALUE"""),"nan")</f>
        <v>nan</v>
      </c>
      <c r="AF459" s="17">
        <f ca="1">IFERROR(__xludf.DUMMYFUNCTION("""COMPUTED_VALUE"""),0.827508247599882)</f>
        <v>0.82750824759988195</v>
      </c>
      <c r="AG459" s="17">
        <f ca="1">IFERROR(__xludf.DUMMYFUNCTION("""COMPUTED_VALUE"""),0.794094460449885)</f>
        <v>0.79409446044988496</v>
      </c>
      <c r="AH459" s="17">
        <f ca="1">IFERROR(__xludf.DUMMYFUNCTION("""COMPUTED_VALUE"""),0.792578992806744)</f>
        <v>0.79257899280674404</v>
      </c>
      <c r="AI459" s="17" t="str">
        <f ca="1">IFERROR(__xludf.DUMMYFUNCTION("""COMPUTED_VALUE"""),"nan")</f>
        <v>nan</v>
      </c>
      <c r="AJ459" s="17">
        <f ca="1">IFERROR(__xludf.DUMMYFUNCTION("""COMPUTED_VALUE"""),0.857873659698169)</f>
        <v>0.85787365969816898</v>
      </c>
    </row>
    <row r="460" spans="2:36" ht="15.75" customHeight="1" x14ac:dyDescent="0.45">
      <c r="B460" s="10" t="str">
        <f ca="1">IFERROR(__xludf.DUMMYFUNCTION("""COMPUTED_VALUE"""),"InlineSkate")</f>
        <v>InlineSkate</v>
      </c>
      <c r="C460" s="10" t="str">
        <f ca="1">IFERROR(__xludf.DUMMYFUNCTION("""COMPUTED_VALUE"""),"aligned_timestamps")</f>
        <v>aligned_timestamps</v>
      </c>
      <c r="D460" s="10">
        <f ca="1">IFERROR(__xludf.DUMMYFUNCTION("""COMPUTED_VALUE"""),0.6)</f>
        <v>0.6</v>
      </c>
      <c r="E460" s="17">
        <f ca="1">IFERROR(__xludf.DUMMYFUNCTION("""COMPUTED_VALUE"""),0.77809798015829)</f>
        <v>0.77809798015829001</v>
      </c>
      <c r="F460" s="17">
        <f ca="1">IFERROR(__xludf.DUMMYFUNCTION("""COMPUTED_VALUE"""),0.821212842780908)</f>
        <v>0.821212842780908</v>
      </c>
      <c r="G460" s="17">
        <f ca="1">IFERROR(__xludf.DUMMYFUNCTION("""COMPUTED_VALUE"""),0.923549004626366)</f>
        <v>0.92354900462636602</v>
      </c>
      <c r="H460" s="17">
        <f ca="1">IFERROR(__xludf.DUMMYFUNCTION("""COMPUTED_VALUE"""),0.873419820254383)</f>
        <v>0.87341982025438303</v>
      </c>
      <c r="I460" s="17">
        <f ca="1">IFERROR(__xludf.DUMMYFUNCTION("""COMPUTED_VALUE"""),0.519920077409656)</f>
        <v>0.51992007740965596</v>
      </c>
      <c r="J460" s="17">
        <f ca="1">IFERROR(__xludf.DUMMYFUNCTION("""COMPUTED_VALUE"""),0.745234644118367)</f>
        <v>0.74523464411836704</v>
      </c>
      <c r="K460" s="17" t="str">
        <f ca="1">IFERROR(__xludf.DUMMYFUNCTION("""COMPUTED_VALUE"""),"nan")</f>
        <v>nan</v>
      </c>
      <c r="L460" s="17">
        <f ca="1">IFERROR(__xludf.DUMMYFUNCTION("""COMPUTED_VALUE"""),0.725269940953402)</f>
        <v>0.72526994095340203</v>
      </c>
      <c r="M460" s="17">
        <f ca="1">IFERROR(__xludf.DUMMYFUNCTION("""COMPUTED_VALUE"""),0.801024508390277)</f>
        <v>0.80102450839027695</v>
      </c>
      <c r="N460" s="17">
        <f ca="1">IFERROR(__xludf.DUMMYFUNCTION("""COMPUTED_VALUE"""),0.793754496207385)</f>
        <v>0.79375449620738503</v>
      </c>
      <c r="O460" s="17">
        <f ca="1">IFERROR(__xludf.DUMMYFUNCTION("""COMPUTED_VALUE"""),0.862123386670344)</f>
        <v>0.86212338667034405</v>
      </c>
      <c r="P460" s="17">
        <f ca="1">IFERROR(__xludf.DUMMYFUNCTION("""COMPUTED_VALUE"""),0.938519825670641)</f>
        <v>0.93851982567064096</v>
      </c>
      <c r="Q460" s="17">
        <f ca="1">IFERROR(__xludf.DUMMYFUNCTION("""COMPUTED_VALUE"""),1.14493476089608)</f>
        <v>1.14493476089608</v>
      </c>
      <c r="R460" s="17">
        <f ca="1">IFERROR(__xludf.DUMMYFUNCTION("""COMPUTED_VALUE"""),1.24443125421604)</f>
        <v>1.2444312542160401</v>
      </c>
      <c r="S460" s="17">
        <f ca="1">IFERROR(__xludf.DUMMYFUNCTION("""COMPUTED_VALUE"""),0.87136009601965)</f>
        <v>0.87136009601965003</v>
      </c>
      <c r="T460" s="17">
        <f ca="1">IFERROR(__xludf.DUMMYFUNCTION("""COMPUTED_VALUE"""),0.63808895707761)</f>
        <v>0.63808895707761004</v>
      </c>
      <c r="U460" s="17">
        <f ca="1">IFERROR(__xludf.DUMMYFUNCTION("""COMPUTED_VALUE"""),0.902008477231269)</f>
        <v>0.90200847723126898</v>
      </c>
      <c r="V460" s="17">
        <f ca="1">IFERROR(__xludf.DUMMYFUNCTION("""COMPUTED_VALUE"""),0.63118138801802)</f>
        <v>0.63118138801802004</v>
      </c>
      <c r="W460" s="17">
        <f ca="1">IFERROR(__xludf.DUMMYFUNCTION("""COMPUTED_VALUE"""),0.785707051402819)</f>
        <v>0.78570705140281905</v>
      </c>
      <c r="X460" s="17">
        <f ca="1">IFERROR(__xludf.DUMMYFUNCTION("""COMPUTED_VALUE"""),0.534315320609579)</f>
        <v>0.53431532060957898</v>
      </c>
      <c r="Y460" s="17">
        <f ca="1">IFERROR(__xludf.DUMMYFUNCTION("""COMPUTED_VALUE"""),0.760978195506413)</f>
        <v>0.76097819550641299</v>
      </c>
      <c r="Z460" s="17">
        <f ca="1">IFERROR(__xludf.DUMMYFUNCTION("""COMPUTED_VALUE"""),0.626223735865361)</f>
        <v>0.62622373586536095</v>
      </c>
      <c r="AA460" s="17">
        <f ca="1">IFERROR(__xludf.DUMMYFUNCTION("""COMPUTED_VALUE"""),1.16425590005041)</f>
        <v>1.16425590005041</v>
      </c>
      <c r="AB460" s="17">
        <f ca="1">IFERROR(__xludf.DUMMYFUNCTION("""COMPUTED_VALUE"""),1.20276092332958)</f>
        <v>1.20276092332958</v>
      </c>
      <c r="AC460" s="17">
        <f ca="1">IFERROR(__xludf.DUMMYFUNCTION("""COMPUTED_VALUE"""),0.853261255201676)</f>
        <v>0.85326125520167595</v>
      </c>
      <c r="AD460" s="17">
        <f ca="1">IFERROR(__xludf.DUMMYFUNCTION("""COMPUTED_VALUE"""),0.850043813476464)</f>
        <v>0.85004381347646396</v>
      </c>
      <c r="AE460" s="17" t="str">
        <f ca="1">IFERROR(__xludf.DUMMYFUNCTION("""COMPUTED_VALUE"""),"nan")</f>
        <v>nan</v>
      </c>
      <c r="AF460" s="17">
        <f ca="1">IFERROR(__xludf.DUMMYFUNCTION("""COMPUTED_VALUE"""),1.17969333327311)</f>
        <v>1.1796933332731101</v>
      </c>
      <c r="AG460" s="17">
        <f ca="1">IFERROR(__xludf.DUMMYFUNCTION("""COMPUTED_VALUE"""),0.897741112126608)</f>
        <v>0.89774111212660801</v>
      </c>
      <c r="AH460" s="17">
        <f ca="1">IFERROR(__xludf.DUMMYFUNCTION("""COMPUTED_VALUE"""),0.841635162154291)</f>
        <v>0.84163516215429102</v>
      </c>
      <c r="AI460" s="17" t="str">
        <f ca="1">IFERROR(__xludf.DUMMYFUNCTION("""COMPUTED_VALUE"""),"nan")</f>
        <v>nan</v>
      </c>
      <c r="AJ460" s="17">
        <f ca="1">IFERROR(__xludf.DUMMYFUNCTION("""COMPUTED_VALUE"""),1.05178425767241)</f>
        <v>1.0517842576724099</v>
      </c>
    </row>
    <row r="461" spans="2:36" ht="15.75" customHeight="1" x14ac:dyDescent="0.45">
      <c r="B461" s="10" t="str">
        <f ca="1">IFERROR(__xludf.DUMMYFUNCTION("""COMPUTED_VALUE"""),"InlineSkate")</f>
        <v>InlineSkate</v>
      </c>
      <c r="C461" s="10" t="str">
        <f ca="1">IFERROR(__xludf.DUMMYFUNCTION("""COMPUTED_VALUE"""),"aligned_timestamps")</f>
        <v>aligned_timestamps</v>
      </c>
      <c r="D461" s="10">
        <f ca="1">IFERROR(__xludf.DUMMYFUNCTION("""COMPUTED_VALUE"""),0.8)</f>
        <v>0.8</v>
      </c>
      <c r="E461" s="17">
        <f ca="1">IFERROR(__xludf.DUMMYFUNCTION("""COMPUTED_VALUE"""),0.829441581026353)</f>
        <v>0.82944158102635301</v>
      </c>
      <c r="F461" s="17">
        <f ca="1">IFERROR(__xludf.DUMMYFUNCTION("""COMPUTED_VALUE"""),1.22815241243921)</f>
        <v>1.22815241243921</v>
      </c>
      <c r="G461" s="17">
        <f ca="1">IFERROR(__xludf.DUMMYFUNCTION("""COMPUTED_VALUE"""),1.61316761940167)</f>
        <v>1.61316761940167</v>
      </c>
      <c r="H461" s="17">
        <f ca="1">IFERROR(__xludf.DUMMYFUNCTION("""COMPUTED_VALUE"""),1.04888039994365)</f>
        <v>1.04888039994365</v>
      </c>
      <c r="I461" s="17">
        <f ca="1">IFERROR(__xludf.DUMMYFUNCTION("""COMPUTED_VALUE"""),0.655343168406641)</f>
        <v>0.65534316840664097</v>
      </c>
      <c r="J461" s="17">
        <f ca="1">IFERROR(__xludf.DUMMYFUNCTION("""COMPUTED_VALUE"""),1.10191965171822)</f>
        <v>1.1019196517182199</v>
      </c>
      <c r="K461" s="17" t="str">
        <f ca="1">IFERROR(__xludf.DUMMYFUNCTION("""COMPUTED_VALUE"""),"nan")</f>
        <v>nan</v>
      </c>
      <c r="L461" s="17">
        <f ca="1">IFERROR(__xludf.DUMMYFUNCTION("""COMPUTED_VALUE"""),1.19020708944093)</f>
        <v>1.19020708944093</v>
      </c>
      <c r="M461" s="17">
        <f ca="1">IFERROR(__xludf.DUMMYFUNCTION("""COMPUTED_VALUE"""),1.51503936219072)</f>
        <v>1.5150393621907201</v>
      </c>
      <c r="N461" s="17">
        <f ca="1">IFERROR(__xludf.DUMMYFUNCTION("""COMPUTED_VALUE"""),0.849543189715107)</f>
        <v>0.84954318971510701</v>
      </c>
      <c r="O461" s="17">
        <f ca="1">IFERROR(__xludf.DUMMYFUNCTION("""COMPUTED_VALUE"""),1.47611602078955)</f>
        <v>1.4761160207895501</v>
      </c>
      <c r="P461" s="17">
        <f ca="1">IFERROR(__xludf.DUMMYFUNCTION("""COMPUTED_VALUE"""),1.26363573366116)</f>
        <v>1.2636357336611601</v>
      </c>
      <c r="Q461" s="17">
        <f ca="1">IFERROR(__xludf.DUMMYFUNCTION("""COMPUTED_VALUE"""),1.22719625844159)</f>
        <v>1.2271962584415901</v>
      </c>
      <c r="R461" s="17">
        <f ca="1">IFERROR(__xludf.DUMMYFUNCTION("""COMPUTED_VALUE"""),0.994319978229399)</f>
        <v>0.99431997822939899</v>
      </c>
      <c r="S461" s="17">
        <f ca="1">IFERROR(__xludf.DUMMYFUNCTION("""COMPUTED_VALUE"""),1.09130317351125)</f>
        <v>1.0913031735112499</v>
      </c>
      <c r="T461" s="17">
        <f ca="1">IFERROR(__xludf.DUMMYFUNCTION("""COMPUTED_VALUE"""),0.699859425145005)</f>
        <v>0.69985942514500499</v>
      </c>
      <c r="U461" s="17">
        <f ca="1">IFERROR(__xludf.DUMMYFUNCTION("""COMPUTED_VALUE"""),0.976000346993686)</f>
        <v>0.97600034699368599</v>
      </c>
      <c r="V461" s="17">
        <f ca="1">IFERROR(__xludf.DUMMYFUNCTION("""COMPUTED_VALUE"""),1.00473102397676)</f>
        <v>1.00473102397676</v>
      </c>
      <c r="W461" s="17">
        <f ca="1">IFERROR(__xludf.DUMMYFUNCTION("""COMPUTED_VALUE"""),1.09078152530533)</f>
        <v>1.0907815253053299</v>
      </c>
      <c r="X461" s="17">
        <f ca="1">IFERROR(__xludf.DUMMYFUNCTION("""COMPUTED_VALUE"""),0.610616347003075)</f>
        <v>0.61061634700307499</v>
      </c>
      <c r="Y461" s="17">
        <f ca="1">IFERROR(__xludf.DUMMYFUNCTION("""COMPUTED_VALUE"""),1.18648510525076)</f>
        <v>1.1864851052507599</v>
      </c>
      <c r="Z461" s="17">
        <f ca="1">IFERROR(__xludf.DUMMYFUNCTION("""COMPUTED_VALUE"""),0.765613101025505)</f>
        <v>0.76561310102550495</v>
      </c>
      <c r="AA461" s="17">
        <f ca="1">IFERROR(__xludf.DUMMYFUNCTION("""COMPUTED_VALUE"""),1.86445398381202)</f>
        <v>1.86445398381202</v>
      </c>
      <c r="AB461" s="17">
        <f ca="1">IFERROR(__xludf.DUMMYFUNCTION("""COMPUTED_VALUE"""),1.27177429896114)</f>
        <v>1.27177429896114</v>
      </c>
      <c r="AC461" s="17">
        <f ca="1">IFERROR(__xludf.DUMMYFUNCTION("""COMPUTED_VALUE"""),0.92253375475906)</f>
        <v>0.92253375475905997</v>
      </c>
      <c r="AD461" s="17">
        <f ca="1">IFERROR(__xludf.DUMMYFUNCTION("""COMPUTED_VALUE"""),0.898968274623184)</f>
        <v>0.89896827462318396</v>
      </c>
      <c r="AE461" s="17" t="str">
        <f ca="1">IFERROR(__xludf.DUMMYFUNCTION("""COMPUTED_VALUE"""),"nan")</f>
        <v>nan</v>
      </c>
      <c r="AF461" s="17">
        <f ca="1">IFERROR(__xludf.DUMMYFUNCTION("""COMPUTED_VALUE"""),1.56812231143072)</f>
        <v>1.5681223114307199</v>
      </c>
      <c r="AG461" s="17">
        <f ca="1">IFERROR(__xludf.DUMMYFUNCTION("""COMPUTED_VALUE"""),0.955522935578363)</f>
        <v>0.95552293557836299</v>
      </c>
      <c r="AH461" s="17">
        <f ca="1">IFERROR(__xludf.DUMMYFUNCTION("""COMPUTED_VALUE"""),0.880838103436639)</f>
        <v>0.88083810343663904</v>
      </c>
      <c r="AI461" s="17" t="str">
        <f ca="1">IFERROR(__xludf.DUMMYFUNCTION("""COMPUTED_VALUE"""),"nan")</f>
        <v>nan</v>
      </c>
      <c r="AJ461" s="17">
        <f ca="1">IFERROR(__xludf.DUMMYFUNCTION("""COMPUTED_VALUE"""),1.05697236396489)</f>
        <v>1.05697236396489</v>
      </c>
    </row>
    <row r="462" spans="2:36" ht="15.75" customHeight="1" x14ac:dyDescent="0.45">
      <c r="B462" s="10" t="str">
        <f ca="1">IFERROR(__xludf.DUMMYFUNCTION("""COMPUTED_VALUE"""),"InlineSkate")</f>
        <v>InlineSkate</v>
      </c>
      <c r="C462" s="10" t="str">
        <f ca="1">IFERROR(__xludf.DUMMYFUNCTION("""COMPUTED_VALUE"""),"mcar")</f>
        <v>mcar</v>
      </c>
      <c r="D462" s="10">
        <f ca="1">IFERROR(__xludf.DUMMYFUNCTION("""COMPUTED_VALUE"""),0.1)</f>
        <v>0.1</v>
      </c>
      <c r="E462" s="17">
        <f ca="1">IFERROR(__xludf.DUMMYFUNCTION("""COMPUTED_VALUE"""),1.11948371917802)</f>
        <v>1.11948371917802</v>
      </c>
      <c r="F462" s="17">
        <f ca="1">IFERROR(__xludf.DUMMYFUNCTION("""COMPUTED_VALUE"""),0.686329830934246)</f>
        <v>0.68632983093424604</v>
      </c>
      <c r="G462" s="17">
        <f ca="1">IFERROR(__xludf.DUMMYFUNCTION("""COMPUTED_VALUE"""),0.687610393957418)</f>
        <v>0.68761039395741796</v>
      </c>
      <c r="H462" s="17">
        <f ca="1">IFERROR(__xludf.DUMMYFUNCTION("""COMPUTED_VALUE"""),0.856708460867396)</f>
        <v>0.85670846086739605</v>
      </c>
      <c r="I462" s="17">
        <f ca="1">IFERROR(__xludf.DUMMYFUNCTION("""COMPUTED_VALUE"""),0.260712995741607)</f>
        <v>0.260712995741607</v>
      </c>
      <c r="J462" s="17">
        <f ca="1">IFERROR(__xludf.DUMMYFUNCTION("""COMPUTED_VALUE"""),0.517481211434325)</f>
        <v>0.51748121143432502</v>
      </c>
      <c r="K462" s="17" t="str">
        <f ca="1">IFERROR(__xludf.DUMMYFUNCTION("""COMPUTED_VALUE"""),"nan")</f>
        <v>nan</v>
      </c>
      <c r="L462" s="17">
        <f ca="1">IFERROR(__xludf.DUMMYFUNCTION("""COMPUTED_VALUE"""),0.416142686775795)</f>
        <v>0.41614268677579502</v>
      </c>
      <c r="M462" s="17">
        <f ca="1">IFERROR(__xludf.DUMMYFUNCTION("""COMPUTED_VALUE"""),0.747227408094153)</f>
        <v>0.747227408094153</v>
      </c>
      <c r="N462" s="17">
        <f ca="1">IFERROR(__xludf.DUMMYFUNCTION("""COMPUTED_VALUE"""),0.599009144883965)</f>
        <v>0.59900914488396495</v>
      </c>
      <c r="O462" s="17">
        <f ca="1">IFERROR(__xludf.DUMMYFUNCTION("""COMPUTED_VALUE"""),0.385778927775328)</f>
        <v>0.38577892777532802</v>
      </c>
      <c r="P462" s="17">
        <f ca="1">IFERROR(__xludf.DUMMYFUNCTION("""COMPUTED_VALUE"""),0.593845596686298)</f>
        <v>0.59384559668629799</v>
      </c>
      <c r="Q462" s="17">
        <f ca="1">IFERROR(__xludf.DUMMYFUNCTION("""COMPUTED_VALUE"""),1.23390528017083)</f>
        <v>1.2339052801708299</v>
      </c>
      <c r="R462" s="17">
        <f ca="1">IFERROR(__xludf.DUMMYFUNCTION("""COMPUTED_VALUE"""),0.144843038022745)</f>
        <v>0.14484303802274501</v>
      </c>
      <c r="S462" s="17">
        <f ca="1">IFERROR(__xludf.DUMMYFUNCTION("""COMPUTED_VALUE"""),0.209806861097626)</f>
        <v>0.209806861097626</v>
      </c>
      <c r="T462" s="17">
        <f ca="1">IFERROR(__xludf.DUMMYFUNCTION("""COMPUTED_VALUE"""),0.233441619356203)</f>
        <v>0.233441619356203</v>
      </c>
      <c r="U462" s="17">
        <f ca="1">IFERROR(__xludf.DUMMYFUNCTION("""COMPUTED_VALUE"""),0.285021778824437)</f>
        <v>0.28502177882443702</v>
      </c>
      <c r="V462" s="17">
        <f ca="1">IFERROR(__xludf.DUMMYFUNCTION("""COMPUTED_VALUE"""),0.891096143316523)</f>
        <v>0.89109614331652298</v>
      </c>
      <c r="W462" s="17">
        <f ca="1">IFERROR(__xludf.DUMMYFUNCTION("""COMPUTED_VALUE"""),0.355824223116001)</f>
        <v>0.35582422311600098</v>
      </c>
      <c r="X462" s="17">
        <f ca="1">IFERROR(__xludf.DUMMYFUNCTION("""COMPUTED_VALUE"""),0.217398508715194)</f>
        <v>0.21739850871519401</v>
      </c>
      <c r="Y462" s="17">
        <f ca="1">IFERROR(__xludf.DUMMYFUNCTION("""COMPUTED_VALUE"""),0.258952287543886)</f>
        <v>0.258952287543886</v>
      </c>
      <c r="Z462" s="17">
        <f ca="1">IFERROR(__xludf.DUMMYFUNCTION("""COMPUTED_VALUE"""),0.290721990813254)</f>
        <v>0.29072199081325401</v>
      </c>
      <c r="AA462" s="17">
        <f ca="1">IFERROR(__xludf.DUMMYFUNCTION("""COMPUTED_VALUE"""),0.06323215494055)</f>
        <v>6.3232154940549998E-2</v>
      </c>
      <c r="AB462" s="17">
        <f ca="1">IFERROR(__xludf.DUMMYFUNCTION("""COMPUTED_VALUE"""),0.417506661963972)</f>
        <v>0.41750666196397201</v>
      </c>
      <c r="AC462" s="17">
        <f ca="1">IFERROR(__xludf.DUMMYFUNCTION("""COMPUTED_VALUE"""),0.359686919727788)</f>
        <v>0.35968691972778799</v>
      </c>
      <c r="AD462" s="17">
        <f ca="1">IFERROR(__xludf.DUMMYFUNCTION("""COMPUTED_VALUE"""),0.213373603878492)</f>
        <v>0.213373603878492</v>
      </c>
      <c r="AE462" s="17">
        <f ca="1">IFERROR(__xludf.DUMMYFUNCTION("""COMPUTED_VALUE"""),1.40238163908598)</f>
        <v>1.40238163908598</v>
      </c>
      <c r="AF462" s="17">
        <f ca="1">IFERROR(__xludf.DUMMYFUNCTION("""COMPUTED_VALUE"""),0.421599387906348)</f>
        <v>0.42159938790634799</v>
      </c>
      <c r="AG462" s="17">
        <f ca="1">IFERROR(__xludf.DUMMYFUNCTION("""COMPUTED_VALUE"""),0.316897212221214)</f>
        <v>0.31689721222121398</v>
      </c>
      <c r="AH462" s="17">
        <f ca="1">IFERROR(__xludf.DUMMYFUNCTION("""COMPUTED_VALUE"""),0.121063803387423)</f>
        <v>0.12106380338742299</v>
      </c>
      <c r="AI462" s="17">
        <f ca="1">IFERROR(__xludf.DUMMYFUNCTION("""COMPUTED_VALUE"""),0.458363255970689)</f>
        <v>0.458363255970689</v>
      </c>
      <c r="AJ462" s="17">
        <f ca="1">IFERROR(__xludf.DUMMYFUNCTION("""COMPUTED_VALUE"""),0.280577214422071)</f>
        <v>0.28057721442207101</v>
      </c>
    </row>
    <row r="463" spans="2:36" ht="15.75" customHeight="1" x14ac:dyDescent="0.45">
      <c r="B463" s="10" t="str">
        <f ca="1">IFERROR(__xludf.DUMMYFUNCTION("""COMPUTED_VALUE"""),"InlineSkate")</f>
        <v>InlineSkate</v>
      </c>
      <c r="C463" s="10" t="str">
        <f ca="1">IFERROR(__xludf.DUMMYFUNCTION("""COMPUTED_VALUE"""),"mcar")</f>
        <v>mcar</v>
      </c>
      <c r="D463" s="10">
        <f ca="1">IFERROR(__xludf.DUMMYFUNCTION("""COMPUTED_VALUE"""),0.2)</f>
        <v>0.2</v>
      </c>
      <c r="E463" s="17">
        <f ca="1">IFERROR(__xludf.DUMMYFUNCTION("""COMPUTED_VALUE"""),1.03530479093177)</f>
        <v>1.0353047909317701</v>
      </c>
      <c r="F463" s="17">
        <f ca="1">IFERROR(__xludf.DUMMYFUNCTION("""COMPUTED_VALUE"""),0.6461584846717)</f>
        <v>0.64615848467170001</v>
      </c>
      <c r="G463" s="17">
        <f ca="1">IFERROR(__xludf.DUMMYFUNCTION("""COMPUTED_VALUE"""),0.646935884957919)</f>
        <v>0.64693588495791898</v>
      </c>
      <c r="H463" s="17">
        <f ca="1">IFERROR(__xludf.DUMMYFUNCTION("""COMPUTED_VALUE"""),0.823616618722656)</f>
        <v>0.82361661872265601</v>
      </c>
      <c r="I463" s="17">
        <f ca="1">IFERROR(__xludf.DUMMYFUNCTION("""COMPUTED_VALUE"""),0.254713868546836)</f>
        <v>0.25471386854683598</v>
      </c>
      <c r="J463" s="17">
        <f ca="1">IFERROR(__xludf.DUMMYFUNCTION("""COMPUTED_VALUE"""),0.472911270057376)</f>
        <v>0.47291127005737599</v>
      </c>
      <c r="K463" s="17" t="str">
        <f ca="1">IFERROR(__xludf.DUMMYFUNCTION("""COMPUTED_VALUE"""),"nan")</f>
        <v>nan</v>
      </c>
      <c r="L463" s="17">
        <f ca="1">IFERROR(__xludf.DUMMYFUNCTION("""COMPUTED_VALUE"""),0.402420335884357)</f>
        <v>0.40242033588435699</v>
      </c>
      <c r="M463" s="17">
        <f ca="1">IFERROR(__xludf.DUMMYFUNCTION("""COMPUTED_VALUE"""),0.650281464616732)</f>
        <v>0.65028146461673197</v>
      </c>
      <c r="N463" s="17">
        <f ca="1">IFERROR(__xludf.DUMMYFUNCTION("""COMPUTED_VALUE"""),0.593543558687585)</f>
        <v>0.59354355868758502</v>
      </c>
      <c r="O463" s="17">
        <f ca="1">IFERROR(__xludf.DUMMYFUNCTION("""COMPUTED_VALUE"""),0.369464832317435)</f>
        <v>0.36946483231743499</v>
      </c>
      <c r="P463" s="17">
        <f ca="1">IFERROR(__xludf.DUMMYFUNCTION("""COMPUTED_VALUE"""),0.547751829347021)</f>
        <v>0.54775182934702105</v>
      </c>
      <c r="Q463" s="17">
        <f ca="1">IFERROR(__xludf.DUMMYFUNCTION("""COMPUTED_VALUE"""),1.17426438476901)</f>
        <v>1.17426438476901</v>
      </c>
      <c r="R463" s="17">
        <f ca="1">IFERROR(__xludf.DUMMYFUNCTION("""COMPUTED_VALUE"""),0.135009955415759)</f>
        <v>0.135009955415759</v>
      </c>
      <c r="S463" s="17">
        <f ca="1">IFERROR(__xludf.DUMMYFUNCTION("""COMPUTED_VALUE"""),0.209533216481291)</f>
        <v>0.209533216481291</v>
      </c>
      <c r="T463" s="17">
        <f ca="1">IFERROR(__xludf.DUMMYFUNCTION("""COMPUTED_VALUE"""),0.227306640248905)</f>
        <v>0.22730664024890501</v>
      </c>
      <c r="U463" s="17">
        <f ca="1">IFERROR(__xludf.DUMMYFUNCTION("""COMPUTED_VALUE"""),0.249170362426613)</f>
        <v>0.249170362426613</v>
      </c>
      <c r="V463" s="17">
        <f ca="1">IFERROR(__xludf.DUMMYFUNCTION("""COMPUTED_VALUE"""),0.820777877743943)</f>
        <v>0.82077787774394295</v>
      </c>
      <c r="W463" s="17">
        <f ca="1">IFERROR(__xludf.DUMMYFUNCTION("""COMPUTED_VALUE"""),0.326075754627522)</f>
        <v>0.32607575462752197</v>
      </c>
      <c r="X463" s="17">
        <f ca="1">IFERROR(__xludf.DUMMYFUNCTION("""COMPUTED_VALUE"""),0.219057550020386)</f>
        <v>0.21905755002038599</v>
      </c>
      <c r="Y463" s="17">
        <f ca="1">IFERROR(__xludf.DUMMYFUNCTION("""COMPUTED_VALUE"""),0.225595869944264)</f>
        <v>0.225595869944264</v>
      </c>
      <c r="Z463" s="17">
        <f ca="1">IFERROR(__xludf.DUMMYFUNCTION("""COMPUTED_VALUE"""),0.245858008340121)</f>
        <v>0.245858008340121</v>
      </c>
      <c r="AA463" s="17">
        <f ca="1">IFERROR(__xludf.DUMMYFUNCTION("""COMPUTED_VALUE"""),0.0657850006632951)</f>
        <v>6.5785000663295096E-2</v>
      </c>
      <c r="AB463" s="17">
        <f ca="1">IFERROR(__xludf.DUMMYFUNCTION("""COMPUTED_VALUE"""),0.328690393011432)</f>
        <v>0.32869039301143199</v>
      </c>
      <c r="AC463" s="17">
        <f ca="1">IFERROR(__xludf.DUMMYFUNCTION("""COMPUTED_VALUE"""),0.305215880030601)</f>
        <v>0.30521588003060102</v>
      </c>
      <c r="AD463" s="17">
        <f ca="1">IFERROR(__xludf.DUMMYFUNCTION("""COMPUTED_VALUE"""),0.196100037340589)</f>
        <v>0.19610003734058901</v>
      </c>
      <c r="AE463" s="17">
        <f ca="1">IFERROR(__xludf.DUMMYFUNCTION("""COMPUTED_VALUE"""),1.41922724685933)</f>
        <v>1.4192272468593301</v>
      </c>
      <c r="AF463" s="17">
        <f ca="1">IFERROR(__xludf.DUMMYFUNCTION("""COMPUTED_VALUE"""),0.44509560776703)</f>
        <v>0.44509560776703</v>
      </c>
      <c r="AG463" s="17">
        <f ca="1">IFERROR(__xludf.DUMMYFUNCTION("""COMPUTED_VALUE"""),0.531592697009205)</f>
        <v>0.53159269700920497</v>
      </c>
      <c r="AH463" s="17">
        <f ca="1">IFERROR(__xludf.DUMMYFUNCTION("""COMPUTED_VALUE"""),0.163502872374251)</f>
        <v>0.16350287237425101</v>
      </c>
      <c r="AI463" s="17">
        <f ca="1">IFERROR(__xludf.DUMMYFUNCTION("""COMPUTED_VALUE"""),0.583592149336752)</f>
        <v>0.58359214933675196</v>
      </c>
      <c r="AJ463" s="17">
        <f ca="1">IFERROR(__xludf.DUMMYFUNCTION("""COMPUTED_VALUE"""),0.547518656476273)</f>
        <v>0.54751865647627296</v>
      </c>
    </row>
    <row r="464" spans="2:36" ht="15.75" customHeight="1" x14ac:dyDescent="0.45">
      <c r="B464" s="10" t="str">
        <f ca="1">IFERROR(__xludf.DUMMYFUNCTION("""COMPUTED_VALUE"""),"InlineSkate")</f>
        <v>InlineSkate</v>
      </c>
      <c r="C464" s="10" t="str">
        <f ca="1">IFERROR(__xludf.DUMMYFUNCTION("""COMPUTED_VALUE"""),"mcar")</f>
        <v>mcar</v>
      </c>
      <c r="D464" s="10">
        <f ca="1">IFERROR(__xludf.DUMMYFUNCTION("""COMPUTED_VALUE"""),0.4)</f>
        <v>0.4</v>
      </c>
      <c r="E464" s="17">
        <f ca="1">IFERROR(__xludf.DUMMYFUNCTION("""COMPUTED_VALUE"""),1.04922950882447)</f>
        <v>1.0492295088244701</v>
      </c>
      <c r="F464" s="17">
        <f ca="1">IFERROR(__xludf.DUMMYFUNCTION("""COMPUTED_VALUE"""),0.687128502445474)</f>
        <v>0.68712850244547397</v>
      </c>
      <c r="G464" s="17">
        <f ca="1">IFERROR(__xludf.DUMMYFUNCTION("""COMPUTED_VALUE"""),0.689406511269556)</f>
        <v>0.68940651126955599</v>
      </c>
      <c r="H464" s="17">
        <f ca="1">IFERROR(__xludf.DUMMYFUNCTION("""COMPUTED_VALUE"""),0.899021680349185)</f>
        <v>0.89902168034918495</v>
      </c>
      <c r="I464" s="17">
        <f ca="1">IFERROR(__xludf.DUMMYFUNCTION("""COMPUTED_VALUE"""),0.383981309836779)</f>
        <v>0.38398130983677897</v>
      </c>
      <c r="J464" s="17">
        <f ca="1">IFERROR(__xludf.DUMMYFUNCTION("""COMPUTED_VALUE"""),0.54587813591643)</f>
        <v>0.54587813591642997</v>
      </c>
      <c r="K464" s="17" t="str">
        <f ca="1">IFERROR(__xludf.DUMMYFUNCTION("""COMPUTED_VALUE"""),"nan")</f>
        <v>nan</v>
      </c>
      <c r="L464" s="17">
        <f ca="1">IFERROR(__xludf.DUMMYFUNCTION("""COMPUTED_VALUE"""),0.44623671646124)</f>
        <v>0.44623671646124002</v>
      </c>
      <c r="M464" s="17">
        <f ca="1">IFERROR(__xludf.DUMMYFUNCTION("""COMPUTED_VALUE"""),0.701201975239103)</f>
        <v>0.70120197523910299</v>
      </c>
      <c r="N464" s="17">
        <f ca="1">IFERROR(__xludf.DUMMYFUNCTION("""COMPUTED_VALUE"""),0.775884165728307)</f>
        <v>0.77588416572830698</v>
      </c>
      <c r="O464" s="17">
        <f ca="1">IFERROR(__xludf.DUMMYFUNCTION("""COMPUTED_VALUE"""),0.430831152860785)</f>
        <v>0.43083115286078499</v>
      </c>
      <c r="P464" s="17">
        <f ca="1">IFERROR(__xludf.DUMMYFUNCTION("""COMPUTED_VALUE"""),0.626733521478528)</f>
        <v>0.62673352147852801</v>
      </c>
      <c r="Q464" s="17">
        <f ca="1">IFERROR(__xludf.DUMMYFUNCTION("""COMPUTED_VALUE"""),1.1820120010626)</f>
        <v>1.1820120010626001</v>
      </c>
      <c r="R464" s="17">
        <f ca="1">IFERROR(__xludf.DUMMYFUNCTION("""COMPUTED_VALUE"""),0.165966632500402)</f>
        <v>0.165966632500402</v>
      </c>
      <c r="S464" s="17">
        <f ca="1">IFERROR(__xludf.DUMMYFUNCTION("""COMPUTED_VALUE"""),0.697172628694491)</f>
        <v>0.69717262869449104</v>
      </c>
      <c r="T464" s="17">
        <f ca="1">IFERROR(__xludf.DUMMYFUNCTION("""COMPUTED_VALUE"""),0.252295241204904)</f>
        <v>0.25229524120490399</v>
      </c>
      <c r="U464" s="17">
        <f ca="1">IFERROR(__xludf.DUMMYFUNCTION("""COMPUTED_VALUE"""),0.370824174860574)</f>
        <v>0.37082417486057401</v>
      </c>
      <c r="V464" s="17">
        <f ca="1">IFERROR(__xludf.DUMMYFUNCTION("""COMPUTED_VALUE"""),0.857287459556185)</f>
        <v>0.85728745955618502</v>
      </c>
      <c r="W464" s="17">
        <f ca="1">IFERROR(__xludf.DUMMYFUNCTION("""COMPUTED_VALUE"""),0.49871693065469)</f>
        <v>0.49871693065469003</v>
      </c>
      <c r="X464" s="17">
        <f ca="1">IFERROR(__xludf.DUMMYFUNCTION("""COMPUTED_VALUE"""),0.269723099341288)</f>
        <v>0.26972309934128802</v>
      </c>
      <c r="Y464" s="17">
        <f ca="1">IFERROR(__xludf.DUMMYFUNCTION("""COMPUTED_VALUE"""),0.336942386737862)</f>
        <v>0.33694238673786198</v>
      </c>
      <c r="Z464" s="17">
        <f ca="1">IFERROR(__xludf.DUMMYFUNCTION("""COMPUTED_VALUE"""),0.311712790163878)</f>
        <v>0.31171279016387798</v>
      </c>
      <c r="AA464" s="17">
        <f ca="1">IFERROR(__xludf.DUMMYFUNCTION("""COMPUTED_VALUE"""),0.0888605929416388)</f>
        <v>8.8860592941638797E-2</v>
      </c>
      <c r="AB464" s="17">
        <f ca="1">IFERROR(__xludf.DUMMYFUNCTION("""COMPUTED_VALUE"""),0.366968968726781)</f>
        <v>0.36696896872678098</v>
      </c>
      <c r="AC464" s="17">
        <f ca="1">IFERROR(__xludf.DUMMYFUNCTION("""COMPUTED_VALUE"""),0.488383503964315)</f>
        <v>0.48838350396431501</v>
      </c>
      <c r="AD464" s="17">
        <f ca="1">IFERROR(__xludf.DUMMYFUNCTION("""COMPUTED_VALUE"""),0.444210055452898)</f>
        <v>0.44421005545289799</v>
      </c>
      <c r="AE464" s="17">
        <f ca="1">IFERROR(__xludf.DUMMYFUNCTION("""COMPUTED_VALUE"""),1.42131909619842)</f>
        <v>1.4213190961984199</v>
      </c>
      <c r="AF464" s="17">
        <f ca="1">IFERROR(__xludf.DUMMYFUNCTION("""COMPUTED_VALUE"""),0.640922288903345)</f>
        <v>0.64092228890334502</v>
      </c>
      <c r="AG464" s="17">
        <f ca="1">IFERROR(__xludf.DUMMYFUNCTION("""COMPUTED_VALUE"""),0.729544091125988)</f>
        <v>0.72954409112598795</v>
      </c>
      <c r="AH464" s="17">
        <f ca="1">IFERROR(__xludf.DUMMYFUNCTION("""COMPUTED_VALUE"""),0.34329702607056)</f>
        <v>0.34329702607056001</v>
      </c>
      <c r="AI464" s="17" t="str">
        <f ca="1">IFERROR(__xludf.DUMMYFUNCTION("""COMPUTED_VALUE"""),"nan")</f>
        <v>nan</v>
      </c>
      <c r="AJ464" s="17">
        <f ca="1">IFERROR(__xludf.DUMMYFUNCTION("""COMPUTED_VALUE"""),0.74401683408419)</f>
        <v>0.74401683408418995</v>
      </c>
    </row>
    <row r="465" spans="2:36" ht="15.75" customHeight="1" x14ac:dyDescent="0.45">
      <c r="B465" s="10" t="str">
        <f ca="1">IFERROR(__xludf.DUMMYFUNCTION("""COMPUTED_VALUE"""),"InlineSkate")</f>
        <v>InlineSkate</v>
      </c>
      <c r="C465" s="10" t="str">
        <f ca="1">IFERROR(__xludf.DUMMYFUNCTION("""COMPUTED_VALUE"""),"mcar")</f>
        <v>mcar</v>
      </c>
      <c r="D465" s="10">
        <f ca="1">IFERROR(__xludf.DUMMYFUNCTION("""COMPUTED_VALUE"""),0.6)</f>
        <v>0.6</v>
      </c>
      <c r="E465" s="17">
        <f ca="1">IFERROR(__xludf.DUMMYFUNCTION("""COMPUTED_VALUE"""),1.02465510171687)</f>
        <v>1.0246551017168699</v>
      </c>
      <c r="F465" s="17">
        <f ca="1">IFERROR(__xludf.DUMMYFUNCTION("""COMPUTED_VALUE"""),0.70876486250185)</f>
        <v>0.70876486250185</v>
      </c>
      <c r="G465" s="17">
        <f ca="1">IFERROR(__xludf.DUMMYFUNCTION("""COMPUTED_VALUE"""),0.715707058583039)</f>
        <v>0.71570705858303896</v>
      </c>
      <c r="H465" s="17">
        <f ca="1">IFERROR(__xludf.DUMMYFUNCTION("""COMPUTED_VALUE"""),0.918606895694895)</f>
        <v>0.91860689569489495</v>
      </c>
      <c r="I465" s="17">
        <f ca="1">IFERROR(__xludf.DUMMYFUNCTION("""COMPUTED_VALUE"""),0.505758069027106)</f>
        <v>0.50575806902710596</v>
      </c>
      <c r="J465" s="17">
        <f ca="1">IFERROR(__xludf.DUMMYFUNCTION("""COMPUTED_VALUE"""),0.594674606262381)</f>
        <v>0.594674606262381</v>
      </c>
      <c r="K465" s="17" t="str">
        <f ca="1">IFERROR(__xludf.DUMMYFUNCTION("""COMPUTED_VALUE"""),"nan")</f>
        <v>nan</v>
      </c>
      <c r="L465" s="17">
        <f ca="1">IFERROR(__xludf.DUMMYFUNCTION("""COMPUTED_VALUE"""),0.505408942581295)</f>
        <v>0.50540894258129498</v>
      </c>
      <c r="M465" s="17">
        <f ca="1">IFERROR(__xludf.DUMMYFUNCTION("""COMPUTED_VALUE"""),0.750533660867728)</f>
        <v>0.75053366086772799</v>
      </c>
      <c r="N465" s="17">
        <f ca="1">IFERROR(__xludf.DUMMYFUNCTION("""COMPUTED_VALUE"""),0.890012659797389)</f>
        <v>0.89001265979738897</v>
      </c>
      <c r="O465" s="17">
        <f ca="1">IFERROR(__xludf.DUMMYFUNCTION("""COMPUTED_VALUE"""),0.489689467706994)</f>
        <v>0.48968946770699401</v>
      </c>
      <c r="P465" s="17">
        <f ca="1">IFERROR(__xludf.DUMMYFUNCTION("""COMPUTED_VALUE"""),0.660889166171323)</f>
        <v>0.66088916617132298</v>
      </c>
      <c r="Q465" s="17">
        <f ca="1">IFERROR(__xludf.DUMMYFUNCTION("""COMPUTED_VALUE"""),1.17170278085614)</f>
        <v>1.17170278085614</v>
      </c>
      <c r="R465" s="17">
        <f ca="1">IFERROR(__xludf.DUMMYFUNCTION("""COMPUTED_VALUE"""),0.225259518519313)</f>
        <v>0.225259518519313</v>
      </c>
      <c r="S465" s="17">
        <f ca="1">IFERROR(__xludf.DUMMYFUNCTION("""COMPUTED_VALUE"""),0.811440649501255)</f>
        <v>0.81144064950125505</v>
      </c>
      <c r="T465" s="17">
        <f ca="1">IFERROR(__xludf.DUMMYFUNCTION("""COMPUTED_VALUE"""),0.376663062528733)</f>
        <v>0.37666306252873299</v>
      </c>
      <c r="U465" s="17">
        <f ca="1">IFERROR(__xludf.DUMMYFUNCTION("""COMPUTED_VALUE"""),0.555463898735113)</f>
        <v>0.55546389873511304</v>
      </c>
      <c r="V465" s="17">
        <f ca="1">IFERROR(__xludf.DUMMYFUNCTION("""COMPUTED_VALUE"""),0.824306069808078)</f>
        <v>0.82430606980807797</v>
      </c>
      <c r="W465" s="17">
        <f ca="1">IFERROR(__xludf.DUMMYFUNCTION("""COMPUTED_VALUE"""),0.651257924144625)</f>
        <v>0.65125792414462502</v>
      </c>
      <c r="X465" s="17">
        <f ca="1">IFERROR(__xludf.DUMMYFUNCTION("""COMPUTED_VALUE"""),0.320335367871571)</f>
        <v>0.32033536787157102</v>
      </c>
      <c r="Y465" s="17">
        <f ca="1">IFERROR(__xludf.DUMMYFUNCTION("""COMPUTED_VALUE"""),0.431290290575365)</f>
        <v>0.431290290575365</v>
      </c>
      <c r="Z465" s="17">
        <f ca="1">IFERROR(__xludf.DUMMYFUNCTION("""COMPUTED_VALUE"""),0.470420030142714)</f>
        <v>0.470420030142714</v>
      </c>
      <c r="AA465" s="17">
        <f ca="1">IFERROR(__xludf.DUMMYFUNCTION("""COMPUTED_VALUE"""),0.150023467623527)</f>
        <v>0.150023467623527</v>
      </c>
      <c r="AB465" s="17">
        <f ca="1">IFERROR(__xludf.DUMMYFUNCTION("""COMPUTED_VALUE"""),0.477710498244788)</f>
        <v>0.47771049824478801</v>
      </c>
      <c r="AC465" s="17">
        <f ca="1">IFERROR(__xludf.DUMMYFUNCTION("""COMPUTED_VALUE"""),0.767924836666295)</f>
        <v>0.76792483666629496</v>
      </c>
      <c r="AD465" s="17">
        <f ca="1">IFERROR(__xludf.DUMMYFUNCTION("""COMPUTED_VALUE"""),0.680933753644674)</f>
        <v>0.68093375364467401</v>
      </c>
      <c r="AE465" s="17">
        <f ca="1">IFERROR(__xludf.DUMMYFUNCTION("""COMPUTED_VALUE"""),1.44793887333097)</f>
        <v>1.4479388733309699</v>
      </c>
      <c r="AF465" s="17">
        <f ca="1">IFERROR(__xludf.DUMMYFUNCTION("""COMPUTED_VALUE"""),0.701453397270082)</f>
        <v>0.70145339727008205</v>
      </c>
      <c r="AG465" s="17">
        <f ca="1">IFERROR(__xludf.DUMMYFUNCTION("""COMPUTED_VALUE"""),1.04228394167253)</f>
        <v>1.04228394167253</v>
      </c>
      <c r="AH465" s="17">
        <f ca="1">IFERROR(__xludf.DUMMYFUNCTION("""COMPUTED_VALUE"""),0.607734678856041)</f>
        <v>0.60773467885604104</v>
      </c>
      <c r="AI465" s="17" t="str">
        <f ca="1">IFERROR(__xludf.DUMMYFUNCTION("""COMPUTED_VALUE"""),"nan")</f>
        <v>nan</v>
      </c>
      <c r="AJ465" s="17">
        <f ca="1">IFERROR(__xludf.DUMMYFUNCTION("""COMPUTED_VALUE"""),1.01186868835634)</f>
        <v>1.0118686883563399</v>
      </c>
    </row>
    <row r="466" spans="2:36" ht="15.75" customHeight="1" x14ac:dyDescent="0.45">
      <c r="B466" s="10" t="str">
        <f ca="1">IFERROR(__xludf.DUMMYFUNCTION("""COMPUTED_VALUE"""),"InlineSkate")</f>
        <v>InlineSkate</v>
      </c>
      <c r="C466" s="10" t="str">
        <f ca="1">IFERROR(__xludf.DUMMYFUNCTION("""COMPUTED_VALUE"""),"mcar")</f>
        <v>mcar</v>
      </c>
      <c r="D466" s="10">
        <f ca="1">IFERROR(__xludf.DUMMYFUNCTION("""COMPUTED_VALUE"""),0.8)</f>
        <v>0.8</v>
      </c>
      <c r="E466" s="17">
        <f ca="1">IFERROR(__xludf.DUMMYFUNCTION("""COMPUTED_VALUE"""),0.994126886977983)</f>
        <v>0.99412688697798302</v>
      </c>
      <c r="F466" s="17">
        <f ca="1">IFERROR(__xludf.DUMMYFUNCTION("""COMPUTED_VALUE"""),0.804200529723645)</f>
        <v>0.80420052972364497</v>
      </c>
      <c r="G466" s="17">
        <f ca="1">IFERROR(__xludf.DUMMYFUNCTION("""COMPUTED_VALUE"""),0.891992358822476)</f>
        <v>0.89199235882247596</v>
      </c>
      <c r="H466" s="17">
        <f ca="1">IFERROR(__xludf.DUMMYFUNCTION("""COMPUTED_VALUE"""),1.04630470859131)</f>
        <v>1.04630470859131</v>
      </c>
      <c r="I466" s="17">
        <f ca="1">IFERROR(__xludf.DUMMYFUNCTION("""COMPUTED_VALUE"""),0.666441764386348)</f>
        <v>0.66644176438634795</v>
      </c>
      <c r="J466" s="17">
        <f ca="1">IFERROR(__xludf.DUMMYFUNCTION("""COMPUTED_VALUE"""),0.804617323963676)</f>
        <v>0.80461732396367602</v>
      </c>
      <c r="K466" s="17" t="str">
        <f ca="1">IFERROR(__xludf.DUMMYFUNCTION("""COMPUTED_VALUE"""),"nan")</f>
        <v>nan</v>
      </c>
      <c r="L466" s="17">
        <f ca="1">IFERROR(__xludf.DUMMYFUNCTION("""COMPUTED_VALUE"""),0.709587071469406)</f>
        <v>0.70958707146940603</v>
      </c>
      <c r="M466" s="17">
        <f ca="1">IFERROR(__xludf.DUMMYFUNCTION("""COMPUTED_VALUE"""),0.874871615081587)</f>
        <v>0.87487161508158695</v>
      </c>
      <c r="N466" s="17">
        <f ca="1">IFERROR(__xludf.DUMMYFUNCTION("""COMPUTED_VALUE"""),0.951104341240226)</f>
        <v>0.95110434124022603</v>
      </c>
      <c r="O466" s="17">
        <f ca="1">IFERROR(__xludf.DUMMYFUNCTION("""COMPUTED_VALUE"""),0.79838722420816)</f>
        <v>0.79838722420816</v>
      </c>
      <c r="P466" s="17">
        <f ca="1">IFERROR(__xludf.DUMMYFUNCTION("""COMPUTED_VALUE"""),0.86115817777323)</f>
        <v>0.86115817777323</v>
      </c>
      <c r="Q466" s="17">
        <f ca="1">IFERROR(__xludf.DUMMYFUNCTION("""COMPUTED_VALUE"""),1.14985651313727)</f>
        <v>1.14985651313727</v>
      </c>
      <c r="R466" s="17">
        <f ca="1">IFERROR(__xludf.DUMMYFUNCTION("""COMPUTED_VALUE"""),0.499533593494142)</f>
        <v>0.499533593494142</v>
      </c>
      <c r="S466" s="17">
        <f ca="1">IFERROR(__xludf.DUMMYFUNCTION("""COMPUTED_VALUE"""),1.37549021051974)</f>
        <v>1.37549021051974</v>
      </c>
      <c r="T466" s="17">
        <f ca="1">IFERROR(__xludf.DUMMYFUNCTION("""COMPUTED_VALUE"""),0.541808101494282)</f>
        <v>0.54180810149428205</v>
      </c>
      <c r="U466" s="17">
        <f ca="1">IFERROR(__xludf.DUMMYFUNCTION("""COMPUTED_VALUE"""),0.855456279569539)</f>
        <v>0.85545627956953896</v>
      </c>
      <c r="V466" s="17">
        <f ca="1">IFERROR(__xludf.DUMMYFUNCTION("""COMPUTED_VALUE"""),0.843016042136845)</f>
        <v>0.843016042136845</v>
      </c>
      <c r="W466" s="17">
        <f ca="1">IFERROR(__xludf.DUMMYFUNCTION("""COMPUTED_VALUE"""),0.805273827055124)</f>
        <v>0.80527382705512396</v>
      </c>
      <c r="X466" s="17">
        <f ca="1">IFERROR(__xludf.DUMMYFUNCTION("""COMPUTED_VALUE"""),0.47723811890265)</f>
        <v>0.47723811890265</v>
      </c>
      <c r="Y466" s="17">
        <f ca="1">IFERROR(__xludf.DUMMYFUNCTION("""COMPUTED_VALUE"""),0.706660941917307)</f>
        <v>0.706660941917307</v>
      </c>
      <c r="Z466" s="17">
        <f ca="1">IFERROR(__xludf.DUMMYFUNCTION("""COMPUTED_VALUE"""),0.669671575225106)</f>
        <v>0.66967157522510601</v>
      </c>
      <c r="AA466" s="17">
        <f ca="1">IFERROR(__xludf.DUMMYFUNCTION("""COMPUTED_VALUE"""),0.997924502800959)</f>
        <v>0.99792450280095901</v>
      </c>
      <c r="AB466" s="17">
        <f ca="1">IFERROR(__xludf.DUMMYFUNCTION("""COMPUTED_VALUE"""),0.824624613517476)</f>
        <v>0.82462461351747596</v>
      </c>
      <c r="AC466" s="17">
        <f ca="1">IFERROR(__xludf.DUMMYFUNCTION("""COMPUTED_VALUE"""),1.02130469592449)</f>
        <v>1.02130469592449</v>
      </c>
      <c r="AD466" s="17">
        <f ca="1">IFERROR(__xludf.DUMMYFUNCTION("""COMPUTED_VALUE"""),1.08038852582959)</f>
        <v>1.08038852582959</v>
      </c>
      <c r="AE466" s="17" t="str">
        <f ca="1">IFERROR(__xludf.DUMMYFUNCTION("""COMPUTED_VALUE"""),"nan")</f>
        <v>nan</v>
      </c>
      <c r="AF466" s="17">
        <f ca="1">IFERROR(__xludf.DUMMYFUNCTION("""COMPUTED_VALUE"""),0.830856504356107)</f>
        <v>0.83085650435610703</v>
      </c>
      <c r="AG466" s="17">
        <f ca="1">IFERROR(__xludf.DUMMYFUNCTION("""COMPUTED_VALUE"""),1.13864543840594)</f>
        <v>1.1386454384059399</v>
      </c>
      <c r="AH466" s="17">
        <f ca="1">IFERROR(__xludf.DUMMYFUNCTION("""COMPUTED_VALUE"""),0.82631553127588)</f>
        <v>0.82631553127587998</v>
      </c>
      <c r="AI466" s="17" t="str">
        <f ca="1">IFERROR(__xludf.DUMMYFUNCTION("""COMPUTED_VALUE"""),"nan")</f>
        <v>nan</v>
      </c>
      <c r="AJ466" s="17">
        <f ca="1">IFERROR(__xludf.DUMMYFUNCTION("""COMPUTED_VALUE"""),1.08183498189496)</f>
        <v>1.08183498189496</v>
      </c>
    </row>
    <row r="467" spans="2:36" ht="15.75" customHeight="1" x14ac:dyDescent="0.45">
      <c r="B467" s="10" t="str">
        <f ca="1">IFERROR(__xludf.DUMMYFUNCTION("""COMPUTED_VALUE"""),"InsectEPGRegularTrain")</f>
        <v>InsectEPGRegularTrain</v>
      </c>
      <c r="C467" s="10" t="str">
        <f ca="1">IFERROR(__xludf.DUMMYFUNCTION("""COMPUTED_VALUE"""),"aligned_series")</f>
        <v>aligned_series</v>
      </c>
      <c r="D467" s="10">
        <f ca="1">IFERROR(__xludf.DUMMYFUNCTION("""COMPUTED_VALUE"""),0.1)</f>
        <v>0.1</v>
      </c>
      <c r="E467" s="17">
        <f ca="1">IFERROR(__xludf.DUMMYFUNCTION("""COMPUTED_VALUE"""),1.04215611540652)</f>
        <v>1.04215611540652</v>
      </c>
      <c r="F467" s="17">
        <f ca="1">IFERROR(__xludf.DUMMYFUNCTION("""COMPUTED_VALUE"""),0.493544037461993)</f>
        <v>0.49354403746199299</v>
      </c>
      <c r="G467" s="17">
        <f ca="1">IFERROR(__xludf.DUMMYFUNCTION("""COMPUTED_VALUE"""),0.51048056794296)</f>
        <v>0.51048056794296004</v>
      </c>
      <c r="H467" s="17">
        <f ca="1">IFERROR(__xludf.DUMMYFUNCTION("""COMPUTED_VALUE"""),0.570706892877766)</f>
        <v>0.57070689287776599</v>
      </c>
      <c r="I467" s="17">
        <f ca="1">IFERROR(__xludf.DUMMYFUNCTION("""COMPUTED_VALUE"""),0.3765818367402)</f>
        <v>0.37658183674020002</v>
      </c>
      <c r="J467" s="17">
        <f ca="1">IFERROR(__xludf.DUMMYFUNCTION("""COMPUTED_VALUE"""),0.337877312227294)</f>
        <v>0.337877312227294</v>
      </c>
      <c r="K467" s="17" t="str">
        <f ca="1">IFERROR(__xludf.DUMMYFUNCTION("""COMPUTED_VALUE"""),"nan")</f>
        <v>nan</v>
      </c>
      <c r="L467" s="17">
        <f ca="1">IFERROR(__xludf.DUMMYFUNCTION("""COMPUTED_VALUE"""),0.321981275896849)</f>
        <v>0.321981275896849</v>
      </c>
      <c r="M467" s="17">
        <f ca="1">IFERROR(__xludf.DUMMYFUNCTION("""COMPUTED_VALUE"""),0.629048235493183)</f>
        <v>0.62904823549318301</v>
      </c>
      <c r="N467" s="17">
        <f ca="1">IFERROR(__xludf.DUMMYFUNCTION("""COMPUTED_VALUE"""),0.696834519469968)</f>
        <v>0.69683451946996799</v>
      </c>
      <c r="O467" s="17">
        <f ca="1">IFERROR(__xludf.DUMMYFUNCTION("""COMPUTED_VALUE"""),0.327493864214696)</f>
        <v>0.32749386421469601</v>
      </c>
      <c r="P467" s="17">
        <f ca="1">IFERROR(__xludf.DUMMYFUNCTION("""COMPUTED_VALUE"""),0.706848543341039)</f>
        <v>0.70684854334103897</v>
      </c>
      <c r="Q467" s="17">
        <f ca="1">IFERROR(__xludf.DUMMYFUNCTION("""COMPUTED_VALUE"""),0.937913172714635)</f>
        <v>0.93791317271463504</v>
      </c>
      <c r="R467" s="17">
        <f ca="1">IFERROR(__xludf.DUMMYFUNCTION("""COMPUTED_VALUE"""),0.341054462032378)</f>
        <v>0.34105446203237799</v>
      </c>
      <c r="S467" s="17">
        <f ca="1">IFERROR(__xludf.DUMMYFUNCTION("""COMPUTED_VALUE"""),0.372117110708402)</f>
        <v>0.37211711070840198</v>
      </c>
      <c r="T467" s="17">
        <f ca="1">IFERROR(__xludf.DUMMYFUNCTION("""COMPUTED_VALUE"""),0.427690873170782)</f>
        <v>0.42769087317078203</v>
      </c>
      <c r="U467" s="17">
        <f ca="1">IFERROR(__xludf.DUMMYFUNCTION("""COMPUTED_VALUE"""),0.615169585406566)</f>
        <v>0.61516958540656597</v>
      </c>
      <c r="V467" s="17">
        <f ca="1">IFERROR(__xludf.DUMMYFUNCTION("""COMPUTED_VALUE"""),0.342837919314074)</f>
        <v>0.34283791931407398</v>
      </c>
      <c r="W467" s="17">
        <f ca="1">IFERROR(__xludf.DUMMYFUNCTION("""COMPUTED_VALUE"""),0.802625227366964)</f>
        <v>0.80262522736696396</v>
      </c>
      <c r="X467" s="17">
        <f ca="1">IFERROR(__xludf.DUMMYFUNCTION("""COMPUTED_VALUE"""),0.47429999383766)</f>
        <v>0.47429999383765997</v>
      </c>
      <c r="Y467" s="17">
        <f ca="1">IFERROR(__xludf.DUMMYFUNCTION("""COMPUTED_VALUE"""),0.450549827325441)</f>
        <v>0.45054982732544102</v>
      </c>
      <c r="Z467" s="17">
        <f ca="1">IFERROR(__xludf.DUMMYFUNCTION("""COMPUTED_VALUE"""),0.543693576657479)</f>
        <v>0.54369357665747897</v>
      </c>
      <c r="AA467" s="17">
        <f ca="1">IFERROR(__xludf.DUMMYFUNCTION("""COMPUTED_VALUE"""),0.528052647916858)</f>
        <v>0.52805264791685802</v>
      </c>
      <c r="AB467" s="17">
        <f ca="1">IFERROR(__xludf.DUMMYFUNCTION("""COMPUTED_VALUE"""),0.379483457902787)</f>
        <v>0.37948345790278698</v>
      </c>
      <c r="AC467" s="17">
        <f ca="1">IFERROR(__xludf.DUMMYFUNCTION("""COMPUTED_VALUE"""),0.866625635876449)</f>
        <v>0.86662563587644903</v>
      </c>
      <c r="AD467" s="17">
        <f ca="1">IFERROR(__xludf.DUMMYFUNCTION("""COMPUTED_VALUE"""),0.761122817744108)</f>
        <v>0.76112281774410795</v>
      </c>
      <c r="AE467" s="17">
        <f ca="1">IFERROR(__xludf.DUMMYFUNCTION("""COMPUTED_VALUE"""),0.85152538004908)</f>
        <v>0.85152538004907996</v>
      </c>
      <c r="AF467" s="17">
        <f ca="1">IFERROR(__xludf.DUMMYFUNCTION("""COMPUTED_VALUE"""),0.319349678115707)</f>
        <v>0.31934967811570703</v>
      </c>
      <c r="AG467" s="17">
        <f ca="1">IFERROR(__xludf.DUMMYFUNCTION("""COMPUTED_VALUE"""),0.48946229662176)</f>
        <v>0.48946229662176</v>
      </c>
      <c r="AH467" s="17">
        <f ca="1">IFERROR(__xludf.DUMMYFUNCTION("""COMPUTED_VALUE"""),0.422589760951443)</f>
        <v>0.42258976095144302</v>
      </c>
      <c r="AI467" s="17">
        <f ca="1">IFERROR(__xludf.DUMMYFUNCTION("""COMPUTED_VALUE"""),0.441757312374562)</f>
        <v>0.44175731237456201</v>
      </c>
      <c r="AJ467" s="17">
        <f ca="1">IFERROR(__xludf.DUMMYFUNCTION("""COMPUTED_VALUE"""),0.43807000446508)</f>
        <v>0.43807000446507999</v>
      </c>
    </row>
    <row r="468" spans="2:36" ht="15.75" customHeight="1" x14ac:dyDescent="0.45">
      <c r="B468" s="10" t="str">
        <f ca="1">IFERROR(__xludf.DUMMYFUNCTION("""COMPUTED_VALUE"""),"InsectEPGRegularTrain")</f>
        <v>InsectEPGRegularTrain</v>
      </c>
      <c r="C468" s="10" t="str">
        <f ca="1">IFERROR(__xludf.DUMMYFUNCTION("""COMPUTED_VALUE"""),"aligned_series")</f>
        <v>aligned_series</v>
      </c>
      <c r="D468" s="10">
        <f ca="1">IFERROR(__xludf.DUMMYFUNCTION("""COMPUTED_VALUE"""),0.2)</f>
        <v>0.2</v>
      </c>
      <c r="E468" s="17">
        <f ca="1">IFERROR(__xludf.DUMMYFUNCTION("""COMPUTED_VALUE"""),1.04418175769715)</f>
        <v>1.0441817576971499</v>
      </c>
      <c r="F468" s="17">
        <f ca="1">IFERROR(__xludf.DUMMYFUNCTION("""COMPUTED_VALUE"""),0.799861860846397)</f>
        <v>0.79986186084639699</v>
      </c>
      <c r="G468" s="17">
        <f ca="1">IFERROR(__xludf.DUMMYFUNCTION("""COMPUTED_VALUE"""),0.883670775718864)</f>
        <v>0.88367077571886399</v>
      </c>
      <c r="H468" s="17">
        <f ca="1">IFERROR(__xludf.DUMMYFUNCTION("""COMPUTED_VALUE"""),0.659051128356327)</f>
        <v>0.65905112835632695</v>
      </c>
      <c r="I468" s="17">
        <f ca="1">IFERROR(__xludf.DUMMYFUNCTION("""COMPUTED_VALUE"""),0.568552400213117)</f>
        <v>0.56855240021311704</v>
      </c>
      <c r="J468" s="17">
        <f ca="1">IFERROR(__xludf.DUMMYFUNCTION("""COMPUTED_VALUE"""),0.643403818255997)</f>
        <v>0.64340381825599702</v>
      </c>
      <c r="K468" s="17" t="str">
        <f ca="1">IFERROR(__xludf.DUMMYFUNCTION("""COMPUTED_VALUE"""),"nan")</f>
        <v>nan</v>
      </c>
      <c r="L468" s="17">
        <f ca="1">IFERROR(__xludf.DUMMYFUNCTION("""COMPUTED_VALUE"""),0.567731629641419)</f>
        <v>0.56773162964141899</v>
      </c>
      <c r="M468" s="17">
        <f ca="1">IFERROR(__xludf.DUMMYFUNCTION("""COMPUTED_VALUE"""),0.875743834633872)</f>
        <v>0.87574383463387195</v>
      </c>
      <c r="N468" s="17">
        <f ca="1">IFERROR(__xludf.DUMMYFUNCTION("""COMPUTED_VALUE"""),0.876586458488437)</f>
        <v>0.87658645848843697</v>
      </c>
      <c r="O468" s="17">
        <f ca="1">IFERROR(__xludf.DUMMYFUNCTION("""COMPUTED_VALUE"""),0.532138709877523)</f>
        <v>0.53213870987752299</v>
      </c>
      <c r="P468" s="17">
        <f ca="1">IFERROR(__xludf.DUMMYFUNCTION("""COMPUTED_VALUE"""),0.788339876918459)</f>
        <v>0.78833987691845897</v>
      </c>
      <c r="Q468" s="17">
        <f ca="1">IFERROR(__xludf.DUMMYFUNCTION("""COMPUTED_VALUE"""),1.12228348088753)</f>
        <v>1.1222834808875299</v>
      </c>
      <c r="R468" s="17">
        <f ca="1">IFERROR(__xludf.DUMMYFUNCTION("""COMPUTED_VALUE"""),0.756129089818434)</f>
        <v>0.75612908981843396</v>
      </c>
      <c r="S468" s="17">
        <f ca="1">IFERROR(__xludf.DUMMYFUNCTION("""COMPUTED_VALUE"""),0.388807361540922)</f>
        <v>0.38880736154092199</v>
      </c>
      <c r="T468" s="17">
        <f ca="1">IFERROR(__xludf.DUMMYFUNCTION("""COMPUTED_VALUE"""),0.508443339572409)</f>
        <v>0.50844333957240895</v>
      </c>
      <c r="U468" s="17">
        <f ca="1">IFERROR(__xludf.DUMMYFUNCTION("""COMPUTED_VALUE"""),0.560151986169716)</f>
        <v>0.56015198616971595</v>
      </c>
      <c r="V468" s="17">
        <f ca="1">IFERROR(__xludf.DUMMYFUNCTION("""COMPUTED_VALUE"""),0.470734848789234)</f>
        <v>0.47073484878923399</v>
      </c>
      <c r="W468" s="17">
        <f ca="1">IFERROR(__xludf.DUMMYFUNCTION("""COMPUTED_VALUE"""),0.771486501595367)</f>
        <v>0.77148650159536702</v>
      </c>
      <c r="X468" s="17">
        <f ca="1">IFERROR(__xludf.DUMMYFUNCTION("""COMPUTED_VALUE"""),0.574960287343078)</f>
        <v>0.57496028734307802</v>
      </c>
      <c r="Y468" s="17">
        <f ca="1">IFERROR(__xludf.DUMMYFUNCTION("""COMPUTED_VALUE"""),0.605769709844978)</f>
        <v>0.60576970984497802</v>
      </c>
      <c r="Z468" s="17">
        <f ca="1">IFERROR(__xludf.DUMMYFUNCTION("""COMPUTED_VALUE"""),0.515248418348431)</f>
        <v>0.51524841834843105</v>
      </c>
      <c r="AA468" s="17">
        <f ca="1">IFERROR(__xludf.DUMMYFUNCTION("""COMPUTED_VALUE"""),0.649193124523093)</f>
        <v>0.64919312452309297</v>
      </c>
      <c r="AB468" s="17">
        <f ca="1">IFERROR(__xludf.DUMMYFUNCTION("""COMPUTED_VALUE"""),0.663600122957578)</f>
        <v>0.66360012295757798</v>
      </c>
      <c r="AC468" s="17">
        <f ca="1">IFERROR(__xludf.DUMMYFUNCTION("""COMPUTED_VALUE"""),0.839289442988183)</f>
        <v>0.83928944298818298</v>
      </c>
      <c r="AD468" s="17">
        <f ca="1">IFERROR(__xludf.DUMMYFUNCTION("""COMPUTED_VALUE"""),0.730343072565056)</f>
        <v>0.73034307256505604</v>
      </c>
      <c r="AE468" s="17">
        <f ca="1">IFERROR(__xludf.DUMMYFUNCTION("""COMPUTED_VALUE"""),0.921843361997605)</f>
        <v>0.92184336199760497</v>
      </c>
      <c r="AF468" s="17">
        <f ca="1">IFERROR(__xludf.DUMMYFUNCTION("""COMPUTED_VALUE"""),0.616090730478439)</f>
        <v>0.61609073047843899</v>
      </c>
      <c r="AG468" s="17">
        <f ca="1">IFERROR(__xludf.DUMMYFUNCTION("""COMPUTED_VALUE"""),0.5747523614307)</f>
        <v>0.57475236143069997</v>
      </c>
      <c r="AH468" s="17">
        <f ca="1">IFERROR(__xludf.DUMMYFUNCTION("""COMPUTED_VALUE"""),0.606229459390977)</f>
        <v>0.60622945939097705</v>
      </c>
      <c r="AI468" s="17">
        <f ca="1">IFERROR(__xludf.DUMMYFUNCTION("""COMPUTED_VALUE"""),0.618026621625842)</f>
        <v>0.61802662162584199</v>
      </c>
      <c r="AJ468" s="17">
        <f ca="1">IFERROR(__xludf.DUMMYFUNCTION("""COMPUTED_VALUE"""),0.576517651279448)</f>
        <v>0.57651765127944798</v>
      </c>
    </row>
    <row r="469" spans="2:36" ht="15.75" customHeight="1" x14ac:dyDescent="0.45">
      <c r="B469" s="10" t="str">
        <f ca="1">IFERROR(__xludf.DUMMYFUNCTION("""COMPUTED_VALUE"""),"InsectEPGRegularTrain")</f>
        <v>InsectEPGRegularTrain</v>
      </c>
      <c r="C469" s="10" t="str">
        <f ca="1">IFERROR(__xludf.DUMMYFUNCTION("""COMPUTED_VALUE"""),"aligned_series")</f>
        <v>aligned_series</v>
      </c>
      <c r="D469" s="10">
        <f ca="1">IFERROR(__xludf.DUMMYFUNCTION("""COMPUTED_VALUE"""),0.4)</f>
        <v>0.4</v>
      </c>
      <c r="E469" s="17">
        <f ca="1">IFERROR(__xludf.DUMMYFUNCTION("""COMPUTED_VALUE"""),1.17726520195964)</f>
        <v>1.1772652019596399</v>
      </c>
      <c r="F469" s="17">
        <f ca="1">IFERROR(__xludf.DUMMYFUNCTION("""COMPUTED_VALUE"""),0.67175653191472)</f>
        <v>0.67175653191471996</v>
      </c>
      <c r="G469" s="17">
        <f ca="1">IFERROR(__xludf.DUMMYFUNCTION("""COMPUTED_VALUE"""),0.701774595736503)</f>
        <v>0.70177459573650303</v>
      </c>
      <c r="H469" s="17">
        <f ca="1">IFERROR(__xludf.DUMMYFUNCTION("""COMPUTED_VALUE"""),0.592645654614311)</f>
        <v>0.59264565461431096</v>
      </c>
      <c r="I469" s="17">
        <f ca="1">IFERROR(__xludf.DUMMYFUNCTION("""COMPUTED_VALUE"""),0.655625066961335)</f>
        <v>0.65562506696133505</v>
      </c>
      <c r="J469" s="17">
        <f ca="1">IFERROR(__xludf.DUMMYFUNCTION("""COMPUTED_VALUE"""),0.523403210521459)</f>
        <v>0.52340321052145899</v>
      </c>
      <c r="K469" s="17" t="str">
        <f ca="1">IFERROR(__xludf.DUMMYFUNCTION("""COMPUTED_VALUE"""),"nan")</f>
        <v>nan</v>
      </c>
      <c r="L469" s="17">
        <f ca="1">IFERROR(__xludf.DUMMYFUNCTION("""COMPUTED_VALUE"""),0.495007128978369)</f>
        <v>0.49500712897836902</v>
      </c>
      <c r="M469" s="17">
        <f ca="1">IFERROR(__xludf.DUMMYFUNCTION("""COMPUTED_VALUE"""),0.741321620168787)</f>
        <v>0.741321620168787</v>
      </c>
      <c r="N469" s="17">
        <f ca="1">IFERROR(__xludf.DUMMYFUNCTION("""COMPUTED_VALUE"""),0.67545788111288)</f>
        <v>0.67545788111287997</v>
      </c>
      <c r="O469" s="17">
        <f ca="1">IFERROR(__xludf.DUMMYFUNCTION("""COMPUTED_VALUE"""),0.519833750728542)</f>
        <v>0.51983375072854199</v>
      </c>
      <c r="P469" s="17">
        <f ca="1">IFERROR(__xludf.DUMMYFUNCTION("""COMPUTED_VALUE"""),0.879903103027171)</f>
        <v>0.87990310302717101</v>
      </c>
      <c r="Q469" s="17">
        <f ca="1">IFERROR(__xludf.DUMMYFUNCTION("""COMPUTED_VALUE"""),0.951959927294274)</f>
        <v>0.95195992729427403</v>
      </c>
      <c r="R469" s="17">
        <f ca="1">IFERROR(__xludf.DUMMYFUNCTION("""COMPUTED_VALUE"""),0.820774172399189)</f>
        <v>0.82077417239918904</v>
      </c>
      <c r="S469" s="17">
        <f ca="1">IFERROR(__xludf.DUMMYFUNCTION("""COMPUTED_VALUE"""),0.675176867049304)</f>
        <v>0.67517686704930402</v>
      </c>
      <c r="T469" s="17">
        <f ca="1">IFERROR(__xludf.DUMMYFUNCTION("""COMPUTED_VALUE"""),0.720543758478113)</f>
        <v>0.72054375847811303</v>
      </c>
      <c r="U469" s="17">
        <f ca="1">IFERROR(__xludf.DUMMYFUNCTION("""COMPUTED_VALUE"""),0.574728883420372)</f>
        <v>0.57472888342037198</v>
      </c>
      <c r="V469" s="17">
        <f ca="1">IFERROR(__xludf.DUMMYFUNCTION("""COMPUTED_VALUE"""),0.658033397098438)</f>
        <v>0.658033397098438</v>
      </c>
      <c r="W469" s="17">
        <f ca="1">IFERROR(__xludf.DUMMYFUNCTION("""COMPUTED_VALUE"""),0.826376202744129)</f>
        <v>0.82637620274412904</v>
      </c>
      <c r="X469" s="17">
        <f ca="1">IFERROR(__xludf.DUMMYFUNCTION("""COMPUTED_VALUE"""),0.604406175966801)</f>
        <v>0.60440617596680102</v>
      </c>
      <c r="Y469" s="17">
        <f ca="1">IFERROR(__xludf.DUMMYFUNCTION("""COMPUTED_VALUE"""),0.577519010494034)</f>
        <v>0.57751901049403398</v>
      </c>
      <c r="Z469" s="17">
        <f ca="1">IFERROR(__xludf.DUMMYFUNCTION("""COMPUTED_VALUE"""),0.684405150476635)</f>
        <v>0.68440515047663497</v>
      </c>
      <c r="AA469" s="17">
        <f ca="1">IFERROR(__xludf.DUMMYFUNCTION("""COMPUTED_VALUE"""),0.52563931668651)</f>
        <v>0.52563931668650998</v>
      </c>
      <c r="AB469" s="17">
        <f ca="1">IFERROR(__xludf.DUMMYFUNCTION("""COMPUTED_VALUE"""),1.42753254772084)</f>
        <v>1.42753254772084</v>
      </c>
      <c r="AC469" s="17">
        <f ca="1">IFERROR(__xludf.DUMMYFUNCTION("""COMPUTED_VALUE"""),0.800801670565028)</f>
        <v>0.80080167056502805</v>
      </c>
      <c r="AD469" s="17">
        <f ca="1">IFERROR(__xludf.DUMMYFUNCTION("""COMPUTED_VALUE"""),0.693575658390516)</f>
        <v>0.69357565839051605</v>
      </c>
      <c r="AE469" s="17">
        <f ca="1">IFERROR(__xludf.DUMMYFUNCTION("""COMPUTED_VALUE"""),0.9961258297512)</f>
        <v>0.99612582975120001</v>
      </c>
      <c r="AF469" s="17">
        <f ca="1">IFERROR(__xludf.DUMMYFUNCTION("""COMPUTED_VALUE"""),0.631428330418931)</f>
        <v>0.63142833041893098</v>
      </c>
      <c r="AG469" s="17">
        <f ca="1">IFERROR(__xludf.DUMMYFUNCTION("""COMPUTED_VALUE"""),0.699651615272837)</f>
        <v>0.69965161527283704</v>
      </c>
      <c r="AH469" s="17">
        <f ca="1">IFERROR(__xludf.DUMMYFUNCTION("""COMPUTED_VALUE"""),0.669440120133368)</f>
        <v>0.66944012013336796</v>
      </c>
      <c r="AI469" s="17">
        <f ca="1">IFERROR(__xludf.DUMMYFUNCTION("""COMPUTED_VALUE"""),0.684280330090327)</f>
        <v>0.68428033009032696</v>
      </c>
      <c r="AJ469" s="17">
        <f ca="1">IFERROR(__xludf.DUMMYFUNCTION("""COMPUTED_VALUE"""),0.66027905627599)</f>
        <v>0.66027905627599004</v>
      </c>
    </row>
    <row r="470" spans="2:36" ht="15.75" customHeight="1" x14ac:dyDescent="0.45">
      <c r="B470" s="10" t="str">
        <f ca="1">IFERROR(__xludf.DUMMYFUNCTION("""COMPUTED_VALUE"""),"InsectEPGRegularTrain")</f>
        <v>InsectEPGRegularTrain</v>
      </c>
      <c r="C470" s="10" t="str">
        <f ca="1">IFERROR(__xludf.DUMMYFUNCTION("""COMPUTED_VALUE"""),"aligned_series")</f>
        <v>aligned_series</v>
      </c>
      <c r="D470" s="10">
        <f ca="1">IFERROR(__xludf.DUMMYFUNCTION("""COMPUTED_VALUE"""),0.6)</f>
        <v>0.6</v>
      </c>
      <c r="E470" s="17">
        <f ca="1">IFERROR(__xludf.DUMMYFUNCTION("""COMPUTED_VALUE"""),1.15749351006293)</f>
        <v>1.15749351006293</v>
      </c>
      <c r="F470" s="17">
        <f ca="1">IFERROR(__xludf.DUMMYFUNCTION("""COMPUTED_VALUE"""),0.732563762122815)</f>
        <v>0.73256376212281504</v>
      </c>
      <c r="G470" s="17">
        <f ca="1">IFERROR(__xludf.DUMMYFUNCTION("""COMPUTED_VALUE"""),0.939116993321215)</f>
        <v>0.93911699332121501</v>
      </c>
      <c r="H470" s="17">
        <f ca="1">IFERROR(__xludf.DUMMYFUNCTION("""COMPUTED_VALUE"""),0.560489113527722)</f>
        <v>0.56048911352772202</v>
      </c>
      <c r="I470" s="17">
        <f ca="1">IFERROR(__xludf.DUMMYFUNCTION("""COMPUTED_VALUE"""),0.692803968436834)</f>
        <v>0.69280396843683401</v>
      </c>
      <c r="J470" s="17">
        <f ca="1">IFERROR(__xludf.DUMMYFUNCTION("""COMPUTED_VALUE"""),0.498517540493771)</f>
        <v>0.49851754049377101</v>
      </c>
      <c r="K470" s="17" t="str">
        <f ca="1">IFERROR(__xludf.DUMMYFUNCTION("""COMPUTED_VALUE"""),"nan")</f>
        <v>nan</v>
      </c>
      <c r="L470" s="17">
        <f ca="1">IFERROR(__xludf.DUMMYFUNCTION("""COMPUTED_VALUE"""),0.52340153608596)</f>
        <v>0.52340153608595996</v>
      </c>
      <c r="M470" s="17">
        <f ca="1">IFERROR(__xludf.DUMMYFUNCTION("""COMPUTED_VALUE"""),0.75768222963138)</f>
        <v>0.75768222963137999</v>
      </c>
      <c r="N470" s="17">
        <f ca="1">IFERROR(__xludf.DUMMYFUNCTION("""COMPUTED_VALUE"""),0.679828877935142)</f>
        <v>0.67982887793514202</v>
      </c>
      <c r="O470" s="17">
        <f ca="1">IFERROR(__xludf.DUMMYFUNCTION("""COMPUTED_VALUE"""),0.516555405238911)</f>
        <v>0.51655540523891097</v>
      </c>
      <c r="P470" s="17">
        <f ca="1">IFERROR(__xludf.DUMMYFUNCTION("""COMPUTED_VALUE"""),0.852228189956454)</f>
        <v>0.852228189956454</v>
      </c>
      <c r="Q470" s="17">
        <f ca="1">IFERROR(__xludf.DUMMYFUNCTION("""COMPUTED_VALUE"""),1.14502325456259)</f>
        <v>1.14502325456259</v>
      </c>
      <c r="R470" s="17">
        <f ca="1">IFERROR(__xludf.DUMMYFUNCTION("""COMPUTED_VALUE"""),0.850554122475343)</f>
        <v>0.85055412247534301</v>
      </c>
      <c r="S470" s="17">
        <f ca="1">IFERROR(__xludf.DUMMYFUNCTION("""COMPUTED_VALUE"""),0.752205543238943)</f>
        <v>0.75220554323894295</v>
      </c>
      <c r="T470" s="17">
        <f ca="1">IFERROR(__xludf.DUMMYFUNCTION("""COMPUTED_VALUE"""),0.576301129491321)</f>
        <v>0.57630112949132095</v>
      </c>
      <c r="U470" s="17">
        <f ca="1">IFERROR(__xludf.DUMMYFUNCTION("""COMPUTED_VALUE"""),0.557471714025167)</f>
        <v>0.55747171402516704</v>
      </c>
      <c r="V470" s="17">
        <f ca="1">IFERROR(__xludf.DUMMYFUNCTION("""COMPUTED_VALUE"""),0.677642208780807)</f>
        <v>0.67764220878080705</v>
      </c>
      <c r="W470" s="17">
        <f ca="1">IFERROR(__xludf.DUMMYFUNCTION("""COMPUTED_VALUE"""),0.67202373913022)</f>
        <v>0.67202373913021995</v>
      </c>
      <c r="X470" s="17">
        <f ca="1">IFERROR(__xludf.DUMMYFUNCTION("""COMPUTED_VALUE"""),3.88146086923643)</f>
        <v>3.8814608692364301</v>
      </c>
      <c r="Y470" s="17">
        <f ca="1">IFERROR(__xludf.DUMMYFUNCTION("""COMPUTED_VALUE"""),0.538583482517203)</f>
        <v>0.538583482517203</v>
      </c>
      <c r="Z470" s="17">
        <f ca="1">IFERROR(__xludf.DUMMYFUNCTION("""COMPUTED_VALUE"""),0.60104692234143)</f>
        <v>0.60104692234142998</v>
      </c>
      <c r="AA470" s="17">
        <f ca="1">IFERROR(__xludf.DUMMYFUNCTION("""COMPUTED_VALUE"""),0.466323343904859)</f>
        <v>0.46632334390485902</v>
      </c>
      <c r="AB470" s="17">
        <f ca="1">IFERROR(__xludf.DUMMYFUNCTION("""COMPUTED_VALUE"""),2.343641137859)</f>
        <v>2.3436411378590001</v>
      </c>
      <c r="AC470" s="17">
        <f ca="1">IFERROR(__xludf.DUMMYFUNCTION("""COMPUTED_VALUE"""),0.825073906183046)</f>
        <v>0.82507390618304599</v>
      </c>
      <c r="AD470" s="17">
        <f ca="1">IFERROR(__xludf.DUMMYFUNCTION("""COMPUTED_VALUE"""),0.644622047061382)</f>
        <v>0.64462204706138204</v>
      </c>
      <c r="AE470" s="17">
        <f ca="1">IFERROR(__xludf.DUMMYFUNCTION("""COMPUTED_VALUE"""),0.980996594530272)</f>
        <v>0.98099659453027199</v>
      </c>
      <c r="AF470" s="17">
        <f ca="1">IFERROR(__xludf.DUMMYFUNCTION("""COMPUTED_VALUE"""),0.496767530426181)</f>
        <v>0.49676753042618099</v>
      </c>
      <c r="AG470" s="17">
        <f ca="1">IFERROR(__xludf.DUMMYFUNCTION("""COMPUTED_VALUE"""),0.597797406241111)</f>
        <v>0.597797406241111</v>
      </c>
      <c r="AH470" s="17">
        <f ca="1">IFERROR(__xludf.DUMMYFUNCTION("""COMPUTED_VALUE"""),0.603608620385067)</f>
        <v>0.60360862038506702</v>
      </c>
      <c r="AI470" s="17">
        <f ca="1">IFERROR(__xludf.DUMMYFUNCTION("""COMPUTED_VALUE"""),0.612958465999808)</f>
        <v>0.61295846599980797</v>
      </c>
      <c r="AJ470" s="17">
        <f ca="1">IFERROR(__xludf.DUMMYFUNCTION("""COMPUTED_VALUE"""),0.586215576491315)</f>
        <v>0.58621557649131495</v>
      </c>
    </row>
    <row r="471" spans="2:36" ht="15.75" customHeight="1" x14ac:dyDescent="0.45">
      <c r="B471" s="10" t="str">
        <f ca="1">IFERROR(__xludf.DUMMYFUNCTION("""COMPUTED_VALUE"""),"InsectEPGRegularTrain")</f>
        <v>InsectEPGRegularTrain</v>
      </c>
      <c r="C471" s="10" t="str">
        <f ca="1">IFERROR(__xludf.DUMMYFUNCTION("""COMPUTED_VALUE"""),"aligned_series")</f>
        <v>aligned_series</v>
      </c>
      <c r="D471" s="10">
        <f ca="1">IFERROR(__xludf.DUMMYFUNCTION("""COMPUTED_VALUE"""),0.8)</f>
        <v>0.8</v>
      </c>
      <c r="E471" s="17">
        <f ca="1">IFERROR(__xludf.DUMMYFUNCTION("""COMPUTED_VALUE"""),1.1591316822541)</f>
        <v>1.1591316822541</v>
      </c>
      <c r="F471" s="17">
        <f ca="1">IFERROR(__xludf.DUMMYFUNCTION("""COMPUTED_VALUE"""),0.77598950829153)</f>
        <v>0.77598950829153002</v>
      </c>
      <c r="G471" s="17">
        <f ca="1">IFERROR(__xludf.DUMMYFUNCTION("""COMPUTED_VALUE"""),0.959343788956451)</f>
        <v>0.959343788956451</v>
      </c>
      <c r="H471" s="17">
        <f ca="1">IFERROR(__xludf.DUMMYFUNCTION("""COMPUTED_VALUE"""),0.816262557917349)</f>
        <v>0.81626255791734903</v>
      </c>
      <c r="I471" s="17">
        <f ca="1">IFERROR(__xludf.DUMMYFUNCTION("""COMPUTED_VALUE"""),0.783972038687953)</f>
        <v>0.78397203868795295</v>
      </c>
      <c r="J471" s="17">
        <f ca="1">IFERROR(__xludf.DUMMYFUNCTION("""COMPUTED_VALUE"""),0.577191379221389)</f>
        <v>0.57719137922138897</v>
      </c>
      <c r="K471" s="17" t="str">
        <f ca="1">IFERROR(__xludf.DUMMYFUNCTION("""COMPUTED_VALUE"""),"nan")</f>
        <v>nan</v>
      </c>
      <c r="L471" s="17">
        <f ca="1">IFERROR(__xludf.DUMMYFUNCTION("""COMPUTED_VALUE"""),0.70097065122184)</f>
        <v>0.70097065122183999</v>
      </c>
      <c r="M471" s="17">
        <f ca="1">IFERROR(__xludf.DUMMYFUNCTION("""COMPUTED_VALUE"""),0.856118777035912)</f>
        <v>0.85611877703591199</v>
      </c>
      <c r="N471" s="17">
        <f ca="1">IFERROR(__xludf.DUMMYFUNCTION("""COMPUTED_VALUE"""),0.709044303566619)</f>
        <v>0.70904430356661896</v>
      </c>
      <c r="O471" s="17">
        <f ca="1">IFERROR(__xludf.DUMMYFUNCTION("""COMPUTED_VALUE"""),0.559804087587901)</f>
        <v>0.55980408758790101</v>
      </c>
      <c r="P471" s="17">
        <f ca="1">IFERROR(__xludf.DUMMYFUNCTION("""COMPUTED_VALUE"""),0.943511096734167)</f>
        <v>0.943511096734167</v>
      </c>
      <c r="Q471" s="17">
        <f ca="1">IFERROR(__xludf.DUMMYFUNCTION("""COMPUTED_VALUE"""),1.26692556001119)</f>
        <v>1.2669255600111899</v>
      </c>
      <c r="R471" s="17">
        <f ca="1">IFERROR(__xludf.DUMMYFUNCTION("""COMPUTED_VALUE"""),1.04642401275126)</f>
        <v>1.0464240127512601</v>
      </c>
      <c r="S471" s="17">
        <f ca="1">IFERROR(__xludf.DUMMYFUNCTION("""COMPUTED_VALUE"""),0.9312308704738)</f>
        <v>0.93123087047380004</v>
      </c>
      <c r="T471" s="17">
        <f ca="1">IFERROR(__xludf.DUMMYFUNCTION("""COMPUTED_VALUE"""),0.644825817535612)</f>
        <v>0.64482581753561197</v>
      </c>
      <c r="U471" s="17">
        <f ca="1">IFERROR(__xludf.DUMMYFUNCTION("""COMPUTED_VALUE"""),0.590426332939194)</f>
        <v>0.590426332939194</v>
      </c>
      <c r="V471" s="17">
        <f ca="1">IFERROR(__xludf.DUMMYFUNCTION("""COMPUTED_VALUE"""),0.669041735243056)</f>
        <v>0.66904173524305599</v>
      </c>
      <c r="W471" s="17">
        <f ca="1">IFERROR(__xludf.DUMMYFUNCTION("""COMPUTED_VALUE"""),0.654955101188326)</f>
        <v>0.65495510118832601</v>
      </c>
      <c r="X471" s="17">
        <f ca="1">IFERROR(__xludf.DUMMYFUNCTION("""COMPUTED_VALUE"""),0.602844652052986)</f>
        <v>0.60284465205298599</v>
      </c>
      <c r="Y471" s="17">
        <f ca="1">IFERROR(__xludf.DUMMYFUNCTION("""COMPUTED_VALUE"""),0.611582468331635)</f>
        <v>0.61158246833163499</v>
      </c>
      <c r="Z471" s="17">
        <f ca="1">IFERROR(__xludf.DUMMYFUNCTION("""COMPUTED_VALUE"""),0.555695163593106)</f>
        <v>0.555695163593106</v>
      </c>
      <c r="AA471" s="17">
        <f ca="1">IFERROR(__xludf.DUMMYFUNCTION("""COMPUTED_VALUE"""),0.545048079245144)</f>
        <v>0.54504807924514398</v>
      </c>
      <c r="AB471" s="17">
        <f ca="1">IFERROR(__xludf.DUMMYFUNCTION("""COMPUTED_VALUE"""),2.65480446659168)</f>
        <v>2.6548044665916799</v>
      </c>
      <c r="AC471" s="17">
        <f ca="1">IFERROR(__xludf.DUMMYFUNCTION("""COMPUTED_VALUE"""),0.874526604444202)</f>
        <v>0.87452660444420205</v>
      </c>
      <c r="AD471" s="17">
        <f ca="1">IFERROR(__xludf.DUMMYFUNCTION("""COMPUTED_VALUE"""),0.747003285363073)</f>
        <v>0.74700328536307303</v>
      </c>
      <c r="AE471" s="17">
        <f ca="1">IFERROR(__xludf.DUMMYFUNCTION("""COMPUTED_VALUE"""),0.983808061557888)</f>
        <v>0.98380806155788803</v>
      </c>
      <c r="AF471" s="17">
        <f ca="1">IFERROR(__xludf.DUMMYFUNCTION("""COMPUTED_VALUE"""),0.481705700651015)</f>
        <v>0.48170570065101498</v>
      </c>
      <c r="AG471" s="17">
        <f ca="1">IFERROR(__xludf.DUMMYFUNCTION("""COMPUTED_VALUE"""),0.658020983205626)</f>
        <v>0.65802098320562596</v>
      </c>
      <c r="AH471" s="17">
        <f ca="1">IFERROR(__xludf.DUMMYFUNCTION("""COMPUTED_VALUE"""),0.616307431875756)</f>
        <v>0.61630743187575598</v>
      </c>
      <c r="AI471" s="17">
        <f ca="1">IFERROR(__xludf.DUMMYFUNCTION("""COMPUTED_VALUE"""),0.62541297136695)</f>
        <v>0.62541297136694995</v>
      </c>
      <c r="AJ471" s="17">
        <f ca="1">IFERROR(__xludf.DUMMYFUNCTION("""COMPUTED_VALUE"""),0.596295550443368)</f>
        <v>0.59629555044336802</v>
      </c>
    </row>
    <row r="472" spans="2:36" ht="15.75" customHeight="1" x14ac:dyDescent="0.45">
      <c r="B472" s="10" t="str">
        <f ca="1">IFERROR(__xludf.DUMMYFUNCTION("""COMPUTED_VALUE"""),"InsectEPGRegularTrain")</f>
        <v>InsectEPGRegularTrain</v>
      </c>
      <c r="C472" s="10" t="str">
        <f ca="1">IFERROR(__xludf.DUMMYFUNCTION("""COMPUTED_VALUE"""),"aligned_timestamps")</f>
        <v>aligned_timestamps</v>
      </c>
      <c r="D472" s="10">
        <f ca="1">IFERROR(__xludf.DUMMYFUNCTION("""COMPUTED_VALUE"""),0.1)</f>
        <v>0.1</v>
      </c>
      <c r="E472" s="17">
        <f ca="1">IFERROR(__xludf.DUMMYFUNCTION("""COMPUTED_VALUE"""),1.01419858330243)</f>
        <v>1.0141985833024301</v>
      </c>
      <c r="F472" s="17">
        <f ca="1">IFERROR(__xludf.DUMMYFUNCTION("""COMPUTED_VALUE"""),0.538633335427673)</f>
        <v>0.538633335427673</v>
      </c>
      <c r="G472" s="17">
        <f ca="1">IFERROR(__xludf.DUMMYFUNCTION("""COMPUTED_VALUE"""),0.564912824021751)</f>
        <v>0.56491282402175103</v>
      </c>
      <c r="H472" s="17">
        <f ca="1">IFERROR(__xludf.DUMMYFUNCTION("""COMPUTED_VALUE"""),0.572939049782296)</f>
        <v>0.57293904978229604</v>
      </c>
      <c r="I472" s="17">
        <f ca="1">IFERROR(__xludf.DUMMYFUNCTION("""COMPUTED_VALUE"""),0.517544275643936)</f>
        <v>0.51754427564393601</v>
      </c>
      <c r="J472" s="17">
        <f ca="1">IFERROR(__xludf.DUMMYFUNCTION("""COMPUTED_VALUE"""),0.406256641446847)</f>
        <v>0.40625664144684698</v>
      </c>
      <c r="K472" s="17" t="str">
        <f ca="1">IFERROR(__xludf.DUMMYFUNCTION("""COMPUTED_VALUE"""),"nan")</f>
        <v>nan</v>
      </c>
      <c r="L472" s="17">
        <f ca="1">IFERROR(__xludf.DUMMYFUNCTION("""COMPUTED_VALUE"""),0.595237618646828)</f>
        <v>0.595237618646828</v>
      </c>
      <c r="M472" s="17">
        <f ca="1">IFERROR(__xludf.DUMMYFUNCTION("""COMPUTED_VALUE"""),0.631515396977356)</f>
        <v>0.63151539697735604</v>
      </c>
      <c r="N472" s="17">
        <f ca="1">IFERROR(__xludf.DUMMYFUNCTION("""COMPUTED_VALUE"""),0.693553630267138)</f>
        <v>0.69355363026713801</v>
      </c>
      <c r="O472" s="17">
        <f ca="1">IFERROR(__xludf.DUMMYFUNCTION("""COMPUTED_VALUE"""),0.564321578648465)</f>
        <v>0.56432157864846499</v>
      </c>
      <c r="P472" s="17">
        <f ca="1">IFERROR(__xludf.DUMMYFUNCTION("""COMPUTED_VALUE"""),0.718548803714056)</f>
        <v>0.71854880371405605</v>
      </c>
      <c r="Q472" s="17">
        <f ca="1">IFERROR(__xludf.DUMMYFUNCTION("""COMPUTED_VALUE"""),0.946589738687327)</f>
        <v>0.94658973868732699</v>
      </c>
      <c r="R472" s="17">
        <f ca="1">IFERROR(__xludf.DUMMYFUNCTION("""COMPUTED_VALUE"""),0.544682780053023)</f>
        <v>0.54468278005302295</v>
      </c>
      <c r="S472" s="17">
        <f ca="1">IFERROR(__xludf.DUMMYFUNCTION("""COMPUTED_VALUE"""),0.591219059636027)</f>
        <v>0.59121905963602694</v>
      </c>
      <c r="T472" s="17">
        <f ca="1">IFERROR(__xludf.DUMMYFUNCTION("""COMPUTED_VALUE"""),0.546663256721275)</f>
        <v>0.54666325672127503</v>
      </c>
      <c r="U472" s="17">
        <f ca="1">IFERROR(__xludf.DUMMYFUNCTION("""COMPUTED_VALUE"""),0.653754886750573)</f>
        <v>0.65375488675057303</v>
      </c>
      <c r="V472" s="17">
        <f ca="1">IFERROR(__xludf.DUMMYFUNCTION("""COMPUTED_VALUE"""),0.484563464706358)</f>
        <v>0.48456346470635803</v>
      </c>
      <c r="W472" s="17">
        <f ca="1">IFERROR(__xludf.DUMMYFUNCTION("""COMPUTED_VALUE"""),0.592665114734296)</f>
        <v>0.59266511473429595</v>
      </c>
      <c r="X472" s="17">
        <f ca="1">IFERROR(__xludf.DUMMYFUNCTION("""COMPUTED_VALUE"""),0.550232102228731)</f>
        <v>0.55023210222873098</v>
      </c>
      <c r="Y472" s="17">
        <f ca="1">IFERROR(__xludf.DUMMYFUNCTION("""COMPUTED_VALUE"""),0.421095488378696)</f>
        <v>0.42109548837869598</v>
      </c>
      <c r="Z472" s="17">
        <f ca="1">IFERROR(__xludf.DUMMYFUNCTION("""COMPUTED_VALUE"""),0.280623943454246)</f>
        <v>0.28062394345424602</v>
      </c>
      <c r="AA472" s="17">
        <f ca="1">IFERROR(__xludf.DUMMYFUNCTION("""COMPUTED_VALUE"""),0.422432467084296)</f>
        <v>0.42243246708429599</v>
      </c>
      <c r="AB472" s="17">
        <f ca="1">IFERROR(__xludf.DUMMYFUNCTION("""COMPUTED_VALUE"""),0.572428051404284)</f>
        <v>0.57242805140428399</v>
      </c>
      <c r="AC472" s="17">
        <f ca="1">IFERROR(__xludf.DUMMYFUNCTION("""COMPUTED_VALUE"""),0.94908433722994)</f>
        <v>0.94908433722994001</v>
      </c>
      <c r="AD472" s="17">
        <f ca="1">IFERROR(__xludf.DUMMYFUNCTION("""COMPUTED_VALUE"""),0.503650093105456)</f>
        <v>0.50365009310545605</v>
      </c>
      <c r="AE472" s="17">
        <f ca="1">IFERROR(__xludf.DUMMYFUNCTION("""COMPUTED_VALUE"""),0.860643523355628)</f>
        <v>0.86064352335562799</v>
      </c>
      <c r="AF472" s="17">
        <f ca="1">IFERROR(__xludf.DUMMYFUNCTION("""COMPUTED_VALUE"""),0.573929843620651)</f>
        <v>0.57392984362065103</v>
      </c>
      <c r="AG472" s="17">
        <f ca="1">IFERROR(__xludf.DUMMYFUNCTION("""COMPUTED_VALUE"""),0.600103652615587)</f>
        <v>0.60010365261558696</v>
      </c>
      <c r="AH472" s="17">
        <f ca="1">IFERROR(__xludf.DUMMYFUNCTION("""COMPUTED_VALUE"""),0.473357034139367)</f>
        <v>0.47335703413936697</v>
      </c>
      <c r="AI472" s="17">
        <f ca="1">IFERROR(__xludf.DUMMYFUNCTION("""COMPUTED_VALUE"""),0.471208987433266)</f>
        <v>0.471208987433266</v>
      </c>
      <c r="AJ472" s="17">
        <f ca="1">IFERROR(__xludf.DUMMYFUNCTION("""COMPUTED_VALUE"""),0.628760444873523)</f>
        <v>0.62876044487352301</v>
      </c>
    </row>
    <row r="473" spans="2:36" ht="15.75" customHeight="1" x14ac:dyDescent="0.45">
      <c r="B473" s="10" t="str">
        <f ca="1">IFERROR(__xludf.DUMMYFUNCTION("""COMPUTED_VALUE"""),"InsectEPGRegularTrain")</f>
        <v>InsectEPGRegularTrain</v>
      </c>
      <c r="C473" s="10" t="str">
        <f ca="1">IFERROR(__xludf.DUMMYFUNCTION("""COMPUTED_VALUE"""),"aligned_timestamps")</f>
        <v>aligned_timestamps</v>
      </c>
      <c r="D473" s="10">
        <f ca="1">IFERROR(__xludf.DUMMYFUNCTION("""COMPUTED_VALUE"""),0.2)</f>
        <v>0.2</v>
      </c>
      <c r="E473" s="17">
        <f ca="1">IFERROR(__xludf.DUMMYFUNCTION("""COMPUTED_VALUE"""),1.04418175769715)</f>
        <v>1.0441817576971499</v>
      </c>
      <c r="F473" s="17">
        <f ca="1">IFERROR(__xludf.DUMMYFUNCTION("""COMPUTED_VALUE"""),0.799861860846397)</f>
        <v>0.79986186084639699</v>
      </c>
      <c r="G473" s="17">
        <f ca="1">IFERROR(__xludf.DUMMYFUNCTION("""COMPUTED_VALUE"""),0.883670775718864)</f>
        <v>0.88367077571886399</v>
      </c>
      <c r="H473" s="17">
        <f ca="1">IFERROR(__xludf.DUMMYFUNCTION("""COMPUTED_VALUE"""),0.659051128356327)</f>
        <v>0.65905112835632695</v>
      </c>
      <c r="I473" s="17">
        <f ca="1">IFERROR(__xludf.DUMMYFUNCTION("""COMPUTED_VALUE"""),0.568552400213117)</f>
        <v>0.56855240021311704</v>
      </c>
      <c r="J473" s="17">
        <f ca="1">IFERROR(__xludf.DUMMYFUNCTION("""COMPUTED_VALUE"""),0.643403818255997)</f>
        <v>0.64340381825599702</v>
      </c>
      <c r="K473" s="17" t="str">
        <f ca="1">IFERROR(__xludf.DUMMYFUNCTION("""COMPUTED_VALUE"""),"nan")</f>
        <v>nan</v>
      </c>
      <c r="L473" s="17">
        <f ca="1">IFERROR(__xludf.DUMMYFUNCTION("""COMPUTED_VALUE"""),0.567731629641419)</f>
        <v>0.56773162964141899</v>
      </c>
      <c r="M473" s="17">
        <f ca="1">IFERROR(__xludf.DUMMYFUNCTION("""COMPUTED_VALUE"""),0.875743834633872)</f>
        <v>0.87574383463387195</v>
      </c>
      <c r="N473" s="17">
        <f ca="1">IFERROR(__xludf.DUMMYFUNCTION("""COMPUTED_VALUE"""),0.876586458488437)</f>
        <v>0.87658645848843697</v>
      </c>
      <c r="O473" s="17">
        <f ca="1">IFERROR(__xludf.DUMMYFUNCTION("""COMPUTED_VALUE"""),0.532138709877523)</f>
        <v>0.53213870987752299</v>
      </c>
      <c r="P473" s="17">
        <f ca="1">IFERROR(__xludf.DUMMYFUNCTION("""COMPUTED_VALUE"""),0.788339876918459)</f>
        <v>0.78833987691845897</v>
      </c>
      <c r="Q473" s="17">
        <f ca="1">IFERROR(__xludf.DUMMYFUNCTION("""COMPUTED_VALUE"""),1.12228348088753)</f>
        <v>1.1222834808875299</v>
      </c>
      <c r="R473" s="17">
        <f ca="1">IFERROR(__xludf.DUMMYFUNCTION("""COMPUTED_VALUE"""),0.756129089818434)</f>
        <v>0.75612908981843396</v>
      </c>
      <c r="S473" s="17">
        <f ca="1">IFERROR(__xludf.DUMMYFUNCTION("""COMPUTED_VALUE"""),0.388807361540922)</f>
        <v>0.38880736154092199</v>
      </c>
      <c r="T473" s="17">
        <f ca="1">IFERROR(__xludf.DUMMYFUNCTION("""COMPUTED_VALUE"""),0.508443339572409)</f>
        <v>0.50844333957240895</v>
      </c>
      <c r="U473" s="17">
        <f ca="1">IFERROR(__xludf.DUMMYFUNCTION("""COMPUTED_VALUE"""),0.560151986169716)</f>
        <v>0.56015198616971595</v>
      </c>
      <c r="V473" s="17">
        <f ca="1">IFERROR(__xludf.DUMMYFUNCTION("""COMPUTED_VALUE"""),0.470734848789234)</f>
        <v>0.47073484878923399</v>
      </c>
      <c r="W473" s="17">
        <f ca="1">IFERROR(__xludf.DUMMYFUNCTION("""COMPUTED_VALUE"""),0.796428984966137)</f>
        <v>0.79642898496613701</v>
      </c>
      <c r="X473" s="17">
        <f ca="1">IFERROR(__xludf.DUMMYFUNCTION("""COMPUTED_VALUE"""),0.572858263299641)</f>
        <v>0.57285826329964096</v>
      </c>
      <c r="Y473" s="17">
        <f ca="1">IFERROR(__xludf.DUMMYFUNCTION("""COMPUTED_VALUE"""),0.605769709844978)</f>
        <v>0.60576970984497802</v>
      </c>
      <c r="Z473" s="17">
        <f ca="1">IFERROR(__xludf.DUMMYFUNCTION("""COMPUTED_VALUE"""),0.515248418348431)</f>
        <v>0.51524841834843105</v>
      </c>
      <c r="AA473" s="17">
        <f ca="1">IFERROR(__xludf.DUMMYFUNCTION("""COMPUTED_VALUE"""),0.649193124523093)</f>
        <v>0.64919312452309297</v>
      </c>
      <c r="AB473" s="17">
        <f ca="1">IFERROR(__xludf.DUMMYFUNCTION("""COMPUTED_VALUE"""),0.611284911084802)</f>
        <v>0.61128491108480199</v>
      </c>
      <c r="AC473" s="17">
        <f ca="1">IFERROR(__xludf.DUMMYFUNCTION("""COMPUTED_VALUE"""),0.855151676792262)</f>
        <v>0.85515167679226201</v>
      </c>
      <c r="AD473" s="17">
        <f ca="1">IFERROR(__xludf.DUMMYFUNCTION("""COMPUTED_VALUE"""),0.70073501471743)</f>
        <v>0.70073501471743005</v>
      </c>
      <c r="AE473" s="17">
        <f ca="1">IFERROR(__xludf.DUMMYFUNCTION("""COMPUTED_VALUE"""),0.929999281913407)</f>
        <v>0.92999928191340697</v>
      </c>
      <c r="AF473" s="17">
        <f ca="1">IFERROR(__xludf.DUMMYFUNCTION("""COMPUTED_VALUE"""),0.616090730478439)</f>
        <v>0.61609073047843899</v>
      </c>
      <c r="AG473" s="17">
        <f ca="1">IFERROR(__xludf.DUMMYFUNCTION("""COMPUTED_VALUE"""),0.628947603703589)</f>
        <v>0.62894760370358904</v>
      </c>
      <c r="AH473" s="17">
        <f ca="1">IFERROR(__xludf.DUMMYFUNCTION("""COMPUTED_VALUE"""),0.606229459390977)</f>
        <v>0.60622945939097705</v>
      </c>
      <c r="AI473" s="17">
        <f ca="1">IFERROR(__xludf.DUMMYFUNCTION("""COMPUTED_VALUE"""),0.618026621625842)</f>
        <v>0.61802662162584199</v>
      </c>
      <c r="AJ473" s="17">
        <f ca="1">IFERROR(__xludf.DUMMYFUNCTION("""COMPUTED_VALUE"""),0.591337292995865)</f>
        <v>0.59133729299586502</v>
      </c>
    </row>
    <row r="474" spans="2:36" ht="15.75" customHeight="1" x14ac:dyDescent="0.45">
      <c r="B474" s="10" t="str">
        <f ca="1">IFERROR(__xludf.DUMMYFUNCTION("""COMPUTED_VALUE"""),"InsectEPGRegularTrain")</f>
        <v>InsectEPGRegularTrain</v>
      </c>
      <c r="C474" s="10" t="str">
        <f ca="1">IFERROR(__xludf.DUMMYFUNCTION("""COMPUTED_VALUE"""),"aligned_timestamps")</f>
        <v>aligned_timestamps</v>
      </c>
      <c r="D474" s="10">
        <f ca="1">IFERROR(__xludf.DUMMYFUNCTION("""COMPUTED_VALUE"""),0.4)</f>
        <v>0.4</v>
      </c>
      <c r="E474" s="17">
        <f ca="1">IFERROR(__xludf.DUMMYFUNCTION("""COMPUTED_VALUE"""),1.125564307147)</f>
        <v>1.1255643071470001</v>
      </c>
      <c r="F474" s="17">
        <f ca="1">IFERROR(__xludf.DUMMYFUNCTION("""COMPUTED_VALUE"""),1.00852306129505)</f>
        <v>1.00852306129505</v>
      </c>
      <c r="G474" s="17">
        <f ca="1">IFERROR(__xludf.DUMMYFUNCTION("""COMPUTED_VALUE"""),1.1578224785216)</f>
        <v>1.1578224785216</v>
      </c>
      <c r="H474" s="17">
        <f ca="1">IFERROR(__xludf.DUMMYFUNCTION("""COMPUTED_VALUE"""),0.973098482250274)</f>
        <v>0.97309848225027396</v>
      </c>
      <c r="I474" s="17">
        <f ca="1">IFERROR(__xludf.DUMMYFUNCTION("""COMPUTED_VALUE"""),0.811646395976958)</f>
        <v>0.81164639597695798</v>
      </c>
      <c r="J474" s="17">
        <f ca="1">IFERROR(__xludf.DUMMYFUNCTION("""COMPUTED_VALUE"""),0.754057270686748)</f>
        <v>0.75405727068674799</v>
      </c>
      <c r="K474" s="17" t="str">
        <f ca="1">IFERROR(__xludf.DUMMYFUNCTION("""COMPUTED_VALUE"""),"nan")</f>
        <v>nan</v>
      </c>
      <c r="L474" s="17">
        <f ca="1">IFERROR(__xludf.DUMMYFUNCTION("""COMPUTED_VALUE"""),0.764693039790927)</f>
        <v>0.76469303979092695</v>
      </c>
      <c r="M474" s="17">
        <f ca="1">IFERROR(__xludf.DUMMYFUNCTION("""COMPUTED_VALUE"""),1.04411595561013)</f>
        <v>1.04411595561013</v>
      </c>
      <c r="N474" s="17">
        <f ca="1">IFERROR(__xludf.DUMMYFUNCTION("""COMPUTED_VALUE"""),1.025884717102)</f>
        <v>1.025884717102</v>
      </c>
      <c r="O474" s="17">
        <f ca="1">IFERROR(__xludf.DUMMYFUNCTION("""COMPUTED_VALUE"""),0.778470122608748)</f>
        <v>0.77847012260874804</v>
      </c>
      <c r="P474" s="17">
        <f ca="1">IFERROR(__xludf.DUMMYFUNCTION("""COMPUTED_VALUE"""),1.12362624963016)</f>
        <v>1.1236262496301599</v>
      </c>
      <c r="Q474" s="17">
        <f ca="1">IFERROR(__xludf.DUMMYFUNCTION("""COMPUTED_VALUE"""),1.27917062823282)</f>
        <v>1.2791706282328199</v>
      </c>
      <c r="R474" s="17">
        <f ca="1">IFERROR(__xludf.DUMMYFUNCTION("""COMPUTED_VALUE"""),1.31157693832644)</f>
        <v>1.31157693832644</v>
      </c>
      <c r="S474" s="17">
        <f ca="1">IFERROR(__xludf.DUMMYFUNCTION("""COMPUTED_VALUE"""),1.04249156313799)</f>
        <v>1.0424915631379901</v>
      </c>
      <c r="T474" s="17">
        <f ca="1">IFERROR(__xludf.DUMMYFUNCTION("""COMPUTED_VALUE"""),0.933815269791426)</f>
        <v>0.93381526979142604</v>
      </c>
      <c r="U474" s="17">
        <f ca="1">IFERROR(__xludf.DUMMYFUNCTION("""COMPUTED_VALUE"""),1.20622926767783)</f>
        <v>1.2062292676778299</v>
      </c>
      <c r="V474" s="17">
        <f ca="1">IFERROR(__xludf.DUMMYFUNCTION("""COMPUTED_VALUE"""),1.04431391189259)</f>
        <v>1.0443139118925899</v>
      </c>
      <c r="W474" s="17">
        <f ca="1">IFERROR(__xludf.DUMMYFUNCTION("""COMPUTED_VALUE"""),1.00344487110997)</f>
        <v>1.0034448711099699</v>
      </c>
      <c r="X474" s="17">
        <f ca="1">IFERROR(__xludf.DUMMYFUNCTION("""COMPUTED_VALUE"""),0.926830088696971)</f>
        <v>0.92683008869697103</v>
      </c>
      <c r="Y474" s="17">
        <f ca="1">IFERROR(__xludf.DUMMYFUNCTION("""COMPUTED_VALUE"""),1.06354893132059)</f>
        <v>1.0635489313205899</v>
      </c>
      <c r="Z474" s="17">
        <f ca="1">IFERROR(__xludf.DUMMYFUNCTION("""COMPUTED_VALUE"""),0.914042565668917)</f>
        <v>0.91404256566891695</v>
      </c>
      <c r="AA474" s="17">
        <f ca="1">IFERROR(__xludf.DUMMYFUNCTION("""COMPUTED_VALUE"""),1.65775702128311)</f>
        <v>1.6577570212831101</v>
      </c>
      <c r="AB474" s="17">
        <f ca="1">IFERROR(__xludf.DUMMYFUNCTION("""COMPUTED_VALUE"""),1.31336795120574)</f>
        <v>1.3133679512057399</v>
      </c>
      <c r="AC474" s="17">
        <f ca="1">IFERROR(__xludf.DUMMYFUNCTION("""COMPUTED_VALUE"""),1.27640219921341)</f>
        <v>1.27640219921341</v>
      </c>
      <c r="AD474" s="17">
        <f ca="1">IFERROR(__xludf.DUMMYFUNCTION("""COMPUTED_VALUE"""),1.04607322508474)</f>
        <v>1.04607322508474</v>
      </c>
      <c r="AE474" s="17" t="str">
        <f ca="1">IFERROR(__xludf.DUMMYFUNCTION("""COMPUTED_VALUE"""),"nan")</f>
        <v>nan</v>
      </c>
      <c r="AF474" s="17">
        <f ca="1">IFERROR(__xludf.DUMMYFUNCTION("""COMPUTED_VALUE"""),1.02465081825092)</f>
        <v>1.02465081825092</v>
      </c>
      <c r="AG474" s="17">
        <f ca="1">IFERROR(__xludf.DUMMYFUNCTION("""COMPUTED_VALUE"""),1.31606682565366)</f>
        <v>1.3160668256536601</v>
      </c>
      <c r="AH474" s="17">
        <f ca="1">IFERROR(__xludf.DUMMYFUNCTION("""COMPUTED_VALUE"""),1.23649962723742)</f>
        <v>1.23649962723742</v>
      </c>
      <c r="AI474" s="17" t="str">
        <f ca="1">IFERROR(__xludf.DUMMYFUNCTION("""COMPUTED_VALUE"""),"nan")</f>
        <v>nan</v>
      </c>
      <c r="AJ474" s="17">
        <f ca="1">IFERROR(__xludf.DUMMYFUNCTION("""COMPUTED_VALUE"""),1.37920956270413)</f>
        <v>1.3792095627041301</v>
      </c>
    </row>
    <row r="475" spans="2:36" ht="15.75" customHeight="1" x14ac:dyDescent="0.45">
      <c r="B475" s="10" t="str">
        <f ca="1">IFERROR(__xludf.DUMMYFUNCTION("""COMPUTED_VALUE"""),"InsectEPGRegularTrain")</f>
        <v>InsectEPGRegularTrain</v>
      </c>
      <c r="C475" s="10" t="str">
        <f ca="1">IFERROR(__xludf.DUMMYFUNCTION("""COMPUTED_VALUE"""),"aligned_timestamps")</f>
        <v>aligned_timestamps</v>
      </c>
      <c r="D475" s="10">
        <f ca="1">IFERROR(__xludf.DUMMYFUNCTION("""COMPUTED_VALUE"""),0.6)</f>
        <v>0.6</v>
      </c>
      <c r="E475" s="17">
        <f ca="1">IFERROR(__xludf.DUMMYFUNCTION("""COMPUTED_VALUE"""),1.14151738500426)</f>
        <v>1.1415173850042599</v>
      </c>
      <c r="F475" s="17">
        <f ca="1">IFERROR(__xludf.DUMMYFUNCTION("""COMPUTED_VALUE"""),0.899199156265636)</f>
        <v>0.89919915626563596</v>
      </c>
      <c r="G475" s="17">
        <f ca="1">IFERROR(__xludf.DUMMYFUNCTION("""COMPUTED_VALUE"""),0.971692583006876)</f>
        <v>0.971692583006876</v>
      </c>
      <c r="H475" s="17">
        <f ca="1">IFERROR(__xludf.DUMMYFUNCTION("""COMPUTED_VALUE"""),1.084815751578)</f>
        <v>1.0848157515779999</v>
      </c>
      <c r="I475" s="17">
        <f ca="1">IFERROR(__xludf.DUMMYFUNCTION("""COMPUTED_VALUE"""),0.886213085825042)</f>
        <v>0.88621308582504199</v>
      </c>
      <c r="J475" s="17">
        <f ca="1">IFERROR(__xludf.DUMMYFUNCTION("""COMPUTED_VALUE"""),0.953796783008862)</f>
        <v>0.95379678300886195</v>
      </c>
      <c r="K475" s="17" t="str">
        <f ca="1">IFERROR(__xludf.DUMMYFUNCTION("""COMPUTED_VALUE"""),"nan")</f>
        <v>nan</v>
      </c>
      <c r="L475" s="17">
        <f ca="1">IFERROR(__xludf.DUMMYFUNCTION("""COMPUTED_VALUE"""),0.82264072114758)</f>
        <v>0.82264072114758002</v>
      </c>
      <c r="M475" s="17">
        <f ca="1">IFERROR(__xludf.DUMMYFUNCTION("""COMPUTED_VALUE"""),0.870257909850625)</f>
        <v>0.87025790985062501</v>
      </c>
      <c r="N475" s="17">
        <f ca="1">IFERROR(__xludf.DUMMYFUNCTION("""COMPUTED_VALUE"""),0.996945659790063)</f>
        <v>0.996945659790063</v>
      </c>
      <c r="O475" s="17">
        <f ca="1">IFERROR(__xludf.DUMMYFUNCTION("""COMPUTED_VALUE"""),0.773741529783796)</f>
        <v>0.77374152978379596</v>
      </c>
      <c r="P475" s="17">
        <f ca="1">IFERROR(__xludf.DUMMYFUNCTION("""COMPUTED_VALUE"""),1.31813844825756)</f>
        <v>1.31813844825756</v>
      </c>
      <c r="Q475" s="17">
        <f ca="1">IFERROR(__xludf.DUMMYFUNCTION("""COMPUTED_VALUE"""),1.22415152586847)</f>
        <v>1.2241515258684701</v>
      </c>
      <c r="R475" s="17">
        <f ca="1">IFERROR(__xludf.DUMMYFUNCTION("""COMPUTED_VALUE"""),1.1942612844008)</f>
        <v>1.1942612844008</v>
      </c>
      <c r="S475" s="17">
        <f ca="1">IFERROR(__xludf.DUMMYFUNCTION("""COMPUTED_VALUE"""),1.13221772046137)</f>
        <v>1.1322177204613699</v>
      </c>
      <c r="T475" s="17">
        <f ca="1">IFERROR(__xludf.DUMMYFUNCTION("""COMPUTED_VALUE"""),0.963810559777583)</f>
        <v>0.96381055977758301</v>
      </c>
      <c r="U475" s="17">
        <f ca="1">IFERROR(__xludf.DUMMYFUNCTION("""COMPUTED_VALUE"""),1.22856063211784)</f>
        <v>1.2285606321178399</v>
      </c>
      <c r="V475" s="17">
        <f ca="1">IFERROR(__xludf.DUMMYFUNCTION("""COMPUTED_VALUE"""),1.11392101443174)</f>
        <v>1.11392101443174</v>
      </c>
      <c r="W475" s="17">
        <f ca="1">IFERROR(__xludf.DUMMYFUNCTION("""COMPUTED_VALUE"""),1.07207126274564)</f>
        <v>1.0720712627456399</v>
      </c>
      <c r="X475" s="17">
        <f ca="1">IFERROR(__xludf.DUMMYFUNCTION("""COMPUTED_VALUE"""),0.783542067918136)</f>
        <v>0.78354206791813596</v>
      </c>
      <c r="Y475" s="17">
        <f ca="1">IFERROR(__xludf.DUMMYFUNCTION("""COMPUTED_VALUE"""),1.18069310163771)</f>
        <v>1.18069310163771</v>
      </c>
      <c r="Z475" s="17">
        <f ca="1">IFERROR(__xludf.DUMMYFUNCTION("""COMPUTED_VALUE"""),0.96923566362505)</f>
        <v>0.96923566362504998</v>
      </c>
      <c r="AA475" s="17">
        <f ca="1">IFERROR(__xludf.DUMMYFUNCTION("""COMPUTED_VALUE"""),1.87999275871635)</f>
        <v>1.8799927587163501</v>
      </c>
      <c r="AB475" s="17">
        <f ca="1">IFERROR(__xludf.DUMMYFUNCTION("""COMPUTED_VALUE"""),1.33435487449775)</f>
        <v>1.33435487449775</v>
      </c>
      <c r="AC475" s="17">
        <f ca="1">IFERROR(__xludf.DUMMYFUNCTION("""COMPUTED_VALUE"""),1.13893040843645)</f>
        <v>1.13893040843645</v>
      </c>
      <c r="AD475" s="17">
        <f ca="1">IFERROR(__xludf.DUMMYFUNCTION("""COMPUTED_VALUE"""),1.25856315928056)</f>
        <v>1.25856315928056</v>
      </c>
      <c r="AE475" s="17" t="str">
        <f ca="1">IFERROR(__xludf.DUMMYFUNCTION("""COMPUTED_VALUE"""),"nan")</f>
        <v>nan</v>
      </c>
      <c r="AF475" s="17">
        <f ca="1">IFERROR(__xludf.DUMMYFUNCTION("""COMPUTED_VALUE"""),1.24753651193424)</f>
        <v>1.2475365119342401</v>
      </c>
      <c r="AG475" s="17">
        <f ca="1">IFERROR(__xludf.DUMMYFUNCTION("""COMPUTED_VALUE"""),1.22015870215724)</f>
        <v>1.22015870215724</v>
      </c>
      <c r="AH475" s="17">
        <f ca="1">IFERROR(__xludf.DUMMYFUNCTION("""COMPUTED_VALUE"""),1.16622947887261)</f>
        <v>1.16622947887261</v>
      </c>
      <c r="AI475" s="17" t="str">
        <f ca="1">IFERROR(__xludf.DUMMYFUNCTION("""COMPUTED_VALUE"""),"nan")</f>
        <v>nan</v>
      </c>
      <c r="AJ475" s="17">
        <f ca="1">IFERROR(__xludf.DUMMYFUNCTION("""COMPUTED_VALUE"""),1.31616367649254)</f>
        <v>1.31616367649254</v>
      </c>
    </row>
    <row r="476" spans="2:36" ht="15.75" customHeight="1" x14ac:dyDescent="0.45">
      <c r="B476" s="10" t="str">
        <f ca="1">IFERROR(__xludf.DUMMYFUNCTION("""COMPUTED_VALUE"""),"InsectEPGRegularTrain")</f>
        <v>InsectEPGRegularTrain</v>
      </c>
      <c r="C476" s="10" t="str">
        <f ca="1">IFERROR(__xludf.DUMMYFUNCTION("""COMPUTED_VALUE"""),"aligned_timestamps")</f>
        <v>aligned_timestamps</v>
      </c>
      <c r="D476" s="10">
        <f ca="1">IFERROR(__xludf.DUMMYFUNCTION("""COMPUTED_VALUE"""),0.8)</f>
        <v>0.8</v>
      </c>
      <c r="E476" s="17">
        <f ca="1">IFERROR(__xludf.DUMMYFUNCTION("""COMPUTED_VALUE"""),1.04212977901171)</f>
        <v>1.0421297790117099</v>
      </c>
      <c r="F476" s="17">
        <f ca="1">IFERROR(__xludf.DUMMYFUNCTION("""COMPUTED_VALUE"""),0.944673569750249)</f>
        <v>0.94467356975024896</v>
      </c>
      <c r="G476" s="17">
        <f ca="1">IFERROR(__xludf.DUMMYFUNCTION("""COMPUTED_VALUE"""),1.05491143576207)</f>
        <v>1.0549114357620699</v>
      </c>
      <c r="H476" s="17">
        <f ca="1">IFERROR(__xludf.DUMMYFUNCTION("""COMPUTED_VALUE"""),1.11987860473944)</f>
        <v>1.11987860473944</v>
      </c>
      <c r="I476" s="17">
        <f ca="1">IFERROR(__xludf.DUMMYFUNCTION("""COMPUTED_VALUE"""),0.894713879611327)</f>
        <v>0.89471387961132698</v>
      </c>
      <c r="J476" s="17">
        <f ca="1">IFERROR(__xludf.DUMMYFUNCTION("""COMPUTED_VALUE"""),1.12617570649781)</f>
        <v>1.12617570649781</v>
      </c>
      <c r="K476" s="17" t="str">
        <f ca="1">IFERROR(__xludf.DUMMYFUNCTION("""COMPUTED_VALUE"""),"nan")</f>
        <v>nan</v>
      </c>
      <c r="L476" s="17">
        <f ca="1">IFERROR(__xludf.DUMMYFUNCTION("""COMPUTED_VALUE"""),0.905454389596241)</f>
        <v>0.90545438959624103</v>
      </c>
      <c r="M476" s="17">
        <f ca="1">IFERROR(__xludf.DUMMYFUNCTION("""COMPUTED_VALUE"""),0.931358176708273)</f>
        <v>0.93135817670827303</v>
      </c>
      <c r="N476" s="17">
        <f ca="1">IFERROR(__xludf.DUMMYFUNCTION("""COMPUTED_VALUE"""),0.903928160268739)</f>
        <v>0.90392816026873901</v>
      </c>
      <c r="O476" s="17">
        <f ca="1">IFERROR(__xludf.DUMMYFUNCTION("""COMPUTED_VALUE"""),0.849861320458471)</f>
        <v>0.84986132045847096</v>
      </c>
      <c r="P476" s="17">
        <f ca="1">IFERROR(__xludf.DUMMYFUNCTION("""COMPUTED_VALUE"""),1.29965135397278)</f>
        <v>1.2996513539727801</v>
      </c>
      <c r="Q476" s="17">
        <f ca="1">IFERROR(__xludf.DUMMYFUNCTION("""COMPUTED_VALUE"""),1.12344578432722)</f>
        <v>1.1234457843272201</v>
      </c>
      <c r="R476" s="17">
        <f ca="1">IFERROR(__xludf.DUMMYFUNCTION("""COMPUTED_VALUE"""),1.18438274846563)</f>
        <v>1.18438274846563</v>
      </c>
      <c r="S476" s="17">
        <f ca="1">IFERROR(__xludf.DUMMYFUNCTION("""COMPUTED_VALUE"""),1.19315214482841)</f>
        <v>1.1931521448284099</v>
      </c>
      <c r="T476" s="17">
        <f ca="1">IFERROR(__xludf.DUMMYFUNCTION("""COMPUTED_VALUE"""),1.10029756006876)</f>
        <v>1.1002975600687599</v>
      </c>
      <c r="U476" s="17">
        <f ca="1">IFERROR(__xludf.DUMMYFUNCTION("""COMPUTED_VALUE"""),1.242818686919)</f>
        <v>1.2428186869190001</v>
      </c>
      <c r="V476" s="17">
        <f ca="1">IFERROR(__xludf.DUMMYFUNCTION("""COMPUTED_VALUE"""),1.32665500595914)</f>
        <v>1.32665500595914</v>
      </c>
      <c r="W476" s="17">
        <f ca="1">IFERROR(__xludf.DUMMYFUNCTION("""COMPUTED_VALUE"""),1.12138193147037)</f>
        <v>1.1213819314703699</v>
      </c>
      <c r="X476" s="17">
        <f ca="1">IFERROR(__xludf.DUMMYFUNCTION("""COMPUTED_VALUE"""),0.791453612760242)</f>
        <v>0.79145361276024195</v>
      </c>
      <c r="Y476" s="17">
        <f ca="1">IFERROR(__xludf.DUMMYFUNCTION("""COMPUTED_VALUE"""),1.07914111628279)</f>
        <v>1.07914111628279</v>
      </c>
      <c r="Z476" s="17">
        <f ca="1">IFERROR(__xludf.DUMMYFUNCTION("""COMPUTED_VALUE"""),0.978041266897254)</f>
        <v>0.97804126689725401</v>
      </c>
      <c r="AA476" s="17">
        <f ca="1">IFERROR(__xludf.DUMMYFUNCTION("""COMPUTED_VALUE"""),1.95006504322312)</f>
        <v>1.9500650432231199</v>
      </c>
      <c r="AB476" s="17">
        <f ca="1">IFERROR(__xludf.DUMMYFUNCTION("""COMPUTED_VALUE"""),1.23571546320964)</f>
        <v>1.2357154632096401</v>
      </c>
      <c r="AC476" s="17">
        <f ca="1">IFERROR(__xludf.DUMMYFUNCTION("""COMPUTED_VALUE"""),1.09204097677748)</f>
        <v>1.0920409767774799</v>
      </c>
      <c r="AD476" s="17">
        <f ca="1">IFERROR(__xludf.DUMMYFUNCTION("""COMPUTED_VALUE"""),1.12934976471576)</f>
        <v>1.12934976471576</v>
      </c>
      <c r="AE476" s="17" t="str">
        <f ca="1">IFERROR(__xludf.DUMMYFUNCTION("""COMPUTED_VALUE"""),"nan")</f>
        <v>nan</v>
      </c>
      <c r="AF476" s="17">
        <f ca="1">IFERROR(__xludf.DUMMYFUNCTION("""COMPUTED_VALUE"""),1.22171607770284)</f>
        <v>1.22171607770284</v>
      </c>
      <c r="AG476" s="17">
        <f ca="1">IFERROR(__xludf.DUMMYFUNCTION("""COMPUTED_VALUE"""),1.20633591461595)</f>
        <v>1.20633591461595</v>
      </c>
      <c r="AH476" s="17">
        <f ca="1">IFERROR(__xludf.DUMMYFUNCTION("""COMPUTED_VALUE"""),1.01374262519525)</f>
        <v>1.0137426251952499</v>
      </c>
      <c r="AI476" s="17" t="str">
        <f ca="1">IFERROR(__xludf.DUMMYFUNCTION("""COMPUTED_VALUE"""),"nan")</f>
        <v>nan</v>
      </c>
      <c r="AJ476" s="17">
        <f ca="1">IFERROR(__xludf.DUMMYFUNCTION("""COMPUTED_VALUE"""),1.12483699900911)</f>
        <v>1.1248369990091101</v>
      </c>
    </row>
    <row r="477" spans="2:36" ht="15.75" customHeight="1" x14ac:dyDescent="0.45">
      <c r="B477" s="10" t="str">
        <f ca="1">IFERROR(__xludf.DUMMYFUNCTION("""COMPUTED_VALUE"""),"InsectEPGRegularTrain")</f>
        <v>InsectEPGRegularTrain</v>
      </c>
      <c r="C477" s="10" t="str">
        <f ca="1">IFERROR(__xludf.DUMMYFUNCTION("""COMPUTED_VALUE"""),"mcar")</f>
        <v>mcar</v>
      </c>
      <c r="D477" s="10">
        <f ca="1">IFERROR(__xludf.DUMMYFUNCTION("""COMPUTED_VALUE"""),0.1)</f>
        <v>0.1</v>
      </c>
      <c r="E477" s="17">
        <f ca="1">IFERROR(__xludf.DUMMYFUNCTION("""COMPUTED_VALUE"""),0.967243539142008)</f>
        <v>0.967243539142008</v>
      </c>
      <c r="F477" s="17">
        <f ca="1">IFERROR(__xludf.DUMMYFUNCTION("""COMPUTED_VALUE"""),0.514089131134251)</f>
        <v>0.51408913113425103</v>
      </c>
      <c r="G477" s="17">
        <f ca="1">IFERROR(__xludf.DUMMYFUNCTION("""COMPUTED_VALUE"""),0.515280260973422)</f>
        <v>0.51528026097342206</v>
      </c>
      <c r="H477" s="17">
        <f ca="1">IFERROR(__xludf.DUMMYFUNCTION("""COMPUTED_VALUE"""),0.591337650004265)</f>
        <v>0.59133765000426497</v>
      </c>
      <c r="I477" s="17">
        <f ca="1">IFERROR(__xludf.DUMMYFUNCTION("""COMPUTED_VALUE"""),0.483124124025159)</f>
        <v>0.48312412402515897</v>
      </c>
      <c r="J477" s="17">
        <f ca="1">IFERROR(__xludf.DUMMYFUNCTION("""COMPUTED_VALUE"""),0.525220891547213)</f>
        <v>0.52522089154721296</v>
      </c>
      <c r="K477" s="17" t="str">
        <f ca="1">IFERROR(__xludf.DUMMYFUNCTION("""COMPUTED_VALUE"""),"nan")</f>
        <v>nan</v>
      </c>
      <c r="L477" s="17">
        <f ca="1">IFERROR(__xludf.DUMMYFUNCTION("""COMPUTED_VALUE"""),0.460674430159906)</f>
        <v>0.460674430159906</v>
      </c>
      <c r="M477" s="17">
        <f ca="1">IFERROR(__xludf.DUMMYFUNCTION("""COMPUTED_VALUE"""),0.517622680577996)</f>
        <v>0.51762268057799599</v>
      </c>
      <c r="N477" s="17">
        <f ca="1">IFERROR(__xludf.DUMMYFUNCTION("""COMPUTED_VALUE"""),0.434888452657515)</f>
        <v>0.43488845265751502</v>
      </c>
      <c r="O477" s="17">
        <f ca="1">IFERROR(__xludf.DUMMYFUNCTION("""COMPUTED_VALUE"""),0.478321409933932)</f>
        <v>0.47832140993393202</v>
      </c>
      <c r="P477" s="17">
        <f ca="1">IFERROR(__xludf.DUMMYFUNCTION("""COMPUTED_VALUE"""),0.558103935426263)</f>
        <v>0.55810393542626302</v>
      </c>
      <c r="Q477" s="17">
        <f ca="1">IFERROR(__xludf.DUMMYFUNCTION("""COMPUTED_VALUE"""),1.01367506087539)</f>
        <v>1.0136750608753899</v>
      </c>
      <c r="R477" s="17">
        <f ca="1">IFERROR(__xludf.DUMMYFUNCTION("""COMPUTED_VALUE"""),0.379094710189557)</f>
        <v>0.37909471018955698</v>
      </c>
      <c r="S477" s="17">
        <f ca="1">IFERROR(__xludf.DUMMYFUNCTION("""COMPUTED_VALUE"""),0.329056339274552)</f>
        <v>0.32905633927455202</v>
      </c>
      <c r="T477" s="17">
        <f ca="1">IFERROR(__xludf.DUMMYFUNCTION("""COMPUTED_VALUE"""),0.33065037267173)</f>
        <v>0.33065037267172998</v>
      </c>
      <c r="U477" s="17">
        <f ca="1">IFERROR(__xludf.DUMMYFUNCTION("""COMPUTED_VALUE"""),0.350888294668816)</f>
        <v>0.35088829466881599</v>
      </c>
      <c r="V477" s="17">
        <f ca="1">IFERROR(__xludf.DUMMYFUNCTION("""COMPUTED_VALUE"""),0.361237737489556)</f>
        <v>0.36123773748955601</v>
      </c>
      <c r="W477" s="17">
        <f ca="1">IFERROR(__xludf.DUMMYFUNCTION("""COMPUTED_VALUE"""),0.267792772571664)</f>
        <v>0.26779277257166401</v>
      </c>
      <c r="X477" s="17">
        <f ca="1">IFERROR(__xludf.DUMMYFUNCTION("""COMPUTED_VALUE"""),0.352390964274615)</f>
        <v>0.35239096427461503</v>
      </c>
      <c r="Y477" s="17">
        <f ca="1">IFERROR(__xludf.DUMMYFUNCTION("""COMPUTED_VALUE"""),0.231396658393255)</f>
        <v>0.23139665839325499</v>
      </c>
      <c r="Z477" s="17">
        <f ca="1">IFERROR(__xludf.DUMMYFUNCTION("""COMPUTED_VALUE"""),0.354449268888687)</f>
        <v>0.354449268888687</v>
      </c>
      <c r="AA477" s="17">
        <f ca="1">IFERROR(__xludf.DUMMYFUNCTION("""COMPUTED_VALUE"""),0.288345696648035)</f>
        <v>0.288345696648035</v>
      </c>
      <c r="AB477" s="17">
        <f ca="1">IFERROR(__xludf.DUMMYFUNCTION("""COMPUTED_VALUE"""),0.54266214499174)</f>
        <v>0.54266214499174004</v>
      </c>
      <c r="AC477" s="17">
        <f ca="1">IFERROR(__xludf.DUMMYFUNCTION("""COMPUTED_VALUE"""),0.531038203478208)</f>
        <v>0.53103820347820796</v>
      </c>
      <c r="AD477" s="17">
        <f ca="1">IFERROR(__xludf.DUMMYFUNCTION("""COMPUTED_VALUE"""),0.280726476625119)</f>
        <v>0.28072647662511901</v>
      </c>
      <c r="AE477" s="17">
        <f ca="1">IFERROR(__xludf.DUMMYFUNCTION("""COMPUTED_VALUE"""),1.01461563411015)</f>
        <v>1.01461563411015</v>
      </c>
      <c r="AF477" s="17">
        <f ca="1">IFERROR(__xludf.DUMMYFUNCTION("""COMPUTED_VALUE"""),0.272589261982535)</f>
        <v>0.27258926198253502</v>
      </c>
      <c r="AG477" s="17">
        <f ca="1">IFERROR(__xludf.DUMMYFUNCTION("""COMPUTED_VALUE"""),0.393073342316418)</f>
        <v>0.393073342316418</v>
      </c>
      <c r="AH477" s="17">
        <f ca="1">IFERROR(__xludf.DUMMYFUNCTION("""COMPUTED_VALUE"""),0.280441356329155)</f>
        <v>0.28044135632915501</v>
      </c>
      <c r="AI477" s="17">
        <f ca="1">IFERROR(__xludf.DUMMYFUNCTION("""COMPUTED_VALUE"""),0.340442877590333)</f>
        <v>0.34044287759033298</v>
      </c>
      <c r="AJ477" s="17">
        <f ca="1">IFERROR(__xludf.DUMMYFUNCTION("""COMPUTED_VALUE"""),0.342926786018254)</f>
        <v>0.34292678601825399</v>
      </c>
    </row>
    <row r="478" spans="2:36" ht="15.75" customHeight="1" x14ac:dyDescent="0.45">
      <c r="B478" s="10" t="str">
        <f ca="1">IFERROR(__xludf.DUMMYFUNCTION("""COMPUTED_VALUE"""),"InsectEPGRegularTrain")</f>
        <v>InsectEPGRegularTrain</v>
      </c>
      <c r="C478" s="10" t="str">
        <f ca="1">IFERROR(__xludf.DUMMYFUNCTION("""COMPUTED_VALUE"""),"mcar")</f>
        <v>mcar</v>
      </c>
      <c r="D478" s="10">
        <f ca="1">IFERROR(__xludf.DUMMYFUNCTION("""COMPUTED_VALUE"""),0.2)</f>
        <v>0.2</v>
      </c>
      <c r="E478" s="17">
        <f ca="1">IFERROR(__xludf.DUMMYFUNCTION("""COMPUTED_VALUE"""),1.03607088653912)</f>
        <v>1.0360708865391199</v>
      </c>
      <c r="F478" s="17">
        <f ca="1">IFERROR(__xludf.DUMMYFUNCTION("""COMPUTED_VALUE"""),0.614979413152382)</f>
        <v>0.61497941315238203</v>
      </c>
      <c r="G478" s="17">
        <f ca="1">IFERROR(__xludf.DUMMYFUNCTION("""COMPUTED_VALUE"""),0.615981855387239)</f>
        <v>0.61598185538723904</v>
      </c>
      <c r="H478" s="17">
        <f ca="1">IFERROR(__xludf.DUMMYFUNCTION("""COMPUTED_VALUE"""),0.660437424368996)</f>
        <v>0.660437424368996</v>
      </c>
      <c r="I478" s="17">
        <f ca="1">IFERROR(__xludf.DUMMYFUNCTION("""COMPUTED_VALUE"""),0.557471780134375)</f>
        <v>0.55747178013437504</v>
      </c>
      <c r="J478" s="17">
        <f ca="1">IFERROR(__xludf.DUMMYFUNCTION("""COMPUTED_VALUE"""),0.606662781629359)</f>
        <v>0.60666278162935905</v>
      </c>
      <c r="K478" s="17" t="str">
        <f ca="1">IFERROR(__xludf.DUMMYFUNCTION("""COMPUTED_VALUE"""),"nan")</f>
        <v>nan</v>
      </c>
      <c r="L478" s="17">
        <f ca="1">IFERROR(__xludf.DUMMYFUNCTION("""COMPUTED_VALUE"""),0.530911489250374)</f>
        <v>0.53091148925037401</v>
      </c>
      <c r="M478" s="17">
        <f ca="1">IFERROR(__xludf.DUMMYFUNCTION("""COMPUTED_VALUE"""),0.59939579920666)</f>
        <v>0.59939579920665997</v>
      </c>
      <c r="N478" s="17">
        <f ca="1">IFERROR(__xludf.DUMMYFUNCTION("""COMPUTED_VALUE"""),0.544117630654368)</f>
        <v>0.54411763065436802</v>
      </c>
      <c r="O478" s="17">
        <f ca="1">IFERROR(__xludf.DUMMYFUNCTION("""COMPUTED_VALUE"""),0.549899472667282)</f>
        <v>0.54989947266728201</v>
      </c>
      <c r="P478" s="17">
        <f ca="1">IFERROR(__xludf.DUMMYFUNCTION("""COMPUTED_VALUE"""),0.659188582278605)</f>
        <v>0.659188582278605</v>
      </c>
      <c r="Q478" s="17">
        <f ca="1">IFERROR(__xludf.DUMMYFUNCTION("""COMPUTED_VALUE"""),1.06871008564847)</f>
        <v>1.0687100856484699</v>
      </c>
      <c r="R478" s="17">
        <f ca="1">IFERROR(__xludf.DUMMYFUNCTION("""COMPUTED_VALUE"""),0.450618074907462)</f>
        <v>0.45061807490746197</v>
      </c>
      <c r="S478" s="17">
        <f ca="1">IFERROR(__xludf.DUMMYFUNCTION("""COMPUTED_VALUE"""),0.470294474190115)</f>
        <v>0.470294474190115</v>
      </c>
      <c r="T478" s="17">
        <f ca="1">IFERROR(__xludf.DUMMYFUNCTION("""COMPUTED_VALUE"""),0.400024823930196)</f>
        <v>0.40002482393019601</v>
      </c>
      <c r="U478" s="17">
        <f ca="1">IFERROR(__xludf.DUMMYFUNCTION("""COMPUTED_VALUE"""),0.447609226053323)</f>
        <v>0.44760922605332298</v>
      </c>
      <c r="V478" s="17">
        <f ca="1">IFERROR(__xludf.DUMMYFUNCTION("""COMPUTED_VALUE"""),0.427097089640744)</f>
        <v>0.427097089640744</v>
      </c>
      <c r="W478" s="17">
        <f ca="1">IFERROR(__xludf.DUMMYFUNCTION("""COMPUTED_VALUE"""),0.360978086843338)</f>
        <v>0.36097808684333799</v>
      </c>
      <c r="X478" s="17">
        <f ca="1">IFERROR(__xludf.DUMMYFUNCTION("""COMPUTED_VALUE"""),0.42595121804852)</f>
        <v>0.42595121804851999</v>
      </c>
      <c r="Y478" s="17">
        <f ca="1">IFERROR(__xludf.DUMMYFUNCTION("""COMPUTED_VALUE"""),0.279681412091839)</f>
        <v>0.279681412091839</v>
      </c>
      <c r="Z478" s="17">
        <f ca="1">IFERROR(__xludf.DUMMYFUNCTION("""COMPUTED_VALUE"""),0.454755572781999)</f>
        <v>0.45475557278199902</v>
      </c>
      <c r="AA478" s="17">
        <f ca="1">IFERROR(__xludf.DUMMYFUNCTION("""COMPUTED_VALUE"""),0.365676595728751)</f>
        <v>0.365676595728751</v>
      </c>
      <c r="AB478" s="17">
        <f ca="1">IFERROR(__xludf.DUMMYFUNCTION("""COMPUTED_VALUE"""),0.543560440675385)</f>
        <v>0.543560440675385</v>
      </c>
      <c r="AC478" s="17">
        <f ca="1">IFERROR(__xludf.DUMMYFUNCTION("""COMPUTED_VALUE"""),0.562833291699587)</f>
        <v>0.56283329169958696</v>
      </c>
      <c r="AD478" s="17">
        <f ca="1">IFERROR(__xludf.DUMMYFUNCTION("""COMPUTED_VALUE"""),0.32295297717924)</f>
        <v>0.32295297717923999</v>
      </c>
      <c r="AE478" s="17">
        <f ca="1">IFERROR(__xludf.DUMMYFUNCTION("""COMPUTED_VALUE"""),1.10172962746437)</f>
        <v>1.10172962746437</v>
      </c>
      <c r="AF478" s="17">
        <f ca="1">IFERROR(__xludf.DUMMYFUNCTION("""COMPUTED_VALUE"""),0.418403158811462)</f>
        <v>0.41840315881146201</v>
      </c>
      <c r="AG478" s="17">
        <f ca="1">IFERROR(__xludf.DUMMYFUNCTION("""COMPUTED_VALUE"""),0.47945392961789)</f>
        <v>0.47945392961789002</v>
      </c>
      <c r="AH478" s="17">
        <f ca="1">IFERROR(__xludf.DUMMYFUNCTION("""COMPUTED_VALUE"""),0.355441271399332)</f>
        <v>0.35544127139933201</v>
      </c>
      <c r="AI478" s="17">
        <f ca="1">IFERROR(__xludf.DUMMYFUNCTION("""COMPUTED_VALUE"""),0.539808935546175)</f>
        <v>0.53980893554617504</v>
      </c>
      <c r="AJ478" s="17">
        <f ca="1">IFERROR(__xludf.DUMMYFUNCTION("""COMPUTED_VALUE"""),0.428888756934221)</f>
        <v>0.42888875693422102</v>
      </c>
    </row>
    <row r="479" spans="2:36" ht="15.75" customHeight="1" x14ac:dyDescent="0.45">
      <c r="B479" s="10" t="str">
        <f ca="1">IFERROR(__xludf.DUMMYFUNCTION("""COMPUTED_VALUE"""),"InsectEPGRegularTrain")</f>
        <v>InsectEPGRegularTrain</v>
      </c>
      <c r="C479" s="10" t="str">
        <f ca="1">IFERROR(__xludf.DUMMYFUNCTION("""COMPUTED_VALUE"""),"mcar")</f>
        <v>mcar</v>
      </c>
      <c r="D479" s="10">
        <f ca="1">IFERROR(__xludf.DUMMYFUNCTION("""COMPUTED_VALUE"""),0.4)</f>
        <v>0.4</v>
      </c>
      <c r="E479" s="17">
        <f ca="1">IFERROR(__xludf.DUMMYFUNCTION("""COMPUTED_VALUE"""),1.05462401186329)</f>
        <v>1.0546240118632899</v>
      </c>
      <c r="F479" s="17">
        <f ca="1">IFERROR(__xludf.DUMMYFUNCTION("""COMPUTED_VALUE"""),0.668854611387125)</f>
        <v>0.66885461138712499</v>
      </c>
      <c r="G479" s="17">
        <f ca="1">IFERROR(__xludf.DUMMYFUNCTION("""COMPUTED_VALUE"""),0.670534214532872)</f>
        <v>0.67053421453287199</v>
      </c>
      <c r="H479" s="17">
        <f ca="1">IFERROR(__xludf.DUMMYFUNCTION("""COMPUTED_VALUE"""),0.712330287509711)</f>
        <v>0.71233028750971095</v>
      </c>
      <c r="I479" s="17">
        <f ca="1">IFERROR(__xludf.DUMMYFUNCTION("""COMPUTED_VALUE"""),0.568628980464947)</f>
        <v>0.56862898046494703</v>
      </c>
      <c r="J479" s="17">
        <f ca="1">IFERROR(__xludf.DUMMYFUNCTION("""COMPUTED_VALUE"""),0.606637150982116)</f>
        <v>0.60663715098211601</v>
      </c>
      <c r="K479" s="17" t="str">
        <f ca="1">IFERROR(__xludf.DUMMYFUNCTION("""COMPUTED_VALUE"""),"nan")</f>
        <v>nan</v>
      </c>
      <c r="L479" s="17">
        <f ca="1">IFERROR(__xludf.DUMMYFUNCTION("""COMPUTED_VALUE"""),0.539992523643002)</f>
        <v>0.53999252364300199</v>
      </c>
      <c r="M479" s="17">
        <f ca="1">IFERROR(__xludf.DUMMYFUNCTION("""COMPUTED_VALUE"""),0.687939245996769)</f>
        <v>0.68793924599676903</v>
      </c>
      <c r="N479" s="17">
        <f ca="1">IFERROR(__xludf.DUMMYFUNCTION("""COMPUTED_VALUE"""),0.645648817365022)</f>
        <v>0.645648817365022</v>
      </c>
      <c r="O479" s="17">
        <f ca="1">IFERROR(__xludf.DUMMYFUNCTION("""COMPUTED_VALUE"""),0.576740567337619)</f>
        <v>0.57674056733761903</v>
      </c>
      <c r="P479" s="17">
        <f ca="1">IFERROR(__xludf.DUMMYFUNCTION("""COMPUTED_VALUE"""),0.645159072181106)</f>
        <v>0.64515907218110602</v>
      </c>
      <c r="Q479" s="17">
        <f ca="1">IFERROR(__xludf.DUMMYFUNCTION("""COMPUTED_VALUE"""),1.07330813028387)</f>
        <v>1.0733081302838701</v>
      </c>
      <c r="R479" s="17">
        <f ca="1">IFERROR(__xludf.DUMMYFUNCTION("""COMPUTED_VALUE"""),0.501036297037027)</f>
        <v>0.50103629703702701</v>
      </c>
      <c r="S479" s="17">
        <f ca="1">IFERROR(__xludf.DUMMYFUNCTION("""COMPUTED_VALUE"""),0.805025428340962)</f>
        <v>0.80502542834096202</v>
      </c>
      <c r="T479" s="17">
        <f ca="1">IFERROR(__xludf.DUMMYFUNCTION("""COMPUTED_VALUE"""),0.4178880807253)</f>
        <v>0.41788808072529998</v>
      </c>
      <c r="U479" s="17">
        <f ca="1">IFERROR(__xludf.DUMMYFUNCTION("""COMPUTED_VALUE"""),0.511515170518691)</f>
        <v>0.511515170518691</v>
      </c>
      <c r="V479" s="17">
        <f ca="1">IFERROR(__xludf.DUMMYFUNCTION("""COMPUTED_VALUE"""),0.466320665995137)</f>
        <v>0.466320665995137</v>
      </c>
      <c r="W479" s="17">
        <f ca="1">IFERROR(__xludf.DUMMYFUNCTION("""COMPUTED_VALUE"""),0.461551988206628)</f>
        <v>0.46155198820662802</v>
      </c>
      <c r="X479" s="17">
        <f ca="1">IFERROR(__xludf.DUMMYFUNCTION("""COMPUTED_VALUE"""),0.463166511856565)</f>
        <v>0.46316651185656499</v>
      </c>
      <c r="Y479" s="17">
        <f ca="1">IFERROR(__xludf.DUMMYFUNCTION("""COMPUTED_VALUE"""),0.355342235178065)</f>
        <v>0.35534223517806501</v>
      </c>
      <c r="Z479" s="17">
        <f ca="1">IFERROR(__xludf.DUMMYFUNCTION("""COMPUTED_VALUE"""),0.507848314097886)</f>
        <v>0.507848314097886</v>
      </c>
      <c r="AA479" s="17">
        <f ca="1">IFERROR(__xludf.DUMMYFUNCTION("""COMPUTED_VALUE"""),0.471029829195267)</f>
        <v>0.47102982919526698</v>
      </c>
      <c r="AB479" s="17">
        <f ca="1">IFERROR(__xludf.DUMMYFUNCTION("""COMPUTED_VALUE"""),0.530503675999689)</f>
        <v>0.53050367599968895</v>
      </c>
      <c r="AC479" s="17">
        <f ca="1">IFERROR(__xludf.DUMMYFUNCTION("""COMPUTED_VALUE"""),0.472218690879567)</f>
        <v>0.47221869087956703</v>
      </c>
      <c r="AD479" s="17">
        <f ca="1">IFERROR(__xludf.DUMMYFUNCTION("""COMPUTED_VALUE"""),0.43403626975587)</f>
        <v>0.43403626975587001</v>
      </c>
      <c r="AE479" s="17">
        <f ca="1">IFERROR(__xludf.DUMMYFUNCTION("""COMPUTED_VALUE"""),1.06331821042334)</f>
        <v>1.0633182104233401</v>
      </c>
      <c r="AF479" s="17">
        <f ca="1">IFERROR(__xludf.DUMMYFUNCTION("""COMPUTED_VALUE"""),0.624595268323831)</f>
        <v>0.62459526832383105</v>
      </c>
      <c r="AG479" s="17">
        <f ca="1">IFERROR(__xludf.DUMMYFUNCTION("""COMPUTED_VALUE"""),0.73776128157984)</f>
        <v>0.73776128157984</v>
      </c>
      <c r="AH479" s="17">
        <f ca="1">IFERROR(__xludf.DUMMYFUNCTION("""COMPUTED_VALUE"""),0.426099376947307)</f>
        <v>0.42609937694730698</v>
      </c>
      <c r="AI479" s="17" t="str">
        <f ca="1">IFERROR(__xludf.DUMMYFUNCTION("""COMPUTED_VALUE"""),"nan")</f>
        <v>nan</v>
      </c>
      <c r="AJ479" s="17">
        <f ca="1">IFERROR(__xludf.DUMMYFUNCTION("""COMPUTED_VALUE"""),0.571646204404055)</f>
        <v>0.571646204404055</v>
      </c>
    </row>
    <row r="480" spans="2:36" ht="15.75" customHeight="1" x14ac:dyDescent="0.45">
      <c r="B480" s="10" t="str">
        <f ca="1">IFERROR(__xludf.DUMMYFUNCTION("""COMPUTED_VALUE"""),"InsectEPGRegularTrain")</f>
        <v>InsectEPGRegularTrain</v>
      </c>
      <c r="C480" s="10" t="str">
        <f ca="1">IFERROR(__xludf.DUMMYFUNCTION("""COMPUTED_VALUE"""),"mcar")</f>
        <v>mcar</v>
      </c>
      <c r="D480" s="10">
        <f ca="1">IFERROR(__xludf.DUMMYFUNCTION("""COMPUTED_VALUE"""),0.6)</f>
        <v>0.6</v>
      </c>
      <c r="E480" s="17">
        <f ca="1">IFERROR(__xludf.DUMMYFUNCTION("""COMPUTED_VALUE"""),1.03279507173383)</f>
        <v>1.0327950717338299</v>
      </c>
      <c r="F480" s="17">
        <f ca="1">IFERROR(__xludf.DUMMYFUNCTION("""COMPUTED_VALUE"""),0.675139942195282)</f>
        <v>0.67513994219528195</v>
      </c>
      <c r="G480" s="17">
        <f ca="1">IFERROR(__xludf.DUMMYFUNCTION("""COMPUTED_VALUE"""),0.675540571439201)</f>
        <v>0.67554057143920099</v>
      </c>
      <c r="H480" s="17">
        <f ca="1">IFERROR(__xludf.DUMMYFUNCTION("""COMPUTED_VALUE"""),0.798680131913895)</f>
        <v>0.79868013191389498</v>
      </c>
      <c r="I480" s="17">
        <f ca="1">IFERROR(__xludf.DUMMYFUNCTION("""COMPUTED_VALUE"""),0.582737803635735)</f>
        <v>0.58273780363573502</v>
      </c>
      <c r="J480" s="17">
        <f ca="1">IFERROR(__xludf.DUMMYFUNCTION("""COMPUTED_VALUE"""),0.613686215624998)</f>
        <v>0.61368621562499803</v>
      </c>
      <c r="K480" s="17" t="str">
        <f ca="1">IFERROR(__xludf.DUMMYFUNCTION("""COMPUTED_VALUE"""),"nan")</f>
        <v>nan</v>
      </c>
      <c r="L480" s="17">
        <f ca="1">IFERROR(__xludf.DUMMYFUNCTION("""COMPUTED_VALUE"""),0.530804718314131)</f>
        <v>0.53080471831413101</v>
      </c>
      <c r="M480" s="17">
        <f ca="1">IFERROR(__xludf.DUMMYFUNCTION("""COMPUTED_VALUE"""),0.712327267858723)</f>
        <v>0.71232726785872302</v>
      </c>
      <c r="N480" s="17">
        <f ca="1">IFERROR(__xludf.DUMMYFUNCTION("""COMPUTED_VALUE"""),0.76022440579818)</f>
        <v>0.76022440579817996</v>
      </c>
      <c r="O480" s="17">
        <f ca="1">IFERROR(__xludf.DUMMYFUNCTION("""COMPUTED_VALUE"""),0.578933130232571)</f>
        <v>0.57893313023257098</v>
      </c>
      <c r="P480" s="17">
        <f ca="1">IFERROR(__xludf.DUMMYFUNCTION("""COMPUTED_VALUE"""),0.761012968811331)</f>
        <v>0.76101296881133096</v>
      </c>
      <c r="Q480" s="17">
        <f ca="1">IFERROR(__xludf.DUMMYFUNCTION("""COMPUTED_VALUE"""),1.0860967687895)</f>
        <v>1.0860967687895</v>
      </c>
      <c r="R480" s="17">
        <f ca="1">IFERROR(__xludf.DUMMYFUNCTION("""COMPUTED_VALUE"""),0.536733718544002)</f>
        <v>0.53673371854400198</v>
      </c>
      <c r="S480" s="17">
        <f ca="1">IFERROR(__xludf.DUMMYFUNCTION("""COMPUTED_VALUE"""),1.40458117754186)</f>
        <v>1.40458117754186</v>
      </c>
      <c r="T480" s="17">
        <f ca="1">IFERROR(__xludf.DUMMYFUNCTION("""COMPUTED_VALUE"""),0.472632505381317)</f>
        <v>0.47263250538131701</v>
      </c>
      <c r="U480" s="17">
        <f ca="1">IFERROR(__xludf.DUMMYFUNCTION("""COMPUTED_VALUE"""),0.609152446336244)</f>
        <v>0.60915244633624399</v>
      </c>
      <c r="V480" s="17">
        <f ca="1">IFERROR(__xludf.DUMMYFUNCTION("""COMPUTED_VALUE"""),0.644219333450891)</f>
        <v>0.644219333450891</v>
      </c>
      <c r="W480" s="17">
        <f ca="1">IFERROR(__xludf.DUMMYFUNCTION("""COMPUTED_VALUE"""),0.567206690708969)</f>
        <v>0.56720669070896901</v>
      </c>
      <c r="X480" s="17">
        <f ca="1">IFERROR(__xludf.DUMMYFUNCTION("""COMPUTED_VALUE"""),0.463351455421502)</f>
        <v>0.46335145542150202</v>
      </c>
      <c r="Y480" s="17">
        <f ca="1">IFERROR(__xludf.DUMMYFUNCTION("""COMPUTED_VALUE"""),0.535907924832079)</f>
        <v>0.53590792483207905</v>
      </c>
      <c r="Z480" s="17">
        <f ca="1">IFERROR(__xludf.DUMMYFUNCTION("""COMPUTED_VALUE"""),0.637974057434745)</f>
        <v>0.637974057434745</v>
      </c>
      <c r="AA480" s="17">
        <f ca="1">IFERROR(__xludf.DUMMYFUNCTION("""COMPUTED_VALUE"""),0.518407623093348)</f>
        <v>0.51840762309334798</v>
      </c>
      <c r="AB480" s="17">
        <f ca="1">IFERROR(__xludf.DUMMYFUNCTION("""COMPUTED_VALUE"""),0.785092483568753)</f>
        <v>0.78509248356875305</v>
      </c>
      <c r="AC480" s="17">
        <f ca="1">IFERROR(__xludf.DUMMYFUNCTION("""COMPUTED_VALUE"""),0.577625459989456)</f>
        <v>0.57762545998945602</v>
      </c>
      <c r="AD480" s="17">
        <f ca="1">IFERROR(__xludf.DUMMYFUNCTION("""COMPUTED_VALUE"""),0.643230022169503)</f>
        <v>0.64323002216950298</v>
      </c>
      <c r="AE480" s="17">
        <f ca="1">IFERROR(__xludf.DUMMYFUNCTION("""COMPUTED_VALUE"""),1.11414847186471)</f>
        <v>1.1141484718647101</v>
      </c>
      <c r="AF480" s="17">
        <f ca="1">IFERROR(__xludf.DUMMYFUNCTION("""COMPUTED_VALUE"""),0.809174280841131)</f>
        <v>0.80917428084113097</v>
      </c>
      <c r="AG480" s="17">
        <f ca="1">IFERROR(__xludf.DUMMYFUNCTION("""COMPUTED_VALUE"""),1.0859864342027)</f>
        <v>1.0859864342026999</v>
      </c>
      <c r="AH480" s="17">
        <f ca="1">IFERROR(__xludf.DUMMYFUNCTION("""COMPUTED_VALUE"""),0.657256233992815)</f>
        <v>0.65725623399281496</v>
      </c>
      <c r="AI480" s="17" t="str">
        <f ca="1">IFERROR(__xludf.DUMMYFUNCTION("""COMPUTED_VALUE"""),"nan")</f>
        <v>nan</v>
      </c>
      <c r="AJ480" s="17">
        <f ca="1">IFERROR(__xludf.DUMMYFUNCTION("""COMPUTED_VALUE"""),0.892421843193014)</f>
        <v>0.89242184319301399</v>
      </c>
    </row>
    <row r="481" spans="2:36" ht="15.75" customHeight="1" x14ac:dyDescent="0.45">
      <c r="B481" s="10" t="str">
        <f ca="1">IFERROR(__xludf.DUMMYFUNCTION("""COMPUTED_VALUE"""),"InsectEPGRegularTrain")</f>
        <v>InsectEPGRegularTrain</v>
      </c>
      <c r="C481" s="10" t="str">
        <f ca="1">IFERROR(__xludf.DUMMYFUNCTION("""COMPUTED_VALUE"""),"mcar")</f>
        <v>mcar</v>
      </c>
      <c r="D481" s="10">
        <f ca="1">IFERROR(__xludf.DUMMYFUNCTION("""COMPUTED_VALUE"""),0.8)</f>
        <v>0.8</v>
      </c>
      <c r="E481" s="17">
        <f ca="1">IFERROR(__xludf.DUMMYFUNCTION("""COMPUTED_VALUE"""),1.00618092759006)</f>
        <v>1.0061809275900599</v>
      </c>
      <c r="F481" s="17">
        <f ca="1">IFERROR(__xludf.DUMMYFUNCTION("""COMPUTED_VALUE"""),0.685774076692393)</f>
        <v>0.68577407669239299</v>
      </c>
      <c r="G481" s="17">
        <f ca="1">IFERROR(__xludf.DUMMYFUNCTION("""COMPUTED_VALUE"""),0.751887189493389)</f>
        <v>0.75188718949338895</v>
      </c>
      <c r="H481" s="17">
        <f ca="1">IFERROR(__xludf.DUMMYFUNCTION("""COMPUTED_VALUE"""),0.836157922082937)</f>
        <v>0.83615792208293704</v>
      </c>
      <c r="I481" s="17">
        <f ca="1">IFERROR(__xludf.DUMMYFUNCTION("""COMPUTED_VALUE"""),0.664410666437385)</f>
        <v>0.664410666437385</v>
      </c>
      <c r="J481" s="17">
        <f ca="1">IFERROR(__xludf.DUMMYFUNCTION("""COMPUTED_VALUE"""),0.930834005767806)</f>
        <v>0.93083400576780595</v>
      </c>
      <c r="K481" s="17" t="str">
        <f ca="1">IFERROR(__xludf.DUMMYFUNCTION("""COMPUTED_VALUE"""),"nan")</f>
        <v>nan</v>
      </c>
      <c r="L481" s="17">
        <f ca="1">IFERROR(__xludf.DUMMYFUNCTION("""COMPUTED_VALUE"""),0.680865583840228)</f>
        <v>0.68086558384022799</v>
      </c>
      <c r="M481" s="17">
        <f ca="1">IFERROR(__xludf.DUMMYFUNCTION("""COMPUTED_VALUE"""),0.721137710701425)</f>
        <v>0.72113771070142496</v>
      </c>
      <c r="N481" s="17">
        <f ca="1">IFERROR(__xludf.DUMMYFUNCTION("""COMPUTED_VALUE"""),0.898224998239415)</f>
        <v>0.89822499823941504</v>
      </c>
      <c r="O481" s="17">
        <f ca="1">IFERROR(__xludf.DUMMYFUNCTION("""COMPUTED_VALUE"""),0.668096446934792)</f>
        <v>0.66809644693479198</v>
      </c>
      <c r="P481" s="17">
        <f ca="1">IFERROR(__xludf.DUMMYFUNCTION("""COMPUTED_VALUE"""),1.03010751804826)</f>
        <v>1.03010751804826</v>
      </c>
      <c r="Q481" s="17">
        <f ca="1">IFERROR(__xludf.DUMMYFUNCTION("""COMPUTED_VALUE"""),1.06868973990375)</f>
        <v>1.06868973990375</v>
      </c>
      <c r="R481" s="17">
        <f ca="1">IFERROR(__xludf.DUMMYFUNCTION("""COMPUTED_VALUE"""),0.903420361607766)</f>
        <v>0.90342036160776595</v>
      </c>
      <c r="S481" s="17">
        <f ca="1">IFERROR(__xludf.DUMMYFUNCTION("""COMPUTED_VALUE"""),1.40757900694262)</f>
        <v>1.4075790069426199</v>
      </c>
      <c r="T481" s="17">
        <f ca="1">IFERROR(__xludf.DUMMYFUNCTION("""COMPUTED_VALUE"""),0.883003018721919)</f>
        <v>0.883003018721919</v>
      </c>
      <c r="U481" s="17">
        <f ca="1">IFERROR(__xludf.DUMMYFUNCTION("""COMPUTED_VALUE"""),0.832109058839897)</f>
        <v>0.83210905883989705</v>
      </c>
      <c r="V481" s="17">
        <f ca="1">IFERROR(__xludf.DUMMYFUNCTION("""COMPUTED_VALUE"""),0.957207882890124)</f>
        <v>0.95720788289012404</v>
      </c>
      <c r="W481" s="17">
        <f ca="1">IFERROR(__xludf.DUMMYFUNCTION("""COMPUTED_VALUE"""),0.902212352095276)</f>
        <v>0.90221235209527595</v>
      </c>
      <c r="X481" s="17">
        <f ca="1">IFERROR(__xludf.DUMMYFUNCTION("""COMPUTED_VALUE"""),0.577927306543722)</f>
        <v>0.57792730654372204</v>
      </c>
      <c r="Y481" s="17">
        <f ca="1">IFERROR(__xludf.DUMMYFUNCTION("""COMPUTED_VALUE"""),0.752894357942136)</f>
        <v>0.75289435794213599</v>
      </c>
      <c r="Z481" s="17">
        <f ca="1">IFERROR(__xludf.DUMMYFUNCTION("""COMPUTED_VALUE"""),0.782217542189648)</f>
        <v>0.78221754218964801</v>
      </c>
      <c r="AA481" s="17">
        <f ca="1">IFERROR(__xludf.DUMMYFUNCTION("""COMPUTED_VALUE"""),1.0846308642809)</f>
        <v>1.0846308642808999</v>
      </c>
      <c r="AB481" s="17">
        <f ca="1">IFERROR(__xludf.DUMMYFUNCTION("""COMPUTED_VALUE"""),1.24936070044816)</f>
        <v>1.2493607004481599</v>
      </c>
      <c r="AC481" s="17">
        <f ca="1">IFERROR(__xludf.DUMMYFUNCTION("""COMPUTED_VALUE"""),0.855864228708722)</f>
        <v>0.85586422870872203</v>
      </c>
      <c r="AD481" s="17">
        <f ca="1">IFERROR(__xludf.DUMMYFUNCTION("""COMPUTED_VALUE"""),1.22931252385602)</f>
        <v>1.2293125238560201</v>
      </c>
      <c r="AE481" s="17" t="str">
        <f ca="1">IFERROR(__xludf.DUMMYFUNCTION("""COMPUTED_VALUE"""),"nan")</f>
        <v>nan</v>
      </c>
      <c r="AF481" s="17">
        <f ca="1">IFERROR(__xludf.DUMMYFUNCTION("""COMPUTED_VALUE"""),1.16902141632715)</f>
        <v>1.16902141632715</v>
      </c>
      <c r="AG481" s="17">
        <f ca="1">IFERROR(__xludf.DUMMYFUNCTION("""COMPUTED_VALUE"""),1.05820495204705)</f>
        <v>1.05820495204705</v>
      </c>
      <c r="AH481" s="17">
        <f ca="1">IFERROR(__xludf.DUMMYFUNCTION("""COMPUTED_VALUE"""),1.00968210402626)</f>
        <v>1.00968210402626</v>
      </c>
      <c r="AI481" s="17" t="str">
        <f ca="1">IFERROR(__xludf.DUMMYFUNCTION("""COMPUTED_VALUE"""),"nan")</f>
        <v>nan</v>
      </c>
      <c r="AJ481" s="17">
        <f ca="1">IFERROR(__xludf.DUMMYFUNCTION("""COMPUTED_VALUE"""),1.02182817564986)</f>
        <v>1.0218281756498599</v>
      </c>
    </row>
    <row r="482" spans="2:36" ht="15.75" customHeight="1" x14ac:dyDescent="0.45">
      <c r="B482" s="10" t="str">
        <f ca="1">IFERROR(__xludf.DUMMYFUNCTION("""COMPUTED_VALUE"""),"LargeKitchenAppliances")</f>
        <v>LargeKitchenAppliances</v>
      </c>
      <c r="C482" s="10" t="str">
        <f ca="1">IFERROR(__xludf.DUMMYFUNCTION("""COMPUTED_VALUE"""),"aligned_series")</f>
        <v>aligned_series</v>
      </c>
      <c r="D482" s="10">
        <f ca="1">IFERROR(__xludf.DUMMYFUNCTION("""COMPUTED_VALUE"""),0.1)</f>
        <v>0.1</v>
      </c>
      <c r="E482" s="17">
        <f ca="1">IFERROR(__xludf.DUMMYFUNCTION("""COMPUTED_VALUE"""),0.752152297308392)</f>
        <v>0.75215229730839195</v>
      </c>
      <c r="F482" s="17">
        <f ca="1">IFERROR(__xludf.DUMMYFUNCTION("""COMPUTED_VALUE"""),0.745854113834113)</f>
        <v>0.74585411383411304</v>
      </c>
      <c r="G482" s="17">
        <f ca="1">IFERROR(__xludf.DUMMYFUNCTION("""COMPUTED_VALUE"""),0.745851632788389)</f>
        <v>0.74585163278838895</v>
      </c>
      <c r="H482" s="17">
        <f ca="1">IFERROR(__xludf.DUMMYFUNCTION("""COMPUTED_VALUE"""),0.746313533380143)</f>
        <v>0.74631353338014295</v>
      </c>
      <c r="I482" s="17">
        <f ca="1">IFERROR(__xludf.DUMMYFUNCTION("""COMPUTED_VALUE"""),0.695444302722888)</f>
        <v>0.69544430272288804</v>
      </c>
      <c r="J482" s="17">
        <f ca="1">IFERROR(__xludf.DUMMYFUNCTION("""COMPUTED_VALUE"""),0.7509633477601)</f>
        <v>0.75096334776009999</v>
      </c>
      <c r="K482" s="17" t="str">
        <f ca="1">IFERROR(__xludf.DUMMYFUNCTION("""COMPUTED_VALUE"""),"nan")</f>
        <v>nan</v>
      </c>
      <c r="L482" s="17">
        <f ca="1">IFERROR(__xludf.DUMMYFUNCTION("""COMPUTED_VALUE"""),0.744566288409499)</f>
        <v>0.74456628840949901</v>
      </c>
      <c r="M482" s="17">
        <f ca="1">IFERROR(__xludf.DUMMYFUNCTION("""COMPUTED_VALUE"""),0.759012429908132)</f>
        <v>0.759012429908132</v>
      </c>
      <c r="N482" s="17">
        <f ca="1">IFERROR(__xludf.DUMMYFUNCTION("""COMPUTED_VALUE"""),0.914580807725089)</f>
        <v>0.91458080772508898</v>
      </c>
      <c r="O482" s="17">
        <f ca="1">IFERROR(__xludf.DUMMYFUNCTION("""COMPUTED_VALUE"""),0.745006245870193)</f>
        <v>0.74500624587019304</v>
      </c>
      <c r="P482" s="17">
        <f ca="1">IFERROR(__xludf.DUMMYFUNCTION("""COMPUTED_VALUE"""),1.06505689454224)</f>
        <v>1.0650568945422401</v>
      </c>
      <c r="Q482" s="17">
        <f ca="1">IFERROR(__xludf.DUMMYFUNCTION("""COMPUTED_VALUE"""),0.927961405746415)</f>
        <v>0.92796140574641495</v>
      </c>
      <c r="R482" s="17">
        <f ca="1">IFERROR(__xludf.DUMMYFUNCTION("""COMPUTED_VALUE"""),0.725180770862517)</f>
        <v>0.72518077086251698</v>
      </c>
      <c r="S482" s="17">
        <f ca="1">IFERROR(__xludf.DUMMYFUNCTION("""COMPUTED_VALUE"""),0.750860014009786)</f>
        <v>0.75086001400978597</v>
      </c>
      <c r="T482" s="17">
        <f ca="1">IFERROR(__xludf.DUMMYFUNCTION("""COMPUTED_VALUE"""),0.750496271365701)</f>
        <v>0.75049627136570096</v>
      </c>
      <c r="U482" s="17">
        <f ca="1">IFERROR(__xludf.DUMMYFUNCTION("""COMPUTED_VALUE"""),0.748660215498085)</f>
        <v>0.74866021549808504</v>
      </c>
      <c r="V482" s="17">
        <f ca="1">IFERROR(__xludf.DUMMYFUNCTION("""COMPUTED_VALUE"""),0.751168223628197)</f>
        <v>0.75116822362819702</v>
      </c>
      <c r="W482" s="17">
        <f ca="1">IFERROR(__xludf.DUMMYFUNCTION("""COMPUTED_VALUE"""),0.74958685559045)</f>
        <v>0.74958685559045002</v>
      </c>
      <c r="X482" s="17">
        <f ca="1">IFERROR(__xludf.DUMMYFUNCTION("""COMPUTED_VALUE"""),0.735453902354928)</f>
        <v>0.73545390235492802</v>
      </c>
      <c r="Y482" s="17">
        <f ca="1">IFERROR(__xludf.DUMMYFUNCTION("""COMPUTED_VALUE"""),0.750738886429548)</f>
        <v>0.750738886429548</v>
      </c>
      <c r="Z482" s="17">
        <f ca="1">IFERROR(__xludf.DUMMYFUNCTION("""COMPUTED_VALUE"""),0.748804197418865)</f>
        <v>0.74880419741886495</v>
      </c>
      <c r="AA482" s="17">
        <f ca="1">IFERROR(__xludf.DUMMYFUNCTION("""COMPUTED_VALUE"""),1.00994909240925)</f>
        <v>1.00994909240925</v>
      </c>
      <c r="AB482" s="17">
        <f ca="1">IFERROR(__xludf.DUMMYFUNCTION("""COMPUTED_VALUE"""),0.922707973524023)</f>
        <v>0.92270797352402301</v>
      </c>
      <c r="AC482" s="17">
        <f ca="1">IFERROR(__xludf.DUMMYFUNCTION("""COMPUTED_VALUE"""),1.33559254900889)</f>
        <v>1.33559254900889</v>
      </c>
      <c r="AD482" s="17">
        <f ca="1">IFERROR(__xludf.DUMMYFUNCTION("""COMPUTED_VALUE"""),0.753966004163004)</f>
        <v>0.75396600416300397</v>
      </c>
      <c r="AE482" s="17">
        <f ca="1">IFERROR(__xludf.DUMMYFUNCTION("""COMPUTED_VALUE"""),0.931282259902759)</f>
        <v>0.93128225990275904</v>
      </c>
      <c r="AF482" s="17">
        <f ca="1">IFERROR(__xludf.DUMMYFUNCTION("""COMPUTED_VALUE"""),0.752058426334177)</f>
        <v>0.75205842633417697</v>
      </c>
      <c r="AG482" s="17">
        <f ca="1">IFERROR(__xludf.DUMMYFUNCTION("""COMPUTED_VALUE"""),0.74547785588723)</f>
        <v>0.74547785588723003</v>
      </c>
      <c r="AH482" s="17">
        <f ca="1">IFERROR(__xludf.DUMMYFUNCTION("""COMPUTED_VALUE"""),0.699158029382535)</f>
        <v>0.69915802938253502</v>
      </c>
      <c r="AI482" s="17" t="str">
        <f ca="1">IFERROR(__xludf.DUMMYFUNCTION("""COMPUTED_VALUE"""),"nan")</f>
        <v>nan</v>
      </c>
      <c r="AJ482" s="17">
        <f ca="1">IFERROR(__xludf.DUMMYFUNCTION("""COMPUTED_VALUE"""),0.731198545832522)</f>
        <v>0.73119854583252197</v>
      </c>
    </row>
    <row r="483" spans="2:36" ht="15.75" customHeight="1" x14ac:dyDescent="0.45">
      <c r="B483" s="10" t="str">
        <f ca="1">IFERROR(__xludf.DUMMYFUNCTION("""COMPUTED_VALUE"""),"LargeKitchenAppliances")</f>
        <v>LargeKitchenAppliances</v>
      </c>
      <c r="C483" s="10" t="str">
        <f ca="1">IFERROR(__xludf.DUMMYFUNCTION("""COMPUTED_VALUE"""),"aligned_series")</f>
        <v>aligned_series</v>
      </c>
      <c r="D483" s="10">
        <f ca="1">IFERROR(__xludf.DUMMYFUNCTION("""COMPUTED_VALUE"""),0.2)</f>
        <v>0.2</v>
      </c>
      <c r="E483" s="17">
        <f ca="1">IFERROR(__xludf.DUMMYFUNCTION("""COMPUTED_VALUE"""),0.688161487833202)</f>
        <v>0.68816148783320197</v>
      </c>
      <c r="F483" s="17">
        <f ca="1">IFERROR(__xludf.DUMMYFUNCTION("""COMPUTED_VALUE"""),0.678863110918292)</f>
        <v>0.67886311091829199</v>
      </c>
      <c r="G483" s="17">
        <f ca="1">IFERROR(__xludf.DUMMYFUNCTION("""COMPUTED_VALUE"""),0.678772337953219)</f>
        <v>0.67877233795321901</v>
      </c>
      <c r="H483" s="17">
        <f ca="1">IFERROR(__xludf.DUMMYFUNCTION("""COMPUTED_VALUE"""),0.675951049547235)</f>
        <v>0.67595104954723495</v>
      </c>
      <c r="I483" s="17">
        <f ca="1">IFERROR(__xludf.DUMMYFUNCTION("""COMPUTED_VALUE"""),0.662513743615503)</f>
        <v>0.66251374361550297</v>
      </c>
      <c r="J483" s="17">
        <f ca="1">IFERROR(__xludf.DUMMYFUNCTION("""COMPUTED_VALUE"""),0.679296854857991)</f>
        <v>0.67929685485799096</v>
      </c>
      <c r="K483" s="17" t="str">
        <f ca="1">IFERROR(__xludf.DUMMYFUNCTION("""COMPUTED_VALUE"""),"nan")</f>
        <v>nan</v>
      </c>
      <c r="L483" s="17">
        <f ca="1">IFERROR(__xludf.DUMMYFUNCTION("""COMPUTED_VALUE"""),0.674743918243656)</f>
        <v>0.67474391824365598</v>
      </c>
      <c r="M483" s="17">
        <f ca="1">IFERROR(__xludf.DUMMYFUNCTION("""COMPUTED_VALUE"""),0.67636152064417)</f>
        <v>0.67636152064416999</v>
      </c>
      <c r="N483" s="17">
        <f ca="1">IFERROR(__xludf.DUMMYFUNCTION("""COMPUTED_VALUE"""),0.734163452720568)</f>
        <v>0.73416345272056804</v>
      </c>
      <c r="O483" s="17">
        <f ca="1">IFERROR(__xludf.DUMMYFUNCTION("""COMPUTED_VALUE"""),0.675870249713589)</f>
        <v>0.675870249713589</v>
      </c>
      <c r="P483" s="17">
        <f ca="1">IFERROR(__xludf.DUMMYFUNCTION("""COMPUTED_VALUE"""),1.218520198767)</f>
        <v>1.218520198767</v>
      </c>
      <c r="Q483" s="17">
        <f ca="1">IFERROR(__xludf.DUMMYFUNCTION("""COMPUTED_VALUE"""),0.729802594123633)</f>
        <v>0.72980259412363302</v>
      </c>
      <c r="R483" s="17">
        <f ca="1">IFERROR(__xludf.DUMMYFUNCTION("""COMPUTED_VALUE"""),0.696703066852537)</f>
        <v>0.69670306685253702</v>
      </c>
      <c r="S483" s="17">
        <f ca="1">IFERROR(__xludf.DUMMYFUNCTION("""COMPUTED_VALUE"""),0.679223801713272)</f>
        <v>0.67922380171327201</v>
      </c>
      <c r="T483" s="17">
        <f ca="1">IFERROR(__xludf.DUMMYFUNCTION("""COMPUTED_VALUE"""),0.677736710660618)</f>
        <v>0.67773671066061802</v>
      </c>
      <c r="U483" s="17">
        <f ca="1">IFERROR(__xludf.DUMMYFUNCTION("""COMPUTED_VALUE"""),0.680270226671176)</f>
        <v>0.68027022667117598</v>
      </c>
      <c r="V483" s="17">
        <f ca="1">IFERROR(__xludf.DUMMYFUNCTION("""COMPUTED_VALUE"""),0.679851940138658)</f>
        <v>0.67985194013865802</v>
      </c>
      <c r="W483" s="17">
        <f ca="1">IFERROR(__xludf.DUMMYFUNCTION("""COMPUTED_VALUE"""),0.675776545175533)</f>
        <v>0.67577654517553298</v>
      </c>
      <c r="X483" s="17">
        <f ca="1">IFERROR(__xludf.DUMMYFUNCTION("""COMPUTED_VALUE"""),0.675702011037988)</f>
        <v>0.67570201103798799</v>
      </c>
      <c r="Y483" s="17">
        <f ca="1">IFERROR(__xludf.DUMMYFUNCTION("""COMPUTED_VALUE"""),0.677092027599617)</f>
        <v>0.67709202759961695</v>
      </c>
      <c r="Z483" s="17">
        <f ca="1">IFERROR(__xludf.DUMMYFUNCTION("""COMPUTED_VALUE"""),0.672752118898541)</f>
        <v>0.67275211889854103</v>
      </c>
      <c r="AA483" s="17">
        <f ca="1">IFERROR(__xludf.DUMMYFUNCTION("""COMPUTED_VALUE"""),0.738713861673944)</f>
        <v>0.73871386167394404</v>
      </c>
      <c r="AB483" s="17">
        <f ca="1">IFERROR(__xludf.DUMMYFUNCTION("""COMPUTED_VALUE"""),1.35786846000453)</f>
        <v>1.3578684600045301</v>
      </c>
      <c r="AC483" s="17">
        <f ca="1">IFERROR(__xludf.DUMMYFUNCTION("""COMPUTED_VALUE"""),1.06559738302741)</f>
        <v>1.0655973830274099</v>
      </c>
      <c r="AD483" s="17">
        <f ca="1">IFERROR(__xludf.DUMMYFUNCTION("""COMPUTED_VALUE"""),0.685261839662183)</f>
        <v>0.68526183966218301</v>
      </c>
      <c r="AE483" s="17">
        <f ca="1">IFERROR(__xludf.DUMMYFUNCTION("""COMPUTED_VALUE"""),0.944634316851019)</f>
        <v>0.94463431685101895</v>
      </c>
      <c r="AF483" s="17">
        <f ca="1">IFERROR(__xludf.DUMMYFUNCTION("""COMPUTED_VALUE"""),0.678186588507859)</f>
        <v>0.67818658850785896</v>
      </c>
      <c r="AG483" s="17">
        <f ca="1">IFERROR(__xludf.DUMMYFUNCTION("""COMPUTED_VALUE"""),0.82446544423068)</f>
        <v>0.82446544423068002</v>
      </c>
      <c r="AH483" s="17">
        <f ca="1">IFERROR(__xludf.DUMMYFUNCTION("""COMPUTED_VALUE"""),0.634693222156807)</f>
        <v>0.63469322215680701</v>
      </c>
      <c r="AI483" s="17" t="str">
        <f ca="1">IFERROR(__xludf.DUMMYFUNCTION("""COMPUTED_VALUE"""),"nan")</f>
        <v>nan</v>
      </c>
      <c r="AJ483" s="17">
        <f ca="1">IFERROR(__xludf.DUMMYFUNCTION("""COMPUTED_VALUE"""),0.687948022967241)</f>
        <v>0.687948022967241</v>
      </c>
    </row>
    <row r="484" spans="2:36" ht="15.75" customHeight="1" x14ac:dyDescent="0.45">
      <c r="B484" s="10" t="str">
        <f ca="1">IFERROR(__xludf.DUMMYFUNCTION("""COMPUTED_VALUE"""),"LargeKitchenAppliances")</f>
        <v>LargeKitchenAppliances</v>
      </c>
      <c r="C484" s="10" t="str">
        <f ca="1">IFERROR(__xludf.DUMMYFUNCTION("""COMPUTED_VALUE"""),"aligned_series")</f>
        <v>aligned_series</v>
      </c>
      <c r="D484" s="10">
        <f ca="1">IFERROR(__xludf.DUMMYFUNCTION("""COMPUTED_VALUE"""),0.4)</f>
        <v>0.4</v>
      </c>
      <c r="E484" s="17">
        <f ca="1">IFERROR(__xludf.DUMMYFUNCTION("""COMPUTED_VALUE"""),0.571005648966984)</f>
        <v>0.57100564896698403</v>
      </c>
      <c r="F484" s="17">
        <f ca="1">IFERROR(__xludf.DUMMYFUNCTION("""COMPUTED_VALUE"""),0.563038843268761)</f>
        <v>0.56303884326876097</v>
      </c>
      <c r="G484" s="17">
        <f ca="1">IFERROR(__xludf.DUMMYFUNCTION("""COMPUTED_VALUE"""),0.563313610926655)</f>
        <v>0.563313610926655</v>
      </c>
      <c r="H484" s="17">
        <f ca="1">IFERROR(__xludf.DUMMYFUNCTION("""COMPUTED_VALUE"""),0.556365158064688)</f>
        <v>0.556365158064688</v>
      </c>
      <c r="I484" s="17">
        <f ca="1">IFERROR(__xludf.DUMMYFUNCTION("""COMPUTED_VALUE"""),0.544975594618526)</f>
        <v>0.54497559461852596</v>
      </c>
      <c r="J484" s="17">
        <f ca="1">IFERROR(__xludf.DUMMYFUNCTION("""COMPUTED_VALUE"""),0.551288875074062)</f>
        <v>0.55128887507406199</v>
      </c>
      <c r="K484" s="17" t="str">
        <f ca="1">IFERROR(__xludf.DUMMYFUNCTION("""COMPUTED_VALUE"""),"nan")</f>
        <v>nan</v>
      </c>
      <c r="L484" s="17">
        <f ca="1">IFERROR(__xludf.DUMMYFUNCTION("""COMPUTED_VALUE"""),0.582438011814011)</f>
        <v>0.582438011814011</v>
      </c>
      <c r="M484" s="17">
        <f ca="1">IFERROR(__xludf.DUMMYFUNCTION("""COMPUTED_VALUE"""),0.55509235675771)</f>
        <v>0.55509235675770996</v>
      </c>
      <c r="N484" s="17">
        <f ca="1">IFERROR(__xludf.DUMMYFUNCTION("""COMPUTED_VALUE"""),0.793701665809519)</f>
        <v>0.79370166580951895</v>
      </c>
      <c r="O484" s="17">
        <f ca="1">IFERROR(__xludf.DUMMYFUNCTION("""COMPUTED_VALUE"""),0.564069621014956)</f>
        <v>0.56406962101495595</v>
      </c>
      <c r="P484" s="17">
        <f ca="1">IFERROR(__xludf.DUMMYFUNCTION("""COMPUTED_VALUE"""),1.55140633053994)</f>
        <v>1.5514063305399399</v>
      </c>
      <c r="Q484" s="17">
        <f ca="1">IFERROR(__xludf.DUMMYFUNCTION("""COMPUTED_VALUE"""),0.655321843331379)</f>
        <v>0.65532184333137899</v>
      </c>
      <c r="R484" s="17">
        <f ca="1">IFERROR(__xludf.DUMMYFUNCTION("""COMPUTED_VALUE"""),0.578820945392848)</f>
        <v>0.57882094539284801</v>
      </c>
      <c r="S484" s="17">
        <f ca="1">IFERROR(__xludf.DUMMYFUNCTION("""COMPUTED_VALUE"""),0.550248717627026)</f>
        <v>0.55024871762702598</v>
      </c>
      <c r="T484" s="17">
        <f ca="1">IFERROR(__xludf.DUMMYFUNCTION("""COMPUTED_VALUE"""),0.550139852560788)</f>
        <v>0.55013985256078801</v>
      </c>
      <c r="U484" s="17">
        <f ca="1">IFERROR(__xludf.DUMMYFUNCTION("""COMPUTED_VALUE"""),0.551467745161197)</f>
        <v>0.55146774516119701</v>
      </c>
      <c r="V484" s="17">
        <f ca="1">IFERROR(__xludf.DUMMYFUNCTION("""COMPUTED_VALUE"""),0.553328000707452)</f>
        <v>0.55332800070745203</v>
      </c>
      <c r="W484" s="17">
        <f ca="1">IFERROR(__xludf.DUMMYFUNCTION("""COMPUTED_VALUE"""),0.54891587694688)</f>
        <v>0.54891587694688004</v>
      </c>
      <c r="X484" s="17">
        <f ca="1">IFERROR(__xludf.DUMMYFUNCTION("""COMPUTED_VALUE"""),0.551053242075416)</f>
        <v>0.55105324207541595</v>
      </c>
      <c r="Y484" s="17">
        <f ca="1">IFERROR(__xludf.DUMMYFUNCTION("""COMPUTED_VALUE"""),0.549379785455331)</f>
        <v>0.54937978545533095</v>
      </c>
      <c r="Z484" s="17">
        <f ca="1">IFERROR(__xludf.DUMMYFUNCTION("""COMPUTED_VALUE"""),0.544194273575508)</f>
        <v>0.54419427357550798</v>
      </c>
      <c r="AA484" s="17">
        <f ca="1">IFERROR(__xludf.DUMMYFUNCTION("""COMPUTED_VALUE"""),0.854897084039395)</f>
        <v>0.85489708403939502</v>
      </c>
      <c r="AB484" s="17">
        <f ca="1">IFERROR(__xludf.DUMMYFUNCTION("""COMPUTED_VALUE"""),2.40453863712261)</f>
        <v>2.4045386371226098</v>
      </c>
      <c r="AC484" s="17">
        <f ca="1">IFERROR(__xludf.DUMMYFUNCTION("""COMPUTED_VALUE"""),0.719545097914388)</f>
        <v>0.71954509791438803</v>
      </c>
      <c r="AD484" s="17">
        <f ca="1">IFERROR(__xludf.DUMMYFUNCTION("""COMPUTED_VALUE"""),0.576105479165823)</f>
        <v>0.576105479165823</v>
      </c>
      <c r="AE484" s="17">
        <f ca="1">IFERROR(__xludf.DUMMYFUNCTION("""COMPUTED_VALUE"""),0.9162933841243)</f>
        <v>0.91629338412429995</v>
      </c>
      <c r="AF484" s="17">
        <f ca="1">IFERROR(__xludf.DUMMYFUNCTION("""COMPUTED_VALUE"""),0.551589015086079)</f>
        <v>0.55158901508607905</v>
      </c>
      <c r="AG484" s="17">
        <f ca="1">IFERROR(__xludf.DUMMYFUNCTION("""COMPUTED_VALUE"""),0.653586014714307)</f>
        <v>0.653586014714307</v>
      </c>
      <c r="AH484" s="17">
        <f ca="1">IFERROR(__xludf.DUMMYFUNCTION("""COMPUTED_VALUE"""),0.527403541711948)</f>
        <v>0.52740354171194803</v>
      </c>
      <c r="AI484" s="17" t="str">
        <f ca="1">IFERROR(__xludf.DUMMYFUNCTION("""COMPUTED_VALUE"""),"nan")</f>
        <v>nan</v>
      </c>
      <c r="AJ484" s="17">
        <f ca="1">IFERROR(__xludf.DUMMYFUNCTION("""COMPUTED_VALUE"""),0.56546371345406)</f>
        <v>0.56546371345405999</v>
      </c>
    </row>
    <row r="485" spans="2:36" ht="15.75" customHeight="1" x14ac:dyDescent="0.45">
      <c r="B485" s="10" t="str">
        <f ca="1">IFERROR(__xludf.DUMMYFUNCTION("""COMPUTED_VALUE"""),"LargeKitchenAppliances")</f>
        <v>LargeKitchenAppliances</v>
      </c>
      <c r="C485" s="10" t="str">
        <f ca="1">IFERROR(__xludf.DUMMYFUNCTION("""COMPUTED_VALUE"""),"aligned_series")</f>
        <v>aligned_series</v>
      </c>
      <c r="D485" s="10">
        <f ca="1">IFERROR(__xludf.DUMMYFUNCTION("""COMPUTED_VALUE"""),0.6)</f>
        <v>0.6</v>
      </c>
      <c r="E485" s="17">
        <f ca="1">IFERROR(__xludf.DUMMYFUNCTION("""COMPUTED_VALUE"""),0.52860112991669)</f>
        <v>0.52860112991668995</v>
      </c>
      <c r="F485" s="17">
        <f ca="1">IFERROR(__xludf.DUMMYFUNCTION("""COMPUTED_VALUE"""),0.520846793151178)</f>
        <v>0.52084679315117799</v>
      </c>
      <c r="G485" s="17">
        <f ca="1">IFERROR(__xludf.DUMMYFUNCTION("""COMPUTED_VALUE"""),0.522491372493683)</f>
        <v>0.52249137249368305</v>
      </c>
      <c r="H485" s="17">
        <f ca="1">IFERROR(__xludf.DUMMYFUNCTION("""COMPUTED_VALUE"""),0.524663100499862)</f>
        <v>0.52466310049986198</v>
      </c>
      <c r="I485" s="17">
        <f ca="1">IFERROR(__xludf.DUMMYFUNCTION("""COMPUTED_VALUE"""),0.50466442725345)</f>
        <v>0.50466442725344995</v>
      </c>
      <c r="J485" s="17">
        <f ca="1">IFERROR(__xludf.DUMMYFUNCTION("""COMPUTED_VALUE"""),0.498165712349952)</f>
        <v>0.49816571234995199</v>
      </c>
      <c r="K485" s="17" t="str">
        <f ca="1">IFERROR(__xludf.DUMMYFUNCTION("""COMPUTED_VALUE"""),"nan")</f>
        <v>nan</v>
      </c>
      <c r="L485" s="17">
        <f ca="1">IFERROR(__xludf.DUMMYFUNCTION("""COMPUTED_VALUE"""),0.536029628106577)</f>
        <v>0.53602962810657695</v>
      </c>
      <c r="M485" s="17">
        <f ca="1">IFERROR(__xludf.DUMMYFUNCTION("""COMPUTED_VALUE"""),0.52611789451437)</f>
        <v>0.52611789451436997</v>
      </c>
      <c r="N485" s="17">
        <f ca="1">IFERROR(__xludf.DUMMYFUNCTION("""COMPUTED_VALUE"""),0.579205632780411)</f>
        <v>0.57920563278041104</v>
      </c>
      <c r="O485" s="17">
        <f ca="1">IFERROR(__xludf.DUMMYFUNCTION("""COMPUTED_VALUE"""),0.523649329265394)</f>
        <v>0.52364932926539398</v>
      </c>
      <c r="P485" s="17">
        <f ca="1">IFERROR(__xludf.DUMMYFUNCTION("""COMPUTED_VALUE"""),1.64763127714015)</f>
        <v>1.64763127714015</v>
      </c>
      <c r="Q485" s="17">
        <f ca="1">IFERROR(__xludf.DUMMYFUNCTION("""COMPUTED_VALUE"""),0.575567870436957)</f>
        <v>0.57556787043695701</v>
      </c>
      <c r="R485" s="17">
        <f ca="1">IFERROR(__xludf.DUMMYFUNCTION("""COMPUTED_VALUE"""),0.541759735133243)</f>
        <v>0.54175973513324305</v>
      </c>
      <c r="S485" s="17">
        <f ca="1">IFERROR(__xludf.DUMMYFUNCTION("""COMPUTED_VALUE"""),0.501328317694169)</f>
        <v>0.50132831769416897</v>
      </c>
      <c r="T485" s="17">
        <f ca="1">IFERROR(__xludf.DUMMYFUNCTION("""COMPUTED_VALUE"""),0.497926042426146)</f>
        <v>0.49792604242614602</v>
      </c>
      <c r="U485" s="17">
        <f ca="1">IFERROR(__xludf.DUMMYFUNCTION("""COMPUTED_VALUE"""),0.500888155215007)</f>
        <v>0.50088815521500696</v>
      </c>
      <c r="V485" s="17">
        <f ca="1">IFERROR(__xludf.DUMMYFUNCTION("""COMPUTED_VALUE"""),0.50104889066398)</f>
        <v>0.50104889066397995</v>
      </c>
      <c r="W485" s="17">
        <f ca="1">IFERROR(__xludf.DUMMYFUNCTION("""COMPUTED_VALUE"""),0.496844441901413)</f>
        <v>0.49684444190141303</v>
      </c>
      <c r="X485" s="17">
        <f ca="1">IFERROR(__xludf.DUMMYFUNCTION("""COMPUTED_VALUE"""),0.511725558854043)</f>
        <v>0.51172555885404303</v>
      </c>
      <c r="Y485" s="17">
        <f ca="1">IFERROR(__xludf.DUMMYFUNCTION("""COMPUTED_VALUE"""),0.497677427531363)</f>
        <v>0.49767742753136301</v>
      </c>
      <c r="Z485" s="17">
        <f ca="1">IFERROR(__xludf.DUMMYFUNCTION("""COMPUTED_VALUE"""),0.493621391872148)</f>
        <v>0.49362139187214799</v>
      </c>
      <c r="AA485" s="17">
        <f ca="1">IFERROR(__xludf.DUMMYFUNCTION("""COMPUTED_VALUE"""),0.722302253491889)</f>
        <v>0.72230225349188903</v>
      </c>
      <c r="AB485" s="17">
        <f ca="1">IFERROR(__xludf.DUMMYFUNCTION("""COMPUTED_VALUE"""),1.20886773082418)</f>
        <v>1.20886773082418</v>
      </c>
      <c r="AC485" s="17">
        <f ca="1">IFERROR(__xludf.DUMMYFUNCTION("""COMPUTED_VALUE"""),0.636560336150896)</f>
        <v>0.63656033615089602</v>
      </c>
      <c r="AD485" s="17">
        <f ca="1">IFERROR(__xludf.DUMMYFUNCTION("""COMPUTED_VALUE"""),0.520502954432809)</f>
        <v>0.52050295443280903</v>
      </c>
      <c r="AE485" s="17">
        <f ca="1">IFERROR(__xludf.DUMMYFUNCTION("""COMPUTED_VALUE"""),0.887120590146978)</f>
        <v>0.88712059014697797</v>
      </c>
      <c r="AF485" s="17">
        <f ca="1">IFERROR(__xludf.DUMMYFUNCTION("""COMPUTED_VALUE"""),0.511931183762498)</f>
        <v>0.51193118376249802</v>
      </c>
      <c r="AG485" s="17">
        <f ca="1">IFERROR(__xludf.DUMMYFUNCTION("""COMPUTED_VALUE"""),0.603536628939298)</f>
        <v>0.60353662893929805</v>
      </c>
      <c r="AH485" s="17">
        <f ca="1">IFERROR(__xludf.DUMMYFUNCTION("""COMPUTED_VALUE"""),0.507979450757035)</f>
        <v>0.50797945075703499</v>
      </c>
      <c r="AI485" s="17" t="str">
        <f ca="1">IFERROR(__xludf.DUMMYFUNCTION("""COMPUTED_VALUE"""),"nan")</f>
        <v>nan</v>
      </c>
      <c r="AJ485" s="17">
        <f ca="1">IFERROR(__xludf.DUMMYFUNCTION("""COMPUTED_VALUE"""),0.542712919540418)</f>
        <v>0.542712919540418</v>
      </c>
    </row>
    <row r="486" spans="2:36" ht="15.75" customHeight="1" x14ac:dyDescent="0.45">
      <c r="B486" s="10" t="str">
        <f ca="1">IFERROR(__xludf.DUMMYFUNCTION("""COMPUTED_VALUE"""),"LargeKitchenAppliances")</f>
        <v>LargeKitchenAppliances</v>
      </c>
      <c r="C486" s="10" t="str">
        <f ca="1">IFERROR(__xludf.DUMMYFUNCTION("""COMPUTED_VALUE"""),"aligned_series")</f>
        <v>aligned_series</v>
      </c>
      <c r="D486" s="10">
        <f ca="1">IFERROR(__xludf.DUMMYFUNCTION("""COMPUTED_VALUE"""),0.8)</f>
        <v>0.8</v>
      </c>
      <c r="E486" s="17">
        <f ca="1">IFERROR(__xludf.DUMMYFUNCTION("""COMPUTED_VALUE"""),0.511827956279296)</f>
        <v>0.511827956279296</v>
      </c>
      <c r="F486" s="17">
        <f ca="1">IFERROR(__xludf.DUMMYFUNCTION("""COMPUTED_VALUE"""),0.496522635350287)</f>
        <v>0.49652263535028701</v>
      </c>
      <c r="G486" s="17">
        <f ca="1">IFERROR(__xludf.DUMMYFUNCTION("""COMPUTED_VALUE"""),0.49709247082314)</f>
        <v>0.49709247082314001</v>
      </c>
      <c r="H486" s="17">
        <f ca="1">IFERROR(__xludf.DUMMYFUNCTION("""COMPUTED_VALUE"""),0.564141110050223)</f>
        <v>0.56414111005022305</v>
      </c>
      <c r="I486" s="17">
        <f ca="1">IFERROR(__xludf.DUMMYFUNCTION("""COMPUTED_VALUE"""),0.488111430395536)</f>
        <v>0.48811143039553601</v>
      </c>
      <c r="J486" s="17">
        <f ca="1">IFERROR(__xludf.DUMMYFUNCTION("""COMPUTED_VALUE"""),0.518712616315277)</f>
        <v>0.51871261631527699</v>
      </c>
      <c r="K486" s="17" t="str">
        <f ca="1">IFERROR(__xludf.DUMMYFUNCTION("""COMPUTED_VALUE"""),"nan")</f>
        <v>nan</v>
      </c>
      <c r="L486" s="17">
        <f ca="1">IFERROR(__xludf.DUMMYFUNCTION("""COMPUTED_VALUE"""),0.511977771632529)</f>
        <v>0.511977771632529</v>
      </c>
      <c r="M486" s="17">
        <f ca="1">IFERROR(__xludf.DUMMYFUNCTION("""COMPUTED_VALUE"""),0.528164609661529)</f>
        <v>0.52816460966152901</v>
      </c>
      <c r="N486" s="17">
        <f ca="1">IFERROR(__xludf.DUMMYFUNCTION("""COMPUTED_VALUE"""),0.611758469487514)</f>
        <v>0.611758469487514</v>
      </c>
      <c r="O486" s="17">
        <f ca="1">IFERROR(__xludf.DUMMYFUNCTION("""COMPUTED_VALUE"""),0.501052773778329)</f>
        <v>0.50105277377832902</v>
      </c>
      <c r="P486" s="17">
        <f ca="1">IFERROR(__xludf.DUMMYFUNCTION("""COMPUTED_VALUE"""),1.7855288652483)</f>
        <v>1.7855288652482999</v>
      </c>
      <c r="Q486" s="17">
        <f ca="1">IFERROR(__xludf.DUMMYFUNCTION("""COMPUTED_VALUE"""),0.50032404199846)</f>
        <v>0.50032404199846003</v>
      </c>
      <c r="R486" s="17">
        <f ca="1">IFERROR(__xludf.DUMMYFUNCTION("""COMPUTED_VALUE"""),0.525591295053487)</f>
        <v>0.52559129505348701</v>
      </c>
      <c r="S486" s="17">
        <f ca="1">IFERROR(__xludf.DUMMYFUNCTION("""COMPUTED_VALUE"""),0.474880160024023)</f>
        <v>0.474880160024023</v>
      </c>
      <c r="T486" s="17">
        <f ca="1">IFERROR(__xludf.DUMMYFUNCTION("""COMPUTED_VALUE"""),0.474925946853956)</f>
        <v>0.474925946853956</v>
      </c>
      <c r="U486" s="17">
        <f ca="1">IFERROR(__xludf.DUMMYFUNCTION("""COMPUTED_VALUE"""),0.480338925963673)</f>
        <v>0.480338925963673</v>
      </c>
      <c r="V486" s="17">
        <f ca="1">IFERROR(__xludf.DUMMYFUNCTION("""COMPUTED_VALUE"""),0.479841202832198)</f>
        <v>0.479841202832198</v>
      </c>
      <c r="W486" s="17">
        <f ca="1">IFERROR(__xludf.DUMMYFUNCTION("""COMPUTED_VALUE"""),0.471283033626024)</f>
        <v>0.47128303362602397</v>
      </c>
      <c r="X486" s="17">
        <f ca="1">IFERROR(__xludf.DUMMYFUNCTION("""COMPUTED_VALUE"""),0.501028073725434)</f>
        <v>0.50102807372543401</v>
      </c>
      <c r="Y486" s="17">
        <f ca="1">IFERROR(__xludf.DUMMYFUNCTION("""COMPUTED_VALUE"""),0.468358269334639)</f>
        <v>0.46835826933463898</v>
      </c>
      <c r="Z486" s="17">
        <f ca="1">IFERROR(__xludf.DUMMYFUNCTION("""COMPUTED_VALUE"""),0.470478667886003)</f>
        <v>0.47047866788600301</v>
      </c>
      <c r="AA486" s="17">
        <f ca="1">IFERROR(__xludf.DUMMYFUNCTION("""COMPUTED_VALUE"""),0.59006157847615)</f>
        <v>0.59006157847615004</v>
      </c>
      <c r="AB486" s="17">
        <f ca="1">IFERROR(__xludf.DUMMYFUNCTION("""COMPUTED_VALUE"""),2.47102651089939)</f>
        <v>2.4710265108993901</v>
      </c>
      <c r="AC486" s="17">
        <f ca="1">IFERROR(__xludf.DUMMYFUNCTION("""COMPUTED_VALUE"""),0.591825534400081)</f>
        <v>0.59182553440008101</v>
      </c>
      <c r="AD486" s="17">
        <f ca="1">IFERROR(__xludf.DUMMYFUNCTION("""COMPUTED_VALUE"""),0.503707000577599)</f>
        <v>0.50370700057759898</v>
      </c>
      <c r="AE486" s="17">
        <f ca="1">IFERROR(__xludf.DUMMYFUNCTION("""COMPUTED_VALUE"""),0.873328972543766)</f>
        <v>0.87332897254376596</v>
      </c>
      <c r="AF486" s="17">
        <f ca="1">IFERROR(__xludf.DUMMYFUNCTION("""COMPUTED_VALUE"""),0.485805160078631)</f>
        <v>0.485805160078631</v>
      </c>
      <c r="AG486" s="17">
        <f ca="1">IFERROR(__xludf.DUMMYFUNCTION("""COMPUTED_VALUE"""),0.575146484712516)</f>
        <v>0.57514648471251595</v>
      </c>
      <c r="AH486" s="17">
        <f ca="1">IFERROR(__xludf.DUMMYFUNCTION("""COMPUTED_VALUE"""),0.47808435318608)</f>
        <v>0.47808435318608</v>
      </c>
      <c r="AI486" s="17" t="str">
        <f ca="1">IFERROR(__xludf.DUMMYFUNCTION("""COMPUTED_VALUE"""),"nan")</f>
        <v>nan</v>
      </c>
      <c r="AJ486" s="17">
        <f ca="1">IFERROR(__xludf.DUMMYFUNCTION("""COMPUTED_VALUE"""),0.506556923975704)</f>
        <v>0.50655692397570395</v>
      </c>
    </row>
    <row r="487" spans="2:36" ht="15.75" customHeight="1" x14ac:dyDescent="0.45">
      <c r="B487" s="10" t="str">
        <f ca="1">IFERROR(__xludf.DUMMYFUNCTION("""COMPUTED_VALUE"""),"LargeKitchenAppliances")</f>
        <v>LargeKitchenAppliances</v>
      </c>
      <c r="C487" s="10" t="str">
        <f ca="1">IFERROR(__xludf.DUMMYFUNCTION("""COMPUTED_VALUE"""),"aligned_timestamps")</f>
        <v>aligned_timestamps</v>
      </c>
      <c r="D487" s="10">
        <f ca="1">IFERROR(__xludf.DUMMYFUNCTION("""COMPUTED_VALUE"""),0.1)</f>
        <v>0.1</v>
      </c>
      <c r="E487" s="17">
        <f ca="1">IFERROR(__xludf.DUMMYFUNCTION("""COMPUTED_VALUE"""),0.887991904099676)</f>
        <v>0.88799190409967599</v>
      </c>
      <c r="F487" s="17">
        <f ca="1">IFERROR(__xludf.DUMMYFUNCTION("""COMPUTED_VALUE"""),0.880421629346782)</f>
        <v>0.88042162934678203</v>
      </c>
      <c r="G487" s="17">
        <f ca="1">IFERROR(__xludf.DUMMYFUNCTION("""COMPUTED_VALUE"""),0.880345530820447)</f>
        <v>0.88034553082044698</v>
      </c>
      <c r="H487" s="17">
        <f ca="1">IFERROR(__xludf.DUMMYFUNCTION("""COMPUTED_VALUE"""),0.878467653033161)</f>
        <v>0.87846765303316099</v>
      </c>
      <c r="I487" s="17">
        <f ca="1">IFERROR(__xludf.DUMMYFUNCTION("""COMPUTED_VALUE"""),0.870372165297075)</f>
        <v>0.87037216529707495</v>
      </c>
      <c r="J487" s="17">
        <f ca="1">IFERROR(__xludf.DUMMYFUNCTION("""COMPUTED_VALUE"""),0.892957625018995)</f>
        <v>0.892957625018995</v>
      </c>
      <c r="K487" s="17" t="str">
        <f ca="1">IFERROR(__xludf.DUMMYFUNCTION("""COMPUTED_VALUE"""),"nan")</f>
        <v>nan</v>
      </c>
      <c r="L487" s="17">
        <f ca="1">IFERROR(__xludf.DUMMYFUNCTION("""COMPUTED_VALUE"""),0.878040707776913)</f>
        <v>0.87804070777691301</v>
      </c>
      <c r="M487" s="17">
        <f ca="1">IFERROR(__xludf.DUMMYFUNCTION("""COMPUTED_VALUE"""),0.87853368606338)</f>
        <v>0.87853368606338</v>
      </c>
      <c r="N487" s="17">
        <f ca="1">IFERROR(__xludf.DUMMYFUNCTION("""COMPUTED_VALUE"""),0.902956661307867)</f>
        <v>0.902956661307867</v>
      </c>
      <c r="O487" s="17">
        <f ca="1">IFERROR(__xludf.DUMMYFUNCTION("""COMPUTED_VALUE"""),0.877583601202955)</f>
        <v>0.87758360120295498</v>
      </c>
      <c r="P487" s="17">
        <f ca="1">IFERROR(__xludf.DUMMYFUNCTION("""COMPUTED_VALUE"""),1.35297939686703)</f>
        <v>1.3529793968670301</v>
      </c>
      <c r="Q487" s="17">
        <f ca="1">IFERROR(__xludf.DUMMYFUNCTION("""COMPUTED_VALUE"""),0.930077251262579)</f>
        <v>0.93007725126257901</v>
      </c>
      <c r="R487" s="17">
        <f ca="1">IFERROR(__xludf.DUMMYFUNCTION("""COMPUTED_VALUE"""),0.908174108374964)</f>
        <v>0.90817410837496404</v>
      </c>
      <c r="S487" s="17">
        <f ca="1">IFERROR(__xludf.DUMMYFUNCTION("""COMPUTED_VALUE"""),0.891134828275846)</f>
        <v>0.891134828275846</v>
      </c>
      <c r="T487" s="17">
        <f ca="1">IFERROR(__xludf.DUMMYFUNCTION("""COMPUTED_VALUE"""),0.891787692928243)</f>
        <v>0.891787692928243</v>
      </c>
      <c r="U487" s="17">
        <f ca="1">IFERROR(__xludf.DUMMYFUNCTION("""COMPUTED_VALUE"""),0.891142107613746)</f>
        <v>0.89114210761374602</v>
      </c>
      <c r="V487" s="17">
        <f ca="1">IFERROR(__xludf.DUMMYFUNCTION("""COMPUTED_VALUE"""),0.891784862289107)</f>
        <v>0.89178486228910703</v>
      </c>
      <c r="W487" s="17">
        <f ca="1">IFERROR(__xludf.DUMMYFUNCTION("""COMPUTED_VALUE"""),0.889551919918171)</f>
        <v>0.88955191991817095</v>
      </c>
      <c r="X487" s="17">
        <f ca="1">IFERROR(__xludf.DUMMYFUNCTION("""COMPUTED_VALUE"""),0.873204234124755)</f>
        <v>0.87320423412475501</v>
      </c>
      <c r="Y487" s="17">
        <f ca="1">IFERROR(__xludf.DUMMYFUNCTION("""COMPUTED_VALUE"""),0.891785196270285)</f>
        <v>0.89178519627028496</v>
      </c>
      <c r="Z487" s="17">
        <f ca="1">IFERROR(__xludf.DUMMYFUNCTION("""COMPUTED_VALUE"""),0.886207355266382)</f>
        <v>0.88620735526638195</v>
      </c>
      <c r="AA487" s="17">
        <f ca="1">IFERROR(__xludf.DUMMYFUNCTION("""COMPUTED_VALUE"""),0.97482240199848)</f>
        <v>0.97482240199848003</v>
      </c>
      <c r="AB487" s="17">
        <f ca="1">IFERROR(__xludf.DUMMYFUNCTION("""COMPUTED_VALUE"""),2.21415219075124)</f>
        <v>2.21415219075124</v>
      </c>
      <c r="AC487" s="17">
        <f ca="1">IFERROR(__xludf.DUMMYFUNCTION("""COMPUTED_VALUE"""),1.16138911981972)</f>
        <v>1.1613891198197199</v>
      </c>
      <c r="AD487" s="17">
        <f ca="1">IFERROR(__xludf.DUMMYFUNCTION("""COMPUTED_VALUE"""),0.891188925861657)</f>
        <v>0.89118892586165699</v>
      </c>
      <c r="AE487" s="17">
        <f ca="1">IFERROR(__xludf.DUMMYFUNCTION("""COMPUTED_VALUE"""),1.07965540573722)</f>
        <v>1.0796554057372201</v>
      </c>
      <c r="AF487" s="17">
        <f ca="1">IFERROR(__xludf.DUMMYFUNCTION("""COMPUTED_VALUE"""),0.895273157135727)</f>
        <v>0.89527315713572697</v>
      </c>
      <c r="AG487" s="17">
        <f ca="1">IFERROR(__xludf.DUMMYFUNCTION("""COMPUTED_VALUE"""),0.828584246846339)</f>
        <v>0.82858424684633902</v>
      </c>
      <c r="AH487" s="17">
        <f ca="1">IFERROR(__xludf.DUMMYFUNCTION("""COMPUTED_VALUE"""),0.750856192983614)</f>
        <v>0.75085619298361395</v>
      </c>
      <c r="AI487" s="17" t="str">
        <f ca="1">IFERROR(__xludf.DUMMYFUNCTION("""COMPUTED_VALUE"""),"nan")</f>
        <v>nan</v>
      </c>
      <c r="AJ487" s="17">
        <f ca="1">IFERROR(__xludf.DUMMYFUNCTION("""COMPUTED_VALUE"""),0.778191237519736)</f>
        <v>0.77819123751973596</v>
      </c>
    </row>
    <row r="488" spans="2:36" ht="15.75" customHeight="1" x14ac:dyDescent="0.45">
      <c r="B488" s="10" t="str">
        <f ca="1">IFERROR(__xludf.DUMMYFUNCTION("""COMPUTED_VALUE"""),"LargeKitchenAppliances")</f>
        <v>LargeKitchenAppliances</v>
      </c>
      <c r="C488" s="10" t="str">
        <f ca="1">IFERROR(__xludf.DUMMYFUNCTION("""COMPUTED_VALUE"""),"aligned_timestamps")</f>
        <v>aligned_timestamps</v>
      </c>
      <c r="D488" s="10">
        <f ca="1">IFERROR(__xludf.DUMMYFUNCTION("""COMPUTED_VALUE"""),0.2)</f>
        <v>0.2</v>
      </c>
      <c r="E488" s="17">
        <f ca="1">IFERROR(__xludf.DUMMYFUNCTION("""COMPUTED_VALUE"""),0.688161487833202)</f>
        <v>0.68816148783320197</v>
      </c>
      <c r="F488" s="17">
        <f ca="1">IFERROR(__xludf.DUMMYFUNCTION("""COMPUTED_VALUE"""),0.678863110918292)</f>
        <v>0.67886311091829199</v>
      </c>
      <c r="G488" s="17">
        <f ca="1">IFERROR(__xludf.DUMMYFUNCTION("""COMPUTED_VALUE"""),0.678772337953219)</f>
        <v>0.67877233795321901</v>
      </c>
      <c r="H488" s="17">
        <f ca="1">IFERROR(__xludf.DUMMYFUNCTION("""COMPUTED_VALUE"""),0.675951049547235)</f>
        <v>0.67595104954723495</v>
      </c>
      <c r="I488" s="17">
        <f ca="1">IFERROR(__xludf.DUMMYFUNCTION("""COMPUTED_VALUE"""),0.662513743615503)</f>
        <v>0.66251374361550297</v>
      </c>
      <c r="J488" s="17">
        <f ca="1">IFERROR(__xludf.DUMMYFUNCTION("""COMPUTED_VALUE"""),0.679296854857991)</f>
        <v>0.67929685485799096</v>
      </c>
      <c r="K488" s="17" t="str">
        <f ca="1">IFERROR(__xludf.DUMMYFUNCTION("""COMPUTED_VALUE"""),"nan")</f>
        <v>nan</v>
      </c>
      <c r="L488" s="17">
        <f ca="1">IFERROR(__xludf.DUMMYFUNCTION("""COMPUTED_VALUE"""),0.674743918243656)</f>
        <v>0.67474391824365598</v>
      </c>
      <c r="M488" s="17">
        <f ca="1">IFERROR(__xludf.DUMMYFUNCTION("""COMPUTED_VALUE"""),0.67636152064417)</f>
        <v>0.67636152064416999</v>
      </c>
      <c r="N488" s="17">
        <f ca="1">IFERROR(__xludf.DUMMYFUNCTION("""COMPUTED_VALUE"""),0.734163452720568)</f>
        <v>0.73416345272056804</v>
      </c>
      <c r="O488" s="17">
        <f ca="1">IFERROR(__xludf.DUMMYFUNCTION("""COMPUTED_VALUE"""),0.675870249713589)</f>
        <v>0.675870249713589</v>
      </c>
      <c r="P488" s="17">
        <f ca="1">IFERROR(__xludf.DUMMYFUNCTION("""COMPUTED_VALUE"""),1.218520198767)</f>
        <v>1.218520198767</v>
      </c>
      <c r="Q488" s="17">
        <f ca="1">IFERROR(__xludf.DUMMYFUNCTION("""COMPUTED_VALUE"""),0.729802594123633)</f>
        <v>0.72980259412363302</v>
      </c>
      <c r="R488" s="17">
        <f ca="1">IFERROR(__xludf.DUMMYFUNCTION("""COMPUTED_VALUE"""),0.696703066852537)</f>
        <v>0.69670306685253702</v>
      </c>
      <c r="S488" s="17">
        <f ca="1">IFERROR(__xludf.DUMMYFUNCTION("""COMPUTED_VALUE"""),0.679223801713272)</f>
        <v>0.67922380171327201</v>
      </c>
      <c r="T488" s="17">
        <f ca="1">IFERROR(__xludf.DUMMYFUNCTION("""COMPUTED_VALUE"""),0.677736710660618)</f>
        <v>0.67773671066061802</v>
      </c>
      <c r="U488" s="17">
        <f ca="1">IFERROR(__xludf.DUMMYFUNCTION("""COMPUTED_VALUE"""),0.680270226671176)</f>
        <v>0.68027022667117598</v>
      </c>
      <c r="V488" s="17">
        <f ca="1">IFERROR(__xludf.DUMMYFUNCTION("""COMPUTED_VALUE"""),0.679851940138658)</f>
        <v>0.67985194013865802</v>
      </c>
      <c r="W488" s="17">
        <f ca="1">IFERROR(__xludf.DUMMYFUNCTION("""COMPUTED_VALUE"""),0.676750221325299)</f>
        <v>0.67675022132529905</v>
      </c>
      <c r="X488" s="17">
        <f ca="1">IFERROR(__xludf.DUMMYFUNCTION("""COMPUTED_VALUE"""),0.670906946453583)</f>
        <v>0.67090694645358295</v>
      </c>
      <c r="Y488" s="17">
        <f ca="1">IFERROR(__xludf.DUMMYFUNCTION("""COMPUTED_VALUE"""),0.677092027599617)</f>
        <v>0.67709202759961695</v>
      </c>
      <c r="Z488" s="17">
        <f ca="1">IFERROR(__xludf.DUMMYFUNCTION("""COMPUTED_VALUE"""),0.672752118898541)</f>
        <v>0.67275211889854103</v>
      </c>
      <c r="AA488" s="17">
        <f ca="1">IFERROR(__xludf.DUMMYFUNCTION("""COMPUTED_VALUE"""),0.738713861673944)</f>
        <v>0.73871386167394404</v>
      </c>
      <c r="AB488" s="17">
        <f ca="1">IFERROR(__xludf.DUMMYFUNCTION("""COMPUTED_VALUE"""),0.98810479497355)</f>
        <v>0.98810479497354997</v>
      </c>
      <c r="AC488" s="17">
        <f ca="1">IFERROR(__xludf.DUMMYFUNCTION("""COMPUTED_VALUE"""),1.06559738302741)</f>
        <v>1.0655973830274099</v>
      </c>
      <c r="AD488" s="17">
        <f ca="1">IFERROR(__xludf.DUMMYFUNCTION("""COMPUTED_VALUE"""),0.685556689741155)</f>
        <v>0.68555668974115502</v>
      </c>
      <c r="AE488" s="17">
        <f ca="1">IFERROR(__xludf.DUMMYFUNCTION("""COMPUTED_VALUE"""),0.948344505605732)</f>
        <v>0.94834450560573202</v>
      </c>
      <c r="AF488" s="17">
        <f ca="1">IFERROR(__xludf.DUMMYFUNCTION("""COMPUTED_VALUE"""),0.678186588507859)</f>
        <v>0.67818658850785896</v>
      </c>
      <c r="AG488" s="17">
        <f ca="1">IFERROR(__xludf.DUMMYFUNCTION("""COMPUTED_VALUE"""),0.739149477171367)</f>
        <v>0.73914947717136703</v>
      </c>
      <c r="AH488" s="17">
        <f ca="1">IFERROR(__xludf.DUMMYFUNCTION("""COMPUTED_VALUE"""),0.634693222156807)</f>
        <v>0.63469322215680701</v>
      </c>
      <c r="AI488" s="17" t="str">
        <f ca="1">IFERROR(__xludf.DUMMYFUNCTION("""COMPUTED_VALUE"""),"nan")</f>
        <v>nan</v>
      </c>
      <c r="AJ488" s="17">
        <f ca="1">IFERROR(__xludf.DUMMYFUNCTION("""COMPUTED_VALUE"""),0.670623869238818)</f>
        <v>0.670623869238818</v>
      </c>
    </row>
    <row r="489" spans="2:36" ht="15.75" customHeight="1" x14ac:dyDescent="0.45">
      <c r="B489" s="10" t="str">
        <f ca="1">IFERROR(__xludf.DUMMYFUNCTION("""COMPUTED_VALUE"""),"LargeKitchenAppliances")</f>
        <v>LargeKitchenAppliances</v>
      </c>
      <c r="C489" s="10" t="str">
        <f ca="1">IFERROR(__xludf.DUMMYFUNCTION("""COMPUTED_VALUE"""),"aligned_timestamps")</f>
        <v>aligned_timestamps</v>
      </c>
      <c r="D489" s="10">
        <f ca="1">IFERROR(__xludf.DUMMYFUNCTION("""COMPUTED_VALUE"""),0.4)</f>
        <v>0.4</v>
      </c>
      <c r="E489" s="17">
        <f ca="1">IFERROR(__xludf.DUMMYFUNCTION("""COMPUTED_VALUE"""),0.832323900535069)</f>
        <v>0.83232390053506899</v>
      </c>
      <c r="F489" s="17">
        <f ca="1">IFERROR(__xludf.DUMMYFUNCTION("""COMPUTED_VALUE"""),1.07646287470678)</f>
        <v>1.0764628747067799</v>
      </c>
      <c r="G489" s="17">
        <f ca="1">IFERROR(__xludf.DUMMYFUNCTION("""COMPUTED_VALUE"""),1.35052711772152)</f>
        <v>1.3505271177215199</v>
      </c>
      <c r="H489" s="17">
        <f ca="1">IFERROR(__xludf.DUMMYFUNCTION("""COMPUTED_VALUE"""),0.852657959601136)</f>
        <v>0.852657959601136</v>
      </c>
      <c r="I489" s="17">
        <f ca="1">IFERROR(__xludf.DUMMYFUNCTION("""COMPUTED_VALUE"""),0.806973614006026)</f>
        <v>0.80697361400602596</v>
      </c>
      <c r="J489" s="17">
        <f ca="1">IFERROR(__xludf.DUMMYFUNCTION("""COMPUTED_VALUE"""),0.834253947867691)</f>
        <v>0.83425394786769103</v>
      </c>
      <c r="K489" s="17" t="str">
        <f ca="1">IFERROR(__xludf.DUMMYFUNCTION("""COMPUTED_VALUE"""),"nan")</f>
        <v>nan</v>
      </c>
      <c r="L489" s="17">
        <f ca="1">IFERROR(__xludf.DUMMYFUNCTION("""COMPUTED_VALUE"""),1.67558269372703)</f>
        <v>1.6755826937270299</v>
      </c>
      <c r="M489" s="17">
        <f ca="1">IFERROR(__xludf.DUMMYFUNCTION("""COMPUTED_VALUE"""),0.876498392321982)</f>
        <v>0.87649839232198201</v>
      </c>
      <c r="N489" s="17">
        <f ca="1">IFERROR(__xludf.DUMMYFUNCTION("""COMPUTED_VALUE"""),1.699431173538)</f>
        <v>1.6994311735380001</v>
      </c>
      <c r="O489" s="17">
        <f ca="1">IFERROR(__xludf.DUMMYFUNCTION("""COMPUTED_VALUE"""),1.16968419251582)</f>
        <v>1.1696841925158199</v>
      </c>
      <c r="P489" s="17">
        <f ca="1">IFERROR(__xludf.DUMMYFUNCTION("""COMPUTED_VALUE"""),1.28632302979849)</f>
        <v>1.28632302979849</v>
      </c>
      <c r="Q489" s="17">
        <f ca="1">IFERROR(__xludf.DUMMYFUNCTION("""COMPUTED_VALUE"""),1.09261921918759)</f>
        <v>1.0926192191875901</v>
      </c>
      <c r="R489" s="17">
        <f ca="1">IFERROR(__xludf.DUMMYFUNCTION("""COMPUTED_VALUE"""),1.30316904376529)</f>
        <v>1.3031690437652901</v>
      </c>
      <c r="S489" s="17">
        <f ca="1">IFERROR(__xludf.DUMMYFUNCTION("""COMPUTED_VALUE"""),0.836379487987156)</f>
        <v>0.836379487987156</v>
      </c>
      <c r="T489" s="17">
        <f ca="1">IFERROR(__xludf.DUMMYFUNCTION("""COMPUTED_VALUE"""),0.839021020533195)</f>
        <v>0.83902102053319505</v>
      </c>
      <c r="U489" s="17">
        <f ca="1">IFERROR(__xludf.DUMMYFUNCTION("""COMPUTED_VALUE"""),0.847505039140885)</f>
        <v>0.84750503914088504</v>
      </c>
      <c r="V489" s="17">
        <f ca="1">IFERROR(__xludf.DUMMYFUNCTION("""COMPUTED_VALUE"""),0.83897812868038)</f>
        <v>0.83897812868038002</v>
      </c>
      <c r="W489" s="17">
        <f ca="1">IFERROR(__xludf.DUMMYFUNCTION("""COMPUTED_VALUE"""),0.824292745482821)</f>
        <v>0.82429274548282105</v>
      </c>
      <c r="X489" s="17">
        <f ca="1">IFERROR(__xludf.DUMMYFUNCTION("""COMPUTED_VALUE"""),0.869778508193292)</f>
        <v>0.86977850819329205</v>
      </c>
      <c r="Y489" s="17">
        <f ca="1">IFERROR(__xludf.DUMMYFUNCTION("""COMPUTED_VALUE"""),0.822539494125304)</f>
        <v>0.82253949412530403</v>
      </c>
      <c r="Z489" s="17">
        <f ca="1">IFERROR(__xludf.DUMMYFUNCTION("""COMPUTED_VALUE"""),0.831562740345474)</f>
        <v>0.83156274034547395</v>
      </c>
      <c r="AA489" s="17">
        <f ca="1">IFERROR(__xludf.DUMMYFUNCTION("""COMPUTED_VALUE"""),2.92243859095544)</f>
        <v>2.9224385909554398</v>
      </c>
      <c r="AB489" s="17">
        <f ca="1">IFERROR(__xludf.DUMMYFUNCTION("""COMPUTED_VALUE"""),1.86837309337664)</f>
        <v>1.86837309337664</v>
      </c>
      <c r="AC489" s="17">
        <f ca="1">IFERROR(__xludf.DUMMYFUNCTION("""COMPUTED_VALUE"""),1.13588274811511)</f>
        <v>1.1358827481151099</v>
      </c>
      <c r="AD489" s="17">
        <f ca="1">IFERROR(__xludf.DUMMYFUNCTION("""COMPUTED_VALUE"""),0.833753086602269)</f>
        <v>0.83375308660226899</v>
      </c>
      <c r="AE489" s="17" t="str">
        <f ca="1">IFERROR(__xludf.DUMMYFUNCTION("""COMPUTED_VALUE"""),"nan")</f>
        <v>nan</v>
      </c>
      <c r="AF489" s="17">
        <f ca="1">IFERROR(__xludf.DUMMYFUNCTION("""COMPUTED_VALUE"""),0.842734058525722)</f>
        <v>0.84273405852572203</v>
      </c>
      <c r="AG489" s="17">
        <f ca="1">IFERROR(__xludf.DUMMYFUNCTION("""COMPUTED_VALUE"""),0.971119533463444)</f>
        <v>0.97111953346344404</v>
      </c>
      <c r="AH489" s="17">
        <f ca="1">IFERROR(__xludf.DUMMYFUNCTION("""COMPUTED_VALUE"""),0.881055325159835)</f>
        <v>0.88105532515983498</v>
      </c>
      <c r="AI489" s="17" t="str">
        <f ca="1">IFERROR(__xludf.DUMMYFUNCTION("""COMPUTED_VALUE"""),"nan")</f>
        <v>nan</v>
      </c>
      <c r="AJ489" s="17">
        <f ca="1">IFERROR(__xludf.DUMMYFUNCTION("""COMPUTED_VALUE"""),0.983223800516598)</f>
        <v>0.98322380051659797</v>
      </c>
    </row>
    <row r="490" spans="2:36" ht="15.75" customHeight="1" x14ac:dyDescent="0.45">
      <c r="B490" s="10" t="str">
        <f ca="1">IFERROR(__xludf.DUMMYFUNCTION("""COMPUTED_VALUE"""),"LargeKitchenAppliances")</f>
        <v>LargeKitchenAppliances</v>
      </c>
      <c r="C490" s="10" t="str">
        <f ca="1">IFERROR(__xludf.DUMMYFUNCTION("""COMPUTED_VALUE"""),"aligned_timestamps")</f>
        <v>aligned_timestamps</v>
      </c>
      <c r="D490" s="10">
        <f ca="1">IFERROR(__xludf.DUMMYFUNCTION("""COMPUTED_VALUE"""),0.6)</f>
        <v>0.6</v>
      </c>
      <c r="E490" s="17">
        <f ca="1">IFERROR(__xludf.DUMMYFUNCTION("""COMPUTED_VALUE"""),0.936610638094896)</f>
        <v>0.93661063809489598</v>
      </c>
      <c r="F490" s="17">
        <f ca="1">IFERROR(__xludf.DUMMYFUNCTION("""COMPUTED_VALUE"""),1.36325984651386)</f>
        <v>1.3632598465138599</v>
      </c>
      <c r="G490" s="17">
        <f ca="1">IFERROR(__xludf.DUMMYFUNCTION("""COMPUTED_VALUE"""),1.76570148003663)</f>
        <v>1.76570148003663</v>
      </c>
      <c r="H490" s="17">
        <f ca="1">IFERROR(__xludf.DUMMYFUNCTION("""COMPUTED_VALUE"""),0.993722298332315)</f>
        <v>0.99372229833231496</v>
      </c>
      <c r="I490" s="17">
        <f ca="1">IFERROR(__xludf.DUMMYFUNCTION("""COMPUTED_VALUE"""),0.919930593968385)</f>
        <v>0.91993059396838495</v>
      </c>
      <c r="J490" s="17">
        <f ca="1">IFERROR(__xludf.DUMMYFUNCTION("""COMPUTED_VALUE"""),0.950061313914734)</f>
        <v>0.95006131391473403</v>
      </c>
      <c r="K490" s="17" t="str">
        <f ca="1">IFERROR(__xludf.DUMMYFUNCTION("""COMPUTED_VALUE"""),"nan")</f>
        <v>nan</v>
      </c>
      <c r="L490" s="17">
        <f ca="1">IFERROR(__xludf.DUMMYFUNCTION("""COMPUTED_VALUE"""),1.83239180233823)</f>
        <v>1.83239180233823</v>
      </c>
      <c r="M490" s="17">
        <f ca="1">IFERROR(__xludf.DUMMYFUNCTION("""COMPUTED_VALUE"""),1.02770966823526)</f>
        <v>1.02770966823526</v>
      </c>
      <c r="N490" s="17">
        <f ca="1">IFERROR(__xludf.DUMMYFUNCTION("""COMPUTED_VALUE"""),1.90098734244346)</f>
        <v>1.90098734244346</v>
      </c>
      <c r="O490" s="17">
        <f ca="1">IFERROR(__xludf.DUMMYFUNCTION("""COMPUTED_VALUE"""),1.64697702943299)</f>
        <v>1.64697702943299</v>
      </c>
      <c r="P490" s="17">
        <f ca="1">IFERROR(__xludf.DUMMYFUNCTION("""COMPUTED_VALUE"""),1.29976864026381)</f>
        <v>1.29976864026381</v>
      </c>
      <c r="Q490" s="17">
        <f ca="1">IFERROR(__xludf.DUMMYFUNCTION("""COMPUTED_VALUE"""),1.32608061274239)</f>
        <v>1.3260806127423901</v>
      </c>
      <c r="R490" s="17">
        <f ca="1">IFERROR(__xludf.DUMMYFUNCTION("""COMPUTED_VALUE"""),1.12500866037144)</f>
        <v>1.12500866037144</v>
      </c>
      <c r="S490" s="17">
        <f ca="1">IFERROR(__xludf.DUMMYFUNCTION("""COMPUTED_VALUE"""),0.946808183496831)</f>
        <v>0.94680818349683105</v>
      </c>
      <c r="T490" s="17">
        <f ca="1">IFERROR(__xludf.DUMMYFUNCTION("""COMPUTED_VALUE"""),0.946439268226165)</f>
        <v>0.94643926822616498</v>
      </c>
      <c r="U490" s="17">
        <f ca="1">IFERROR(__xludf.DUMMYFUNCTION("""COMPUTED_VALUE"""),0.98167816442169)</f>
        <v>0.98167816442168998</v>
      </c>
      <c r="V490" s="17">
        <f ca="1">IFERROR(__xludf.DUMMYFUNCTION("""COMPUTED_VALUE"""),0.969949764085287)</f>
        <v>0.96994976408528699</v>
      </c>
      <c r="W490" s="17">
        <f ca="1">IFERROR(__xludf.DUMMYFUNCTION("""COMPUTED_VALUE"""),0.942713702808443)</f>
        <v>0.94271370280844302</v>
      </c>
      <c r="X490" s="17">
        <f ca="1">IFERROR(__xludf.DUMMYFUNCTION("""COMPUTED_VALUE"""),1.04911971848172)</f>
        <v>1.04911971848172</v>
      </c>
      <c r="Y490" s="17">
        <f ca="1">IFERROR(__xludf.DUMMYFUNCTION("""COMPUTED_VALUE"""),0.93845836119252)</f>
        <v>0.93845836119252002</v>
      </c>
      <c r="Z490" s="17">
        <f ca="1">IFERROR(__xludf.DUMMYFUNCTION("""COMPUTED_VALUE"""),0.935039620316271)</f>
        <v>0.93503962031627097</v>
      </c>
      <c r="AA490" s="17">
        <f ca="1">IFERROR(__xludf.DUMMYFUNCTION("""COMPUTED_VALUE"""),4.04233848876794)</f>
        <v>4.0423384887679399</v>
      </c>
      <c r="AB490" s="17">
        <f ca="1">IFERROR(__xludf.DUMMYFUNCTION("""COMPUTED_VALUE"""),2.74153042455796)</f>
        <v>2.7415304245579599</v>
      </c>
      <c r="AC490" s="17">
        <f ca="1">IFERROR(__xludf.DUMMYFUNCTION("""COMPUTED_VALUE"""),1.14843850372299)</f>
        <v>1.1484385037229901</v>
      </c>
      <c r="AD490" s="17">
        <f ca="1">IFERROR(__xludf.DUMMYFUNCTION("""COMPUTED_VALUE"""),0.950278574360721)</f>
        <v>0.95027857436072105</v>
      </c>
      <c r="AE490" s="17" t="str">
        <f ca="1">IFERROR(__xludf.DUMMYFUNCTION("""COMPUTED_VALUE"""),"nan")</f>
        <v>nan</v>
      </c>
      <c r="AF490" s="17">
        <f ca="1">IFERROR(__xludf.DUMMYFUNCTION("""COMPUTED_VALUE"""),0.961616000971803)</f>
        <v>0.961616000971803</v>
      </c>
      <c r="AG490" s="17">
        <f ca="1">IFERROR(__xludf.DUMMYFUNCTION("""COMPUTED_VALUE"""),1.05852059631268)</f>
        <v>1.05852059631268</v>
      </c>
      <c r="AH490" s="17">
        <f ca="1">IFERROR(__xludf.DUMMYFUNCTION("""COMPUTED_VALUE"""),0.975517403010715)</f>
        <v>0.97551740301071499</v>
      </c>
      <c r="AI490" s="17" t="str">
        <f ca="1">IFERROR(__xludf.DUMMYFUNCTION("""COMPUTED_VALUE"""),"nan")</f>
        <v>nan</v>
      </c>
      <c r="AJ490" s="17">
        <f ca="1">IFERROR(__xludf.DUMMYFUNCTION("""COMPUTED_VALUE"""),1.06010627715729)</f>
        <v>1.06010627715729</v>
      </c>
    </row>
    <row r="491" spans="2:36" ht="15.75" customHeight="1" x14ac:dyDescent="0.45">
      <c r="B491" s="10" t="str">
        <f ca="1">IFERROR(__xludf.DUMMYFUNCTION("""COMPUTED_VALUE"""),"LargeKitchenAppliances")</f>
        <v>LargeKitchenAppliances</v>
      </c>
      <c r="C491" s="10" t="str">
        <f ca="1">IFERROR(__xludf.DUMMYFUNCTION("""COMPUTED_VALUE"""),"aligned_timestamps")</f>
        <v>aligned_timestamps</v>
      </c>
      <c r="D491" s="10">
        <f ca="1">IFERROR(__xludf.DUMMYFUNCTION("""COMPUTED_VALUE"""),0.8)</f>
        <v>0.8</v>
      </c>
      <c r="E491" s="17">
        <f ca="1">IFERROR(__xludf.DUMMYFUNCTION("""COMPUTED_VALUE"""),1.02217808029875)</f>
        <v>1.0221780802987499</v>
      </c>
      <c r="F491" s="17">
        <f ca="1">IFERROR(__xludf.DUMMYFUNCTION("""COMPUTED_VALUE"""),1.28325692689369)</f>
        <v>1.28325692689369</v>
      </c>
      <c r="G491" s="17">
        <f ca="1">IFERROR(__xludf.DUMMYFUNCTION("""COMPUTED_VALUE"""),1.59250244035737)</f>
        <v>1.59250244035737</v>
      </c>
      <c r="H491" s="17">
        <f ca="1">IFERROR(__xludf.DUMMYFUNCTION("""COMPUTED_VALUE"""),1.04061591996698)</f>
        <v>1.04061591996698</v>
      </c>
      <c r="I491" s="17">
        <f ca="1">IFERROR(__xludf.DUMMYFUNCTION("""COMPUTED_VALUE"""),1.01513631705278)</f>
        <v>1.0151363170527801</v>
      </c>
      <c r="J491" s="17">
        <f ca="1">IFERROR(__xludf.DUMMYFUNCTION("""COMPUTED_VALUE"""),1.04761955161111)</f>
        <v>1.04761955161111</v>
      </c>
      <c r="K491" s="17" t="str">
        <f ca="1">IFERROR(__xludf.DUMMYFUNCTION("""COMPUTED_VALUE"""),"nan")</f>
        <v>nan</v>
      </c>
      <c r="L491" s="17">
        <f ca="1">IFERROR(__xludf.DUMMYFUNCTION("""COMPUTED_VALUE"""),1.597946454924)</f>
        <v>1.5979464549239999</v>
      </c>
      <c r="M491" s="17">
        <f ca="1">IFERROR(__xludf.DUMMYFUNCTION("""COMPUTED_VALUE"""),1.36398901404488)</f>
        <v>1.36398901404488</v>
      </c>
      <c r="N491" s="17">
        <f ca="1">IFERROR(__xludf.DUMMYFUNCTION("""COMPUTED_VALUE"""),1.76542308226763)</f>
        <v>1.76542308226763</v>
      </c>
      <c r="O491" s="17">
        <f ca="1">IFERROR(__xludf.DUMMYFUNCTION("""COMPUTED_VALUE"""),1.37023361697827)</f>
        <v>1.3702336169782701</v>
      </c>
      <c r="P491" s="17">
        <f ca="1">IFERROR(__xludf.DUMMYFUNCTION("""COMPUTED_VALUE"""),1.22933504426142)</f>
        <v>1.2293350442614199</v>
      </c>
      <c r="Q491" s="17">
        <f ca="1">IFERROR(__xludf.DUMMYFUNCTION("""COMPUTED_VALUE"""),1.39545538290168)</f>
        <v>1.39545538290168</v>
      </c>
      <c r="R491" s="17">
        <f ca="1">IFERROR(__xludf.DUMMYFUNCTION("""COMPUTED_VALUE"""),1.20119902855382)</f>
        <v>1.2011990285538201</v>
      </c>
      <c r="S491" s="17">
        <f ca="1">IFERROR(__xludf.DUMMYFUNCTION("""COMPUTED_VALUE"""),1.06498046474441)</f>
        <v>1.0649804647444101</v>
      </c>
      <c r="T491" s="17">
        <f ca="1">IFERROR(__xludf.DUMMYFUNCTION("""COMPUTED_VALUE"""),1.04542650213736)</f>
        <v>1.0454265021373601</v>
      </c>
      <c r="U491" s="17">
        <f ca="1">IFERROR(__xludf.DUMMYFUNCTION("""COMPUTED_VALUE"""),1.05277938214605)</f>
        <v>1.05277938214605</v>
      </c>
      <c r="V491" s="17">
        <f ca="1">IFERROR(__xludf.DUMMYFUNCTION("""COMPUTED_VALUE"""),1.04741454721884)</f>
        <v>1.0474145472188401</v>
      </c>
      <c r="W491" s="17">
        <f ca="1">IFERROR(__xludf.DUMMYFUNCTION("""COMPUTED_VALUE"""),1.04375006661691)</f>
        <v>1.0437500666169099</v>
      </c>
      <c r="X491" s="17">
        <f ca="1">IFERROR(__xludf.DUMMYFUNCTION("""COMPUTED_VALUE"""),1.36678455996083)</f>
        <v>1.3667845599608299</v>
      </c>
      <c r="Y491" s="17">
        <f ca="1">IFERROR(__xludf.DUMMYFUNCTION("""COMPUTED_VALUE"""),1.04610066565036)</f>
        <v>1.04610066565036</v>
      </c>
      <c r="Z491" s="17">
        <f ca="1">IFERROR(__xludf.DUMMYFUNCTION("""COMPUTED_VALUE"""),1.02197260936634)</f>
        <v>1.0219726093663399</v>
      </c>
      <c r="AA491" s="17">
        <f ca="1">IFERROR(__xludf.DUMMYFUNCTION("""COMPUTED_VALUE"""),5.07832264947792)</f>
        <v>5.0783226494779203</v>
      </c>
      <c r="AB491" s="17">
        <f ca="1">IFERROR(__xludf.DUMMYFUNCTION("""COMPUTED_VALUE"""),1.14451993729329)</f>
        <v>1.1445199372932899</v>
      </c>
      <c r="AC491" s="17">
        <f ca="1">IFERROR(__xludf.DUMMYFUNCTION("""COMPUTED_VALUE"""),1.17182391718047)</f>
        <v>1.1718239171804701</v>
      </c>
      <c r="AD491" s="17">
        <f ca="1">IFERROR(__xludf.DUMMYFUNCTION("""COMPUTED_VALUE"""),1.038303384701)</f>
        <v>1.0383033847009999</v>
      </c>
      <c r="AE491" s="17" t="str">
        <f ca="1">IFERROR(__xludf.DUMMYFUNCTION("""COMPUTED_VALUE"""),"nan")</f>
        <v>nan</v>
      </c>
      <c r="AF491" s="17">
        <f ca="1">IFERROR(__xludf.DUMMYFUNCTION("""COMPUTED_VALUE"""),1.05451525387023)</f>
        <v>1.05451525387023</v>
      </c>
      <c r="AG491" s="17">
        <f ca="1">IFERROR(__xludf.DUMMYFUNCTION("""COMPUTED_VALUE"""),1.07952490282329)</f>
        <v>1.0795249028232901</v>
      </c>
      <c r="AH491" s="17">
        <f ca="1">IFERROR(__xludf.DUMMYFUNCTION("""COMPUTED_VALUE"""),1.03769121180062)</f>
        <v>1.0376912118006201</v>
      </c>
      <c r="AI491" s="17" t="str">
        <f ca="1">IFERROR(__xludf.DUMMYFUNCTION("""COMPUTED_VALUE"""),"nan")</f>
        <v>nan</v>
      </c>
      <c r="AJ491" s="17">
        <f ca="1">IFERROR(__xludf.DUMMYFUNCTION("""COMPUTED_VALUE"""),1.32195967764144)</f>
        <v>1.32195967764144</v>
      </c>
    </row>
    <row r="492" spans="2:36" ht="15.75" customHeight="1" x14ac:dyDescent="0.45">
      <c r="B492" s="10" t="str">
        <f ca="1">IFERROR(__xludf.DUMMYFUNCTION("""COMPUTED_VALUE"""),"LargeKitchenAppliances")</f>
        <v>LargeKitchenAppliances</v>
      </c>
      <c r="C492" s="10" t="str">
        <f ca="1">IFERROR(__xludf.DUMMYFUNCTION("""COMPUTED_VALUE"""),"mcar")</f>
        <v>mcar</v>
      </c>
      <c r="D492" s="10">
        <f ca="1">IFERROR(__xludf.DUMMYFUNCTION("""COMPUTED_VALUE"""),0.1)</f>
        <v>0.1</v>
      </c>
      <c r="E492" s="17">
        <f ca="1">IFERROR(__xludf.DUMMYFUNCTION("""COMPUTED_VALUE"""),0.958207523506714)</f>
        <v>0.95820752350671401</v>
      </c>
      <c r="F492" s="17">
        <f ca="1">IFERROR(__xludf.DUMMYFUNCTION("""COMPUTED_VALUE"""),1.01556317550482)</f>
        <v>1.01556317550482</v>
      </c>
      <c r="G492" s="17">
        <f ca="1">IFERROR(__xludf.DUMMYFUNCTION("""COMPUTED_VALUE"""),1.02763963821455)</f>
        <v>1.0276396382145501</v>
      </c>
      <c r="H492" s="17">
        <f ca="1">IFERROR(__xludf.DUMMYFUNCTION("""COMPUTED_VALUE"""),0.963210247354916)</f>
        <v>0.963210247354916</v>
      </c>
      <c r="I492" s="17">
        <f ca="1">IFERROR(__xludf.DUMMYFUNCTION("""COMPUTED_VALUE"""),0.832401667071716)</f>
        <v>0.83240166707171603</v>
      </c>
      <c r="J492" s="17">
        <f ca="1">IFERROR(__xludf.DUMMYFUNCTION("""COMPUTED_VALUE"""),0.980897739753509)</f>
        <v>0.98089773975350902</v>
      </c>
      <c r="K492" s="17" t="str">
        <f ca="1">IFERROR(__xludf.DUMMYFUNCTION("""COMPUTED_VALUE"""),"nan")</f>
        <v>nan</v>
      </c>
      <c r="L492" s="17">
        <f ca="1">IFERROR(__xludf.DUMMYFUNCTION("""COMPUTED_VALUE"""),1.0919215044973)</f>
        <v>1.0919215044973001</v>
      </c>
      <c r="M492" s="17">
        <f ca="1">IFERROR(__xludf.DUMMYFUNCTION("""COMPUTED_VALUE"""),0.951683946278895)</f>
        <v>0.95168394627889497</v>
      </c>
      <c r="N492" s="17">
        <f ca="1">IFERROR(__xludf.DUMMYFUNCTION("""COMPUTED_VALUE"""),0.766021669144128)</f>
        <v>0.76602166914412795</v>
      </c>
      <c r="O492" s="17">
        <f ca="1">IFERROR(__xludf.DUMMYFUNCTION("""COMPUTED_VALUE"""),1.000150133681)</f>
        <v>1.0001501336809999</v>
      </c>
      <c r="P492" s="17">
        <f ca="1">IFERROR(__xludf.DUMMYFUNCTION("""COMPUTED_VALUE"""),0.880658712594049)</f>
        <v>0.88065871259404904</v>
      </c>
      <c r="Q492" s="17">
        <f ca="1">IFERROR(__xludf.DUMMYFUNCTION("""COMPUTED_VALUE"""),1.42044424525733)</f>
        <v>1.42044424525733</v>
      </c>
      <c r="R492" s="17">
        <f ca="1">IFERROR(__xludf.DUMMYFUNCTION("""COMPUTED_VALUE"""),1.14179113933306)</f>
        <v>1.14179113933306</v>
      </c>
      <c r="S492" s="17">
        <f ca="1">IFERROR(__xludf.DUMMYFUNCTION("""COMPUTED_VALUE"""),0.964770918119037)</f>
        <v>0.96477091811903704</v>
      </c>
      <c r="T492" s="17">
        <f ca="1">IFERROR(__xludf.DUMMYFUNCTION("""COMPUTED_VALUE"""),0.976011470724817)</f>
        <v>0.97601147072481698</v>
      </c>
      <c r="U492" s="17">
        <f ca="1">IFERROR(__xludf.DUMMYFUNCTION("""COMPUTED_VALUE"""),0.957518229422329)</f>
        <v>0.957518229422329</v>
      </c>
      <c r="V492" s="17">
        <f ca="1">IFERROR(__xludf.DUMMYFUNCTION("""COMPUTED_VALUE"""),0.974618521625626)</f>
        <v>0.97461852162562601</v>
      </c>
      <c r="W492" s="17">
        <f ca="1">IFERROR(__xludf.DUMMYFUNCTION("""COMPUTED_VALUE"""),0.851635095671475)</f>
        <v>0.851635095671475</v>
      </c>
      <c r="X492" s="17">
        <f ca="1">IFERROR(__xludf.DUMMYFUNCTION("""COMPUTED_VALUE"""),0.863667554456078)</f>
        <v>0.86366755445607801</v>
      </c>
      <c r="Y492" s="17">
        <f ca="1">IFERROR(__xludf.DUMMYFUNCTION("""COMPUTED_VALUE"""),0.715768981627231)</f>
        <v>0.71576898162723102</v>
      </c>
      <c r="Z492" s="17">
        <f ca="1">IFERROR(__xludf.DUMMYFUNCTION("""COMPUTED_VALUE"""),0.957090364229453)</f>
        <v>0.95709036422945304</v>
      </c>
      <c r="AA492" s="17">
        <f ca="1">IFERROR(__xludf.DUMMYFUNCTION("""COMPUTED_VALUE"""),1.2081357865639)</f>
        <v>1.2081357865639</v>
      </c>
      <c r="AB492" s="17">
        <f ca="1">IFERROR(__xludf.DUMMYFUNCTION("""COMPUTED_VALUE"""),0.999483904590092)</f>
        <v>0.99948390459009195</v>
      </c>
      <c r="AC492" s="17">
        <f ca="1">IFERROR(__xludf.DUMMYFUNCTION("""COMPUTED_VALUE"""),1.08323303884892)</f>
        <v>1.08323303884892</v>
      </c>
      <c r="AD492" s="17">
        <f ca="1">IFERROR(__xludf.DUMMYFUNCTION("""COMPUTED_VALUE"""),0.892764949381253)</f>
        <v>0.89276494938125295</v>
      </c>
      <c r="AE492" s="17">
        <f ca="1">IFERROR(__xludf.DUMMYFUNCTION("""COMPUTED_VALUE"""),1.04042942554685)</f>
        <v>1.04042942554685</v>
      </c>
      <c r="AF492" s="17">
        <f ca="1">IFERROR(__xludf.DUMMYFUNCTION("""COMPUTED_VALUE"""),0.774016614383418)</f>
        <v>0.77401661438341796</v>
      </c>
      <c r="AG492" s="17">
        <f ca="1">IFERROR(__xludf.DUMMYFUNCTION("""COMPUTED_VALUE"""),0.975683883033909)</f>
        <v>0.97568388303390896</v>
      </c>
      <c r="AH492" s="17">
        <f ca="1">IFERROR(__xludf.DUMMYFUNCTION("""COMPUTED_VALUE"""),0.882240981533194)</f>
        <v>0.88224098153319397</v>
      </c>
      <c r="AI492" s="17" t="str">
        <f ca="1">IFERROR(__xludf.DUMMYFUNCTION("""COMPUTED_VALUE"""),"nan")</f>
        <v>nan</v>
      </c>
      <c r="AJ492" s="17">
        <f ca="1">IFERROR(__xludf.DUMMYFUNCTION("""COMPUTED_VALUE"""),0.89842571674519)</f>
        <v>0.89842571674519001</v>
      </c>
    </row>
    <row r="493" spans="2:36" ht="15.75" customHeight="1" x14ac:dyDescent="0.45">
      <c r="B493" s="10" t="str">
        <f ca="1">IFERROR(__xludf.DUMMYFUNCTION("""COMPUTED_VALUE"""),"LargeKitchenAppliances")</f>
        <v>LargeKitchenAppliances</v>
      </c>
      <c r="C493" s="10" t="str">
        <f ca="1">IFERROR(__xludf.DUMMYFUNCTION("""COMPUTED_VALUE"""),"mcar")</f>
        <v>mcar</v>
      </c>
      <c r="D493" s="10">
        <f ca="1">IFERROR(__xludf.DUMMYFUNCTION("""COMPUTED_VALUE"""),0.2)</f>
        <v>0.2</v>
      </c>
      <c r="E493" s="17">
        <f ca="1">IFERROR(__xludf.DUMMYFUNCTION("""COMPUTED_VALUE"""),0.937714803031554)</f>
        <v>0.93771480303155397</v>
      </c>
      <c r="F493" s="17">
        <f ca="1">IFERROR(__xludf.DUMMYFUNCTION("""COMPUTED_VALUE"""),0.984084386924522)</f>
        <v>0.98408438692452205</v>
      </c>
      <c r="G493" s="17">
        <f ca="1">IFERROR(__xludf.DUMMYFUNCTION("""COMPUTED_VALUE"""),0.996829666447081)</f>
        <v>0.99682966644708104</v>
      </c>
      <c r="H493" s="17">
        <f ca="1">IFERROR(__xludf.DUMMYFUNCTION("""COMPUTED_VALUE"""),0.938548201981501)</f>
        <v>0.93854820198150102</v>
      </c>
      <c r="I493" s="17">
        <f ca="1">IFERROR(__xludf.DUMMYFUNCTION("""COMPUTED_VALUE"""),0.795228032157664)</f>
        <v>0.79522803215766402</v>
      </c>
      <c r="J493" s="17">
        <f ca="1">IFERROR(__xludf.DUMMYFUNCTION("""COMPUTED_VALUE"""),0.955381980749955)</f>
        <v>0.95538198074995495</v>
      </c>
      <c r="K493" s="17" t="str">
        <f ca="1">IFERROR(__xludf.DUMMYFUNCTION("""COMPUTED_VALUE"""),"nan")</f>
        <v>nan</v>
      </c>
      <c r="L493" s="17">
        <f ca="1">IFERROR(__xludf.DUMMYFUNCTION("""COMPUTED_VALUE"""),1.04722329605934)</f>
        <v>1.0472232960593399</v>
      </c>
      <c r="M493" s="17">
        <f ca="1">IFERROR(__xludf.DUMMYFUNCTION("""COMPUTED_VALUE"""),0.943821732640028)</f>
        <v>0.943821732640028</v>
      </c>
      <c r="N493" s="17">
        <f ca="1">IFERROR(__xludf.DUMMYFUNCTION("""COMPUTED_VALUE"""),0.78349933432921)</f>
        <v>0.78349933432921004</v>
      </c>
      <c r="O493" s="17">
        <f ca="1">IFERROR(__xludf.DUMMYFUNCTION("""COMPUTED_VALUE"""),0.955475008774003)</f>
        <v>0.95547500877400304</v>
      </c>
      <c r="P493" s="17">
        <f ca="1">IFERROR(__xludf.DUMMYFUNCTION("""COMPUTED_VALUE"""),0.831501105524019)</f>
        <v>0.83150110552401901</v>
      </c>
      <c r="Q493" s="17">
        <f ca="1">IFERROR(__xludf.DUMMYFUNCTION("""COMPUTED_VALUE"""),1.33891887447755)</f>
        <v>1.33891887447755</v>
      </c>
      <c r="R493" s="17">
        <f ca="1">IFERROR(__xludf.DUMMYFUNCTION("""COMPUTED_VALUE"""),0.985758528482201)</f>
        <v>0.98575852848220102</v>
      </c>
      <c r="S493" s="17">
        <f ca="1">IFERROR(__xludf.DUMMYFUNCTION("""COMPUTED_VALUE"""),0.95495612210947)</f>
        <v>0.95495612210947001</v>
      </c>
      <c r="T493" s="17">
        <f ca="1">IFERROR(__xludf.DUMMYFUNCTION("""COMPUTED_VALUE"""),0.947948644886938)</f>
        <v>0.94794864488693797</v>
      </c>
      <c r="U493" s="17">
        <f ca="1">IFERROR(__xludf.DUMMYFUNCTION("""COMPUTED_VALUE"""),0.926769101621797)</f>
        <v>0.92676910162179704</v>
      </c>
      <c r="V493" s="17">
        <f ca="1">IFERROR(__xludf.DUMMYFUNCTION("""COMPUTED_VALUE"""),0.942546772342721)</f>
        <v>0.942546772342721</v>
      </c>
      <c r="W493" s="17">
        <f ca="1">IFERROR(__xludf.DUMMYFUNCTION("""COMPUTED_VALUE"""),0.846223021666515)</f>
        <v>0.84622302166651497</v>
      </c>
      <c r="X493" s="17">
        <f ca="1">IFERROR(__xludf.DUMMYFUNCTION("""COMPUTED_VALUE"""),1.62312767650748)</f>
        <v>1.62312767650748</v>
      </c>
      <c r="Y493" s="17">
        <f ca="1">IFERROR(__xludf.DUMMYFUNCTION("""COMPUTED_VALUE"""),0.687994120476044)</f>
        <v>0.68799412047604402</v>
      </c>
      <c r="Z493" s="17">
        <f ca="1">IFERROR(__xludf.DUMMYFUNCTION("""COMPUTED_VALUE"""),0.938100993835835)</f>
        <v>0.93810099383583501</v>
      </c>
      <c r="AA493" s="17">
        <f ca="1">IFERROR(__xludf.DUMMYFUNCTION("""COMPUTED_VALUE"""),1.53304545487117)</f>
        <v>1.5330454548711701</v>
      </c>
      <c r="AB493" s="17">
        <f ca="1">IFERROR(__xludf.DUMMYFUNCTION("""COMPUTED_VALUE"""),1.08243617270936)</f>
        <v>1.0824361727093601</v>
      </c>
      <c r="AC493" s="17">
        <f ca="1">IFERROR(__xludf.DUMMYFUNCTION("""COMPUTED_VALUE"""),1.03337197431167)</f>
        <v>1.03337197431167</v>
      </c>
      <c r="AD493" s="17">
        <f ca="1">IFERROR(__xludf.DUMMYFUNCTION("""COMPUTED_VALUE"""),0.865989599650934)</f>
        <v>0.86598959965093403</v>
      </c>
      <c r="AE493" s="17">
        <f ca="1">IFERROR(__xludf.DUMMYFUNCTION("""COMPUTED_VALUE"""),0.969460483687684)</f>
        <v>0.969460483687684</v>
      </c>
      <c r="AF493" s="17">
        <f ca="1">IFERROR(__xludf.DUMMYFUNCTION("""COMPUTED_VALUE"""),0.789552448784863)</f>
        <v>0.78955244878486297</v>
      </c>
      <c r="AG493" s="17">
        <f ca="1">IFERROR(__xludf.DUMMYFUNCTION("""COMPUTED_VALUE"""),0.995121414304844)</f>
        <v>0.99512141430484402</v>
      </c>
      <c r="AH493" s="17">
        <f ca="1">IFERROR(__xludf.DUMMYFUNCTION("""COMPUTED_VALUE"""),0.873989522894111)</f>
        <v>0.87398952289411103</v>
      </c>
      <c r="AI493" s="17" t="str">
        <f ca="1">IFERROR(__xludf.DUMMYFUNCTION("""COMPUTED_VALUE"""),"nan")</f>
        <v>nan</v>
      </c>
      <c r="AJ493" s="17">
        <f ca="1">IFERROR(__xludf.DUMMYFUNCTION("""COMPUTED_VALUE"""),0.943646102881788)</f>
        <v>0.94364610288178796</v>
      </c>
    </row>
    <row r="494" spans="2:36" ht="15.75" customHeight="1" x14ac:dyDescent="0.45">
      <c r="B494" s="10" t="str">
        <f ca="1">IFERROR(__xludf.DUMMYFUNCTION("""COMPUTED_VALUE"""),"LargeKitchenAppliances")</f>
        <v>LargeKitchenAppliances</v>
      </c>
      <c r="C494" s="10" t="str">
        <f ca="1">IFERROR(__xludf.DUMMYFUNCTION("""COMPUTED_VALUE"""),"mcar")</f>
        <v>mcar</v>
      </c>
      <c r="D494" s="10">
        <f ca="1">IFERROR(__xludf.DUMMYFUNCTION("""COMPUTED_VALUE"""),0.4)</f>
        <v>0.4</v>
      </c>
      <c r="E494" s="17">
        <f ca="1">IFERROR(__xludf.DUMMYFUNCTION("""COMPUTED_VALUE"""),1.08179025663671)</f>
        <v>1.0817902566367099</v>
      </c>
      <c r="F494" s="17">
        <f ca="1">IFERROR(__xludf.DUMMYFUNCTION("""COMPUTED_VALUE"""),1.16134373482807)</f>
        <v>1.16134373482807</v>
      </c>
      <c r="G494" s="17">
        <f ca="1">IFERROR(__xludf.DUMMYFUNCTION("""COMPUTED_VALUE"""),1.26297158052491)</f>
        <v>1.26297158052491</v>
      </c>
      <c r="H494" s="17">
        <f ca="1">IFERROR(__xludf.DUMMYFUNCTION("""COMPUTED_VALUE"""),1.08093401690339)</f>
        <v>1.0809340169033901</v>
      </c>
      <c r="I494" s="17">
        <f ca="1">IFERROR(__xludf.DUMMYFUNCTION("""COMPUTED_VALUE"""),0.965230606764513)</f>
        <v>0.965230606764513</v>
      </c>
      <c r="J494" s="17">
        <f ca="1">IFERROR(__xludf.DUMMYFUNCTION("""COMPUTED_VALUE"""),1.10085052790638)</f>
        <v>1.10085052790638</v>
      </c>
      <c r="K494" s="17" t="str">
        <f ca="1">IFERROR(__xludf.DUMMYFUNCTION("""COMPUTED_VALUE"""),"nan")</f>
        <v>nan</v>
      </c>
      <c r="L494" s="17">
        <f ca="1">IFERROR(__xludf.DUMMYFUNCTION("""COMPUTED_VALUE"""),1.30211469032736)</f>
        <v>1.3021146903273599</v>
      </c>
      <c r="M494" s="17">
        <f ca="1">IFERROR(__xludf.DUMMYFUNCTION("""COMPUTED_VALUE"""),1.08794936341074)</f>
        <v>1.08794936341074</v>
      </c>
      <c r="N494" s="17">
        <f ca="1">IFERROR(__xludf.DUMMYFUNCTION("""COMPUTED_VALUE"""),0.9877964476821)</f>
        <v>0.98779644768209995</v>
      </c>
      <c r="O494" s="17">
        <f ca="1">IFERROR(__xludf.DUMMYFUNCTION("""COMPUTED_VALUE"""),1.1472361447405)</f>
        <v>1.1472361447405</v>
      </c>
      <c r="P494" s="17">
        <f ca="1">IFERROR(__xludf.DUMMYFUNCTION("""COMPUTED_VALUE"""),1.02931162674833)</f>
        <v>1.02931162674833</v>
      </c>
      <c r="Q494" s="17">
        <f ca="1">IFERROR(__xludf.DUMMYFUNCTION("""COMPUTED_VALUE"""),1.45031394909418)</f>
        <v>1.4503139490941801</v>
      </c>
      <c r="R494" s="17">
        <f ca="1">IFERROR(__xludf.DUMMYFUNCTION("""COMPUTED_VALUE"""),2.11242832759206)</f>
        <v>2.1124283275920601</v>
      </c>
      <c r="S494" s="17">
        <f ca="1">IFERROR(__xludf.DUMMYFUNCTION("""COMPUTED_VALUE"""),1.10393720579144)</f>
        <v>1.1039372057914401</v>
      </c>
      <c r="T494" s="17">
        <f ca="1">IFERROR(__xludf.DUMMYFUNCTION("""COMPUTED_VALUE"""),1.0995783820189)</f>
        <v>1.0995783820189</v>
      </c>
      <c r="U494" s="17">
        <f ca="1">IFERROR(__xludf.DUMMYFUNCTION("""COMPUTED_VALUE"""),1.05614087063903)</f>
        <v>1.0561408706390301</v>
      </c>
      <c r="V494" s="17">
        <f ca="1">IFERROR(__xludf.DUMMYFUNCTION("""COMPUTED_VALUE"""),1.08997769149319)</f>
        <v>1.08997769149319</v>
      </c>
      <c r="W494" s="17">
        <f ca="1">IFERROR(__xludf.DUMMYFUNCTION("""COMPUTED_VALUE"""),1.01218753888462)</f>
        <v>1.01218753888462</v>
      </c>
      <c r="X494" s="17">
        <f ca="1">IFERROR(__xludf.DUMMYFUNCTION("""COMPUTED_VALUE"""),1.09599807066735)</f>
        <v>1.09599807066735</v>
      </c>
      <c r="Y494" s="17">
        <f ca="1">IFERROR(__xludf.DUMMYFUNCTION("""COMPUTED_VALUE"""),0.92240975808935)</f>
        <v>0.92240975808935</v>
      </c>
      <c r="Z494" s="17">
        <f ca="1">IFERROR(__xludf.DUMMYFUNCTION("""COMPUTED_VALUE"""),1.08399380629521)</f>
        <v>1.0839938062952099</v>
      </c>
      <c r="AA494" s="17">
        <f ca="1">IFERROR(__xludf.DUMMYFUNCTION("""COMPUTED_VALUE"""),1.73653226723854)</f>
        <v>1.7365322672385399</v>
      </c>
      <c r="AB494" s="17">
        <f ca="1">IFERROR(__xludf.DUMMYFUNCTION("""COMPUTED_VALUE"""),1.11338378069591)</f>
        <v>1.1133837806959099</v>
      </c>
      <c r="AC494" s="17">
        <f ca="1">IFERROR(__xludf.DUMMYFUNCTION("""COMPUTED_VALUE"""),1.29627777946282)</f>
        <v>1.29627777946282</v>
      </c>
      <c r="AD494" s="17">
        <f ca="1">IFERROR(__xludf.DUMMYFUNCTION("""COMPUTED_VALUE"""),1.03555666907778)</f>
        <v>1.03555666907778</v>
      </c>
      <c r="AE494" s="17">
        <f ca="1">IFERROR(__xludf.DUMMYFUNCTION("""COMPUTED_VALUE"""),1.0814825128313)</f>
        <v>1.0814825128312999</v>
      </c>
      <c r="AF494" s="17">
        <f ca="1">IFERROR(__xludf.DUMMYFUNCTION("""COMPUTED_VALUE"""),1.10213651945411)</f>
        <v>1.10213651945411</v>
      </c>
      <c r="AG494" s="17">
        <f ca="1">IFERROR(__xludf.DUMMYFUNCTION("""COMPUTED_VALUE"""),1.1489272612543)</f>
        <v>1.1489272612543</v>
      </c>
      <c r="AH494" s="17">
        <f ca="1">IFERROR(__xludf.DUMMYFUNCTION("""COMPUTED_VALUE"""),1.03077016630421)</f>
        <v>1.0307701663042099</v>
      </c>
      <c r="AI494" s="17" t="str">
        <f ca="1">IFERROR(__xludf.DUMMYFUNCTION("""COMPUTED_VALUE"""),"nan")</f>
        <v>nan</v>
      </c>
      <c r="AJ494" s="17">
        <f ca="1">IFERROR(__xludf.DUMMYFUNCTION("""COMPUTED_VALUE"""),1.15462260638296)</f>
        <v>1.1546226063829601</v>
      </c>
    </row>
    <row r="495" spans="2:36" ht="15.75" customHeight="1" x14ac:dyDescent="0.45">
      <c r="B495" s="10" t="str">
        <f ca="1">IFERROR(__xludf.DUMMYFUNCTION("""COMPUTED_VALUE"""),"LargeKitchenAppliances")</f>
        <v>LargeKitchenAppliances</v>
      </c>
      <c r="C495" s="10" t="str">
        <f ca="1">IFERROR(__xludf.DUMMYFUNCTION("""COMPUTED_VALUE"""),"mcar")</f>
        <v>mcar</v>
      </c>
      <c r="D495" s="10">
        <f ca="1">IFERROR(__xludf.DUMMYFUNCTION("""COMPUTED_VALUE"""),0.6)</f>
        <v>0.6</v>
      </c>
      <c r="E495" s="17">
        <f ca="1">IFERROR(__xludf.DUMMYFUNCTION("""COMPUTED_VALUE"""),1.03651482298346)</f>
        <v>1.03651482298346</v>
      </c>
      <c r="F495" s="17">
        <f ca="1">IFERROR(__xludf.DUMMYFUNCTION("""COMPUTED_VALUE"""),1.39736145160365)</f>
        <v>1.3973614516036501</v>
      </c>
      <c r="G495" s="17">
        <f ca="1">IFERROR(__xludf.DUMMYFUNCTION("""COMPUTED_VALUE"""),1.68204321161006)</f>
        <v>1.6820432116100601</v>
      </c>
      <c r="H495" s="17">
        <f ca="1">IFERROR(__xludf.DUMMYFUNCTION("""COMPUTED_VALUE"""),1.05645908204374)</f>
        <v>1.0564590820437401</v>
      </c>
      <c r="I495" s="17">
        <f ca="1">IFERROR(__xludf.DUMMYFUNCTION("""COMPUTED_VALUE"""),0.978784926699669)</f>
        <v>0.97878492669966899</v>
      </c>
      <c r="J495" s="17">
        <f ca="1">IFERROR(__xludf.DUMMYFUNCTION("""COMPUTED_VALUE"""),1.07418801325052)</f>
        <v>1.0741880132505199</v>
      </c>
      <c r="K495" s="17" t="str">
        <f ca="1">IFERROR(__xludf.DUMMYFUNCTION("""COMPUTED_VALUE"""),"nan")</f>
        <v>nan</v>
      </c>
      <c r="L495" s="17">
        <f ca="1">IFERROR(__xludf.DUMMYFUNCTION("""COMPUTED_VALUE"""),1.84112026312596)</f>
        <v>1.84112026312596</v>
      </c>
      <c r="M495" s="17">
        <f ca="1">IFERROR(__xludf.DUMMYFUNCTION("""COMPUTED_VALUE"""),1.08859138765759)</f>
        <v>1.0885913876575899</v>
      </c>
      <c r="N495" s="17">
        <f ca="1">IFERROR(__xludf.DUMMYFUNCTION("""COMPUTED_VALUE"""),1.04583493549897)</f>
        <v>1.04583493549897</v>
      </c>
      <c r="O495" s="17">
        <f ca="1">IFERROR(__xludf.DUMMYFUNCTION("""COMPUTED_VALUE"""),1.37950780522061)</f>
        <v>1.37950780522061</v>
      </c>
      <c r="P495" s="17">
        <f ca="1">IFERROR(__xludf.DUMMYFUNCTION("""COMPUTED_VALUE"""),1.03585389512331)</f>
        <v>1.0358538951233101</v>
      </c>
      <c r="Q495" s="17">
        <f ca="1">IFERROR(__xludf.DUMMYFUNCTION("""COMPUTED_VALUE"""),1.40612247635054)</f>
        <v>1.40612247635054</v>
      </c>
      <c r="R495" s="17">
        <f ca="1">IFERROR(__xludf.DUMMYFUNCTION("""COMPUTED_VALUE"""),4.60348679161811)</f>
        <v>4.6034867916181099</v>
      </c>
      <c r="S495" s="17">
        <f ca="1">IFERROR(__xludf.DUMMYFUNCTION("""COMPUTED_VALUE"""),1.0585311841665)</f>
        <v>1.0585311841664999</v>
      </c>
      <c r="T495" s="17">
        <f ca="1">IFERROR(__xludf.DUMMYFUNCTION("""COMPUTED_VALUE"""),1.05299431640423)</f>
        <v>1.0529943164042299</v>
      </c>
      <c r="U495" s="17">
        <f ca="1">IFERROR(__xludf.DUMMYFUNCTION("""COMPUTED_VALUE"""),1.04172806738753)</f>
        <v>1.04172806738753</v>
      </c>
      <c r="V495" s="17">
        <f ca="1">IFERROR(__xludf.DUMMYFUNCTION("""COMPUTED_VALUE"""),1.06082775999689)</f>
        <v>1.0608277599968901</v>
      </c>
      <c r="W495" s="17">
        <f ca="1">IFERROR(__xludf.DUMMYFUNCTION("""COMPUTED_VALUE"""),1.01812495021644)</f>
        <v>1.01812495021644</v>
      </c>
      <c r="X495" s="17">
        <f ca="1">IFERROR(__xludf.DUMMYFUNCTION("""COMPUTED_VALUE"""),1.08713823226572)</f>
        <v>1.0871382322657199</v>
      </c>
      <c r="Y495" s="17">
        <f ca="1">IFERROR(__xludf.DUMMYFUNCTION("""COMPUTED_VALUE"""),0.972325095040198)</f>
        <v>0.97232509504019804</v>
      </c>
      <c r="Z495" s="17">
        <f ca="1">IFERROR(__xludf.DUMMYFUNCTION("""COMPUTED_VALUE"""),1.03915364569925)</f>
        <v>1.0391536456992501</v>
      </c>
      <c r="AA495" s="17">
        <f ca="1">IFERROR(__xludf.DUMMYFUNCTION("""COMPUTED_VALUE"""),1.76002456174101)</f>
        <v>1.76002456174101</v>
      </c>
      <c r="AB495" s="17">
        <f ca="1">IFERROR(__xludf.DUMMYFUNCTION("""COMPUTED_VALUE"""),1.07446405453569)</f>
        <v>1.07446405453569</v>
      </c>
      <c r="AC495" s="17">
        <f ca="1">IFERROR(__xludf.DUMMYFUNCTION("""COMPUTED_VALUE"""),1.33676288205566)</f>
        <v>1.3367628820556601</v>
      </c>
      <c r="AD495" s="17">
        <f ca="1">IFERROR(__xludf.DUMMYFUNCTION("""COMPUTED_VALUE"""),1.02397543968281)</f>
        <v>1.02397543968281</v>
      </c>
      <c r="AE495" s="17" t="str">
        <f ca="1">IFERROR(__xludf.DUMMYFUNCTION("""COMPUTED_VALUE"""),"nan")</f>
        <v>nan</v>
      </c>
      <c r="AF495" s="17">
        <f ca="1">IFERROR(__xludf.DUMMYFUNCTION("""COMPUTED_VALUE"""),1.05465356558152)</f>
        <v>1.0546535655815199</v>
      </c>
      <c r="AG495" s="17">
        <f ca="1">IFERROR(__xludf.DUMMYFUNCTION("""COMPUTED_VALUE"""),1.16136489890271)</f>
        <v>1.1613648989027101</v>
      </c>
      <c r="AH495" s="17">
        <f ca="1">IFERROR(__xludf.DUMMYFUNCTION("""COMPUTED_VALUE"""),1.02694171330205)</f>
        <v>1.02694171330205</v>
      </c>
      <c r="AI495" s="17" t="str">
        <f ca="1">IFERROR(__xludf.DUMMYFUNCTION("""COMPUTED_VALUE"""),"nan")</f>
        <v>nan</v>
      </c>
      <c r="AJ495" s="17">
        <f ca="1">IFERROR(__xludf.DUMMYFUNCTION("""COMPUTED_VALUE"""),1.14359486053299)</f>
        <v>1.14359486053299</v>
      </c>
    </row>
    <row r="496" spans="2:36" ht="15.75" customHeight="1" x14ac:dyDescent="0.45">
      <c r="B496" s="10" t="str">
        <f ca="1">IFERROR(__xludf.DUMMYFUNCTION("""COMPUTED_VALUE"""),"LargeKitchenAppliances")</f>
        <v>LargeKitchenAppliances</v>
      </c>
      <c r="C496" s="10" t="str">
        <f ca="1">IFERROR(__xludf.DUMMYFUNCTION("""COMPUTED_VALUE"""),"mcar")</f>
        <v>mcar</v>
      </c>
      <c r="D496" s="10">
        <f ca="1">IFERROR(__xludf.DUMMYFUNCTION("""COMPUTED_VALUE"""),0.8)</f>
        <v>0.8</v>
      </c>
      <c r="E496" s="17">
        <f ca="1">IFERROR(__xludf.DUMMYFUNCTION("""COMPUTED_VALUE"""),1.04056784363589)</f>
        <v>1.0405678436358901</v>
      </c>
      <c r="F496" s="17">
        <f ca="1">IFERROR(__xludf.DUMMYFUNCTION("""COMPUTED_VALUE"""),1.35346519101831)</f>
        <v>1.35346519101831</v>
      </c>
      <c r="G496" s="17">
        <f ca="1">IFERROR(__xludf.DUMMYFUNCTION("""COMPUTED_VALUE"""),1.58477573607317)</f>
        <v>1.58477573607317</v>
      </c>
      <c r="H496" s="17">
        <f ca="1">IFERROR(__xludf.DUMMYFUNCTION("""COMPUTED_VALUE"""),1.06122148018124)</f>
        <v>1.0612214801812401</v>
      </c>
      <c r="I496" s="17">
        <f ca="1">IFERROR(__xludf.DUMMYFUNCTION("""COMPUTED_VALUE"""),1.00447029935496)</f>
        <v>1.0044702993549599</v>
      </c>
      <c r="J496" s="17">
        <f ca="1">IFERROR(__xludf.DUMMYFUNCTION("""COMPUTED_VALUE"""),1.20695765310732)</f>
        <v>1.2069576531073201</v>
      </c>
      <c r="K496" s="17" t="str">
        <f ca="1">IFERROR(__xludf.DUMMYFUNCTION("""COMPUTED_VALUE"""),"nan")</f>
        <v>nan</v>
      </c>
      <c r="L496" s="17">
        <f ca="1">IFERROR(__xludf.DUMMYFUNCTION("""COMPUTED_VALUE"""),1.67127526017569)</f>
        <v>1.6712752601756899</v>
      </c>
      <c r="M496" s="17">
        <f ca="1">IFERROR(__xludf.DUMMYFUNCTION("""COMPUTED_VALUE"""),1.15069574170227)</f>
        <v>1.1506957417022701</v>
      </c>
      <c r="N496" s="17">
        <f ca="1">IFERROR(__xludf.DUMMYFUNCTION("""COMPUTED_VALUE"""),1.1568970672587)</f>
        <v>1.1568970672587</v>
      </c>
      <c r="O496" s="17">
        <f ca="1">IFERROR(__xludf.DUMMYFUNCTION("""COMPUTED_VALUE"""),1.20553460491405)</f>
        <v>1.2055346049140501</v>
      </c>
      <c r="P496" s="17">
        <f ca="1">IFERROR(__xludf.DUMMYFUNCTION("""COMPUTED_VALUE"""),1.05302280198963)</f>
        <v>1.0530228019896299</v>
      </c>
      <c r="Q496" s="17">
        <f ca="1">IFERROR(__xludf.DUMMYFUNCTION("""COMPUTED_VALUE"""),1.36692042063329)</f>
        <v>1.3669204206332899</v>
      </c>
      <c r="R496" s="17">
        <f ca="1">IFERROR(__xludf.DUMMYFUNCTION("""COMPUTED_VALUE"""),5.60406527899537)</f>
        <v>5.6040652789953702</v>
      </c>
      <c r="S496" s="17">
        <f ca="1">IFERROR(__xludf.DUMMYFUNCTION("""COMPUTED_VALUE"""),1.06453858375866)</f>
        <v>1.0645385837586601</v>
      </c>
      <c r="T496" s="17">
        <f ca="1">IFERROR(__xludf.DUMMYFUNCTION("""COMPUTED_VALUE"""),1.06225540052514)</f>
        <v>1.0622554005251399</v>
      </c>
      <c r="U496" s="17">
        <f ca="1">IFERROR(__xludf.DUMMYFUNCTION("""COMPUTED_VALUE"""),1.04786887347996)</f>
        <v>1.0478688734799599</v>
      </c>
      <c r="V496" s="17">
        <f ca="1">IFERROR(__xludf.DUMMYFUNCTION("""COMPUTED_VALUE"""),1.05666768303039)</f>
        <v>1.05666768303039</v>
      </c>
      <c r="W496" s="17">
        <f ca="1">IFERROR(__xludf.DUMMYFUNCTION("""COMPUTED_VALUE"""),1.04268194832932)</f>
        <v>1.0426819483293199</v>
      </c>
      <c r="X496" s="17">
        <f ca="1">IFERROR(__xludf.DUMMYFUNCTION("""COMPUTED_VALUE"""),1.16101378613122)</f>
        <v>1.16101378613122</v>
      </c>
      <c r="Y496" s="17">
        <f ca="1">IFERROR(__xludf.DUMMYFUNCTION("""COMPUTED_VALUE"""),1.0362282427766)</f>
        <v>1.0362282427766001</v>
      </c>
      <c r="Z496" s="17">
        <f ca="1">IFERROR(__xludf.DUMMYFUNCTION("""COMPUTED_VALUE"""),1.03766820078443)</f>
        <v>1.03766820078443</v>
      </c>
      <c r="AA496" s="17">
        <f ca="1">IFERROR(__xludf.DUMMYFUNCTION("""COMPUTED_VALUE"""),1.86427324925628)</f>
        <v>1.8642732492562799</v>
      </c>
      <c r="AB496" s="17">
        <f ca="1">IFERROR(__xludf.DUMMYFUNCTION("""COMPUTED_VALUE"""),1.2137177330275)</f>
        <v>1.2137177330275</v>
      </c>
      <c r="AC496" s="17">
        <f ca="1">IFERROR(__xludf.DUMMYFUNCTION("""COMPUTED_VALUE"""),1.25152145001576)</f>
        <v>1.2515214500157601</v>
      </c>
      <c r="AD496" s="17">
        <f ca="1">IFERROR(__xludf.DUMMYFUNCTION("""COMPUTED_VALUE"""),1.04261716599252)</f>
        <v>1.0426171659925201</v>
      </c>
      <c r="AE496" s="17" t="str">
        <f ca="1">IFERROR(__xludf.DUMMYFUNCTION("""COMPUTED_VALUE"""),"nan")</f>
        <v>nan</v>
      </c>
      <c r="AF496" s="17">
        <f ca="1">IFERROR(__xludf.DUMMYFUNCTION("""COMPUTED_VALUE"""),1.06107486731746)</f>
        <v>1.0610748673174599</v>
      </c>
      <c r="AG496" s="17">
        <f ca="1">IFERROR(__xludf.DUMMYFUNCTION("""COMPUTED_VALUE"""),1.11737401305397)</f>
        <v>1.11737401305397</v>
      </c>
      <c r="AH496" s="17">
        <f ca="1">IFERROR(__xludf.DUMMYFUNCTION("""COMPUTED_VALUE"""),1.05648866638644)</f>
        <v>1.0564886663864399</v>
      </c>
      <c r="AI496" s="17" t="str">
        <f ca="1">IFERROR(__xludf.DUMMYFUNCTION("""COMPUTED_VALUE"""),"nan")</f>
        <v>nan</v>
      </c>
      <c r="AJ496" s="17">
        <f ca="1">IFERROR(__xludf.DUMMYFUNCTION("""COMPUTED_VALUE"""),1.08550420462952)</f>
        <v>1.08550420462952</v>
      </c>
    </row>
    <row r="497" spans="2:36" ht="15.75" customHeight="1" x14ac:dyDescent="0.45">
      <c r="B497" s="10" t="str">
        <f ca="1">IFERROR(__xludf.DUMMYFUNCTION("""COMPUTED_VALUE"""),"Lightning2")</f>
        <v>Lightning2</v>
      </c>
      <c r="C497" s="10" t="str">
        <f ca="1">IFERROR(__xludf.DUMMYFUNCTION("""COMPUTED_VALUE"""),"aligned_series")</f>
        <v>aligned_series</v>
      </c>
      <c r="D497" s="10">
        <f ca="1">IFERROR(__xludf.DUMMYFUNCTION("""COMPUTED_VALUE"""),0.1)</f>
        <v>0.1</v>
      </c>
      <c r="E497" s="17">
        <f ca="1">IFERROR(__xludf.DUMMYFUNCTION("""COMPUTED_VALUE"""),0.717989094972041)</f>
        <v>0.717989094972041</v>
      </c>
      <c r="F497" s="17">
        <f ca="1">IFERROR(__xludf.DUMMYFUNCTION("""COMPUTED_VALUE"""),0.301537398498423)</f>
        <v>0.30153739849842298</v>
      </c>
      <c r="G497" s="17">
        <f ca="1">IFERROR(__xludf.DUMMYFUNCTION("""COMPUTED_VALUE"""),0.298140318816551)</f>
        <v>0.29814031881655101</v>
      </c>
      <c r="H497" s="17">
        <f ca="1">IFERROR(__xludf.DUMMYFUNCTION("""COMPUTED_VALUE"""),0.307413405471181)</f>
        <v>0.30741340547118101</v>
      </c>
      <c r="I497" s="17">
        <f ca="1">IFERROR(__xludf.DUMMYFUNCTION("""COMPUTED_VALUE"""),0.302541103331837)</f>
        <v>0.30254110333183698</v>
      </c>
      <c r="J497" s="17">
        <f ca="1">IFERROR(__xludf.DUMMYFUNCTION("""COMPUTED_VALUE"""),0.214051940949309)</f>
        <v>0.21405194094930899</v>
      </c>
      <c r="K497" s="17" t="str">
        <f ca="1">IFERROR(__xludf.DUMMYFUNCTION("""COMPUTED_VALUE"""),"nan")</f>
        <v>nan</v>
      </c>
      <c r="L497" s="17">
        <f ca="1">IFERROR(__xludf.DUMMYFUNCTION("""COMPUTED_VALUE"""),0.24106090519766)</f>
        <v>0.24106090519765999</v>
      </c>
      <c r="M497" s="17">
        <f ca="1">IFERROR(__xludf.DUMMYFUNCTION("""COMPUTED_VALUE"""),0.290963995426802)</f>
        <v>0.29096399542680201</v>
      </c>
      <c r="N497" s="17">
        <f ca="1">IFERROR(__xludf.DUMMYFUNCTION("""COMPUTED_VALUE"""),0.342766025567431)</f>
        <v>0.34276602556743102</v>
      </c>
      <c r="O497" s="17">
        <f ca="1">IFERROR(__xludf.DUMMYFUNCTION("""COMPUTED_VALUE"""),0.257622028626232)</f>
        <v>0.25762202862623201</v>
      </c>
      <c r="P497" s="17">
        <f ca="1">IFERROR(__xludf.DUMMYFUNCTION("""COMPUTED_VALUE"""),0.522297804652357)</f>
        <v>0.52229780465235698</v>
      </c>
      <c r="Q497" s="17">
        <f ca="1">IFERROR(__xludf.DUMMYFUNCTION("""COMPUTED_VALUE"""),0.431556073495832)</f>
        <v>0.43155607349583203</v>
      </c>
      <c r="R497" s="17">
        <f ca="1">IFERROR(__xludf.DUMMYFUNCTION("""COMPUTED_VALUE"""),0.252804868686821)</f>
        <v>0.252804868686821</v>
      </c>
      <c r="S497" s="17">
        <f ca="1">IFERROR(__xludf.DUMMYFUNCTION("""COMPUTED_VALUE"""),0.215821625103798)</f>
        <v>0.21582162510379799</v>
      </c>
      <c r="T497" s="17">
        <f ca="1">IFERROR(__xludf.DUMMYFUNCTION("""COMPUTED_VALUE"""),0.244238642153398)</f>
        <v>0.24423864215339799</v>
      </c>
      <c r="U497" s="17">
        <f ca="1">IFERROR(__xludf.DUMMYFUNCTION("""COMPUTED_VALUE"""),0.250778640920392)</f>
        <v>0.25077864092039198</v>
      </c>
      <c r="V497" s="17">
        <f ca="1">IFERROR(__xludf.DUMMYFUNCTION("""COMPUTED_VALUE"""),0.125338905089241)</f>
        <v>0.125338905089241</v>
      </c>
      <c r="W497" s="17">
        <f ca="1">IFERROR(__xludf.DUMMYFUNCTION("""COMPUTED_VALUE"""),0.478601267271853)</f>
        <v>0.47860126727185298</v>
      </c>
      <c r="X497" s="17">
        <f ca="1">IFERROR(__xludf.DUMMYFUNCTION("""COMPUTED_VALUE"""),0.424628679664994)</f>
        <v>0.42462867966499401</v>
      </c>
      <c r="Y497" s="17">
        <f ca="1">IFERROR(__xludf.DUMMYFUNCTION("""COMPUTED_VALUE"""),0.303451627719792)</f>
        <v>0.30345162771979201</v>
      </c>
      <c r="Z497" s="17">
        <f ca="1">IFERROR(__xludf.DUMMYFUNCTION("""COMPUTED_VALUE"""),0.151884541832352)</f>
        <v>0.151884541832352</v>
      </c>
      <c r="AA497" s="17">
        <f ca="1">IFERROR(__xludf.DUMMYFUNCTION("""COMPUTED_VALUE"""),1.2066831328492)</f>
        <v>1.2066831328492</v>
      </c>
      <c r="AB497" s="17">
        <f ca="1">IFERROR(__xludf.DUMMYFUNCTION("""COMPUTED_VALUE"""),0.287762190036084)</f>
        <v>0.287762190036084</v>
      </c>
      <c r="AC497" s="17">
        <f ca="1">IFERROR(__xludf.DUMMYFUNCTION("""COMPUTED_VALUE"""),0.661725903616488)</f>
        <v>0.66172590361648798</v>
      </c>
      <c r="AD497" s="17">
        <f ca="1">IFERROR(__xludf.DUMMYFUNCTION("""COMPUTED_VALUE"""),0.44977841368007)</f>
        <v>0.44977841368006999</v>
      </c>
      <c r="AE497" s="17">
        <f ca="1">IFERROR(__xludf.DUMMYFUNCTION("""COMPUTED_VALUE"""),1.18266921433751)</f>
        <v>1.1826692143375099</v>
      </c>
      <c r="AF497" s="17">
        <f ca="1">IFERROR(__xludf.DUMMYFUNCTION("""COMPUTED_VALUE"""),0.239752427859072)</f>
        <v>0.239752427859072</v>
      </c>
      <c r="AG497" s="17">
        <f ca="1">IFERROR(__xludf.DUMMYFUNCTION("""COMPUTED_VALUE"""),0.322827657739513)</f>
        <v>0.322827657739513</v>
      </c>
      <c r="AH497" s="17">
        <f ca="1">IFERROR(__xludf.DUMMYFUNCTION("""COMPUTED_VALUE"""),0.291273090612059)</f>
        <v>0.29127309061205903</v>
      </c>
      <c r="AI497" s="17">
        <f ca="1">IFERROR(__xludf.DUMMYFUNCTION("""COMPUTED_VALUE"""),0.269298988765679)</f>
        <v>0.26929898876567898</v>
      </c>
      <c r="AJ497" s="17">
        <f ca="1">IFERROR(__xludf.DUMMYFUNCTION("""COMPUTED_VALUE"""),0.231661442410469)</f>
        <v>0.23166144241046899</v>
      </c>
    </row>
    <row r="498" spans="2:36" ht="15.75" customHeight="1" x14ac:dyDescent="0.45">
      <c r="B498" s="10" t="str">
        <f ca="1">IFERROR(__xludf.DUMMYFUNCTION("""COMPUTED_VALUE"""),"Lightning2")</f>
        <v>Lightning2</v>
      </c>
      <c r="C498" s="10" t="str">
        <f ca="1">IFERROR(__xludf.DUMMYFUNCTION("""COMPUTED_VALUE"""),"aligned_series")</f>
        <v>aligned_series</v>
      </c>
      <c r="D498" s="10">
        <f ca="1">IFERROR(__xludf.DUMMYFUNCTION("""COMPUTED_VALUE"""),0.2)</f>
        <v>0.2</v>
      </c>
      <c r="E498" s="17">
        <f ca="1">IFERROR(__xludf.DUMMYFUNCTION("""COMPUTED_VALUE"""),0.676839515511056)</f>
        <v>0.67683951551105603</v>
      </c>
      <c r="F498" s="17">
        <f ca="1">IFERROR(__xludf.DUMMYFUNCTION("""COMPUTED_VALUE"""),0.347394860216236)</f>
        <v>0.347394860216236</v>
      </c>
      <c r="G498" s="17">
        <f ca="1">IFERROR(__xludf.DUMMYFUNCTION("""COMPUTED_VALUE"""),0.342814937572367)</f>
        <v>0.34281493757236697</v>
      </c>
      <c r="H498" s="17">
        <f ca="1">IFERROR(__xludf.DUMMYFUNCTION("""COMPUTED_VALUE"""),0.346228526632914)</f>
        <v>0.34622852663291398</v>
      </c>
      <c r="I498" s="17">
        <f ca="1">IFERROR(__xludf.DUMMYFUNCTION("""COMPUTED_VALUE"""),0.35497456761798)</f>
        <v>0.35497456761798002</v>
      </c>
      <c r="J498" s="17">
        <f ca="1">IFERROR(__xludf.DUMMYFUNCTION("""COMPUTED_VALUE"""),0.259177852374898)</f>
        <v>0.25917785237489799</v>
      </c>
      <c r="K498" s="17" t="str">
        <f ca="1">IFERROR(__xludf.DUMMYFUNCTION("""COMPUTED_VALUE"""),"nan")</f>
        <v>nan</v>
      </c>
      <c r="L498" s="17">
        <f ca="1">IFERROR(__xludf.DUMMYFUNCTION("""COMPUTED_VALUE"""),0.428061512561836)</f>
        <v>0.428061512561836</v>
      </c>
      <c r="M498" s="17">
        <f ca="1">IFERROR(__xludf.DUMMYFUNCTION("""COMPUTED_VALUE"""),0.382811233925594)</f>
        <v>0.38281123392559402</v>
      </c>
      <c r="N498" s="17">
        <f ca="1">IFERROR(__xludf.DUMMYFUNCTION("""COMPUTED_VALUE"""),0.31267202562553)</f>
        <v>0.31267202562552998</v>
      </c>
      <c r="O498" s="17">
        <f ca="1">IFERROR(__xludf.DUMMYFUNCTION("""COMPUTED_VALUE"""),0.349569969474156)</f>
        <v>0.34956996947415597</v>
      </c>
      <c r="P498" s="17">
        <f ca="1">IFERROR(__xludf.DUMMYFUNCTION("""COMPUTED_VALUE"""),0.558326428545961)</f>
        <v>0.55832642854596104</v>
      </c>
      <c r="Q498" s="17">
        <f ca="1">IFERROR(__xludf.DUMMYFUNCTION("""COMPUTED_VALUE"""),0.30885682790059)</f>
        <v>0.30885682790058999</v>
      </c>
      <c r="R498" s="17">
        <f ca="1">IFERROR(__xludf.DUMMYFUNCTION("""COMPUTED_VALUE"""),0.385279467859334)</f>
        <v>0.38527946785933398</v>
      </c>
      <c r="S498" s="17">
        <f ca="1">IFERROR(__xludf.DUMMYFUNCTION("""COMPUTED_VALUE"""),0.239906098772627)</f>
        <v>0.239906098772627</v>
      </c>
      <c r="T498" s="17">
        <f ca="1">IFERROR(__xludf.DUMMYFUNCTION("""COMPUTED_VALUE"""),0.26608999039215)</f>
        <v>0.26608999039214998</v>
      </c>
      <c r="U498" s="17">
        <f ca="1">IFERROR(__xludf.DUMMYFUNCTION("""COMPUTED_VALUE"""),0.251266179858695)</f>
        <v>0.25126617985869498</v>
      </c>
      <c r="V498" s="17">
        <f ca="1">IFERROR(__xludf.DUMMYFUNCTION("""COMPUTED_VALUE"""),0.245243727520997)</f>
        <v>0.24524372752099699</v>
      </c>
      <c r="W498" s="17">
        <f ca="1">IFERROR(__xludf.DUMMYFUNCTION("""COMPUTED_VALUE"""),0.401997403035013)</f>
        <v>0.40199740303501302</v>
      </c>
      <c r="X498" s="17">
        <f ca="1">IFERROR(__xludf.DUMMYFUNCTION("""COMPUTED_VALUE"""),0.419547598221436)</f>
        <v>0.419547598221436</v>
      </c>
      <c r="Y498" s="17">
        <f ca="1">IFERROR(__xludf.DUMMYFUNCTION("""COMPUTED_VALUE"""),0.292503725706087)</f>
        <v>0.29250372570608701</v>
      </c>
      <c r="Z498" s="17">
        <f ca="1">IFERROR(__xludf.DUMMYFUNCTION("""COMPUTED_VALUE"""),0.230112747129862)</f>
        <v>0.23011274712986199</v>
      </c>
      <c r="AA498" s="17">
        <f ca="1">IFERROR(__xludf.DUMMYFUNCTION("""COMPUTED_VALUE"""),0.289364689698423)</f>
        <v>0.28936468969842299</v>
      </c>
      <c r="AB498" s="17">
        <f ca="1">IFERROR(__xludf.DUMMYFUNCTION("""COMPUTED_VALUE"""),0.410697395580848)</f>
        <v>0.410697395580848</v>
      </c>
      <c r="AC498" s="17">
        <f ca="1">IFERROR(__xludf.DUMMYFUNCTION("""COMPUTED_VALUE"""),0.483372936873488)</f>
        <v>0.48337293687348798</v>
      </c>
      <c r="AD498" s="17">
        <f ca="1">IFERROR(__xludf.DUMMYFUNCTION("""COMPUTED_VALUE"""),0.37548782869757)</f>
        <v>0.37548782869757003</v>
      </c>
      <c r="AE498" s="17">
        <f ca="1">IFERROR(__xludf.DUMMYFUNCTION("""COMPUTED_VALUE"""),1.09950680719337)</f>
        <v>1.09950680719337</v>
      </c>
      <c r="AF498" s="17">
        <f ca="1">IFERROR(__xludf.DUMMYFUNCTION("""COMPUTED_VALUE"""),0.290276926918813)</f>
        <v>0.29027692691881302</v>
      </c>
      <c r="AG498" s="17">
        <f ca="1">IFERROR(__xludf.DUMMYFUNCTION("""COMPUTED_VALUE"""),0.371948615326188)</f>
        <v>0.371948615326188</v>
      </c>
      <c r="AH498" s="17">
        <f ca="1">IFERROR(__xludf.DUMMYFUNCTION("""COMPUTED_VALUE"""),0.347583421037988)</f>
        <v>0.34758342103798801</v>
      </c>
      <c r="AI498" s="17">
        <f ca="1">IFERROR(__xludf.DUMMYFUNCTION("""COMPUTED_VALUE"""),0.32875967367393)</f>
        <v>0.32875967367393</v>
      </c>
      <c r="AJ498" s="17">
        <f ca="1">IFERROR(__xludf.DUMMYFUNCTION("""COMPUTED_VALUE"""),0.318204869621735)</f>
        <v>0.318204869621735</v>
      </c>
    </row>
    <row r="499" spans="2:36" ht="15.75" customHeight="1" x14ac:dyDescent="0.45">
      <c r="B499" s="10" t="str">
        <f ca="1">IFERROR(__xludf.DUMMYFUNCTION("""COMPUTED_VALUE"""),"Lightning2")</f>
        <v>Lightning2</v>
      </c>
      <c r="C499" s="10" t="str">
        <f ca="1">IFERROR(__xludf.DUMMYFUNCTION("""COMPUTED_VALUE"""),"aligned_series")</f>
        <v>aligned_series</v>
      </c>
      <c r="D499" s="10">
        <f ca="1">IFERROR(__xludf.DUMMYFUNCTION("""COMPUTED_VALUE"""),0.4)</f>
        <v>0.4</v>
      </c>
      <c r="E499" s="17">
        <f ca="1">IFERROR(__xludf.DUMMYFUNCTION("""COMPUTED_VALUE"""),0.654006294454818)</f>
        <v>0.65400629445481795</v>
      </c>
      <c r="F499" s="17">
        <f ca="1">IFERROR(__xludf.DUMMYFUNCTION("""COMPUTED_VALUE"""),0.297423507356101)</f>
        <v>0.29742350735610101</v>
      </c>
      <c r="G499" s="17">
        <f ca="1">IFERROR(__xludf.DUMMYFUNCTION("""COMPUTED_VALUE"""),0.29608701488503)</f>
        <v>0.29608701488502998</v>
      </c>
      <c r="H499" s="17">
        <f ca="1">IFERROR(__xludf.DUMMYFUNCTION("""COMPUTED_VALUE"""),0.309925380832407)</f>
        <v>0.309925380832407</v>
      </c>
      <c r="I499" s="17">
        <f ca="1">IFERROR(__xludf.DUMMYFUNCTION("""COMPUTED_VALUE"""),0.370223205285257)</f>
        <v>0.37022320528525698</v>
      </c>
      <c r="J499" s="17">
        <f ca="1">IFERROR(__xludf.DUMMYFUNCTION("""COMPUTED_VALUE"""),0.252608946678558)</f>
        <v>0.25260894667855799</v>
      </c>
      <c r="K499" s="17" t="str">
        <f ca="1">IFERROR(__xludf.DUMMYFUNCTION("""COMPUTED_VALUE"""),"nan")</f>
        <v>nan</v>
      </c>
      <c r="L499" s="17">
        <f ca="1">IFERROR(__xludf.DUMMYFUNCTION("""COMPUTED_VALUE"""),0.287030533637494)</f>
        <v>0.28703053363749398</v>
      </c>
      <c r="M499" s="17">
        <f ca="1">IFERROR(__xludf.DUMMYFUNCTION("""COMPUTED_VALUE"""),0.319852938120022)</f>
        <v>0.31985293812002202</v>
      </c>
      <c r="N499" s="17">
        <f ca="1">IFERROR(__xludf.DUMMYFUNCTION("""COMPUTED_VALUE"""),0.283672035642729)</f>
        <v>0.28367203564272903</v>
      </c>
      <c r="O499" s="17">
        <f ca="1">IFERROR(__xludf.DUMMYFUNCTION("""COMPUTED_VALUE"""),0.284330894159208)</f>
        <v>0.28433089415920798</v>
      </c>
      <c r="P499" s="17">
        <f ca="1">IFERROR(__xludf.DUMMYFUNCTION("""COMPUTED_VALUE"""),1.04635541336713)</f>
        <v>1.04635541336713</v>
      </c>
      <c r="Q499" s="17">
        <f ca="1">IFERROR(__xludf.DUMMYFUNCTION("""COMPUTED_VALUE"""),0.353106728195552)</f>
        <v>0.353106728195552</v>
      </c>
      <c r="R499" s="17">
        <f ca="1">IFERROR(__xludf.DUMMYFUNCTION("""COMPUTED_VALUE"""),0.500566908992168)</f>
        <v>0.50056690899216805</v>
      </c>
      <c r="S499" s="17">
        <f ca="1">IFERROR(__xludf.DUMMYFUNCTION("""COMPUTED_VALUE"""),0.464315651107425)</f>
        <v>0.46431565110742501</v>
      </c>
      <c r="T499" s="17">
        <f ca="1">IFERROR(__xludf.DUMMYFUNCTION("""COMPUTED_VALUE"""),0.286086881650178)</f>
        <v>0.28608688165017798</v>
      </c>
      <c r="U499" s="17">
        <f ca="1">IFERROR(__xludf.DUMMYFUNCTION("""COMPUTED_VALUE"""),0.392756206312443)</f>
        <v>0.39275620631244301</v>
      </c>
      <c r="V499" s="17">
        <f ca="1">IFERROR(__xludf.DUMMYFUNCTION("""COMPUTED_VALUE"""),0.233207455957109)</f>
        <v>0.23320745595710901</v>
      </c>
      <c r="W499" s="17">
        <f ca="1">IFERROR(__xludf.DUMMYFUNCTION("""COMPUTED_VALUE"""),0.390807625173093)</f>
        <v>0.39080762517309298</v>
      </c>
      <c r="X499" s="17">
        <f ca="1">IFERROR(__xludf.DUMMYFUNCTION("""COMPUTED_VALUE"""),0.365287914121239)</f>
        <v>0.36528791412123901</v>
      </c>
      <c r="Y499" s="17">
        <f ca="1">IFERROR(__xludf.DUMMYFUNCTION("""COMPUTED_VALUE"""),0.242681377505082)</f>
        <v>0.24268137750508201</v>
      </c>
      <c r="Z499" s="17">
        <f ca="1">IFERROR(__xludf.DUMMYFUNCTION("""COMPUTED_VALUE"""),0.190034093294619)</f>
        <v>0.19003409329461901</v>
      </c>
      <c r="AA499" s="17">
        <f ca="1">IFERROR(__xludf.DUMMYFUNCTION("""COMPUTED_VALUE"""),0.278565630735292)</f>
        <v>0.278565630735292</v>
      </c>
      <c r="AB499" s="17">
        <f ca="1">IFERROR(__xludf.DUMMYFUNCTION("""COMPUTED_VALUE"""),3.44867245237825)</f>
        <v>3.4486724523782502</v>
      </c>
      <c r="AC499" s="17">
        <f ca="1">IFERROR(__xludf.DUMMYFUNCTION("""COMPUTED_VALUE"""),0.454542780731192)</f>
        <v>0.45454278073119198</v>
      </c>
      <c r="AD499" s="17">
        <f ca="1">IFERROR(__xludf.DUMMYFUNCTION("""COMPUTED_VALUE"""),0.339008649851634)</f>
        <v>0.33900864985163398</v>
      </c>
      <c r="AE499" s="17">
        <f ca="1">IFERROR(__xludf.DUMMYFUNCTION("""COMPUTED_VALUE"""),1.01535864693659)</f>
        <v>1.0153586469365901</v>
      </c>
      <c r="AF499" s="17">
        <f ca="1">IFERROR(__xludf.DUMMYFUNCTION("""COMPUTED_VALUE"""),0.269796263733681)</f>
        <v>0.26979626373368099</v>
      </c>
      <c r="AG499" s="17">
        <f ca="1">IFERROR(__xludf.DUMMYFUNCTION("""COMPUTED_VALUE"""),0.29987888750681)</f>
        <v>0.29987888750681002</v>
      </c>
      <c r="AH499" s="17">
        <f ca="1">IFERROR(__xludf.DUMMYFUNCTION("""COMPUTED_VALUE"""),0.292470568766745)</f>
        <v>0.29247056876674499</v>
      </c>
      <c r="AI499" s="17">
        <f ca="1">IFERROR(__xludf.DUMMYFUNCTION("""COMPUTED_VALUE"""),0.277395611324552)</f>
        <v>0.27739561132455198</v>
      </c>
      <c r="AJ499" s="17">
        <f ca="1">IFERROR(__xludf.DUMMYFUNCTION("""COMPUTED_VALUE"""),0.265256528987424)</f>
        <v>0.26525652898742402</v>
      </c>
    </row>
    <row r="500" spans="2:36" ht="15.75" customHeight="1" x14ac:dyDescent="0.45">
      <c r="B500" s="10" t="str">
        <f ca="1">IFERROR(__xludf.DUMMYFUNCTION("""COMPUTED_VALUE"""),"Lightning2")</f>
        <v>Lightning2</v>
      </c>
      <c r="C500" s="10" t="str">
        <f ca="1">IFERROR(__xludf.DUMMYFUNCTION("""COMPUTED_VALUE"""),"aligned_series")</f>
        <v>aligned_series</v>
      </c>
      <c r="D500" s="10">
        <f ca="1">IFERROR(__xludf.DUMMYFUNCTION("""COMPUTED_VALUE"""),0.6)</f>
        <v>0.6</v>
      </c>
      <c r="E500" s="17">
        <f ca="1">IFERROR(__xludf.DUMMYFUNCTION("""COMPUTED_VALUE"""),0.673319526584576)</f>
        <v>0.67331952658457594</v>
      </c>
      <c r="F500" s="17">
        <f ca="1">IFERROR(__xludf.DUMMYFUNCTION("""COMPUTED_VALUE"""),0.279605826191073)</f>
        <v>0.27960582619107299</v>
      </c>
      <c r="G500" s="17">
        <f ca="1">IFERROR(__xludf.DUMMYFUNCTION("""COMPUTED_VALUE"""),0.282224923969743)</f>
        <v>0.28222492396974302</v>
      </c>
      <c r="H500" s="17">
        <f ca="1">IFERROR(__xludf.DUMMYFUNCTION("""COMPUTED_VALUE"""),0.297552058940291)</f>
        <v>0.29755205894029102</v>
      </c>
      <c r="I500" s="17">
        <f ca="1">IFERROR(__xludf.DUMMYFUNCTION("""COMPUTED_VALUE"""),0.355988923507366)</f>
        <v>0.355988923507366</v>
      </c>
      <c r="J500" s="17">
        <f ca="1">IFERROR(__xludf.DUMMYFUNCTION("""COMPUTED_VALUE"""),0.283385356396767)</f>
        <v>0.28338535639676699</v>
      </c>
      <c r="K500" s="17" t="str">
        <f ca="1">IFERROR(__xludf.DUMMYFUNCTION("""COMPUTED_VALUE"""),"nan")</f>
        <v>nan</v>
      </c>
      <c r="L500" s="17">
        <f ca="1">IFERROR(__xludf.DUMMYFUNCTION("""COMPUTED_VALUE"""),0.288818814553561)</f>
        <v>0.28881881455356101</v>
      </c>
      <c r="M500" s="17">
        <f ca="1">IFERROR(__xludf.DUMMYFUNCTION("""COMPUTED_VALUE"""),0.285533673025508)</f>
        <v>0.28553367302550797</v>
      </c>
      <c r="N500" s="17">
        <f ca="1">IFERROR(__xludf.DUMMYFUNCTION("""COMPUTED_VALUE"""),0.276893567094017)</f>
        <v>0.27689356709401702</v>
      </c>
      <c r="O500" s="17">
        <f ca="1">IFERROR(__xludf.DUMMYFUNCTION("""COMPUTED_VALUE"""),0.257527192066928)</f>
        <v>0.25752719206692798</v>
      </c>
      <c r="P500" s="17">
        <f ca="1">IFERROR(__xludf.DUMMYFUNCTION("""COMPUTED_VALUE"""),1.33974917320817)</f>
        <v>1.3397491732081701</v>
      </c>
      <c r="Q500" s="17">
        <f ca="1">IFERROR(__xludf.DUMMYFUNCTION("""COMPUTED_VALUE"""),0.372641629957526)</f>
        <v>0.37264162995752598</v>
      </c>
      <c r="R500" s="17">
        <f ca="1">IFERROR(__xludf.DUMMYFUNCTION("""COMPUTED_VALUE"""),0.491782170561899)</f>
        <v>0.49178217056189899</v>
      </c>
      <c r="S500" s="17">
        <f ca="1">IFERROR(__xludf.DUMMYFUNCTION("""COMPUTED_VALUE"""),0.43773342007939)</f>
        <v>0.43773342007938998</v>
      </c>
      <c r="T500" s="17">
        <f ca="1">IFERROR(__xludf.DUMMYFUNCTION("""COMPUTED_VALUE"""),0.228615691109402)</f>
        <v>0.228615691109402</v>
      </c>
      <c r="U500" s="17">
        <f ca="1">IFERROR(__xludf.DUMMYFUNCTION("""COMPUTED_VALUE"""),0.251019664818539)</f>
        <v>0.25101966481853899</v>
      </c>
      <c r="V500" s="17">
        <f ca="1">IFERROR(__xludf.DUMMYFUNCTION("""COMPUTED_VALUE"""),0.272696206891643)</f>
        <v>0.27269620689164298</v>
      </c>
      <c r="W500" s="17">
        <f ca="1">IFERROR(__xludf.DUMMYFUNCTION("""COMPUTED_VALUE"""),0.337635115907611)</f>
        <v>0.33763511590761103</v>
      </c>
      <c r="X500" s="17">
        <f ca="1">IFERROR(__xludf.DUMMYFUNCTION("""COMPUTED_VALUE"""),0.363930477396625)</f>
        <v>0.36393047739662499</v>
      </c>
      <c r="Y500" s="17">
        <f ca="1">IFERROR(__xludf.DUMMYFUNCTION("""COMPUTED_VALUE"""),0.262101304281922)</f>
        <v>0.26210130428192202</v>
      </c>
      <c r="Z500" s="17">
        <f ca="1">IFERROR(__xludf.DUMMYFUNCTION("""COMPUTED_VALUE"""),0.171744676856877)</f>
        <v>0.171744676856877</v>
      </c>
      <c r="AA500" s="17">
        <f ca="1">IFERROR(__xludf.DUMMYFUNCTION("""COMPUTED_VALUE"""),0.236348801469978)</f>
        <v>0.236348801469978</v>
      </c>
      <c r="AB500" s="17">
        <f ca="1">IFERROR(__xludf.DUMMYFUNCTION("""COMPUTED_VALUE"""),0.398431313388706)</f>
        <v>0.39843131338870602</v>
      </c>
      <c r="AC500" s="17">
        <f ca="1">IFERROR(__xludf.DUMMYFUNCTION("""COMPUTED_VALUE"""),0.451575469464211)</f>
        <v>0.45157546946421101</v>
      </c>
      <c r="AD500" s="17">
        <f ca="1">IFERROR(__xludf.DUMMYFUNCTION("""COMPUTED_VALUE"""),0.264420247460894)</f>
        <v>0.26442024746089399</v>
      </c>
      <c r="AE500" s="17">
        <f ca="1">IFERROR(__xludf.DUMMYFUNCTION("""COMPUTED_VALUE"""),0.988248120764636)</f>
        <v>0.98824812076463597</v>
      </c>
      <c r="AF500" s="17">
        <f ca="1">IFERROR(__xludf.DUMMYFUNCTION("""COMPUTED_VALUE"""),0.21512362827006)</f>
        <v>0.21512362827006001</v>
      </c>
      <c r="AG500" s="17">
        <f ca="1">IFERROR(__xludf.DUMMYFUNCTION("""COMPUTED_VALUE"""),0.271643354580546)</f>
        <v>0.271643354580546</v>
      </c>
      <c r="AH500" s="17">
        <f ca="1">IFERROR(__xludf.DUMMYFUNCTION("""COMPUTED_VALUE"""),0.271600778962266)</f>
        <v>0.27160077896226598</v>
      </c>
      <c r="AI500" s="17">
        <f ca="1">IFERROR(__xludf.DUMMYFUNCTION("""COMPUTED_VALUE"""),0.251335402515023)</f>
        <v>0.25133540251502301</v>
      </c>
      <c r="AJ500" s="17">
        <f ca="1">IFERROR(__xludf.DUMMYFUNCTION("""COMPUTED_VALUE"""),0.239290552343862)</f>
        <v>0.23929055234386201</v>
      </c>
    </row>
    <row r="501" spans="2:36" ht="15.75" customHeight="1" x14ac:dyDescent="0.45">
      <c r="B501" s="10" t="str">
        <f ca="1">IFERROR(__xludf.DUMMYFUNCTION("""COMPUTED_VALUE"""),"Lightning2")</f>
        <v>Lightning2</v>
      </c>
      <c r="C501" s="10" t="str">
        <f ca="1">IFERROR(__xludf.DUMMYFUNCTION("""COMPUTED_VALUE"""),"aligned_series")</f>
        <v>aligned_series</v>
      </c>
      <c r="D501" s="10">
        <f ca="1">IFERROR(__xludf.DUMMYFUNCTION("""COMPUTED_VALUE"""),0.8)</f>
        <v>0.8</v>
      </c>
      <c r="E501" s="17">
        <f ca="1">IFERROR(__xludf.DUMMYFUNCTION("""COMPUTED_VALUE"""),0.717108187521754)</f>
        <v>0.71710818752175398</v>
      </c>
      <c r="F501" s="17">
        <f ca="1">IFERROR(__xludf.DUMMYFUNCTION("""COMPUTED_VALUE"""),0.300198017920906)</f>
        <v>0.300198017920906</v>
      </c>
      <c r="G501" s="17">
        <f ca="1">IFERROR(__xludf.DUMMYFUNCTION("""COMPUTED_VALUE"""),0.342096083642138)</f>
        <v>0.342096083642138</v>
      </c>
      <c r="H501" s="17">
        <f ca="1">IFERROR(__xludf.DUMMYFUNCTION("""COMPUTED_VALUE"""),0.321481855963205)</f>
        <v>0.321481855963205</v>
      </c>
      <c r="I501" s="17">
        <f ca="1">IFERROR(__xludf.DUMMYFUNCTION("""COMPUTED_VALUE"""),0.403614788871438)</f>
        <v>0.40361478887143798</v>
      </c>
      <c r="J501" s="17">
        <f ca="1">IFERROR(__xludf.DUMMYFUNCTION("""COMPUTED_VALUE"""),0.303885803596807)</f>
        <v>0.303885803596807</v>
      </c>
      <c r="K501" s="17" t="str">
        <f ca="1">IFERROR(__xludf.DUMMYFUNCTION("""COMPUTED_VALUE"""),"nan")</f>
        <v>nan</v>
      </c>
      <c r="L501" s="17">
        <f ca="1">IFERROR(__xludf.DUMMYFUNCTION("""COMPUTED_VALUE"""),0.387119815010297)</f>
        <v>0.38711981501029702</v>
      </c>
      <c r="M501" s="17">
        <f ca="1">IFERROR(__xludf.DUMMYFUNCTION("""COMPUTED_VALUE"""),0.297817389983069)</f>
        <v>0.297817389983069</v>
      </c>
      <c r="N501" s="17">
        <f ca="1">IFERROR(__xludf.DUMMYFUNCTION("""COMPUTED_VALUE"""),0.264544675036742)</f>
        <v>0.26454467503674201</v>
      </c>
      <c r="O501" s="17">
        <f ca="1">IFERROR(__xludf.DUMMYFUNCTION("""COMPUTED_VALUE"""),0.293159602772205)</f>
        <v>0.29315960277220499</v>
      </c>
      <c r="P501" s="17">
        <f ca="1">IFERROR(__xludf.DUMMYFUNCTION("""COMPUTED_VALUE"""),1.59683294359606)</f>
        <v>1.59683294359606</v>
      </c>
      <c r="Q501" s="17">
        <f ca="1">IFERROR(__xludf.DUMMYFUNCTION("""COMPUTED_VALUE"""),0.447398062074733)</f>
        <v>0.44739806207473298</v>
      </c>
      <c r="R501" s="17">
        <f ca="1">IFERROR(__xludf.DUMMYFUNCTION("""COMPUTED_VALUE"""),0.604837136409675)</f>
        <v>0.60483713640967496</v>
      </c>
      <c r="S501" s="17">
        <f ca="1">IFERROR(__xludf.DUMMYFUNCTION("""COMPUTED_VALUE"""),0.460223088728456)</f>
        <v>0.46022308872845602</v>
      </c>
      <c r="T501" s="17">
        <f ca="1">IFERROR(__xludf.DUMMYFUNCTION("""COMPUTED_VALUE"""),0.303192130286433)</f>
        <v>0.30319213028643299</v>
      </c>
      <c r="U501" s="17">
        <f ca="1">IFERROR(__xludf.DUMMYFUNCTION("""COMPUTED_VALUE"""),0.242132399274532)</f>
        <v>0.24213239927453201</v>
      </c>
      <c r="V501" s="17">
        <f ca="1">IFERROR(__xludf.DUMMYFUNCTION("""COMPUTED_VALUE"""),0.268925919235763)</f>
        <v>0.26892591923576298</v>
      </c>
      <c r="W501" s="17">
        <f ca="1">IFERROR(__xludf.DUMMYFUNCTION("""COMPUTED_VALUE"""),0.307581658853354)</f>
        <v>0.30758165885335398</v>
      </c>
      <c r="X501" s="17">
        <f ca="1">IFERROR(__xludf.DUMMYFUNCTION("""COMPUTED_VALUE"""),0.365652689064907)</f>
        <v>0.365652689064907</v>
      </c>
      <c r="Y501" s="17">
        <f ca="1">IFERROR(__xludf.DUMMYFUNCTION("""COMPUTED_VALUE"""),0.25238877006914)</f>
        <v>0.25238877006914001</v>
      </c>
      <c r="Z501" s="17">
        <f ca="1">IFERROR(__xludf.DUMMYFUNCTION("""COMPUTED_VALUE"""),0.171727753544212)</f>
        <v>0.17172775354421199</v>
      </c>
      <c r="AA501" s="17">
        <f ca="1">IFERROR(__xludf.DUMMYFUNCTION("""COMPUTED_VALUE"""),0.219527800841132)</f>
        <v>0.21952780084113199</v>
      </c>
      <c r="AB501" s="17">
        <f ca="1">IFERROR(__xludf.DUMMYFUNCTION("""COMPUTED_VALUE"""),3.26458905017284)</f>
        <v>3.2645890501728401</v>
      </c>
      <c r="AC501" s="17">
        <f ca="1">IFERROR(__xludf.DUMMYFUNCTION("""COMPUTED_VALUE"""),0.457234541353811)</f>
        <v>0.45723454135381097</v>
      </c>
      <c r="AD501" s="17">
        <f ca="1">IFERROR(__xludf.DUMMYFUNCTION("""COMPUTED_VALUE"""),0.329551860431121)</f>
        <v>0.329551860431121</v>
      </c>
      <c r="AE501" s="17">
        <f ca="1">IFERROR(__xludf.DUMMYFUNCTION("""COMPUTED_VALUE"""),1.00781955499916)</f>
        <v>1.00781955499916</v>
      </c>
      <c r="AF501" s="17">
        <f ca="1">IFERROR(__xludf.DUMMYFUNCTION("""COMPUTED_VALUE"""),0.182051374846195)</f>
        <v>0.18205137484619499</v>
      </c>
      <c r="AG501" s="17">
        <f ca="1">IFERROR(__xludf.DUMMYFUNCTION("""COMPUTED_VALUE"""),0.250689868594853)</f>
        <v>0.25068986859485298</v>
      </c>
      <c r="AH501" s="17">
        <f ca="1">IFERROR(__xludf.DUMMYFUNCTION("""COMPUTED_VALUE"""),0.250482943945997)</f>
        <v>0.25048294394599702</v>
      </c>
      <c r="AI501" s="17">
        <f ca="1">IFERROR(__xludf.DUMMYFUNCTION("""COMPUTED_VALUE"""),0.233516531248021)</f>
        <v>0.23351653124802099</v>
      </c>
      <c r="AJ501" s="17">
        <f ca="1">IFERROR(__xludf.DUMMYFUNCTION("""COMPUTED_VALUE"""),0.230452120516856)</f>
        <v>0.23045212051685601</v>
      </c>
    </row>
    <row r="502" spans="2:36" ht="15.75" customHeight="1" x14ac:dyDescent="0.45">
      <c r="B502" s="10" t="str">
        <f ca="1">IFERROR(__xludf.DUMMYFUNCTION("""COMPUTED_VALUE"""),"Lightning2")</f>
        <v>Lightning2</v>
      </c>
      <c r="C502" s="10" t="str">
        <f ca="1">IFERROR(__xludf.DUMMYFUNCTION("""COMPUTED_VALUE"""),"aligned_timestamps")</f>
        <v>aligned_timestamps</v>
      </c>
      <c r="D502" s="10">
        <f ca="1">IFERROR(__xludf.DUMMYFUNCTION("""COMPUTED_VALUE"""),0.1)</f>
        <v>0.1</v>
      </c>
      <c r="E502" s="17">
        <f ca="1">IFERROR(__xludf.DUMMYFUNCTION("""COMPUTED_VALUE"""),0.772545553405227)</f>
        <v>0.77254555340522701</v>
      </c>
      <c r="F502" s="17">
        <f ca="1">IFERROR(__xludf.DUMMYFUNCTION("""COMPUTED_VALUE"""),0.319769330149147)</f>
        <v>0.31976933014914699</v>
      </c>
      <c r="G502" s="17">
        <f ca="1">IFERROR(__xludf.DUMMYFUNCTION("""COMPUTED_VALUE"""),0.311464351505367)</f>
        <v>0.311464351505367</v>
      </c>
      <c r="H502" s="17">
        <f ca="1">IFERROR(__xludf.DUMMYFUNCTION("""COMPUTED_VALUE"""),0.355342123928549)</f>
        <v>0.35534212392854903</v>
      </c>
      <c r="I502" s="17">
        <f ca="1">IFERROR(__xludf.DUMMYFUNCTION("""COMPUTED_VALUE"""),0.34743689340156)</f>
        <v>0.34743689340155998</v>
      </c>
      <c r="J502" s="17">
        <f ca="1">IFERROR(__xludf.DUMMYFUNCTION("""COMPUTED_VALUE"""),0.0673947439627287)</f>
        <v>6.7394743962728695E-2</v>
      </c>
      <c r="K502" s="17" t="str">
        <f ca="1">IFERROR(__xludf.DUMMYFUNCTION("""COMPUTED_VALUE"""),"nan")</f>
        <v>nan</v>
      </c>
      <c r="L502" s="17">
        <f ca="1">IFERROR(__xludf.DUMMYFUNCTION("""COMPUTED_VALUE"""),0.331605189184443)</f>
        <v>0.33160518918444298</v>
      </c>
      <c r="M502" s="17">
        <f ca="1">IFERROR(__xludf.DUMMYFUNCTION("""COMPUTED_VALUE"""),0.352185489259692)</f>
        <v>0.35218548925969201</v>
      </c>
      <c r="N502" s="17">
        <f ca="1">IFERROR(__xludf.DUMMYFUNCTION("""COMPUTED_VALUE"""),0.254110935529357)</f>
        <v>0.25411093552935698</v>
      </c>
      <c r="O502" s="17">
        <f ca="1">IFERROR(__xludf.DUMMYFUNCTION("""COMPUTED_VALUE"""),0.345209654224946)</f>
        <v>0.34520965422494598</v>
      </c>
      <c r="P502" s="17">
        <f ca="1">IFERROR(__xludf.DUMMYFUNCTION("""COMPUTED_VALUE"""),0.514083984108821)</f>
        <v>0.51408398410882095</v>
      </c>
      <c r="Q502" s="17">
        <f ca="1">IFERROR(__xludf.DUMMYFUNCTION("""COMPUTED_VALUE"""),0.219049917694713)</f>
        <v>0.21904991769471299</v>
      </c>
      <c r="R502" s="17">
        <f ca="1">IFERROR(__xludf.DUMMYFUNCTION("""COMPUTED_VALUE"""),0.317947500521099)</f>
        <v>0.31794750052109899</v>
      </c>
      <c r="S502" s="17">
        <f ca="1">IFERROR(__xludf.DUMMYFUNCTION("""COMPUTED_VALUE"""),0.21640815558578)</f>
        <v>0.21640815558578</v>
      </c>
      <c r="T502" s="17">
        <f ca="1">IFERROR(__xludf.DUMMYFUNCTION("""COMPUTED_VALUE"""),0.139188651840451)</f>
        <v>0.13918865184045101</v>
      </c>
      <c r="U502" s="17">
        <f ca="1">IFERROR(__xludf.DUMMYFUNCTION("""COMPUTED_VALUE"""),0.162920517534859)</f>
        <v>0.16292051753485901</v>
      </c>
      <c r="V502" s="17">
        <f ca="1">IFERROR(__xludf.DUMMYFUNCTION("""COMPUTED_VALUE"""),0.160788346771911)</f>
        <v>0.16078834677191101</v>
      </c>
      <c r="W502" s="17">
        <f ca="1">IFERROR(__xludf.DUMMYFUNCTION("""COMPUTED_VALUE"""),0.2751860897845)</f>
        <v>0.27518608978449999</v>
      </c>
      <c r="X502" s="17">
        <f ca="1">IFERROR(__xludf.DUMMYFUNCTION("""COMPUTED_VALUE"""),0.443083252457779)</f>
        <v>0.44308325245777902</v>
      </c>
      <c r="Y502" s="17">
        <f ca="1">IFERROR(__xludf.DUMMYFUNCTION("""COMPUTED_VALUE"""),0.133622049231318)</f>
        <v>0.13362204923131801</v>
      </c>
      <c r="Z502" s="17">
        <f ca="1">IFERROR(__xludf.DUMMYFUNCTION("""COMPUTED_VALUE"""),0.0285771821413039)</f>
        <v>2.8577182141303899E-2</v>
      </c>
      <c r="AA502" s="17">
        <f ca="1">IFERROR(__xludf.DUMMYFUNCTION("""COMPUTED_VALUE"""),0.186832349458594)</f>
        <v>0.186832349458594</v>
      </c>
      <c r="AB502" s="17">
        <f ca="1">IFERROR(__xludf.DUMMYFUNCTION("""COMPUTED_VALUE"""),0.553329265870808)</f>
        <v>0.553329265870808</v>
      </c>
      <c r="AC502" s="17">
        <f ca="1">IFERROR(__xludf.DUMMYFUNCTION("""COMPUTED_VALUE"""),0.252684751965455)</f>
        <v>0.25268475196545498</v>
      </c>
      <c r="AD502" s="17">
        <f ca="1">IFERROR(__xludf.DUMMYFUNCTION("""COMPUTED_VALUE"""),0.205172031861155)</f>
        <v>0.20517203186115501</v>
      </c>
      <c r="AE502" s="17">
        <f ca="1">IFERROR(__xludf.DUMMYFUNCTION("""COMPUTED_VALUE"""),1.03940365348599)</f>
        <v>1.0394036534859901</v>
      </c>
      <c r="AF502" s="17">
        <f ca="1">IFERROR(__xludf.DUMMYFUNCTION("""COMPUTED_VALUE"""),0.140802349631469)</f>
        <v>0.14080234963146901</v>
      </c>
      <c r="AG502" s="17">
        <f ca="1">IFERROR(__xludf.DUMMYFUNCTION("""COMPUTED_VALUE"""),0.157255863570936)</f>
        <v>0.15725586357093599</v>
      </c>
      <c r="AH502" s="17">
        <f ca="1">IFERROR(__xludf.DUMMYFUNCTION("""COMPUTED_VALUE"""),0.0789341525804501)</f>
        <v>7.8934152580450098E-2</v>
      </c>
      <c r="AI502" s="17">
        <f ca="1">IFERROR(__xludf.DUMMYFUNCTION("""COMPUTED_VALUE"""),0.110940708764091)</f>
        <v>0.110940708764091</v>
      </c>
      <c r="AJ502" s="17">
        <f ca="1">IFERROR(__xludf.DUMMYFUNCTION("""COMPUTED_VALUE"""),0.0979524103401779)</f>
        <v>9.7952410340177903E-2</v>
      </c>
    </row>
    <row r="503" spans="2:36" ht="15.75" customHeight="1" x14ac:dyDescent="0.45">
      <c r="B503" s="10" t="str">
        <f ca="1">IFERROR(__xludf.DUMMYFUNCTION("""COMPUTED_VALUE"""),"Lightning2")</f>
        <v>Lightning2</v>
      </c>
      <c r="C503" s="10" t="str">
        <f ca="1">IFERROR(__xludf.DUMMYFUNCTION("""COMPUTED_VALUE"""),"aligned_timestamps")</f>
        <v>aligned_timestamps</v>
      </c>
      <c r="D503" s="10">
        <f ca="1">IFERROR(__xludf.DUMMYFUNCTION("""COMPUTED_VALUE"""),0.2)</f>
        <v>0.2</v>
      </c>
      <c r="E503" s="17">
        <f ca="1">IFERROR(__xludf.DUMMYFUNCTION("""COMPUTED_VALUE"""),0.676839515511056)</f>
        <v>0.67683951551105603</v>
      </c>
      <c r="F503" s="17">
        <f ca="1">IFERROR(__xludf.DUMMYFUNCTION("""COMPUTED_VALUE"""),0.347394860216236)</f>
        <v>0.347394860216236</v>
      </c>
      <c r="G503" s="17">
        <f ca="1">IFERROR(__xludf.DUMMYFUNCTION("""COMPUTED_VALUE"""),0.342814937572367)</f>
        <v>0.34281493757236697</v>
      </c>
      <c r="H503" s="17">
        <f ca="1">IFERROR(__xludf.DUMMYFUNCTION("""COMPUTED_VALUE"""),0.346228526632914)</f>
        <v>0.34622852663291398</v>
      </c>
      <c r="I503" s="17">
        <f ca="1">IFERROR(__xludf.DUMMYFUNCTION("""COMPUTED_VALUE"""),0.35497456761798)</f>
        <v>0.35497456761798002</v>
      </c>
      <c r="J503" s="17">
        <f ca="1">IFERROR(__xludf.DUMMYFUNCTION("""COMPUTED_VALUE"""),0.259177852374898)</f>
        <v>0.25917785237489799</v>
      </c>
      <c r="K503" s="17" t="str">
        <f ca="1">IFERROR(__xludf.DUMMYFUNCTION("""COMPUTED_VALUE"""),"nan")</f>
        <v>nan</v>
      </c>
      <c r="L503" s="17">
        <f ca="1">IFERROR(__xludf.DUMMYFUNCTION("""COMPUTED_VALUE"""),0.428061512561836)</f>
        <v>0.428061512561836</v>
      </c>
      <c r="M503" s="17">
        <f ca="1">IFERROR(__xludf.DUMMYFUNCTION("""COMPUTED_VALUE"""),0.382811233925594)</f>
        <v>0.38281123392559402</v>
      </c>
      <c r="N503" s="17">
        <f ca="1">IFERROR(__xludf.DUMMYFUNCTION("""COMPUTED_VALUE"""),0.31267202562553)</f>
        <v>0.31267202562552998</v>
      </c>
      <c r="O503" s="17">
        <f ca="1">IFERROR(__xludf.DUMMYFUNCTION("""COMPUTED_VALUE"""),0.349569969474156)</f>
        <v>0.34956996947415597</v>
      </c>
      <c r="P503" s="17">
        <f ca="1">IFERROR(__xludf.DUMMYFUNCTION("""COMPUTED_VALUE"""),0.558326428545961)</f>
        <v>0.55832642854596104</v>
      </c>
      <c r="Q503" s="17">
        <f ca="1">IFERROR(__xludf.DUMMYFUNCTION("""COMPUTED_VALUE"""),0.30885682790059)</f>
        <v>0.30885682790058999</v>
      </c>
      <c r="R503" s="17">
        <f ca="1">IFERROR(__xludf.DUMMYFUNCTION("""COMPUTED_VALUE"""),0.385279467859334)</f>
        <v>0.38527946785933398</v>
      </c>
      <c r="S503" s="17">
        <f ca="1">IFERROR(__xludf.DUMMYFUNCTION("""COMPUTED_VALUE"""),0.239906098772627)</f>
        <v>0.239906098772627</v>
      </c>
      <c r="T503" s="17">
        <f ca="1">IFERROR(__xludf.DUMMYFUNCTION("""COMPUTED_VALUE"""),0.26608999039215)</f>
        <v>0.26608999039214998</v>
      </c>
      <c r="U503" s="17">
        <f ca="1">IFERROR(__xludf.DUMMYFUNCTION("""COMPUTED_VALUE"""),0.251266179858695)</f>
        <v>0.25126617985869498</v>
      </c>
      <c r="V503" s="17">
        <f ca="1">IFERROR(__xludf.DUMMYFUNCTION("""COMPUTED_VALUE"""),0.245243727520997)</f>
        <v>0.24524372752099699</v>
      </c>
      <c r="W503" s="17">
        <f ca="1">IFERROR(__xludf.DUMMYFUNCTION("""COMPUTED_VALUE"""),0.405213521741015)</f>
        <v>0.40521352174101499</v>
      </c>
      <c r="X503" s="17">
        <f ca="1">IFERROR(__xludf.DUMMYFUNCTION("""COMPUTED_VALUE"""),0.432525638068679)</f>
        <v>0.432525638068679</v>
      </c>
      <c r="Y503" s="17">
        <f ca="1">IFERROR(__xludf.DUMMYFUNCTION("""COMPUTED_VALUE"""),0.292503725706087)</f>
        <v>0.29250372570608701</v>
      </c>
      <c r="Z503" s="17">
        <f ca="1">IFERROR(__xludf.DUMMYFUNCTION("""COMPUTED_VALUE"""),0.230112747129862)</f>
        <v>0.23011274712986199</v>
      </c>
      <c r="AA503" s="17">
        <f ca="1">IFERROR(__xludf.DUMMYFUNCTION("""COMPUTED_VALUE"""),0.289364689698423)</f>
        <v>0.28936468969842299</v>
      </c>
      <c r="AB503" s="17">
        <f ca="1">IFERROR(__xludf.DUMMYFUNCTION("""COMPUTED_VALUE"""),0.912112698895037)</f>
        <v>0.91211269889503699</v>
      </c>
      <c r="AC503" s="17">
        <f ca="1">IFERROR(__xludf.DUMMYFUNCTION("""COMPUTED_VALUE"""),0.483372936873488)</f>
        <v>0.48337293687348798</v>
      </c>
      <c r="AD503" s="17">
        <f ca="1">IFERROR(__xludf.DUMMYFUNCTION("""COMPUTED_VALUE"""),0.455202587425692)</f>
        <v>0.45520258742569197</v>
      </c>
      <c r="AE503" s="17">
        <f ca="1">IFERROR(__xludf.DUMMYFUNCTION("""COMPUTED_VALUE"""),1.12482223152201)</f>
        <v>1.12482223152201</v>
      </c>
      <c r="AF503" s="17">
        <f ca="1">IFERROR(__xludf.DUMMYFUNCTION("""COMPUTED_VALUE"""),0.290276926918813)</f>
        <v>0.29027692691881302</v>
      </c>
      <c r="AG503" s="17">
        <f ca="1">IFERROR(__xludf.DUMMYFUNCTION("""COMPUTED_VALUE"""),0.358688977120704)</f>
        <v>0.35868897712070402</v>
      </c>
      <c r="AH503" s="17">
        <f ca="1">IFERROR(__xludf.DUMMYFUNCTION("""COMPUTED_VALUE"""),0.346324803480645)</f>
        <v>0.34632480348064498</v>
      </c>
      <c r="AI503" s="17">
        <f ca="1">IFERROR(__xludf.DUMMYFUNCTION("""COMPUTED_VALUE"""),0.32875967367393)</f>
        <v>0.32875967367393</v>
      </c>
      <c r="AJ503" s="17">
        <f ca="1">IFERROR(__xludf.DUMMYFUNCTION("""COMPUTED_VALUE"""),0.323845341041094)</f>
        <v>0.32384534104109403</v>
      </c>
    </row>
    <row r="504" spans="2:36" ht="15.75" customHeight="1" x14ac:dyDescent="0.45">
      <c r="B504" s="10" t="str">
        <f ca="1">IFERROR(__xludf.DUMMYFUNCTION("""COMPUTED_VALUE"""),"Lightning2")</f>
        <v>Lightning2</v>
      </c>
      <c r="C504" s="10" t="str">
        <f ca="1">IFERROR(__xludf.DUMMYFUNCTION("""COMPUTED_VALUE"""),"aligned_timestamps")</f>
        <v>aligned_timestamps</v>
      </c>
      <c r="D504" s="10">
        <f ca="1">IFERROR(__xludf.DUMMYFUNCTION("""COMPUTED_VALUE"""),0.4)</f>
        <v>0.4</v>
      </c>
      <c r="E504" s="17">
        <f ca="1">IFERROR(__xludf.DUMMYFUNCTION("""COMPUTED_VALUE"""),0.828595089041387)</f>
        <v>0.82859508904138701</v>
      </c>
      <c r="F504" s="17">
        <f ca="1">IFERROR(__xludf.DUMMYFUNCTION("""COMPUTED_VALUE"""),0.718373862069369)</f>
        <v>0.71837386206936904</v>
      </c>
      <c r="G504" s="17">
        <f ca="1">IFERROR(__xludf.DUMMYFUNCTION("""COMPUTED_VALUE"""),0.729365960371701)</f>
        <v>0.72936596037170098</v>
      </c>
      <c r="H504" s="17">
        <f ca="1">IFERROR(__xludf.DUMMYFUNCTION("""COMPUTED_VALUE"""),0.715917301740901)</f>
        <v>0.71591730174090096</v>
      </c>
      <c r="I504" s="17">
        <f ca="1">IFERROR(__xludf.DUMMYFUNCTION("""COMPUTED_VALUE"""),0.666251338616645)</f>
        <v>0.66625133861664498</v>
      </c>
      <c r="J504" s="17">
        <f ca="1">IFERROR(__xludf.DUMMYFUNCTION("""COMPUTED_VALUE"""),0.65730517923553)</f>
        <v>0.65730517923553</v>
      </c>
      <c r="K504" s="17" t="str">
        <f ca="1">IFERROR(__xludf.DUMMYFUNCTION("""COMPUTED_VALUE"""),"nan")</f>
        <v>nan</v>
      </c>
      <c r="L504" s="17">
        <f ca="1">IFERROR(__xludf.DUMMYFUNCTION("""COMPUTED_VALUE"""),1.1216040275772)</f>
        <v>1.1216040275771999</v>
      </c>
      <c r="M504" s="17">
        <f ca="1">IFERROR(__xludf.DUMMYFUNCTION("""COMPUTED_VALUE"""),0.738273645898531)</f>
        <v>0.73827364589853095</v>
      </c>
      <c r="N504" s="17">
        <f ca="1">IFERROR(__xludf.DUMMYFUNCTION("""COMPUTED_VALUE"""),0.751381386566836)</f>
        <v>0.75138138656683595</v>
      </c>
      <c r="O504" s="17">
        <f ca="1">IFERROR(__xludf.DUMMYFUNCTION("""COMPUTED_VALUE"""),1.10813457683535)</f>
        <v>1.1081345768353501</v>
      </c>
      <c r="P504" s="17">
        <f ca="1">IFERROR(__xludf.DUMMYFUNCTION("""COMPUTED_VALUE"""),0.823477864706857)</f>
        <v>0.82347786470685702</v>
      </c>
      <c r="Q504" s="17">
        <f ca="1">IFERROR(__xludf.DUMMYFUNCTION("""COMPUTED_VALUE"""),0.894232140076895)</f>
        <v>0.894232140076895</v>
      </c>
      <c r="R504" s="17">
        <f ca="1">IFERROR(__xludf.DUMMYFUNCTION("""COMPUTED_VALUE"""),0.812397785931744)</f>
        <v>0.81239778593174405</v>
      </c>
      <c r="S504" s="17">
        <f ca="1">IFERROR(__xludf.DUMMYFUNCTION("""COMPUTED_VALUE"""),0.741198647885014)</f>
        <v>0.74119864788501399</v>
      </c>
      <c r="T504" s="17">
        <f ca="1">IFERROR(__xludf.DUMMYFUNCTION("""COMPUTED_VALUE"""),0.705207890274123)</f>
        <v>0.70520789027412301</v>
      </c>
      <c r="U504" s="17">
        <f ca="1">IFERROR(__xludf.DUMMYFUNCTION("""COMPUTED_VALUE"""),0.710743052887754)</f>
        <v>0.71074305288775397</v>
      </c>
      <c r="V504" s="17">
        <f ca="1">IFERROR(__xludf.DUMMYFUNCTION("""COMPUTED_VALUE"""),0.678426771251359)</f>
        <v>0.67842677125135897</v>
      </c>
      <c r="W504" s="17">
        <f ca="1">IFERROR(__xludf.DUMMYFUNCTION("""COMPUTED_VALUE"""),0.723281289596171)</f>
        <v>0.723281289596171</v>
      </c>
      <c r="X504" s="17">
        <f ca="1">IFERROR(__xludf.DUMMYFUNCTION("""COMPUTED_VALUE"""),0.7259750426384)</f>
        <v>0.72597504263839996</v>
      </c>
      <c r="Y504" s="17">
        <f ca="1">IFERROR(__xludf.DUMMYFUNCTION("""COMPUTED_VALUE"""),0.711230766283793)</f>
        <v>0.711230766283793</v>
      </c>
      <c r="Z504" s="17">
        <f ca="1">IFERROR(__xludf.DUMMYFUNCTION("""COMPUTED_VALUE"""),0.685119463387648)</f>
        <v>0.68511946338764795</v>
      </c>
      <c r="AA504" s="17">
        <f ca="1">IFERROR(__xludf.DUMMYFUNCTION("""COMPUTED_VALUE"""),1.74206220021099)</f>
        <v>1.74206220021099</v>
      </c>
      <c r="AB504" s="17">
        <f ca="1">IFERROR(__xludf.DUMMYFUNCTION("""COMPUTED_VALUE"""),0.902656771797746)</f>
        <v>0.90265677179774595</v>
      </c>
      <c r="AC504" s="17">
        <f ca="1">IFERROR(__xludf.DUMMYFUNCTION("""COMPUTED_VALUE"""),0.793151746192239)</f>
        <v>0.79315174619223905</v>
      </c>
      <c r="AD504" s="17">
        <f ca="1">IFERROR(__xludf.DUMMYFUNCTION("""COMPUTED_VALUE"""),0.716522338907712)</f>
        <v>0.716522338907712</v>
      </c>
      <c r="AE504" s="17" t="str">
        <f ca="1">IFERROR(__xludf.DUMMYFUNCTION("""COMPUTED_VALUE"""),"nan")</f>
        <v>nan</v>
      </c>
      <c r="AF504" s="17">
        <f ca="1">IFERROR(__xludf.DUMMYFUNCTION("""COMPUTED_VALUE"""),0.778986948802767)</f>
        <v>0.77898694880276698</v>
      </c>
      <c r="AG504" s="17">
        <f ca="1">IFERROR(__xludf.DUMMYFUNCTION("""COMPUTED_VALUE"""),0.6512807791186)</f>
        <v>0.65128077911860005</v>
      </c>
      <c r="AH504" s="17">
        <f ca="1">IFERROR(__xludf.DUMMYFUNCTION("""COMPUTED_VALUE"""),0.655632978867447)</f>
        <v>0.65563297886744698</v>
      </c>
      <c r="AI504" s="17" t="str">
        <f ca="1">IFERROR(__xludf.DUMMYFUNCTION("""COMPUTED_VALUE"""),"nan")</f>
        <v>nan</v>
      </c>
      <c r="AJ504" s="17">
        <f ca="1">IFERROR(__xludf.DUMMYFUNCTION("""COMPUTED_VALUE"""),0.690415586741275)</f>
        <v>0.69041558674127501</v>
      </c>
    </row>
    <row r="505" spans="2:36" ht="15.75" customHeight="1" x14ac:dyDescent="0.45">
      <c r="B505" s="10" t="str">
        <f ca="1">IFERROR(__xludf.DUMMYFUNCTION("""COMPUTED_VALUE"""),"Lightning2")</f>
        <v>Lightning2</v>
      </c>
      <c r="C505" s="10" t="str">
        <f ca="1">IFERROR(__xludf.DUMMYFUNCTION("""COMPUTED_VALUE"""),"aligned_timestamps")</f>
        <v>aligned_timestamps</v>
      </c>
      <c r="D505" s="10">
        <f ca="1">IFERROR(__xludf.DUMMYFUNCTION("""COMPUTED_VALUE"""),0.6)</f>
        <v>0.6</v>
      </c>
      <c r="E505" s="17">
        <f ca="1">IFERROR(__xludf.DUMMYFUNCTION("""COMPUTED_VALUE"""),0.737150410517851)</f>
        <v>0.73715041051785102</v>
      </c>
      <c r="F505" s="17">
        <f ca="1">IFERROR(__xludf.DUMMYFUNCTION("""COMPUTED_VALUE"""),0.677271850713604)</f>
        <v>0.67727185071360396</v>
      </c>
      <c r="G505" s="17">
        <f ca="1">IFERROR(__xludf.DUMMYFUNCTION("""COMPUTED_VALUE"""),0.720993955803926)</f>
        <v>0.720993955803926</v>
      </c>
      <c r="H505" s="17">
        <f ca="1">IFERROR(__xludf.DUMMYFUNCTION("""COMPUTED_VALUE"""),0.66988242066955)</f>
        <v>0.66988242066954995</v>
      </c>
      <c r="I505" s="17">
        <f ca="1">IFERROR(__xludf.DUMMYFUNCTION("""COMPUTED_VALUE"""),0.59252636395579)</f>
        <v>0.59252636395578995</v>
      </c>
      <c r="J505" s="17">
        <f ca="1">IFERROR(__xludf.DUMMYFUNCTION("""COMPUTED_VALUE"""),0.773982613722005)</f>
        <v>0.77398261372200505</v>
      </c>
      <c r="K505" s="17" t="str">
        <f ca="1">IFERROR(__xludf.DUMMYFUNCTION("""COMPUTED_VALUE"""),"nan")</f>
        <v>nan</v>
      </c>
      <c r="L505" s="17">
        <f ca="1">IFERROR(__xludf.DUMMYFUNCTION("""COMPUTED_VALUE"""),0.92075340354216)</f>
        <v>0.92075340354215995</v>
      </c>
      <c r="M505" s="17">
        <f ca="1">IFERROR(__xludf.DUMMYFUNCTION("""COMPUTED_VALUE"""),0.686309439087538)</f>
        <v>0.68630943908753805</v>
      </c>
      <c r="N505" s="17">
        <f ca="1">IFERROR(__xludf.DUMMYFUNCTION("""COMPUTED_VALUE"""),0.688929199709909)</f>
        <v>0.68892919970990896</v>
      </c>
      <c r="O505" s="17">
        <f ca="1">IFERROR(__xludf.DUMMYFUNCTION("""COMPUTED_VALUE"""),0.967354473392702)</f>
        <v>0.96735447339270197</v>
      </c>
      <c r="P505" s="17">
        <f ca="1">IFERROR(__xludf.DUMMYFUNCTION("""COMPUTED_VALUE"""),1.09316590394273)</f>
        <v>1.0931659039427299</v>
      </c>
      <c r="Q505" s="17">
        <f ca="1">IFERROR(__xludf.DUMMYFUNCTION("""COMPUTED_VALUE"""),0.928733039205747)</f>
        <v>0.92873303920574701</v>
      </c>
      <c r="R505" s="17">
        <f ca="1">IFERROR(__xludf.DUMMYFUNCTION("""COMPUTED_VALUE"""),1.06384800520226)</f>
        <v>1.0638480052022601</v>
      </c>
      <c r="S505" s="17">
        <f ca="1">IFERROR(__xludf.DUMMYFUNCTION("""COMPUTED_VALUE"""),0.74650220781197)</f>
        <v>0.74650220781196996</v>
      </c>
      <c r="T505" s="17">
        <f ca="1">IFERROR(__xludf.DUMMYFUNCTION("""COMPUTED_VALUE"""),0.678957293547019)</f>
        <v>0.67895729354701895</v>
      </c>
      <c r="U505" s="17">
        <f ca="1">IFERROR(__xludf.DUMMYFUNCTION("""COMPUTED_VALUE"""),0.636285231281194)</f>
        <v>0.63628523128119396</v>
      </c>
      <c r="V505" s="17">
        <f ca="1">IFERROR(__xludf.DUMMYFUNCTION("""COMPUTED_VALUE"""),0.658898244748383)</f>
        <v>0.65889824474838299</v>
      </c>
      <c r="W505" s="17">
        <f ca="1">IFERROR(__xludf.DUMMYFUNCTION("""COMPUTED_VALUE"""),0.653502139938909)</f>
        <v>0.65350213993890904</v>
      </c>
      <c r="X505" s="17">
        <f ca="1">IFERROR(__xludf.DUMMYFUNCTION("""COMPUTED_VALUE"""),0.712285071397913)</f>
        <v>0.71228507139791297</v>
      </c>
      <c r="Y505" s="17">
        <f ca="1">IFERROR(__xludf.DUMMYFUNCTION("""COMPUTED_VALUE"""),0.677000704450196)</f>
        <v>0.677000704450196</v>
      </c>
      <c r="Z505" s="17">
        <f ca="1">IFERROR(__xludf.DUMMYFUNCTION("""COMPUTED_VALUE"""),0.638843375015578)</f>
        <v>0.63884337501557797</v>
      </c>
      <c r="AA505" s="17">
        <f ca="1">IFERROR(__xludf.DUMMYFUNCTION("""COMPUTED_VALUE"""),2.2476459000394)</f>
        <v>2.2476459000393998</v>
      </c>
      <c r="AB505" s="17">
        <f ca="1">IFERROR(__xludf.DUMMYFUNCTION("""COMPUTED_VALUE"""),0.886044547372505)</f>
        <v>0.88604454737250504</v>
      </c>
      <c r="AC505" s="17">
        <f ca="1">IFERROR(__xludf.DUMMYFUNCTION("""COMPUTED_VALUE"""),0.762964581555357)</f>
        <v>0.76296458155535696</v>
      </c>
      <c r="AD505" s="17">
        <f ca="1">IFERROR(__xludf.DUMMYFUNCTION("""COMPUTED_VALUE"""),0.682356550556716)</f>
        <v>0.68235655055671596</v>
      </c>
      <c r="AE505" s="17" t="str">
        <f ca="1">IFERROR(__xludf.DUMMYFUNCTION("""COMPUTED_VALUE"""),"nan")</f>
        <v>nan</v>
      </c>
      <c r="AF505" s="17">
        <f ca="1">IFERROR(__xludf.DUMMYFUNCTION("""COMPUTED_VALUE"""),0.994766307915709)</f>
        <v>0.99476630791570897</v>
      </c>
      <c r="AG505" s="17">
        <f ca="1">IFERROR(__xludf.DUMMYFUNCTION("""COMPUTED_VALUE"""),0.761668657682678)</f>
        <v>0.761668657682678</v>
      </c>
      <c r="AH505" s="17">
        <f ca="1">IFERROR(__xludf.DUMMYFUNCTION("""COMPUTED_VALUE"""),0.688745766552934)</f>
        <v>0.68874576655293396</v>
      </c>
      <c r="AI505" s="17" t="str">
        <f ca="1">IFERROR(__xludf.DUMMYFUNCTION("""COMPUTED_VALUE"""),"nan")</f>
        <v>nan</v>
      </c>
      <c r="AJ505" s="17">
        <f ca="1">IFERROR(__xludf.DUMMYFUNCTION("""COMPUTED_VALUE"""),1.1353868998363)</f>
        <v>1.1353868998362999</v>
      </c>
    </row>
    <row r="506" spans="2:36" ht="15.75" customHeight="1" x14ac:dyDescent="0.45">
      <c r="B506" s="10" t="str">
        <f ca="1">IFERROR(__xludf.DUMMYFUNCTION("""COMPUTED_VALUE"""),"Lightning2")</f>
        <v>Lightning2</v>
      </c>
      <c r="C506" s="10" t="str">
        <f ca="1">IFERROR(__xludf.DUMMYFUNCTION("""COMPUTED_VALUE"""),"aligned_timestamps")</f>
        <v>aligned_timestamps</v>
      </c>
      <c r="D506" s="10">
        <f ca="1">IFERROR(__xludf.DUMMYFUNCTION("""COMPUTED_VALUE"""),0.8)</f>
        <v>0.8</v>
      </c>
      <c r="E506" s="17">
        <f ca="1">IFERROR(__xludf.DUMMYFUNCTION("""COMPUTED_VALUE"""),1.02657688179569)</f>
        <v>1.02657688179569</v>
      </c>
      <c r="F506" s="17">
        <f ca="1">IFERROR(__xludf.DUMMYFUNCTION("""COMPUTED_VALUE"""),0.992795701435904)</f>
        <v>0.99279570143590401</v>
      </c>
      <c r="G506" s="17">
        <f ca="1">IFERROR(__xludf.DUMMYFUNCTION("""COMPUTED_VALUE"""),1.38015644577959)</f>
        <v>1.3801564457795901</v>
      </c>
      <c r="H506" s="17">
        <f ca="1">IFERROR(__xludf.DUMMYFUNCTION("""COMPUTED_VALUE"""),0.986246735614411)</f>
        <v>0.98624673561441101</v>
      </c>
      <c r="I506" s="17">
        <f ca="1">IFERROR(__xludf.DUMMYFUNCTION("""COMPUTED_VALUE"""),0.932169342888491)</f>
        <v>0.93216934288849096</v>
      </c>
      <c r="J506" s="17">
        <f ca="1">IFERROR(__xludf.DUMMYFUNCTION("""COMPUTED_VALUE"""),1.30072280968974)</f>
        <v>1.3007228096897401</v>
      </c>
      <c r="K506" s="17" t="str">
        <f ca="1">IFERROR(__xludf.DUMMYFUNCTION("""COMPUTED_VALUE"""),"nan")</f>
        <v>nan</v>
      </c>
      <c r="L506" s="17">
        <f ca="1">IFERROR(__xludf.DUMMYFUNCTION("""COMPUTED_VALUE"""),1.17358466594797)</f>
        <v>1.1735846659479701</v>
      </c>
      <c r="M506" s="17">
        <f ca="1">IFERROR(__xludf.DUMMYFUNCTION("""COMPUTED_VALUE"""),1.43724613743303)</f>
        <v>1.4372461374330301</v>
      </c>
      <c r="N506" s="17">
        <f ca="1">IFERROR(__xludf.DUMMYFUNCTION("""COMPUTED_VALUE"""),0.932867519336298)</f>
        <v>0.93286751933629797</v>
      </c>
      <c r="O506" s="17">
        <f ca="1">IFERROR(__xludf.DUMMYFUNCTION("""COMPUTED_VALUE"""),1.19122260712085)</f>
        <v>1.19122260712085</v>
      </c>
      <c r="P506" s="17">
        <f ca="1">IFERROR(__xludf.DUMMYFUNCTION("""COMPUTED_VALUE"""),1.26339599918418)</f>
        <v>1.2633959991841801</v>
      </c>
      <c r="Q506" s="17">
        <f ca="1">IFERROR(__xludf.DUMMYFUNCTION("""COMPUTED_VALUE"""),1.24213705371452)</f>
        <v>1.24213705371452</v>
      </c>
      <c r="R506" s="17">
        <f ca="1">IFERROR(__xludf.DUMMYFUNCTION("""COMPUTED_VALUE"""),2.10308074559448)</f>
        <v>2.1030807455944802</v>
      </c>
      <c r="S506" s="17">
        <f ca="1">IFERROR(__xludf.DUMMYFUNCTION("""COMPUTED_VALUE"""),1.05629572158531)</f>
        <v>1.0562957215853099</v>
      </c>
      <c r="T506" s="17">
        <f ca="1">IFERROR(__xludf.DUMMYFUNCTION("""COMPUTED_VALUE"""),0.968895171006638)</f>
        <v>0.96889517100663802</v>
      </c>
      <c r="U506" s="17">
        <f ca="1">IFERROR(__xludf.DUMMYFUNCTION("""COMPUTED_VALUE"""),1.08688088879361)</f>
        <v>1.0868808887936099</v>
      </c>
      <c r="V506" s="17">
        <f ca="1">IFERROR(__xludf.DUMMYFUNCTION("""COMPUTED_VALUE"""),1.09006580924984)</f>
        <v>1.0900658092498401</v>
      </c>
      <c r="W506" s="17">
        <f ca="1">IFERROR(__xludf.DUMMYFUNCTION("""COMPUTED_VALUE"""),1.10688968314649)</f>
        <v>1.1068896831464901</v>
      </c>
      <c r="X506" s="17">
        <f ca="1">IFERROR(__xludf.DUMMYFUNCTION("""COMPUTED_VALUE"""),0.890475928537482)</f>
        <v>0.89047592853748203</v>
      </c>
      <c r="Y506" s="17">
        <f ca="1">IFERROR(__xludf.DUMMYFUNCTION("""COMPUTED_VALUE"""),1.18503267748129)</f>
        <v>1.18503267748129</v>
      </c>
      <c r="Z506" s="17">
        <f ca="1">IFERROR(__xludf.DUMMYFUNCTION("""COMPUTED_VALUE"""),0.980096651077973)</f>
        <v>0.98009665107797295</v>
      </c>
      <c r="AA506" s="17">
        <f ca="1">IFERROR(__xludf.DUMMYFUNCTION("""COMPUTED_VALUE"""),2.63848639279766)</f>
        <v>2.6384863927976601</v>
      </c>
      <c r="AB506" s="17">
        <f ca="1">IFERROR(__xludf.DUMMYFUNCTION("""COMPUTED_VALUE"""),1.16411417506924)</f>
        <v>1.1641141750692401</v>
      </c>
      <c r="AC506" s="17">
        <f ca="1">IFERROR(__xludf.DUMMYFUNCTION("""COMPUTED_VALUE"""),1.04277039174047)</f>
        <v>1.04277039174047</v>
      </c>
      <c r="AD506" s="17">
        <f ca="1">IFERROR(__xludf.DUMMYFUNCTION("""COMPUTED_VALUE"""),1.06490894165459)</f>
        <v>1.06490894165459</v>
      </c>
      <c r="AE506" s="17" t="str">
        <f ca="1">IFERROR(__xludf.DUMMYFUNCTION("""COMPUTED_VALUE"""),"nan")</f>
        <v>nan</v>
      </c>
      <c r="AF506" s="17">
        <f ca="1">IFERROR(__xludf.DUMMYFUNCTION("""COMPUTED_VALUE"""),1.05872178009492)</f>
        <v>1.05872178009492</v>
      </c>
      <c r="AG506" s="17">
        <f ca="1">IFERROR(__xludf.DUMMYFUNCTION("""COMPUTED_VALUE"""),1.076630989508)</f>
        <v>1.076630989508</v>
      </c>
      <c r="AH506" s="17">
        <f ca="1">IFERROR(__xludf.DUMMYFUNCTION("""COMPUTED_VALUE"""),1.01983638138736)</f>
        <v>1.0198363813873601</v>
      </c>
      <c r="AI506" s="17" t="str">
        <f ca="1">IFERROR(__xludf.DUMMYFUNCTION("""COMPUTED_VALUE"""),"nan")</f>
        <v>nan</v>
      </c>
      <c r="AJ506" s="17">
        <f ca="1">IFERROR(__xludf.DUMMYFUNCTION("""COMPUTED_VALUE"""),1.16574982036047)</f>
        <v>1.1657498203604699</v>
      </c>
    </row>
    <row r="507" spans="2:36" ht="15.75" customHeight="1" x14ac:dyDescent="0.45">
      <c r="B507" s="10" t="str">
        <f ca="1">IFERROR(__xludf.DUMMYFUNCTION("""COMPUTED_VALUE"""),"Lightning2")</f>
        <v>Lightning2</v>
      </c>
      <c r="C507" s="10" t="str">
        <f ca="1">IFERROR(__xludf.DUMMYFUNCTION("""COMPUTED_VALUE"""),"mcar")</f>
        <v>mcar</v>
      </c>
      <c r="D507" s="10">
        <f ca="1">IFERROR(__xludf.DUMMYFUNCTION("""COMPUTED_VALUE"""),0.1)</f>
        <v>0.1</v>
      </c>
      <c r="E507" s="17">
        <f ca="1">IFERROR(__xludf.DUMMYFUNCTION("""COMPUTED_VALUE"""),1.07948233577246)</f>
        <v>1.0794823357724601</v>
      </c>
      <c r="F507" s="17">
        <f ca="1">IFERROR(__xludf.DUMMYFUNCTION("""COMPUTED_VALUE"""),0.803616568458589)</f>
        <v>0.80361656845858898</v>
      </c>
      <c r="G507" s="17">
        <f ca="1">IFERROR(__xludf.DUMMYFUNCTION("""COMPUTED_VALUE"""),0.809515946885385)</f>
        <v>0.80951594688538497</v>
      </c>
      <c r="H507" s="17">
        <f ca="1">IFERROR(__xludf.DUMMYFUNCTION("""COMPUTED_VALUE"""),0.898805774355827)</f>
        <v>0.89880577435582698</v>
      </c>
      <c r="I507" s="17">
        <f ca="1">IFERROR(__xludf.DUMMYFUNCTION("""COMPUTED_VALUE"""),0.769441330192387)</f>
        <v>0.76944133019238703</v>
      </c>
      <c r="J507" s="17">
        <f ca="1">IFERROR(__xludf.DUMMYFUNCTION("""COMPUTED_VALUE"""),0.755066257105916)</f>
        <v>0.75506625710591602</v>
      </c>
      <c r="K507" s="17" t="str">
        <f ca="1">IFERROR(__xludf.DUMMYFUNCTION("""COMPUTED_VALUE"""),"nan")</f>
        <v>nan</v>
      </c>
      <c r="L507" s="17">
        <f ca="1">IFERROR(__xludf.DUMMYFUNCTION("""COMPUTED_VALUE"""),0.795551906618506)</f>
        <v>0.79555190661850606</v>
      </c>
      <c r="M507" s="17">
        <f ca="1">IFERROR(__xludf.DUMMYFUNCTION("""COMPUTED_VALUE"""),0.802600992052818)</f>
        <v>0.80260099205281799</v>
      </c>
      <c r="N507" s="17">
        <f ca="1">IFERROR(__xludf.DUMMYFUNCTION("""COMPUTED_VALUE"""),0.60886339571695)</f>
        <v>0.60886339571695003</v>
      </c>
      <c r="O507" s="17">
        <f ca="1">IFERROR(__xludf.DUMMYFUNCTION("""COMPUTED_VALUE"""),0.730625642976845)</f>
        <v>0.73062564297684496</v>
      </c>
      <c r="P507" s="17">
        <f ca="1">IFERROR(__xludf.DUMMYFUNCTION("""COMPUTED_VALUE"""),0.772420265239459)</f>
        <v>0.77242026523945895</v>
      </c>
      <c r="Q507" s="17">
        <f ca="1">IFERROR(__xludf.DUMMYFUNCTION("""COMPUTED_VALUE"""),1.34775010689103)</f>
        <v>1.34775010689103</v>
      </c>
      <c r="R507" s="17">
        <f ca="1">IFERROR(__xludf.DUMMYFUNCTION("""COMPUTED_VALUE"""),0.83652651032488)</f>
        <v>0.83652651032488001</v>
      </c>
      <c r="S507" s="17">
        <f ca="1">IFERROR(__xludf.DUMMYFUNCTION("""COMPUTED_VALUE"""),0.700202610628176)</f>
        <v>0.70020261062817601</v>
      </c>
      <c r="T507" s="17">
        <f ca="1">IFERROR(__xludf.DUMMYFUNCTION("""COMPUTED_VALUE"""),0.62377359870249)</f>
        <v>0.62377359870249005</v>
      </c>
      <c r="U507" s="17">
        <f ca="1">IFERROR(__xludf.DUMMYFUNCTION("""COMPUTED_VALUE"""),0.662742744497523)</f>
        <v>0.66274274449752302</v>
      </c>
      <c r="V507" s="17">
        <f ca="1">IFERROR(__xludf.DUMMYFUNCTION("""COMPUTED_VALUE"""),0.882917596728358)</f>
        <v>0.88291759672835801</v>
      </c>
      <c r="W507" s="17">
        <f ca="1">IFERROR(__xludf.DUMMYFUNCTION("""COMPUTED_VALUE"""),0.638387388381497)</f>
        <v>0.638387388381497</v>
      </c>
      <c r="X507" s="17">
        <f ca="1">IFERROR(__xludf.DUMMYFUNCTION("""COMPUTED_VALUE"""),0.703361004025868)</f>
        <v>0.70336100402586799</v>
      </c>
      <c r="Y507" s="17">
        <f ca="1">IFERROR(__xludf.DUMMYFUNCTION("""COMPUTED_VALUE"""),0.579940088341476)</f>
        <v>0.57994008834147603</v>
      </c>
      <c r="Z507" s="17">
        <f ca="1">IFERROR(__xludf.DUMMYFUNCTION("""COMPUTED_VALUE"""),0.76175611865135)</f>
        <v>0.76175611865134996</v>
      </c>
      <c r="AA507" s="17">
        <f ca="1">IFERROR(__xludf.DUMMYFUNCTION("""COMPUTED_VALUE"""),1.43004293334428)</f>
        <v>1.4300429333442799</v>
      </c>
      <c r="AB507" s="17">
        <f ca="1">IFERROR(__xludf.DUMMYFUNCTION("""COMPUTED_VALUE"""),0.794272237288157)</f>
        <v>0.79427223728815699</v>
      </c>
      <c r="AC507" s="17">
        <f ca="1">IFERROR(__xludf.DUMMYFUNCTION("""COMPUTED_VALUE"""),0.816745657445586)</f>
        <v>0.81674565744558603</v>
      </c>
      <c r="AD507" s="17">
        <f ca="1">IFERROR(__xludf.DUMMYFUNCTION("""COMPUTED_VALUE"""),0.666848335447538)</f>
        <v>0.66684833544753797</v>
      </c>
      <c r="AE507" s="17">
        <f ca="1">IFERROR(__xludf.DUMMYFUNCTION("""COMPUTED_VALUE"""),1.15762978025108)</f>
        <v>1.15762978025108</v>
      </c>
      <c r="AF507" s="17">
        <f ca="1">IFERROR(__xludf.DUMMYFUNCTION("""COMPUTED_VALUE"""),0.695751078435555)</f>
        <v>0.69575107843555495</v>
      </c>
      <c r="AG507" s="17">
        <f ca="1">IFERROR(__xludf.DUMMYFUNCTION("""COMPUTED_VALUE"""),0.797998131752957)</f>
        <v>0.79799813175295697</v>
      </c>
      <c r="AH507" s="17">
        <f ca="1">IFERROR(__xludf.DUMMYFUNCTION("""COMPUTED_VALUE"""),0.721299993342268)</f>
        <v>0.72129999334226802</v>
      </c>
      <c r="AI507" s="17">
        <f ca="1">IFERROR(__xludf.DUMMYFUNCTION("""COMPUTED_VALUE"""),0.730375757824535)</f>
        <v>0.73037575782453501</v>
      </c>
      <c r="AJ507" s="17">
        <f ca="1">IFERROR(__xludf.DUMMYFUNCTION("""COMPUTED_VALUE"""),0.676948610639664)</f>
        <v>0.67694861063966405</v>
      </c>
    </row>
    <row r="508" spans="2:36" ht="15.75" customHeight="1" x14ac:dyDescent="0.45">
      <c r="B508" s="10" t="str">
        <f ca="1">IFERROR(__xludf.DUMMYFUNCTION("""COMPUTED_VALUE"""),"Lightning2")</f>
        <v>Lightning2</v>
      </c>
      <c r="C508" s="10" t="str">
        <f ca="1">IFERROR(__xludf.DUMMYFUNCTION("""COMPUTED_VALUE"""),"mcar")</f>
        <v>mcar</v>
      </c>
      <c r="D508" s="10">
        <f ca="1">IFERROR(__xludf.DUMMYFUNCTION("""COMPUTED_VALUE"""),0.2)</f>
        <v>0.2</v>
      </c>
      <c r="E508" s="17">
        <f ca="1">IFERROR(__xludf.DUMMYFUNCTION("""COMPUTED_VALUE"""),1.02532315237141)</f>
        <v>1.0253231523714099</v>
      </c>
      <c r="F508" s="17">
        <f ca="1">IFERROR(__xludf.DUMMYFUNCTION("""COMPUTED_VALUE"""),0.839842172296479)</f>
        <v>0.83984217229647895</v>
      </c>
      <c r="G508" s="17">
        <f ca="1">IFERROR(__xludf.DUMMYFUNCTION("""COMPUTED_VALUE"""),0.844326770427995)</f>
        <v>0.84432677042799498</v>
      </c>
      <c r="H508" s="17">
        <f ca="1">IFERROR(__xludf.DUMMYFUNCTION("""COMPUTED_VALUE"""),0.916517331830069)</f>
        <v>0.916517331830069</v>
      </c>
      <c r="I508" s="17">
        <f ca="1">IFERROR(__xludf.DUMMYFUNCTION("""COMPUTED_VALUE"""),0.821705114592588)</f>
        <v>0.82170511459258799</v>
      </c>
      <c r="J508" s="17">
        <f ca="1">IFERROR(__xludf.DUMMYFUNCTION("""COMPUTED_VALUE"""),0.815302189394563)</f>
        <v>0.815302189394563</v>
      </c>
      <c r="K508" s="17" t="str">
        <f ca="1">IFERROR(__xludf.DUMMYFUNCTION("""COMPUTED_VALUE"""),"nan")</f>
        <v>nan</v>
      </c>
      <c r="L508" s="17">
        <f ca="1">IFERROR(__xludf.DUMMYFUNCTION("""COMPUTED_VALUE"""),0.818184106193276)</f>
        <v>0.81818410619327597</v>
      </c>
      <c r="M508" s="17">
        <f ca="1">IFERROR(__xludf.DUMMYFUNCTION("""COMPUTED_VALUE"""),0.84045767997666)</f>
        <v>0.84045767997665999</v>
      </c>
      <c r="N508" s="17">
        <f ca="1">IFERROR(__xludf.DUMMYFUNCTION("""COMPUTED_VALUE"""),0.717910466659839)</f>
        <v>0.71791046665983904</v>
      </c>
      <c r="O508" s="17">
        <f ca="1">IFERROR(__xludf.DUMMYFUNCTION("""COMPUTED_VALUE"""),0.798714020319118)</f>
        <v>0.79871402031911798</v>
      </c>
      <c r="P508" s="17">
        <f ca="1">IFERROR(__xludf.DUMMYFUNCTION("""COMPUTED_VALUE"""),0.828043795487888)</f>
        <v>0.82804379548788798</v>
      </c>
      <c r="Q508" s="17">
        <f ca="1">IFERROR(__xludf.DUMMYFUNCTION("""COMPUTED_VALUE"""),1.20287316855465)</f>
        <v>1.2028731685546501</v>
      </c>
      <c r="R508" s="17">
        <f ca="1">IFERROR(__xludf.DUMMYFUNCTION("""COMPUTED_VALUE"""),0.875348899186323)</f>
        <v>0.87534889918632297</v>
      </c>
      <c r="S508" s="17">
        <f ca="1">IFERROR(__xludf.DUMMYFUNCTION("""COMPUTED_VALUE"""),0.790342646793284)</f>
        <v>0.79034264679328403</v>
      </c>
      <c r="T508" s="17">
        <f ca="1">IFERROR(__xludf.DUMMYFUNCTION("""COMPUTED_VALUE"""),0.732804431743194)</f>
        <v>0.73280443174319398</v>
      </c>
      <c r="U508" s="17">
        <f ca="1">IFERROR(__xludf.DUMMYFUNCTION("""COMPUTED_VALUE"""),0.724984024539156)</f>
        <v>0.724984024539156</v>
      </c>
      <c r="V508" s="17">
        <f ca="1">IFERROR(__xludf.DUMMYFUNCTION("""COMPUTED_VALUE"""),0.849189346655246)</f>
        <v>0.84918934665524604</v>
      </c>
      <c r="W508" s="17">
        <f ca="1">IFERROR(__xludf.DUMMYFUNCTION("""COMPUTED_VALUE"""),0.740521260434463)</f>
        <v>0.74052126043446298</v>
      </c>
      <c r="X508" s="17">
        <f ca="1">IFERROR(__xludf.DUMMYFUNCTION("""COMPUTED_VALUE"""),0.780560201115935)</f>
        <v>0.78056020111593505</v>
      </c>
      <c r="Y508" s="17">
        <f ca="1">IFERROR(__xludf.DUMMYFUNCTION("""COMPUTED_VALUE"""),0.668152952796987)</f>
        <v>0.66815295279698705</v>
      </c>
      <c r="Z508" s="17">
        <f ca="1">IFERROR(__xludf.DUMMYFUNCTION("""COMPUTED_VALUE"""),0.783729837531767)</f>
        <v>0.78372983753176695</v>
      </c>
      <c r="AA508" s="17">
        <f ca="1">IFERROR(__xludf.DUMMYFUNCTION("""COMPUTED_VALUE"""),0.922826088743792)</f>
        <v>0.92282608874379202</v>
      </c>
      <c r="AB508" s="17">
        <f ca="1">IFERROR(__xludf.DUMMYFUNCTION("""COMPUTED_VALUE"""),0.888690680950091)</f>
        <v>0.88869068095009096</v>
      </c>
      <c r="AC508" s="17">
        <f ca="1">IFERROR(__xludf.DUMMYFUNCTION("""COMPUTED_VALUE"""),0.689340696344645)</f>
        <v>0.68934069634464501</v>
      </c>
      <c r="AD508" s="17">
        <f ca="1">IFERROR(__xludf.DUMMYFUNCTION("""COMPUTED_VALUE"""),0.735701803272866)</f>
        <v>0.73570180327286605</v>
      </c>
      <c r="AE508" s="17">
        <f ca="1">IFERROR(__xludf.DUMMYFUNCTION("""COMPUTED_VALUE"""),1.20359683514793)</f>
        <v>1.20359683514793</v>
      </c>
      <c r="AF508" s="17">
        <f ca="1">IFERROR(__xludf.DUMMYFUNCTION("""COMPUTED_VALUE"""),0.790439800490122)</f>
        <v>0.79043980049012197</v>
      </c>
      <c r="AG508" s="17">
        <f ca="1">IFERROR(__xludf.DUMMYFUNCTION("""COMPUTED_VALUE"""),0.791449890512067)</f>
        <v>0.79144989051206704</v>
      </c>
      <c r="AH508" s="17">
        <f ca="1">IFERROR(__xludf.DUMMYFUNCTION("""COMPUTED_VALUE"""),0.684733905563521)</f>
        <v>0.68473390556352098</v>
      </c>
      <c r="AI508" s="17">
        <f ca="1">IFERROR(__xludf.DUMMYFUNCTION("""COMPUTED_VALUE"""),0.854673545209987)</f>
        <v>0.85467354520998695</v>
      </c>
      <c r="AJ508" s="17">
        <f ca="1">IFERROR(__xludf.DUMMYFUNCTION("""COMPUTED_VALUE"""),0.723488537382193)</f>
        <v>0.72348853738219299</v>
      </c>
    </row>
    <row r="509" spans="2:36" ht="15.75" customHeight="1" x14ac:dyDescent="0.45">
      <c r="B509" s="10" t="str">
        <f ca="1">IFERROR(__xludf.DUMMYFUNCTION("""COMPUTED_VALUE"""),"Lightning2")</f>
        <v>Lightning2</v>
      </c>
      <c r="C509" s="10" t="str">
        <f ca="1">IFERROR(__xludf.DUMMYFUNCTION("""COMPUTED_VALUE"""),"mcar")</f>
        <v>mcar</v>
      </c>
      <c r="D509" s="10">
        <f ca="1">IFERROR(__xludf.DUMMYFUNCTION("""COMPUTED_VALUE"""),0.4)</f>
        <v>0.4</v>
      </c>
      <c r="E509" s="17">
        <f ca="1">IFERROR(__xludf.DUMMYFUNCTION("""COMPUTED_VALUE"""),0.934756282966853)</f>
        <v>0.93475628296685298</v>
      </c>
      <c r="F509" s="17">
        <f ca="1">IFERROR(__xludf.DUMMYFUNCTION("""COMPUTED_VALUE"""),0.691363848731896)</f>
        <v>0.69136384873189605</v>
      </c>
      <c r="G509" s="17">
        <f ca="1">IFERROR(__xludf.DUMMYFUNCTION("""COMPUTED_VALUE"""),0.700914184140093)</f>
        <v>0.70091418414009299</v>
      </c>
      <c r="H509" s="17">
        <f ca="1">IFERROR(__xludf.DUMMYFUNCTION("""COMPUTED_VALUE"""),0.776333102534812)</f>
        <v>0.77633310253481203</v>
      </c>
      <c r="I509" s="17">
        <f ca="1">IFERROR(__xludf.DUMMYFUNCTION("""COMPUTED_VALUE"""),0.68544762518742)</f>
        <v>0.68544762518741997</v>
      </c>
      <c r="J509" s="17">
        <f ca="1">IFERROR(__xludf.DUMMYFUNCTION("""COMPUTED_VALUE"""),0.657218510486468)</f>
        <v>0.65721851048646796</v>
      </c>
      <c r="K509" s="17" t="str">
        <f ca="1">IFERROR(__xludf.DUMMYFUNCTION("""COMPUTED_VALUE"""),"nan")</f>
        <v>nan</v>
      </c>
      <c r="L509" s="17">
        <f ca="1">IFERROR(__xludf.DUMMYFUNCTION("""COMPUTED_VALUE"""),0.697792361927794)</f>
        <v>0.69779236192779404</v>
      </c>
      <c r="M509" s="17">
        <f ca="1">IFERROR(__xludf.DUMMYFUNCTION("""COMPUTED_VALUE"""),0.704105728396955)</f>
        <v>0.70410572839695496</v>
      </c>
      <c r="N509" s="17">
        <f ca="1">IFERROR(__xludf.DUMMYFUNCTION("""COMPUTED_VALUE"""),0.658988417671087)</f>
        <v>0.65898841767108696</v>
      </c>
      <c r="O509" s="17">
        <f ca="1">IFERROR(__xludf.DUMMYFUNCTION("""COMPUTED_VALUE"""),0.701195771597116)</f>
        <v>0.70119577159711599</v>
      </c>
      <c r="P509" s="17">
        <f ca="1">IFERROR(__xludf.DUMMYFUNCTION("""COMPUTED_VALUE"""),0.690707389472276)</f>
        <v>0.69070738947227595</v>
      </c>
      <c r="Q509" s="17">
        <f ca="1">IFERROR(__xludf.DUMMYFUNCTION("""COMPUTED_VALUE"""),1.18727029553092)</f>
        <v>1.18727029553092</v>
      </c>
      <c r="R509" s="17">
        <f ca="1">IFERROR(__xludf.DUMMYFUNCTION("""COMPUTED_VALUE"""),0.77480956526975)</f>
        <v>0.77480956526974998</v>
      </c>
      <c r="S509" s="17">
        <f ca="1">IFERROR(__xludf.DUMMYFUNCTION("""COMPUTED_VALUE"""),0.888827089911109)</f>
        <v>0.88882708991110904</v>
      </c>
      <c r="T509" s="17">
        <f ca="1">IFERROR(__xludf.DUMMYFUNCTION("""COMPUTED_VALUE"""),0.573336359253057)</f>
        <v>0.57333635925305704</v>
      </c>
      <c r="U509" s="17">
        <f ca="1">IFERROR(__xludf.DUMMYFUNCTION("""COMPUTED_VALUE"""),0.601182638435102)</f>
        <v>0.601182638435102</v>
      </c>
      <c r="V509" s="17">
        <f ca="1">IFERROR(__xludf.DUMMYFUNCTION("""COMPUTED_VALUE"""),0.763443596970033)</f>
        <v>0.76344359697003294</v>
      </c>
      <c r="W509" s="17">
        <f ca="1">IFERROR(__xludf.DUMMYFUNCTION("""COMPUTED_VALUE"""),0.618289031049083)</f>
        <v>0.61828903104908295</v>
      </c>
      <c r="X509" s="17">
        <f ca="1">IFERROR(__xludf.DUMMYFUNCTION("""COMPUTED_VALUE"""),0.646796496594903)</f>
        <v>0.64679649659490301</v>
      </c>
      <c r="Y509" s="17">
        <f ca="1">IFERROR(__xludf.DUMMYFUNCTION("""COMPUTED_VALUE"""),0.541754781768577)</f>
        <v>0.54175478176857705</v>
      </c>
      <c r="Z509" s="17">
        <f ca="1">IFERROR(__xludf.DUMMYFUNCTION("""COMPUTED_VALUE"""),0.625598826107086)</f>
        <v>0.62559882610708595</v>
      </c>
      <c r="AA509" s="17">
        <f ca="1">IFERROR(__xludf.DUMMYFUNCTION("""COMPUTED_VALUE"""),0.816287979236778)</f>
        <v>0.81628797923677798</v>
      </c>
      <c r="AB509" s="17">
        <f ca="1">IFERROR(__xludf.DUMMYFUNCTION("""COMPUTED_VALUE"""),0.729814183910802)</f>
        <v>0.72981418391080199</v>
      </c>
      <c r="AC509" s="17">
        <f ca="1">IFERROR(__xludf.DUMMYFUNCTION("""COMPUTED_VALUE"""),0.786557039469328)</f>
        <v>0.78655703946932798</v>
      </c>
      <c r="AD509" s="17">
        <f ca="1">IFERROR(__xludf.DUMMYFUNCTION("""COMPUTED_VALUE"""),0.610381223202112)</f>
        <v>0.61038122320211197</v>
      </c>
      <c r="AE509" s="17">
        <f ca="1">IFERROR(__xludf.DUMMYFUNCTION("""COMPUTED_VALUE"""),1.28941567714745)</f>
        <v>1.2894156771474501</v>
      </c>
      <c r="AF509" s="17">
        <f ca="1">IFERROR(__xludf.DUMMYFUNCTION("""COMPUTED_VALUE"""),0.732853431406642)</f>
        <v>0.73285343140664205</v>
      </c>
      <c r="AG509" s="17">
        <f ca="1">IFERROR(__xludf.DUMMYFUNCTION("""COMPUTED_VALUE"""),0.823015413970318)</f>
        <v>0.82301541397031797</v>
      </c>
      <c r="AH509" s="17">
        <f ca="1">IFERROR(__xludf.DUMMYFUNCTION("""COMPUTED_VALUE"""),0.613863449654051)</f>
        <v>0.61386344965405104</v>
      </c>
      <c r="AI509" s="17">
        <f ca="1">IFERROR(__xludf.DUMMYFUNCTION("""COMPUTED_VALUE"""),0.8762355003163)</f>
        <v>0.87623550031630004</v>
      </c>
      <c r="AJ509" s="17">
        <f ca="1">IFERROR(__xludf.DUMMYFUNCTION("""COMPUTED_VALUE"""),0.735162554844196)</f>
        <v>0.73516255484419601</v>
      </c>
    </row>
    <row r="510" spans="2:36" ht="15.75" customHeight="1" x14ac:dyDescent="0.45">
      <c r="B510" s="10" t="str">
        <f ca="1">IFERROR(__xludf.DUMMYFUNCTION("""COMPUTED_VALUE"""),"Lightning2")</f>
        <v>Lightning2</v>
      </c>
      <c r="C510" s="10" t="str">
        <f ca="1">IFERROR(__xludf.DUMMYFUNCTION("""COMPUTED_VALUE"""),"mcar")</f>
        <v>mcar</v>
      </c>
      <c r="D510" s="10">
        <f ca="1">IFERROR(__xludf.DUMMYFUNCTION("""COMPUTED_VALUE"""),0.6)</f>
        <v>0.6</v>
      </c>
      <c r="E510" s="17">
        <f ca="1">IFERROR(__xludf.DUMMYFUNCTION("""COMPUTED_VALUE"""),0.990103325641955)</f>
        <v>0.99010332564195502</v>
      </c>
      <c r="F510" s="17">
        <f ca="1">IFERROR(__xludf.DUMMYFUNCTION("""COMPUTED_VALUE"""),0.698147779683154)</f>
        <v>0.698147779683154</v>
      </c>
      <c r="G510" s="17">
        <f ca="1">IFERROR(__xludf.DUMMYFUNCTION("""COMPUTED_VALUE"""),0.708727266921806)</f>
        <v>0.70872726692180599</v>
      </c>
      <c r="H510" s="17">
        <f ca="1">IFERROR(__xludf.DUMMYFUNCTION("""COMPUTED_VALUE"""),0.802816333953465)</f>
        <v>0.80281633395346497</v>
      </c>
      <c r="I510" s="17">
        <f ca="1">IFERROR(__xludf.DUMMYFUNCTION("""COMPUTED_VALUE"""),0.710801109999987)</f>
        <v>0.71080110999998702</v>
      </c>
      <c r="J510" s="17">
        <f ca="1">IFERROR(__xludf.DUMMYFUNCTION("""COMPUTED_VALUE"""),0.748166271376528)</f>
        <v>0.74816627137652802</v>
      </c>
      <c r="K510" s="17" t="str">
        <f ca="1">IFERROR(__xludf.DUMMYFUNCTION("""COMPUTED_VALUE"""),"nan")</f>
        <v>nan</v>
      </c>
      <c r="L510" s="17">
        <f ca="1">IFERROR(__xludf.DUMMYFUNCTION("""COMPUTED_VALUE"""),0.706698114533449)</f>
        <v>0.706698114533449</v>
      </c>
      <c r="M510" s="17">
        <f ca="1">IFERROR(__xludf.DUMMYFUNCTION("""COMPUTED_VALUE"""),0.722600382707933)</f>
        <v>0.72260038270793303</v>
      </c>
      <c r="N510" s="17">
        <f ca="1">IFERROR(__xludf.DUMMYFUNCTION("""COMPUTED_VALUE"""),0.705880098070713)</f>
        <v>0.70588009807071295</v>
      </c>
      <c r="O510" s="17">
        <f ca="1">IFERROR(__xludf.DUMMYFUNCTION("""COMPUTED_VALUE"""),0.676336180920225)</f>
        <v>0.67633618092022496</v>
      </c>
      <c r="P510" s="17">
        <f ca="1">IFERROR(__xludf.DUMMYFUNCTION("""COMPUTED_VALUE"""),0.789647564143568)</f>
        <v>0.78964756414356796</v>
      </c>
      <c r="Q510" s="17">
        <f ca="1">IFERROR(__xludf.DUMMYFUNCTION("""COMPUTED_VALUE"""),1.19256027852987)</f>
        <v>1.1925602785298699</v>
      </c>
      <c r="R510" s="17">
        <f ca="1">IFERROR(__xludf.DUMMYFUNCTION("""COMPUTED_VALUE"""),0.883884257266506)</f>
        <v>0.88388425726650599</v>
      </c>
      <c r="S510" s="17">
        <f ca="1">IFERROR(__xludf.DUMMYFUNCTION("""COMPUTED_VALUE"""),1.19590871005271)</f>
        <v>1.1959087100527099</v>
      </c>
      <c r="T510" s="17">
        <f ca="1">IFERROR(__xludf.DUMMYFUNCTION("""COMPUTED_VALUE"""),0.631435387915626)</f>
        <v>0.63143538791562603</v>
      </c>
      <c r="U510" s="17">
        <f ca="1">IFERROR(__xludf.DUMMYFUNCTION("""COMPUTED_VALUE"""),0.699998310039633)</f>
        <v>0.69999831003963298</v>
      </c>
      <c r="V510" s="17">
        <f ca="1">IFERROR(__xludf.DUMMYFUNCTION("""COMPUTED_VALUE"""),0.835092946390134)</f>
        <v>0.83509294639013398</v>
      </c>
      <c r="W510" s="17">
        <f ca="1">IFERROR(__xludf.DUMMYFUNCTION("""COMPUTED_VALUE"""),0.746710059949109)</f>
        <v>0.746710059949109</v>
      </c>
      <c r="X510" s="17">
        <f ca="1">IFERROR(__xludf.DUMMYFUNCTION("""COMPUTED_VALUE"""),0.672049475949482)</f>
        <v>0.67204947594948194</v>
      </c>
      <c r="Y510" s="17">
        <f ca="1">IFERROR(__xludf.DUMMYFUNCTION("""COMPUTED_VALUE"""),0.611723621395897)</f>
        <v>0.61172362139589698</v>
      </c>
      <c r="Z510" s="17">
        <f ca="1">IFERROR(__xludf.DUMMYFUNCTION("""COMPUTED_VALUE"""),0.683252759534139)</f>
        <v>0.683252759534139</v>
      </c>
      <c r="AA510" s="17">
        <f ca="1">IFERROR(__xludf.DUMMYFUNCTION("""COMPUTED_VALUE"""),0.836942846906892)</f>
        <v>0.83694284690689202</v>
      </c>
      <c r="AB510" s="17">
        <f ca="1">IFERROR(__xludf.DUMMYFUNCTION("""COMPUTED_VALUE"""),0.804923927432281)</f>
        <v>0.80492392743228103</v>
      </c>
      <c r="AC510" s="17">
        <f ca="1">IFERROR(__xludf.DUMMYFUNCTION("""COMPUTED_VALUE"""),0.811641907415697)</f>
        <v>0.81164190741569697</v>
      </c>
      <c r="AD510" s="17">
        <f ca="1">IFERROR(__xludf.DUMMYFUNCTION("""COMPUTED_VALUE"""),0.792216680109997)</f>
        <v>0.79221668010999702</v>
      </c>
      <c r="AE510" s="17">
        <f ca="1">IFERROR(__xludf.DUMMYFUNCTION("""COMPUTED_VALUE"""),1.22595515328308)</f>
        <v>1.2259551532830799</v>
      </c>
      <c r="AF510" s="17">
        <f ca="1">IFERROR(__xludf.DUMMYFUNCTION("""COMPUTED_VALUE"""),0.755648955259661)</f>
        <v>0.75564895525966103</v>
      </c>
      <c r="AG510" s="17">
        <f ca="1">IFERROR(__xludf.DUMMYFUNCTION("""COMPUTED_VALUE"""),1.06796526110635)</f>
        <v>1.0679652611063499</v>
      </c>
      <c r="AH510" s="17">
        <f ca="1">IFERROR(__xludf.DUMMYFUNCTION("""COMPUTED_VALUE"""),0.762480034441352)</f>
        <v>0.76248003444135204</v>
      </c>
      <c r="AI510" s="17">
        <f ca="1">IFERROR(__xludf.DUMMYFUNCTION("""COMPUTED_VALUE"""),0.982662400624238)</f>
        <v>0.98266240062423804</v>
      </c>
      <c r="AJ510" s="17">
        <f ca="1">IFERROR(__xludf.DUMMYFUNCTION("""COMPUTED_VALUE"""),0.948935718258671)</f>
        <v>0.94893571825867096</v>
      </c>
    </row>
    <row r="511" spans="2:36" ht="15.75" customHeight="1" x14ac:dyDescent="0.45">
      <c r="B511" s="10" t="str">
        <f ca="1">IFERROR(__xludf.DUMMYFUNCTION("""COMPUTED_VALUE"""),"Lightning2")</f>
        <v>Lightning2</v>
      </c>
      <c r="C511" s="10" t="str">
        <f ca="1">IFERROR(__xludf.DUMMYFUNCTION("""COMPUTED_VALUE"""),"mcar")</f>
        <v>mcar</v>
      </c>
      <c r="D511" s="10">
        <f ca="1">IFERROR(__xludf.DUMMYFUNCTION("""COMPUTED_VALUE"""),0.8)</f>
        <v>0.8</v>
      </c>
      <c r="E511" s="17">
        <f ca="1">IFERROR(__xludf.DUMMYFUNCTION("""COMPUTED_VALUE"""),1.00268096957886)</f>
        <v>1.0026809695788601</v>
      </c>
      <c r="F511" s="17">
        <f ca="1">IFERROR(__xludf.DUMMYFUNCTION("""COMPUTED_VALUE"""),0.707752032434006)</f>
        <v>0.70775203243400597</v>
      </c>
      <c r="G511" s="17">
        <f ca="1">IFERROR(__xludf.DUMMYFUNCTION("""COMPUTED_VALUE"""),0.719655205677481)</f>
        <v>0.71965520567748098</v>
      </c>
      <c r="H511" s="17">
        <f ca="1">IFERROR(__xludf.DUMMYFUNCTION("""COMPUTED_VALUE"""),0.801707926271187)</f>
        <v>0.80170792627118703</v>
      </c>
      <c r="I511" s="17">
        <f ca="1">IFERROR(__xludf.DUMMYFUNCTION("""COMPUTED_VALUE"""),0.737489356876306)</f>
        <v>0.73748935687630601</v>
      </c>
      <c r="J511" s="17">
        <f ca="1">IFERROR(__xludf.DUMMYFUNCTION("""COMPUTED_VALUE"""),0.944562379670266)</f>
        <v>0.94456237967026602</v>
      </c>
      <c r="K511" s="17" t="str">
        <f ca="1">IFERROR(__xludf.DUMMYFUNCTION("""COMPUTED_VALUE"""),"nan")</f>
        <v>nan</v>
      </c>
      <c r="L511" s="17">
        <f ca="1">IFERROR(__xludf.DUMMYFUNCTION("""COMPUTED_VALUE"""),0.717642761287039)</f>
        <v>0.71764276128703897</v>
      </c>
      <c r="M511" s="17">
        <f ca="1">IFERROR(__xludf.DUMMYFUNCTION("""COMPUTED_VALUE"""),0.731265739288587)</f>
        <v>0.73126573928858696</v>
      </c>
      <c r="N511" s="17">
        <f ca="1">IFERROR(__xludf.DUMMYFUNCTION("""COMPUTED_VALUE"""),0.785861783466236)</f>
        <v>0.78586178346623603</v>
      </c>
      <c r="O511" s="17">
        <f ca="1">IFERROR(__xludf.DUMMYFUNCTION("""COMPUTED_VALUE"""),0.680338422580916)</f>
        <v>0.68033842258091604</v>
      </c>
      <c r="P511" s="17">
        <f ca="1">IFERROR(__xludf.DUMMYFUNCTION("""COMPUTED_VALUE"""),0.930455654950364)</f>
        <v>0.93045565495036398</v>
      </c>
      <c r="Q511" s="17">
        <f ca="1">IFERROR(__xludf.DUMMYFUNCTION("""COMPUTED_VALUE"""),1.17879518948998)</f>
        <v>1.17879518948998</v>
      </c>
      <c r="R511" s="17">
        <f ca="1">IFERROR(__xludf.DUMMYFUNCTION("""COMPUTED_VALUE"""),1.00411936943849)</f>
        <v>1.00411936943849</v>
      </c>
      <c r="S511" s="17">
        <f ca="1">IFERROR(__xludf.DUMMYFUNCTION("""COMPUTED_VALUE"""),1.27953279373801)</f>
        <v>1.2795327937380101</v>
      </c>
      <c r="T511" s="17">
        <f ca="1">IFERROR(__xludf.DUMMYFUNCTION("""COMPUTED_VALUE"""),0.786674719297561)</f>
        <v>0.78667471929756105</v>
      </c>
      <c r="U511" s="17">
        <f ca="1">IFERROR(__xludf.DUMMYFUNCTION("""COMPUTED_VALUE"""),0.747345584940448)</f>
        <v>0.747345584940448</v>
      </c>
      <c r="V511" s="17">
        <f ca="1">IFERROR(__xludf.DUMMYFUNCTION("""COMPUTED_VALUE"""),1.01694072779849)</f>
        <v>1.0169407277984901</v>
      </c>
      <c r="W511" s="17">
        <f ca="1">IFERROR(__xludf.DUMMYFUNCTION("""COMPUTED_VALUE"""),0.858800263976617)</f>
        <v>0.85880026397661702</v>
      </c>
      <c r="X511" s="17">
        <f ca="1">IFERROR(__xludf.DUMMYFUNCTION("""COMPUTED_VALUE"""),0.677856282296698)</f>
        <v>0.67785628229669803</v>
      </c>
      <c r="Y511" s="17">
        <f ca="1">IFERROR(__xludf.DUMMYFUNCTION("""COMPUTED_VALUE"""),0.751563262267113)</f>
        <v>0.75156326226711301</v>
      </c>
      <c r="Z511" s="17">
        <f ca="1">IFERROR(__xludf.DUMMYFUNCTION("""COMPUTED_VALUE"""),0.824263487985888)</f>
        <v>0.824263487985888</v>
      </c>
      <c r="AA511" s="17">
        <f ca="1">IFERROR(__xludf.DUMMYFUNCTION("""COMPUTED_VALUE"""),0.886058612569542)</f>
        <v>0.88605861256954199</v>
      </c>
      <c r="AB511" s="17">
        <f ca="1">IFERROR(__xludf.DUMMYFUNCTION("""COMPUTED_VALUE"""),1.0458152945375)</f>
        <v>1.0458152945375001</v>
      </c>
      <c r="AC511" s="17">
        <f ca="1">IFERROR(__xludf.DUMMYFUNCTION("""COMPUTED_VALUE"""),0.911994533824691)</f>
        <v>0.91199453382469098</v>
      </c>
      <c r="AD511" s="17">
        <f ca="1">IFERROR(__xludf.DUMMYFUNCTION("""COMPUTED_VALUE"""),1.02977095414613)</f>
        <v>1.02977095414613</v>
      </c>
      <c r="AE511" s="17" t="str">
        <f ca="1">IFERROR(__xludf.DUMMYFUNCTION("""COMPUTED_VALUE"""),"nan")</f>
        <v>nan</v>
      </c>
      <c r="AF511" s="17">
        <f ca="1">IFERROR(__xludf.DUMMYFUNCTION("""COMPUTED_VALUE"""),0.89456898250008)</f>
        <v>0.89456898250007999</v>
      </c>
      <c r="AG511" s="17">
        <f ca="1">IFERROR(__xludf.DUMMYFUNCTION("""COMPUTED_VALUE"""),1.25167123610602)</f>
        <v>1.25167123610602</v>
      </c>
      <c r="AH511" s="17">
        <f ca="1">IFERROR(__xludf.DUMMYFUNCTION("""COMPUTED_VALUE"""),0.977481556074408)</f>
        <v>0.97748155607440801</v>
      </c>
      <c r="AI511" s="17" t="str">
        <f ca="1">IFERROR(__xludf.DUMMYFUNCTION("""COMPUTED_VALUE"""),"nan")</f>
        <v>nan</v>
      </c>
      <c r="AJ511" s="17">
        <f ca="1">IFERROR(__xludf.DUMMYFUNCTION("""COMPUTED_VALUE"""),1.06219983432379)</f>
        <v>1.0621998343237899</v>
      </c>
    </row>
    <row r="512" spans="2:36" ht="15.75" customHeight="1" x14ac:dyDescent="0.45">
      <c r="B512" s="10" t="str">
        <f ca="1">IFERROR(__xludf.DUMMYFUNCTION("""COMPUTED_VALUE"""),"Lightning7")</f>
        <v>Lightning7</v>
      </c>
      <c r="C512" s="10" t="str">
        <f ca="1">IFERROR(__xludf.DUMMYFUNCTION("""COMPUTED_VALUE"""),"aligned_series")</f>
        <v>aligned_series</v>
      </c>
      <c r="D512" s="10">
        <f ca="1">IFERROR(__xludf.DUMMYFUNCTION("""COMPUTED_VALUE"""),0.1)</f>
        <v>0.1</v>
      </c>
      <c r="E512" s="17">
        <f ca="1">IFERROR(__xludf.DUMMYFUNCTION("""COMPUTED_VALUE"""),0.664710540391958)</f>
        <v>0.66471054039195798</v>
      </c>
      <c r="F512" s="17">
        <f ca="1">IFERROR(__xludf.DUMMYFUNCTION("""COMPUTED_VALUE"""),0.140481772188602)</f>
        <v>0.140481772188602</v>
      </c>
      <c r="G512" s="17">
        <f ca="1">IFERROR(__xludf.DUMMYFUNCTION("""COMPUTED_VALUE"""),0.145731160076128)</f>
        <v>0.14573116007612799</v>
      </c>
      <c r="H512" s="17">
        <f ca="1">IFERROR(__xludf.DUMMYFUNCTION("""COMPUTED_VALUE"""),0.186343136227701)</f>
        <v>0.18634313622770099</v>
      </c>
      <c r="I512" s="17">
        <f ca="1">IFERROR(__xludf.DUMMYFUNCTION("""COMPUTED_VALUE"""),0.298852874527157)</f>
        <v>0.29885287452715698</v>
      </c>
      <c r="J512" s="17">
        <f ca="1">IFERROR(__xludf.DUMMYFUNCTION("""COMPUTED_VALUE"""),0.120055435601374)</f>
        <v>0.12005543560137399</v>
      </c>
      <c r="K512" s="17" t="str">
        <f ca="1">IFERROR(__xludf.DUMMYFUNCTION("""COMPUTED_VALUE"""),"nan")</f>
        <v>nan</v>
      </c>
      <c r="L512" s="17">
        <f ca="1">IFERROR(__xludf.DUMMYFUNCTION("""COMPUTED_VALUE"""),0.310591757383347)</f>
        <v>0.31059175738334699</v>
      </c>
      <c r="M512" s="17">
        <f ca="1">IFERROR(__xludf.DUMMYFUNCTION("""COMPUTED_VALUE"""),0.130002230620747)</f>
        <v>0.13000223062074701</v>
      </c>
      <c r="N512" s="17">
        <f ca="1">IFERROR(__xludf.DUMMYFUNCTION("""COMPUTED_VALUE"""),0.217705322780755)</f>
        <v>0.217705322780755</v>
      </c>
      <c r="O512" s="17">
        <f ca="1">IFERROR(__xludf.DUMMYFUNCTION("""COMPUTED_VALUE"""),0.190834106853287)</f>
        <v>0.190834106853287</v>
      </c>
      <c r="P512" s="17">
        <f ca="1">IFERROR(__xludf.DUMMYFUNCTION("""COMPUTED_VALUE"""),0.548680725319274)</f>
        <v>0.54868072531927403</v>
      </c>
      <c r="Q512" s="17">
        <f ca="1">IFERROR(__xludf.DUMMYFUNCTION("""COMPUTED_VALUE"""),0.424392227093819)</f>
        <v>0.42439222709381902</v>
      </c>
      <c r="R512" s="17">
        <f ca="1">IFERROR(__xludf.DUMMYFUNCTION("""COMPUTED_VALUE"""),0.185041573078461)</f>
        <v>0.185041573078461</v>
      </c>
      <c r="S512" s="17">
        <f ca="1">IFERROR(__xludf.DUMMYFUNCTION("""COMPUTED_VALUE"""),0.260409825873188)</f>
        <v>0.26040982587318801</v>
      </c>
      <c r="T512" s="17">
        <f ca="1">IFERROR(__xludf.DUMMYFUNCTION("""COMPUTED_VALUE"""),0.362509537412239)</f>
        <v>0.36250953741223901</v>
      </c>
      <c r="U512" s="17">
        <f ca="1">IFERROR(__xludf.DUMMYFUNCTION("""COMPUTED_VALUE"""),0.16815275954084)</f>
        <v>0.16815275954084</v>
      </c>
      <c r="V512" s="17">
        <f ca="1">IFERROR(__xludf.DUMMYFUNCTION("""COMPUTED_VALUE"""),0.344139277456652)</f>
        <v>0.34413927745665202</v>
      </c>
      <c r="W512" s="17">
        <f ca="1">IFERROR(__xludf.DUMMYFUNCTION("""COMPUTED_VALUE"""),0.211878863918306)</f>
        <v>0.21187886391830599</v>
      </c>
      <c r="X512" s="17">
        <f ca="1">IFERROR(__xludf.DUMMYFUNCTION("""COMPUTED_VALUE"""),0.353400215163108)</f>
        <v>0.35340021516310799</v>
      </c>
      <c r="Y512" s="17">
        <f ca="1">IFERROR(__xludf.DUMMYFUNCTION("""COMPUTED_VALUE"""),0.17016690297427)</f>
        <v>0.17016690297427001</v>
      </c>
      <c r="Z512" s="17">
        <f ca="1">IFERROR(__xludf.DUMMYFUNCTION("""COMPUTED_VALUE"""),0.158471471352607)</f>
        <v>0.158471471352607</v>
      </c>
      <c r="AA512" s="17">
        <f ca="1">IFERROR(__xludf.DUMMYFUNCTION("""COMPUTED_VALUE"""),0.114873359783993)</f>
        <v>0.114873359783993</v>
      </c>
      <c r="AB512" s="17">
        <f ca="1">IFERROR(__xludf.DUMMYFUNCTION("""COMPUTED_VALUE"""),0.248087528000369)</f>
        <v>0.24808752800036901</v>
      </c>
      <c r="AC512" s="17">
        <f ca="1">IFERROR(__xludf.DUMMYFUNCTION("""COMPUTED_VALUE"""),0.799397344232719)</f>
        <v>0.79939734423271902</v>
      </c>
      <c r="AD512" s="17">
        <f ca="1">IFERROR(__xludf.DUMMYFUNCTION("""COMPUTED_VALUE"""),0.195198992933444)</f>
        <v>0.195198992933444</v>
      </c>
      <c r="AE512" s="17">
        <f ca="1">IFERROR(__xludf.DUMMYFUNCTION("""COMPUTED_VALUE"""),1.07952465871298)</f>
        <v>1.0795246587129801</v>
      </c>
      <c r="AF512" s="17">
        <f ca="1">IFERROR(__xludf.DUMMYFUNCTION("""COMPUTED_VALUE"""),0.237605323362824)</f>
        <v>0.237605323362824</v>
      </c>
      <c r="AG512" s="17">
        <f ca="1">IFERROR(__xludf.DUMMYFUNCTION("""COMPUTED_VALUE"""),0.433507761346744)</f>
        <v>0.43350776134674401</v>
      </c>
      <c r="AH512" s="17">
        <f ca="1">IFERROR(__xludf.DUMMYFUNCTION("""COMPUTED_VALUE"""),0.253996604556461)</f>
        <v>0.253996604556461</v>
      </c>
      <c r="AI512" s="17">
        <f ca="1">IFERROR(__xludf.DUMMYFUNCTION("""COMPUTED_VALUE"""),0.229333609730007)</f>
        <v>0.22933360973000699</v>
      </c>
      <c r="AJ512" s="17">
        <f ca="1">IFERROR(__xludf.DUMMYFUNCTION("""COMPUTED_VALUE"""),0.285274533789367)</f>
        <v>0.28527453378936701</v>
      </c>
    </row>
    <row r="513" spans="2:36" ht="15.75" customHeight="1" x14ac:dyDescent="0.45">
      <c r="B513" s="10" t="str">
        <f ca="1">IFERROR(__xludf.DUMMYFUNCTION("""COMPUTED_VALUE"""),"Lightning7")</f>
        <v>Lightning7</v>
      </c>
      <c r="C513" s="10" t="str">
        <f ca="1">IFERROR(__xludf.DUMMYFUNCTION("""COMPUTED_VALUE"""),"aligned_series")</f>
        <v>aligned_series</v>
      </c>
      <c r="D513" s="10">
        <f ca="1">IFERROR(__xludf.DUMMYFUNCTION("""COMPUTED_VALUE"""),0.2)</f>
        <v>0.2</v>
      </c>
      <c r="E513" s="17">
        <f ca="1">IFERROR(__xludf.DUMMYFUNCTION("""COMPUTED_VALUE"""),0.810104678106742)</f>
        <v>0.81010467810674203</v>
      </c>
      <c r="F513" s="17">
        <f ca="1">IFERROR(__xludf.DUMMYFUNCTION("""COMPUTED_VALUE"""),0.273589317625442)</f>
        <v>0.27358931762544197</v>
      </c>
      <c r="G513" s="17">
        <f ca="1">IFERROR(__xludf.DUMMYFUNCTION("""COMPUTED_VALUE"""),0.269933990012803)</f>
        <v>0.26993399001280299</v>
      </c>
      <c r="H513" s="17">
        <f ca="1">IFERROR(__xludf.DUMMYFUNCTION("""COMPUTED_VALUE"""),0.249272951259001)</f>
        <v>0.24927295125900101</v>
      </c>
      <c r="I513" s="17">
        <f ca="1">IFERROR(__xludf.DUMMYFUNCTION("""COMPUTED_VALUE"""),0.447077173166689)</f>
        <v>0.44707717316668899</v>
      </c>
      <c r="J513" s="17">
        <f ca="1">IFERROR(__xludf.DUMMYFUNCTION("""COMPUTED_VALUE"""),0.195870747599962)</f>
        <v>0.19587074759996201</v>
      </c>
      <c r="K513" s="17" t="str">
        <f ca="1">IFERROR(__xludf.DUMMYFUNCTION("""COMPUTED_VALUE"""),"nan")</f>
        <v>nan</v>
      </c>
      <c r="L513" s="17">
        <f ca="1">IFERROR(__xludf.DUMMYFUNCTION("""COMPUTED_VALUE"""),0.322255754267476)</f>
        <v>0.32225575426747599</v>
      </c>
      <c r="M513" s="17">
        <f ca="1">IFERROR(__xludf.DUMMYFUNCTION("""COMPUTED_VALUE"""),0.235453171270396)</f>
        <v>0.235453171270396</v>
      </c>
      <c r="N513" s="17">
        <f ca="1">IFERROR(__xludf.DUMMYFUNCTION("""COMPUTED_VALUE"""),0.312721096698593)</f>
        <v>0.31272109669859299</v>
      </c>
      <c r="O513" s="17">
        <f ca="1">IFERROR(__xludf.DUMMYFUNCTION("""COMPUTED_VALUE"""),0.262097457598175)</f>
        <v>0.26209745759817499</v>
      </c>
      <c r="P513" s="17">
        <f ca="1">IFERROR(__xludf.DUMMYFUNCTION("""COMPUTED_VALUE"""),1.13861304865597)</f>
        <v>1.13861304865597</v>
      </c>
      <c r="Q513" s="17">
        <f ca="1">IFERROR(__xludf.DUMMYFUNCTION("""COMPUTED_VALUE"""),0.342942665375076)</f>
        <v>0.34294266537507601</v>
      </c>
      <c r="R513" s="17">
        <f ca="1">IFERROR(__xludf.DUMMYFUNCTION("""COMPUTED_VALUE"""),0.319637950304657)</f>
        <v>0.31963795030465703</v>
      </c>
      <c r="S513" s="17">
        <f ca="1">IFERROR(__xludf.DUMMYFUNCTION("""COMPUTED_VALUE"""),0.402245522150891)</f>
        <v>0.40224552215089099</v>
      </c>
      <c r="T513" s="17">
        <f ca="1">IFERROR(__xludf.DUMMYFUNCTION("""COMPUTED_VALUE"""),0.417434136527602)</f>
        <v>0.41743413652760197</v>
      </c>
      <c r="U513" s="17">
        <f ca="1">IFERROR(__xludf.DUMMYFUNCTION("""COMPUTED_VALUE"""),0.273985918388244)</f>
        <v>0.27398591838824399</v>
      </c>
      <c r="V513" s="17">
        <f ca="1">IFERROR(__xludf.DUMMYFUNCTION("""COMPUTED_VALUE"""),0.40664287721725)</f>
        <v>0.40664287721725001</v>
      </c>
      <c r="W513" s="17">
        <f ca="1">IFERROR(__xludf.DUMMYFUNCTION("""COMPUTED_VALUE"""),0.41564018041955)</f>
        <v>0.41564018041954998</v>
      </c>
      <c r="X513" s="17">
        <f ca="1">IFERROR(__xludf.DUMMYFUNCTION("""COMPUTED_VALUE"""),0.477137768742372)</f>
        <v>0.47713776874237201</v>
      </c>
      <c r="Y513" s="17">
        <f ca="1">IFERROR(__xludf.DUMMYFUNCTION("""COMPUTED_VALUE"""),0.31430188834156)</f>
        <v>0.31430188834155998</v>
      </c>
      <c r="Z513" s="17">
        <f ca="1">IFERROR(__xludf.DUMMYFUNCTION("""COMPUTED_VALUE"""),0.25979000736065)</f>
        <v>0.25979000736065</v>
      </c>
      <c r="AA513" s="17">
        <f ca="1">IFERROR(__xludf.DUMMYFUNCTION("""COMPUTED_VALUE"""),0.178029061942091)</f>
        <v>0.178029061942091</v>
      </c>
      <c r="AB513" s="17">
        <f ca="1">IFERROR(__xludf.DUMMYFUNCTION("""COMPUTED_VALUE"""),0.398352479846919)</f>
        <v>0.39835247984691902</v>
      </c>
      <c r="AC513" s="17">
        <f ca="1">IFERROR(__xludf.DUMMYFUNCTION("""COMPUTED_VALUE"""),0.778443266359673)</f>
        <v>0.77844326635967298</v>
      </c>
      <c r="AD513" s="17">
        <f ca="1">IFERROR(__xludf.DUMMYFUNCTION("""COMPUTED_VALUE"""),0.3638664096402)</f>
        <v>0.36386640964020001</v>
      </c>
      <c r="AE513" s="17">
        <f ca="1">IFERROR(__xludf.DUMMYFUNCTION("""COMPUTED_VALUE"""),1.20880273959391)</f>
        <v>1.20880273959391</v>
      </c>
      <c r="AF513" s="17">
        <f ca="1">IFERROR(__xludf.DUMMYFUNCTION("""COMPUTED_VALUE"""),0.326523788322327)</f>
        <v>0.32652378832232698</v>
      </c>
      <c r="AG513" s="17">
        <f ca="1">IFERROR(__xludf.DUMMYFUNCTION("""COMPUTED_VALUE"""),0.479187696979204)</f>
        <v>0.47918769697920399</v>
      </c>
      <c r="AH513" s="17">
        <f ca="1">IFERROR(__xludf.DUMMYFUNCTION("""COMPUTED_VALUE"""),0.33591902219111)</f>
        <v>0.33591902219110997</v>
      </c>
      <c r="AI513" s="17">
        <f ca="1">IFERROR(__xludf.DUMMYFUNCTION("""COMPUTED_VALUE"""),0.303320847714071)</f>
        <v>0.30332084771407097</v>
      </c>
      <c r="AJ513" s="17">
        <f ca="1">IFERROR(__xludf.DUMMYFUNCTION("""COMPUTED_VALUE"""),0.381526392688356)</f>
        <v>0.38152639268835598</v>
      </c>
    </row>
    <row r="514" spans="2:36" ht="15.75" customHeight="1" x14ac:dyDescent="0.45">
      <c r="B514" s="10" t="str">
        <f ca="1">IFERROR(__xludf.DUMMYFUNCTION("""COMPUTED_VALUE"""),"Lightning7")</f>
        <v>Lightning7</v>
      </c>
      <c r="C514" s="10" t="str">
        <f ca="1">IFERROR(__xludf.DUMMYFUNCTION("""COMPUTED_VALUE"""),"aligned_series")</f>
        <v>aligned_series</v>
      </c>
      <c r="D514" s="10">
        <f ca="1">IFERROR(__xludf.DUMMYFUNCTION("""COMPUTED_VALUE"""),0.4)</f>
        <v>0.4</v>
      </c>
      <c r="E514" s="17">
        <f ca="1">IFERROR(__xludf.DUMMYFUNCTION("""COMPUTED_VALUE"""),0.84479384173123)</f>
        <v>0.84479384173122996</v>
      </c>
      <c r="F514" s="17">
        <f ca="1">IFERROR(__xludf.DUMMYFUNCTION("""COMPUTED_VALUE"""),0.364707498885945)</f>
        <v>0.364707498885945</v>
      </c>
      <c r="G514" s="17">
        <f ca="1">IFERROR(__xludf.DUMMYFUNCTION("""COMPUTED_VALUE"""),0.474743611125023)</f>
        <v>0.474743611125023</v>
      </c>
      <c r="H514" s="17">
        <f ca="1">IFERROR(__xludf.DUMMYFUNCTION("""COMPUTED_VALUE"""),0.263904858889324)</f>
        <v>0.26390485888932402</v>
      </c>
      <c r="I514" s="17">
        <f ca="1">IFERROR(__xludf.DUMMYFUNCTION("""COMPUTED_VALUE"""),0.522426750581657)</f>
        <v>0.522426750581657</v>
      </c>
      <c r="J514" s="17">
        <f ca="1">IFERROR(__xludf.DUMMYFUNCTION("""COMPUTED_VALUE"""),0.290308595523528)</f>
        <v>0.290308595523528</v>
      </c>
      <c r="K514" s="17" t="str">
        <f ca="1">IFERROR(__xludf.DUMMYFUNCTION("""COMPUTED_VALUE"""),"nan")</f>
        <v>nan</v>
      </c>
      <c r="L514" s="17">
        <f ca="1">IFERROR(__xludf.DUMMYFUNCTION("""COMPUTED_VALUE"""),0.441693492461067)</f>
        <v>0.44169349246106698</v>
      </c>
      <c r="M514" s="17">
        <f ca="1">IFERROR(__xludf.DUMMYFUNCTION("""COMPUTED_VALUE"""),0.26959268338836)</f>
        <v>0.26959268338836001</v>
      </c>
      <c r="N514" s="17">
        <f ca="1">IFERROR(__xludf.DUMMYFUNCTION("""COMPUTED_VALUE"""),0.287143814511475)</f>
        <v>0.28714381451147503</v>
      </c>
      <c r="O514" s="17">
        <f ca="1">IFERROR(__xludf.DUMMYFUNCTION("""COMPUTED_VALUE"""),0.31082369881164)</f>
        <v>0.31082369881164001</v>
      </c>
      <c r="P514" s="17">
        <f ca="1">IFERROR(__xludf.DUMMYFUNCTION("""COMPUTED_VALUE"""),1.22787104607066)</f>
        <v>1.2278710460706601</v>
      </c>
      <c r="Q514" s="17">
        <f ca="1">IFERROR(__xludf.DUMMYFUNCTION("""COMPUTED_VALUE"""),0.349578793777022)</f>
        <v>0.349578793777022</v>
      </c>
      <c r="R514" s="17">
        <f ca="1">IFERROR(__xludf.DUMMYFUNCTION("""COMPUTED_VALUE"""),0.52983430563465)</f>
        <v>0.52983430563464995</v>
      </c>
      <c r="S514" s="17">
        <f ca="1">IFERROR(__xludf.DUMMYFUNCTION("""COMPUTED_VALUE"""),0.574272779184386)</f>
        <v>0.57427277918438602</v>
      </c>
      <c r="T514" s="17">
        <f ca="1">IFERROR(__xludf.DUMMYFUNCTION("""COMPUTED_VALUE"""),0.565154614240667)</f>
        <v>0.56515461424066704</v>
      </c>
      <c r="U514" s="17">
        <f ca="1">IFERROR(__xludf.DUMMYFUNCTION("""COMPUTED_VALUE"""),0.350123057388408)</f>
        <v>0.35012305738840799</v>
      </c>
      <c r="V514" s="17">
        <f ca="1">IFERROR(__xludf.DUMMYFUNCTION("""COMPUTED_VALUE"""),0.439282991879846)</f>
        <v>0.43928299187984599</v>
      </c>
      <c r="W514" s="17">
        <f ca="1">IFERROR(__xludf.DUMMYFUNCTION("""COMPUTED_VALUE"""),0.381967152389304)</f>
        <v>0.38196715238930401</v>
      </c>
      <c r="X514" s="17">
        <f ca="1">IFERROR(__xludf.DUMMYFUNCTION("""COMPUTED_VALUE"""),0.46010189358164)</f>
        <v>0.46010189358164</v>
      </c>
      <c r="Y514" s="17">
        <f ca="1">IFERROR(__xludf.DUMMYFUNCTION("""COMPUTED_VALUE"""),0.31578574966319)</f>
        <v>0.31578574966319001</v>
      </c>
      <c r="Z514" s="17">
        <f ca="1">IFERROR(__xludf.DUMMYFUNCTION("""COMPUTED_VALUE"""),0.242675747322555)</f>
        <v>0.24267574732255501</v>
      </c>
      <c r="AA514" s="17">
        <f ca="1">IFERROR(__xludf.DUMMYFUNCTION("""COMPUTED_VALUE"""),0.190122232043909)</f>
        <v>0.19012223204390899</v>
      </c>
      <c r="AB514" s="17">
        <f ca="1">IFERROR(__xludf.DUMMYFUNCTION("""COMPUTED_VALUE"""),0.611269588830724)</f>
        <v>0.61126958883072402</v>
      </c>
      <c r="AC514" s="17">
        <f ca="1">IFERROR(__xludf.DUMMYFUNCTION("""COMPUTED_VALUE"""),0.761946241530366)</f>
        <v>0.76194624153036605</v>
      </c>
      <c r="AD514" s="17">
        <f ca="1">IFERROR(__xludf.DUMMYFUNCTION("""COMPUTED_VALUE"""),0.370821036882979)</f>
        <v>0.37082103688297902</v>
      </c>
      <c r="AE514" s="17">
        <f ca="1">IFERROR(__xludf.DUMMYFUNCTION("""COMPUTED_VALUE"""),1.23761193059106)</f>
        <v>1.23761193059106</v>
      </c>
      <c r="AF514" s="17">
        <f ca="1">IFERROR(__xludf.DUMMYFUNCTION("""COMPUTED_VALUE"""),0.341418769822678)</f>
        <v>0.34141876982267799</v>
      </c>
      <c r="AG514" s="17">
        <f ca="1">IFERROR(__xludf.DUMMYFUNCTION("""COMPUTED_VALUE"""),0.511607858032371)</f>
        <v>0.51160785803237097</v>
      </c>
      <c r="AH514" s="17">
        <f ca="1">IFERROR(__xludf.DUMMYFUNCTION("""COMPUTED_VALUE"""),0.330394434913913)</f>
        <v>0.33039443491391302</v>
      </c>
      <c r="AI514" s="17">
        <f ca="1">IFERROR(__xludf.DUMMYFUNCTION("""COMPUTED_VALUE"""),0.299296720528515)</f>
        <v>0.29929672052851503</v>
      </c>
      <c r="AJ514" s="17">
        <f ca="1">IFERROR(__xludf.DUMMYFUNCTION("""COMPUTED_VALUE"""),0.446249718766503)</f>
        <v>0.44624971876650299</v>
      </c>
    </row>
    <row r="515" spans="2:36" ht="15.75" customHeight="1" x14ac:dyDescent="0.45">
      <c r="B515" s="10" t="str">
        <f ca="1">IFERROR(__xludf.DUMMYFUNCTION("""COMPUTED_VALUE"""),"Lightning7")</f>
        <v>Lightning7</v>
      </c>
      <c r="C515" s="10" t="str">
        <f ca="1">IFERROR(__xludf.DUMMYFUNCTION("""COMPUTED_VALUE"""),"aligned_series")</f>
        <v>aligned_series</v>
      </c>
      <c r="D515" s="10">
        <f ca="1">IFERROR(__xludf.DUMMYFUNCTION("""COMPUTED_VALUE"""),0.6)</f>
        <v>0.6</v>
      </c>
      <c r="E515" s="17">
        <f ca="1">IFERROR(__xludf.DUMMYFUNCTION("""COMPUTED_VALUE"""),0.825312443629351)</f>
        <v>0.82531244362935097</v>
      </c>
      <c r="F515" s="17">
        <f ca="1">IFERROR(__xludf.DUMMYFUNCTION("""COMPUTED_VALUE"""),0.294364229810778)</f>
        <v>0.29436422981077798</v>
      </c>
      <c r="G515" s="17">
        <f ca="1">IFERROR(__xludf.DUMMYFUNCTION("""COMPUTED_VALUE"""),0.324999596397845)</f>
        <v>0.32499959639784498</v>
      </c>
      <c r="H515" s="17">
        <f ca="1">IFERROR(__xludf.DUMMYFUNCTION("""COMPUTED_VALUE"""),0.284694117831077)</f>
        <v>0.28469411783107701</v>
      </c>
      <c r="I515" s="17">
        <f ca="1">IFERROR(__xludf.DUMMYFUNCTION("""COMPUTED_VALUE"""),0.517932372944024)</f>
        <v>0.51793237294402406</v>
      </c>
      <c r="J515" s="17">
        <f ca="1">IFERROR(__xludf.DUMMYFUNCTION("""COMPUTED_VALUE"""),0.275337955146688)</f>
        <v>0.27533795514668802</v>
      </c>
      <c r="K515" s="17" t="str">
        <f ca="1">IFERROR(__xludf.DUMMYFUNCTION("""COMPUTED_VALUE"""),"nan")</f>
        <v>nan</v>
      </c>
      <c r="L515" s="17">
        <f ca="1">IFERROR(__xludf.DUMMYFUNCTION("""COMPUTED_VALUE"""),0.487853121576422)</f>
        <v>0.48785312157642202</v>
      </c>
      <c r="M515" s="17">
        <f ca="1">IFERROR(__xludf.DUMMYFUNCTION("""COMPUTED_VALUE"""),0.259048684095124)</f>
        <v>0.25904868409512399</v>
      </c>
      <c r="N515" s="17">
        <f ca="1">IFERROR(__xludf.DUMMYFUNCTION("""COMPUTED_VALUE"""),0.27659025448208)</f>
        <v>0.27659025448208002</v>
      </c>
      <c r="O515" s="17">
        <f ca="1">IFERROR(__xludf.DUMMYFUNCTION("""COMPUTED_VALUE"""),0.296409750263261)</f>
        <v>0.296409750263261</v>
      </c>
      <c r="P515" s="17">
        <f ca="1">IFERROR(__xludf.DUMMYFUNCTION("""COMPUTED_VALUE"""),1.30879092669409)</f>
        <v>1.30879092669409</v>
      </c>
      <c r="Q515" s="17">
        <f ca="1">IFERROR(__xludf.DUMMYFUNCTION("""COMPUTED_VALUE"""),0.46750120308389)</f>
        <v>0.46750120308388998</v>
      </c>
      <c r="R515" s="17">
        <f ca="1">IFERROR(__xludf.DUMMYFUNCTION("""COMPUTED_VALUE"""),0.580969439053678)</f>
        <v>0.58096943905367804</v>
      </c>
      <c r="S515" s="17">
        <f ca="1">IFERROR(__xludf.DUMMYFUNCTION("""COMPUTED_VALUE"""),0.625546860399778)</f>
        <v>0.62554686039977803</v>
      </c>
      <c r="T515" s="17">
        <f ca="1">IFERROR(__xludf.DUMMYFUNCTION("""COMPUTED_VALUE"""),0.386368571695428)</f>
        <v>0.38636857169542799</v>
      </c>
      <c r="U515" s="17">
        <f ca="1">IFERROR(__xludf.DUMMYFUNCTION("""COMPUTED_VALUE"""),0.365344046244296)</f>
        <v>0.36534404624429601</v>
      </c>
      <c r="V515" s="17">
        <f ca="1">IFERROR(__xludf.DUMMYFUNCTION("""COMPUTED_VALUE"""),0.37133977638766)</f>
        <v>0.37133977638766003</v>
      </c>
      <c r="W515" s="17">
        <f ca="1">IFERROR(__xludf.DUMMYFUNCTION("""COMPUTED_VALUE"""),0.314749407483381)</f>
        <v>0.31474940748338098</v>
      </c>
      <c r="X515" s="17">
        <f ca="1">IFERROR(__xludf.DUMMYFUNCTION("""COMPUTED_VALUE"""),0.458591415969819)</f>
        <v>0.45859141596981901</v>
      </c>
      <c r="Y515" s="17">
        <f ca="1">IFERROR(__xludf.DUMMYFUNCTION("""COMPUTED_VALUE"""),0.273248532873786)</f>
        <v>0.27324853287378598</v>
      </c>
      <c r="Z515" s="17">
        <f ca="1">IFERROR(__xludf.DUMMYFUNCTION("""COMPUTED_VALUE"""),0.228608053699739)</f>
        <v>0.22860805369973899</v>
      </c>
      <c r="AA515" s="17">
        <f ca="1">IFERROR(__xludf.DUMMYFUNCTION("""COMPUTED_VALUE"""),0.188226411339143)</f>
        <v>0.188226411339143</v>
      </c>
      <c r="AB515" s="17">
        <f ca="1">IFERROR(__xludf.DUMMYFUNCTION("""COMPUTED_VALUE"""),1.13202440436554)</f>
        <v>1.1320244043655401</v>
      </c>
      <c r="AC515" s="17">
        <f ca="1">IFERROR(__xludf.DUMMYFUNCTION("""COMPUTED_VALUE"""),0.624416724637618)</f>
        <v>0.62441672463761799</v>
      </c>
      <c r="AD515" s="17">
        <f ca="1">IFERROR(__xludf.DUMMYFUNCTION("""COMPUTED_VALUE"""),0.339976725129406)</f>
        <v>0.33997672512940602</v>
      </c>
      <c r="AE515" s="17">
        <f ca="1">IFERROR(__xludf.DUMMYFUNCTION("""COMPUTED_VALUE"""),1.18615953937688)</f>
        <v>1.18615953937688</v>
      </c>
      <c r="AF515" s="17">
        <f ca="1">IFERROR(__xludf.DUMMYFUNCTION("""COMPUTED_VALUE"""),0.308277851157231)</f>
        <v>0.308277851157231</v>
      </c>
      <c r="AG515" s="17">
        <f ca="1">IFERROR(__xludf.DUMMYFUNCTION("""COMPUTED_VALUE"""),0.419043268824819)</f>
        <v>0.41904326882481902</v>
      </c>
      <c r="AH515" s="17">
        <f ca="1">IFERROR(__xludf.DUMMYFUNCTION("""COMPUTED_VALUE"""),0.29936373850393)</f>
        <v>0.29936373850393</v>
      </c>
      <c r="AI515" s="17">
        <f ca="1">IFERROR(__xludf.DUMMYFUNCTION("""COMPUTED_VALUE"""),0.272110809946599)</f>
        <v>0.27211080994659897</v>
      </c>
      <c r="AJ515" s="17">
        <f ca="1">IFERROR(__xludf.DUMMYFUNCTION("""COMPUTED_VALUE"""),0.403494602377863)</f>
        <v>0.403494602377863</v>
      </c>
    </row>
    <row r="516" spans="2:36" ht="15.75" customHeight="1" x14ac:dyDescent="0.45">
      <c r="B516" s="10" t="str">
        <f ca="1">IFERROR(__xludf.DUMMYFUNCTION("""COMPUTED_VALUE"""),"Lightning7")</f>
        <v>Lightning7</v>
      </c>
      <c r="C516" s="10" t="str">
        <f ca="1">IFERROR(__xludf.DUMMYFUNCTION("""COMPUTED_VALUE"""),"aligned_series")</f>
        <v>aligned_series</v>
      </c>
      <c r="D516" s="10">
        <f ca="1">IFERROR(__xludf.DUMMYFUNCTION("""COMPUTED_VALUE"""),0.8)</f>
        <v>0.8</v>
      </c>
      <c r="E516" s="17">
        <f ca="1">IFERROR(__xludf.DUMMYFUNCTION("""COMPUTED_VALUE"""),0.85629011398943)</f>
        <v>0.85629011398943</v>
      </c>
      <c r="F516" s="17">
        <f ca="1">IFERROR(__xludf.DUMMYFUNCTION("""COMPUTED_VALUE"""),0.432041834743593)</f>
        <v>0.43204183474359298</v>
      </c>
      <c r="G516" s="17">
        <f ca="1">IFERROR(__xludf.DUMMYFUNCTION("""COMPUTED_VALUE"""),0.437234119142356)</f>
        <v>0.43723411914235599</v>
      </c>
      <c r="H516" s="17">
        <f ca="1">IFERROR(__xludf.DUMMYFUNCTION("""COMPUTED_VALUE"""),0.572546567138551)</f>
        <v>0.57254656713855101</v>
      </c>
      <c r="I516" s="17">
        <f ca="1">IFERROR(__xludf.DUMMYFUNCTION("""COMPUTED_VALUE"""),0.597282601654023)</f>
        <v>0.59728260165402303</v>
      </c>
      <c r="J516" s="17">
        <f ca="1">IFERROR(__xludf.DUMMYFUNCTION("""COMPUTED_VALUE"""),0.351174272166626)</f>
        <v>0.351174272166626</v>
      </c>
      <c r="K516" s="17" t="str">
        <f ca="1">IFERROR(__xludf.DUMMYFUNCTION("""COMPUTED_VALUE"""),"nan")</f>
        <v>nan</v>
      </c>
      <c r="L516" s="17">
        <f ca="1">IFERROR(__xludf.DUMMYFUNCTION("""COMPUTED_VALUE"""),0.691955500162957)</f>
        <v>0.69195550016295704</v>
      </c>
      <c r="M516" s="17">
        <f ca="1">IFERROR(__xludf.DUMMYFUNCTION("""COMPUTED_VALUE"""),0.319273469319814)</f>
        <v>0.31927346931981399</v>
      </c>
      <c r="N516" s="17">
        <f ca="1">IFERROR(__xludf.DUMMYFUNCTION("""COMPUTED_VALUE"""),0.299998727054669)</f>
        <v>0.29999872705466901</v>
      </c>
      <c r="O516" s="17">
        <f ca="1">IFERROR(__xludf.DUMMYFUNCTION("""COMPUTED_VALUE"""),0.324737767653383)</f>
        <v>0.32473776765338302</v>
      </c>
      <c r="P516" s="17">
        <f ca="1">IFERROR(__xludf.DUMMYFUNCTION("""COMPUTED_VALUE"""),1.39151868349308)</f>
        <v>1.3915186834930799</v>
      </c>
      <c r="Q516" s="17">
        <f ca="1">IFERROR(__xludf.DUMMYFUNCTION("""COMPUTED_VALUE"""),0.632080534299291)</f>
        <v>0.63208053429929101</v>
      </c>
      <c r="R516" s="17">
        <f ca="1">IFERROR(__xludf.DUMMYFUNCTION("""COMPUTED_VALUE"""),0.738244408306345)</f>
        <v>0.73824440830634497</v>
      </c>
      <c r="S516" s="17">
        <f ca="1">IFERROR(__xludf.DUMMYFUNCTION("""COMPUTED_VALUE"""),0.655732295786608)</f>
        <v>0.65573229578660797</v>
      </c>
      <c r="T516" s="17">
        <f ca="1">IFERROR(__xludf.DUMMYFUNCTION("""COMPUTED_VALUE"""),0.365669777927153)</f>
        <v>0.36566977792715299</v>
      </c>
      <c r="U516" s="17">
        <f ca="1">IFERROR(__xludf.DUMMYFUNCTION("""COMPUTED_VALUE"""),0.327439749028978)</f>
        <v>0.32743974902897799</v>
      </c>
      <c r="V516" s="17">
        <f ca="1">IFERROR(__xludf.DUMMYFUNCTION("""COMPUTED_VALUE"""),0.450249522922125)</f>
        <v>0.450249522922125</v>
      </c>
      <c r="W516" s="17">
        <f ca="1">IFERROR(__xludf.DUMMYFUNCTION("""COMPUTED_VALUE"""),0.314864121248048)</f>
        <v>0.31486412124804802</v>
      </c>
      <c r="X516" s="17">
        <f ca="1">IFERROR(__xludf.DUMMYFUNCTION("""COMPUTED_VALUE"""),0.446048293206098)</f>
        <v>0.44604829320609801</v>
      </c>
      <c r="Y516" s="17">
        <f ca="1">IFERROR(__xludf.DUMMYFUNCTION("""COMPUTED_VALUE"""),0.251800600487925)</f>
        <v>0.25180060048792502</v>
      </c>
      <c r="Z516" s="17">
        <f ca="1">IFERROR(__xludf.DUMMYFUNCTION("""COMPUTED_VALUE"""),0.243577808054074)</f>
        <v>0.243577808054074</v>
      </c>
      <c r="AA516" s="17">
        <f ca="1">IFERROR(__xludf.DUMMYFUNCTION("""COMPUTED_VALUE"""),0.296338409287668)</f>
        <v>0.29633840928766803</v>
      </c>
      <c r="AB516" s="17">
        <f ca="1">IFERROR(__xludf.DUMMYFUNCTION("""COMPUTED_VALUE"""),2.48699349864846)</f>
        <v>2.4869934986484599</v>
      </c>
      <c r="AC516" s="17">
        <f ca="1">IFERROR(__xludf.DUMMYFUNCTION("""COMPUTED_VALUE"""),0.626063331313989)</f>
        <v>0.62606333131398895</v>
      </c>
      <c r="AD516" s="17">
        <f ca="1">IFERROR(__xludf.DUMMYFUNCTION("""COMPUTED_VALUE"""),0.347404900334554)</f>
        <v>0.34740490033455401</v>
      </c>
      <c r="AE516" s="17">
        <f ca="1">IFERROR(__xludf.DUMMYFUNCTION("""COMPUTED_VALUE"""),1.20833302720808)</f>
        <v>1.2083330272080799</v>
      </c>
      <c r="AF516" s="17">
        <f ca="1">IFERROR(__xludf.DUMMYFUNCTION("""COMPUTED_VALUE"""),0.492714613329202)</f>
        <v>0.49271461332920202</v>
      </c>
      <c r="AG516" s="17">
        <f ca="1">IFERROR(__xludf.DUMMYFUNCTION("""COMPUTED_VALUE"""),0.471706837178201)</f>
        <v>0.471706837178201</v>
      </c>
      <c r="AH516" s="17">
        <f ca="1">IFERROR(__xludf.DUMMYFUNCTION("""COMPUTED_VALUE"""),0.295452332580882)</f>
        <v>0.29545233258088199</v>
      </c>
      <c r="AI516" s="17">
        <f ca="1">IFERROR(__xludf.DUMMYFUNCTION("""COMPUTED_VALUE"""),0.269970678108605)</f>
        <v>0.26997067810860498</v>
      </c>
      <c r="AJ516" s="17">
        <f ca="1">IFERROR(__xludf.DUMMYFUNCTION("""COMPUTED_VALUE"""),0.426697434577667)</f>
        <v>0.42669743457766701</v>
      </c>
    </row>
    <row r="517" spans="2:36" ht="15.75" customHeight="1" x14ac:dyDescent="0.45">
      <c r="B517" s="10" t="str">
        <f ca="1">IFERROR(__xludf.DUMMYFUNCTION("""COMPUTED_VALUE"""),"Lightning7")</f>
        <v>Lightning7</v>
      </c>
      <c r="C517" s="10" t="str">
        <f ca="1">IFERROR(__xludf.DUMMYFUNCTION("""COMPUTED_VALUE"""),"aligned_timestamps")</f>
        <v>aligned_timestamps</v>
      </c>
      <c r="D517" s="10">
        <f ca="1">IFERROR(__xludf.DUMMYFUNCTION("""COMPUTED_VALUE"""),0.1)</f>
        <v>0.1</v>
      </c>
      <c r="E517" s="17">
        <f ca="1">IFERROR(__xludf.DUMMYFUNCTION("""COMPUTED_VALUE"""),0.943868447853533)</f>
        <v>0.94386844785353297</v>
      </c>
      <c r="F517" s="17">
        <f ca="1">IFERROR(__xludf.DUMMYFUNCTION("""COMPUTED_VALUE"""),0.287201532030566)</f>
        <v>0.28720153203056598</v>
      </c>
      <c r="G517" s="17">
        <f ca="1">IFERROR(__xludf.DUMMYFUNCTION("""COMPUTED_VALUE"""),0.281132011990404)</f>
        <v>0.281132011990404</v>
      </c>
      <c r="H517" s="17">
        <f ca="1">IFERROR(__xludf.DUMMYFUNCTION("""COMPUTED_VALUE"""),0.237238899010602)</f>
        <v>0.23723889901060199</v>
      </c>
      <c r="I517" s="17">
        <f ca="1">IFERROR(__xludf.DUMMYFUNCTION("""COMPUTED_VALUE"""),0.493674327473481)</f>
        <v>0.493674327473481</v>
      </c>
      <c r="J517" s="17">
        <f ca="1">IFERROR(__xludf.DUMMYFUNCTION("""COMPUTED_VALUE"""),0.0972579553873978)</f>
        <v>9.7257955387397801E-2</v>
      </c>
      <c r="K517" s="17" t="str">
        <f ca="1">IFERROR(__xludf.DUMMYFUNCTION("""COMPUTED_VALUE"""),"nan")</f>
        <v>nan</v>
      </c>
      <c r="L517" s="17">
        <f ca="1">IFERROR(__xludf.DUMMYFUNCTION("""COMPUTED_VALUE"""),0.368025246316302)</f>
        <v>0.36802524631630201</v>
      </c>
      <c r="M517" s="17">
        <f ca="1">IFERROR(__xludf.DUMMYFUNCTION("""COMPUTED_VALUE"""),0.222401058526293)</f>
        <v>0.22240105852629299</v>
      </c>
      <c r="N517" s="17">
        <f ca="1">IFERROR(__xludf.DUMMYFUNCTION("""COMPUTED_VALUE"""),0.307078697177707)</f>
        <v>0.30707869717770703</v>
      </c>
      <c r="O517" s="17">
        <f ca="1">IFERROR(__xludf.DUMMYFUNCTION("""COMPUTED_VALUE"""),0.21981003247076)</f>
        <v>0.21981003247076</v>
      </c>
      <c r="P517" s="17">
        <f ca="1">IFERROR(__xludf.DUMMYFUNCTION("""COMPUTED_VALUE"""),1.26614687530275)</f>
        <v>1.2661468753027501</v>
      </c>
      <c r="Q517" s="17">
        <f ca="1">IFERROR(__xludf.DUMMYFUNCTION("""COMPUTED_VALUE"""),0.333294990929648)</f>
        <v>0.33329499092964798</v>
      </c>
      <c r="R517" s="17">
        <f ca="1">IFERROR(__xludf.DUMMYFUNCTION("""COMPUTED_VALUE"""),0.295602935055346)</f>
        <v>0.29560293505534602</v>
      </c>
      <c r="S517" s="17">
        <f ca="1">IFERROR(__xludf.DUMMYFUNCTION("""COMPUTED_VALUE"""),0.51621092014017)</f>
        <v>0.51621092014017</v>
      </c>
      <c r="T517" s="17">
        <f ca="1">IFERROR(__xludf.DUMMYFUNCTION("""COMPUTED_VALUE"""),0.400960590069498)</f>
        <v>0.40096059006949802</v>
      </c>
      <c r="U517" s="17">
        <f ca="1">IFERROR(__xludf.DUMMYFUNCTION("""COMPUTED_VALUE"""),0.276711690258974)</f>
        <v>0.27671169025897402</v>
      </c>
      <c r="V517" s="17">
        <f ca="1">IFERROR(__xludf.DUMMYFUNCTION("""COMPUTED_VALUE"""),0.32484070831886)</f>
        <v>0.32484070831886003</v>
      </c>
      <c r="W517" s="17">
        <f ca="1">IFERROR(__xludf.DUMMYFUNCTION("""COMPUTED_VALUE"""),0.187903825204094)</f>
        <v>0.18790382520409399</v>
      </c>
      <c r="X517" s="17">
        <f ca="1">IFERROR(__xludf.DUMMYFUNCTION("""COMPUTED_VALUE"""),0.556646272414891)</f>
        <v>0.55664627241489095</v>
      </c>
      <c r="Y517" s="17">
        <f ca="1">IFERROR(__xludf.DUMMYFUNCTION("""COMPUTED_VALUE"""),0.152056568798148)</f>
        <v>0.152056568798148</v>
      </c>
      <c r="Z517" s="17">
        <f ca="1">IFERROR(__xludf.DUMMYFUNCTION("""COMPUTED_VALUE"""),0.0656125145864501)</f>
        <v>6.5612514586450094E-2</v>
      </c>
      <c r="AA517" s="17">
        <f ca="1">IFERROR(__xludf.DUMMYFUNCTION("""COMPUTED_VALUE"""),0.110303038127101)</f>
        <v>0.110303038127101</v>
      </c>
      <c r="AB517" s="17">
        <f ca="1">IFERROR(__xludf.DUMMYFUNCTION("""COMPUTED_VALUE"""),0.434938517427951)</f>
        <v>0.43493851742795098</v>
      </c>
      <c r="AC517" s="17">
        <f ca="1">IFERROR(__xludf.DUMMYFUNCTION("""COMPUTED_VALUE"""),0.51958406979902)</f>
        <v>0.51958406979902005</v>
      </c>
      <c r="AD517" s="17">
        <f ca="1">IFERROR(__xludf.DUMMYFUNCTION("""COMPUTED_VALUE"""),0.213050556169827)</f>
        <v>0.21305055616982699</v>
      </c>
      <c r="AE517" s="17">
        <f ca="1">IFERROR(__xludf.DUMMYFUNCTION("""COMPUTED_VALUE"""),1.08743297738914)</f>
        <v>1.08743297738914</v>
      </c>
      <c r="AF517" s="17">
        <f ca="1">IFERROR(__xludf.DUMMYFUNCTION("""COMPUTED_VALUE"""),0.101104273269754)</f>
        <v>0.10110427326975401</v>
      </c>
      <c r="AG517" s="17">
        <f ca="1">IFERROR(__xludf.DUMMYFUNCTION("""COMPUTED_VALUE"""),0.320936969793116)</f>
        <v>0.32093696979311598</v>
      </c>
      <c r="AH517" s="17">
        <f ca="1">IFERROR(__xludf.DUMMYFUNCTION("""COMPUTED_VALUE"""),0.0976453808905382)</f>
        <v>9.7645380890538203E-2</v>
      </c>
      <c r="AI517" s="17">
        <f ca="1">IFERROR(__xludf.DUMMYFUNCTION("""COMPUTED_VALUE"""),0.112538732606209)</f>
        <v>0.112538732606209</v>
      </c>
      <c r="AJ517" s="17">
        <f ca="1">IFERROR(__xludf.DUMMYFUNCTION("""COMPUTED_VALUE"""),0.234314109314527)</f>
        <v>0.23431410931452701</v>
      </c>
    </row>
    <row r="518" spans="2:36" ht="15.75" customHeight="1" x14ac:dyDescent="0.45">
      <c r="B518" s="10" t="str">
        <f ca="1">IFERROR(__xludf.DUMMYFUNCTION("""COMPUTED_VALUE"""),"Lightning7")</f>
        <v>Lightning7</v>
      </c>
      <c r="C518" s="10" t="str">
        <f ca="1">IFERROR(__xludf.DUMMYFUNCTION("""COMPUTED_VALUE"""),"aligned_timestamps")</f>
        <v>aligned_timestamps</v>
      </c>
      <c r="D518" s="10">
        <f ca="1">IFERROR(__xludf.DUMMYFUNCTION("""COMPUTED_VALUE"""),0.2)</f>
        <v>0.2</v>
      </c>
      <c r="E518" s="17">
        <f ca="1">IFERROR(__xludf.DUMMYFUNCTION("""COMPUTED_VALUE"""),0.810104678106742)</f>
        <v>0.81010467810674203</v>
      </c>
      <c r="F518" s="17">
        <f ca="1">IFERROR(__xludf.DUMMYFUNCTION("""COMPUTED_VALUE"""),0.273589317625442)</f>
        <v>0.27358931762544197</v>
      </c>
      <c r="G518" s="17">
        <f ca="1">IFERROR(__xludf.DUMMYFUNCTION("""COMPUTED_VALUE"""),0.269933990012803)</f>
        <v>0.26993399001280299</v>
      </c>
      <c r="H518" s="17">
        <f ca="1">IFERROR(__xludf.DUMMYFUNCTION("""COMPUTED_VALUE"""),0.249272951259001)</f>
        <v>0.24927295125900101</v>
      </c>
      <c r="I518" s="17">
        <f ca="1">IFERROR(__xludf.DUMMYFUNCTION("""COMPUTED_VALUE"""),0.447077173166689)</f>
        <v>0.44707717316668899</v>
      </c>
      <c r="J518" s="17">
        <f ca="1">IFERROR(__xludf.DUMMYFUNCTION("""COMPUTED_VALUE"""),0.195870747599962)</f>
        <v>0.19587074759996201</v>
      </c>
      <c r="K518" s="17" t="str">
        <f ca="1">IFERROR(__xludf.DUMMYFUNCTION("""COMPUTED_VALUE"""),"nan")</f>
        <v>nan</v>
      </c>
      <c r="L518" s="17">
        <f ca="1">IFERROR(__xludf.DUMMYFUNCTION("""COMPUTED_VALUE"""),0.322255754267476)</f>
        <v>0.32225575426747599</v>
      </c>
      <c r="M518" s="17">
        <f ca="1">IFERROR(__xludf.DUMMYFUNCTION("""COMPUTED_VALUE"""),0.235453171270396)</f>
        <v>0.235453171270396</v>
      </c>
      <c r="N518" s="17">
        <f ca="1">IFERROR(__xludf.DUMMYFUNCTION("""COMPUTED_VALUE"""),0.312721096698593)</f>
        <v>0.31272109669859299</v>
      </c>
      <c r="O518" s="17">
        <f ca="1">IFERROR(__xludf.DUMMYFUNCTION("""COMPUTED_VALUE"""),0.262097457598175)</f>
        <v>0.26209745759817499</v>
      </c>
      <c r="P518" s="17">
        <f ca="1">IFERROR(__xludf.DUMMYFUNCTION("""COMPUTED_VALUE"""),1.13861304865597)</f>
        <v>1.13861304865597</v>
      </c>
      <c r="Q518" s="17">
        <f ca="1">IFERROR(__xludf.DUMMYFUNCTION("""COMPUTED_VALUE"""),0.342942665375076)</f>
        <v>0.34294266537507601</v>
      </c>
      <c r="R518" s="17">
        <f ca="1">IFERROR(__xludf.DUMMYFUNCTION("""COMPUTED_VALUE"""),0.319637950304657)</f>
        <v>0.31963795030465703</v>
      </c>
      <c r="S518" s="17">
        <f ca="1">IFERROR(__xludf.DUMMYFUNCTION("""COMPUTED_VALUE"""),0.402245522150891)</f>
        <v>0.40224552215089099</v>
      </c>
      <c r="T518" s="17">
        <f ca="1">IFERROR(__xludf.DUMMYFUNCTION("""COMPUTED_VALUE"""),0.417434136527602)</f>
        <v>0.41743413652760197</v>
      </c>
      <c r="U518" s="17">
        <f ca="1">IFERROR(__xludf.DUMMYFUNCTION("""COMPUTED_VALUE"""),0.273985918388244)</f>
        <v>0.27398591838824399</v>
      </c>
      <c r="V518" s="17">
        <f ca="1">IFERROR(__xludf.DUMMYFUNCTION("""COMPUTED_VALUE"""),0.40664287721725)</f>
        <v>0.40664287721725001</v>
      </c>
      <c r="W518" s="17">
        <f ca="1">IFERROR(__xludf.DUMMYFUNCTION("""COMPUTED_VALUE"""),0.368093273653675)</f>
        <v>0.368093273653675</v>
      </c>
      <c r="X518" s="17">
        <f ca="1">IFERROR(__xludf.DUMMYFUNCTION("""COMPUTED_VALUE"""),0.477802083378034)</f>
        <v>0.47780208337803398</v>
      </c>
      <c r="Y518" s="17">
        <f ca="1">IFERROR(__xludf.DUMMYFUNCTION("""COMPUTED_VALUE"""),0.31430188834156)</f>
        <v>0.31430188834155998</v>
      </c>
      <c r="Z518" s="17">
        <f ca="1">IFERROR(__xludf.DUMMYFUNCTION("""COMPUTED_VALUE"""),0.25979000736065)</f>
        <v>0.25979000736065</v>
      </c>
      <c r="AA518" s="17">
        <f ca="1">IFERROR(__xludf.DUMMYFUNCTION("""COMPUTED_VALUE"""),0.178029061942091)</f>
        <v>0.178029061942091</v>
      </c>
      <c r="AB518" s="17">
        <f ca="1">IFERROR(__xludf.DUMMYFUNCTION("""COMPUTED_VALUE"""),0.540534085758804)</f>
        <v>0.54053408575880402</v>
      </c>
      <c r="AC518" s="17">
        <f ca="1">IFERROR(__xludf.DUMMYFUNCTION("""COMPUTED_VALUE"""),0.778443266359673)</f>
        <v>0.77844326635967298</v>
      </c>
      <c r="AD518" s="17">
        <f ca="1">IFERROR(__xludf.DUMMYFUNCTION("""COMPUTED_VALUE"""),0.330455417266204)</f>
        <v>0.33045541726620398</v>
      </c>
      <c r="AE518" s="17">
        <f ca="1">IFERROR(__xludf.DUMMYFUNCTION("""COMPUTED_VALUE"""),1.16793907828357)</f>
        <v>1.1679390782835699</v>
      </c>
      <c r="AF518" s="17">
        <f ca="1">IFERROR(__xludf.DUMMYFUNCTION("""COMPUTED_VALUE"""),0.326523788322327)</f>
        <v>0.32652378832232698</v>
      </c>
      <c r="AG518" s="17">
        <f ca="1">IFERROR(__xludf.DUMMYFUNCTION("""COMPUTED_VALUE"""),0.585441609720969)</f>
        <v>0.58544160972096904</v>
      </c>
      <c r="AH518" s="17">
        <f ca="1">IFERROR(__xludf.DUMMYFUNCTION("""COMPUTED_VALUE"""),0.337958308437066)</f>
        <v>0.33795830843706598</v>
      </c>
      <c r="AI518" s="17">
        <f ca="1">IFERROR(__xludf.DUMMYFUNCTION("""COMPUTED_VALUE"""),0.303320847714071)</f>
        <v>0.30332084771407097</v>
      </c>
      <c r="AJ518" s="17">
        <f ca="1">IFERROR(__xludf.DUMMYFUNCTION("""COMPUTED_VALUE"""),0.46031337127235)</f>
        <v>0.46031337127235</v>
      </c>
    </row>
    <row r="519" spans="2:36" ht="15.75" customHeight="1" x14ac:dyDescent="0.45">
      <c r="B519" s="10" t="str">
        <f ca="1">IFERROR(__xludf.DUMMYFUNCTION("""COMPUTED_VALUE"""),"Lightning7")</f>
        <v>Lightning7</v>
      </c>
      <c r="C519" s="10" t="str">
        <f ca="1">IFERROR(__xludf.DUMMYFUNCTION("""COMPUTED_VALUE"""),"aligned_timestamps")</f>
        <v>aligned_timestamps</v>
      </c>
      <c r="D519" s="10">
        <f ca="1">IFERROR(__xludf.DUMMYFUNCTION("""COMPUTED_VALUE"""),0.4)</f>
        <v>0.4</v>
      </c>
      <c r="E519" s="17">
        <f ca="1">IFERROR(__xludf.DUMMYFUNCTION("""COMPUTED_VALUE"""),0.829191340589879)</f>
        <v>0.82919134058987898</v>
      </c>
      <c r="F519" s="17">
        <f ca="1">IFERROR(__xludf.DUMMYFUNCTION("""COMPUTED_VALUE"""),0.513704155333525)</f>
        <v>0.51370415533352498</v>
      </c>
      <c r="G519" s="17">
        <f ca="1">IFERROR(__xludf.DUMMYFUNCTION("""COMPUTED_VALUE"""),0.529361218191185)</f>
        <v>0.52936121819118498</v>
      </c>
      <c r="H519" s="17">
        <f ca="1">IFERROR(__xludf.DUMMYFUNCTION("""COMPUTED_VALUE"""),0.640544133970479)</f>
        <v>0.64054413397047905</v>
      </c>
      <c r="I519" s="17">
        <f ca="1">IFERROR(__xludf.DUMMYFUNCTION("""COMPUTED_VALUE"""),0.592915013979401)</f>
        <v>0.59291501397940105</v>
      </c>
      <c r="J519" s="17">
        <f ca="1">IFERROR(__xludf.DUMMYFUNCTION("""COMPUTED_VALUE"""),0.660036789544779)</f>
        <v>0.66003678954477896</v>
      </c>
      <c r="K519" s="17" t="str">
        <f ca="1">IFERROR(__xludf.DUMMYFUNCTION("""COMPUTED_VALUE"""),"nan")</f>
        <v>nan</v>
      </c>
      <c r="L519" s="17">
        <f ca="1">IFERROR(__xludf.DUMMYFUNCTION("""COMPUTED_VALUE"""),0.559154967335289)</f>
        <v>0.55915496733528902</v>
      </c>
      <c r="M519" s="17">
        <f ca="1">IFERROR(__xludf.DUMMYFUNCTION("""COMPUTED_VALUE"""),0.550802197066047)</f>
        <v>0.55080219706604705</v>
      </c>
      <c r="N519" s="17">
        <f ca="1">IFERROR(__xludf.DUMMYFUNCTION("""COMPUTED_VALUE"""),0.619276181067319)</f>
        <v>0.61927618106731896</v>
      </c>
      <c r="O519" s="17">
        <f ca="1">IFERROR(__xludf.DUMMYFUNCTION("""COMPUTED_VALUE"""),0.628194894672611)</f>
        <v>0.62819489467261103</v>
      </c>
      <c r="P519" s="17">
        <f ca="1">IFERROR(__xludf.DUMMYFUNCTION("""COMPUTED_VALUE"""),1.22072720867433)</f>
        <v>1.2207272086743299</v>
      </c>
      <c r="Q519" s="17">
        <f ca="1">IFERROR(__xludf.DUMMYFUNCTION("""COMPUTED_VALUE"""),0.752849052923283)</f>
        <v>0.75284905292328297</v>
      </c>
      <c r="R519" s="17">
        <f ca="1">IFERROR(__xludf.DUMMYFUNCTION("""COMPUTED_VALUE"""),1.24112586792117)</f>
        <v>1.2411258679211701</v>
      </c>
      <c r="S519" s="17">
        <f ca="1">IFERROR(__xludf.DUMMYFUNCTION("""COMPUTED_VALUE"""),0.620523051304901)</f>
        <v>0.62052305130490104</v>
      </c>
      <c r="T519" s="17">
        <f ca="1">IFERROR(__xludf.DUMMYFUNCTION("""COMPUTED_VALUE"""),0.676328118493802)</f>
        <v>0.67632811849380203</v>
      </c>
      <c r="U519" s="17">
        <f ca="1">IFERROR(__xludf.DUMMYFUNCTION("""COMPUTED_VALUE"""),0.606558759279432)</f>
        <v>0.60655875927943204</v>
      </c>
      <c r="V519" s="17">
        <f ca="1">IFERROR(__xludf.DUMMYFUNCTION("""COMPUTED_VALUE"""),0.535415058191007)</f>
        <v>0.53541505819100699</v>
      </c>
      <c r="W519" s="17">
        <f ca="1">IFERROR(__xludf.DUMMYFUNCTION("""COMPUTED_VALUE"""),0.555150768120439)</f>
        <v>0.55515076812043895</v>
      </c>
      <c r="X519" s="17">
        <f ca="1">IFERROR(__xludf.DUMMYFUNCTION("""COMPUTED_VALUE"""),0.595217782800093)</f>
        <v>0.59521778280009296</v>
      </c>
      <c r="Y519" s="17">
        <f ca="1">IFERROR(__xludf.DUMMYFUNCTION("""COMPUTED_VALUE"""),0.556534436201054)</f>
        <v>0.55653443620105403</v>
      </c>
      <c r="Z519" s="17">
        <f ca="1">IFERROR(__xludf.DUMMYFUNCTION("""COMPUTED_VALUE"""),0.589786266187596)</f>
        <v>0.589786266187596</v>
      </c>
      <c r="AA519" s="17">
        <f ca="1">IFERROR(__xludf.DUMMYFUNCTION("""COMPUTED_VALUE"""),0.492648572285808)</f>
        <v>0.492648572285808</v>
      </c>
      <c r="AB519" s="17">
        <f ca="1">IFERROR(__xludf.DUMMYFUNCTION("""COMPUTED_VALUE"""),0.719602168753339)</f>
        <v>0.71960216875333904</v>
      </c>
      <c r="AC519" s="17">
        <f ca="1">IFERROR(__xludf.DUMMYFUNCTION("""COMPUTED_VALUE"""),0.760102856189895)</f>
        <v>0.76010285618989504</v>
      </c>
      <c r="AD519" s="17">
        <f ca="1">IFERROR(__xludf.DUMMYFUNCTION("""COMPUTED_VALUE"""),0.54018883709534)</f>
        <v>0.54018883709534005</v>
      </c>
      <c r="AE519" s="17">
        <f ca="1">IFERROR(__xludf.DUMMYFUNCTION("""COMPUTED_VALUE"""),1.13975303950998)</f>
        <v>1.13975303950998</v>
      </c>
      <c r="AF519" s="17">
        <f ca="1">IFERROR(__xludf.DUMMYFUNCTION("""COMPUTED_VALUE"""),0.604722488007648)</f>
        <v>0.60472248800764805</v>
      </c>
      <c r="AG519" s="17">
        <f ca="1">IFERROR(__xludf.DUMMYFUNCTION("""COMPUTED_VALUE"""),0.829589801265229)</f>
        <v>0.82958980126522897</v>
      </c>
      <c r="AH519" s="17">
        <f ca="1">IFERROR(__xludf.DUMMYFUNCTION("""COMPUTED_VALUE"""),0.769702679416287)</f>
        <v>0.76970267941628701</v>
      </c>
      <c r="AI519" s="17">
        <f ca="1">IFERROR(__xludf.DUMMYFUNCTION("""COMPUTED_VALUE"""),0.745085719158047)</f>
        <v>0.745085719158047</v>
      </c>
      <c r="AJ519" s="17">
        <f ca="1">IFERROR(__xludf.DUMMYFUNCTION("""COMPUTED_VALUE"""),0.749446784355998)</f>
        <v>0.74944678435599799</v>
      </c>
    </row>
    <row r="520" spans="2:36" ht="15.75" customHeight="1" x14ac:dyDescent="0.45">
      <c r="B520" s="10" t="str">
        <f ca="1">IFERROR(__xludf.DUMMYFUNCTION("""COMPUTED_VALUE"""),"Lightning7")</f>
        <v>Lightning7</v>
      </c>
      <c r="C520" s="10" t="str">
        <f ca="1">IFERROR(__xludf.DUMMYFUNCTION("""COMPUTED_VALUE"""),"aligned_timestamps")</f>
        <v>aligned_timestamps</v>
      </c>
      <c r="D520" s="10">
        <f ca="1">IFERROR(__xludf.DUMMYFUNCTION("""COMPUTED_VALUE"""),0.6)</f>
        <v>0.6</v>
      </c>
      <c r="E520" s="17">
        <f ca="1">IFERROR(__xludf.DUMMYFUNCTION("""COMPUTED_VALUE"""),0.795551440622406)</f>
        <v>0.79555144062240601</v>
      </c>
      <c r="F520" s="17">
        <f ca="1">IFERROR(__xludf.DUMMYFUNCTION("""COMPUTED_VALUE"""),0.701864010305397)</f>
        <v>0.70186401030539702</v>
      </c>
      <c r="G520" s="17">
        <f ca="1">IFERROR(__xludf.DUMMYFUNCTION("""COMPUTED_VALUE"""),0.903064977307011)</f>
        <v>0.90306497730701096</v>
      </c>
      <c r="H520" s="17">
        <f ca="1">IFERROR(__xludf.DUMMYFUNCTION("""COMPUTED_VALUE"""),0.678766456189244)</f>
        <v>0.67876645618924403</v>
      </c>
      <c r="I520" s="17">
        <f ca="1">IFERROR(__xludf.DUMMYFUNCTION("""COMPUTED_VALUE"""),0.629937062771318)</f>
        <v>0.629937062771318</v>
      </c>
      <c r="J520" s="17">
        <f ca="1">IFERROR(__xludf.DUMMYFUNCTION("""COMPUTED_VALUE"""),0.933858565573767)</f>
        <v>0.93385856557376701</v>
      </c>
      <c r="K520" s="17" t="str">
        <f ca="1">IFERROR(__xludf.DUMMYFUNCTION("""COMPUTED_VALUE"""),"nan")</f>
        <v>nan</v>
      </c>
      <c r="L520" s="17">
        <f ca="1">IFERROR(__xludf.DUMMYFUNCTION("""COMPUTED_VALUE"""),0.700194487922335)</f>
        <v>0.70019448792233496</v>
      </c>
      <c r="M520" s="17">
        <f ca="1">IFERROR(__xludf.DUMMYFUNCTION("""COMPUTED_VALUE"""),0.84435196880224)</f>
        <v>0.84435196880223995</v>
      </c>
      <c r="N520" s="17">
        <f ca="1">IFERROR(__xludf.DUMMYFUNCTION("""COMPUTED_VALUE"""),0.64151382739405)</f>
        <v>0.64151382739405005</v>
      </c>
      <c r="O520" s="17">
        <f ca="1">IFERROR(__xludf.DUMMYFUNCTION("""COMPUTED_VALUE"""),0.737260599681988)</f>
        <v>0.73726059968198798</v>
      </c>
      <c r="P520" s="17">
        <f ca="1">IFERROR(__xludf.DUMMYFUNCTION("""COMPUTED_VALUE"""),1.32550958189941)</f>
        <v>1.32550958189941</v>
      </c>
      <c r="Q520" s="17">
        <f ca="1">IFERROR(__xludf.DUMMYFUNCTION("""COMPUTED_VALUE"""),0.772817331305227)</f>
        <v>0.77281733130522701</v>
      </c>
      <c r="R520" s="17">
        <f ca="1">IFERROR(__xludf.DUMMYFUNCTION("""COMPUTED_VALUE"""),0.94573434410152)</f>
        <v>0.94573434410152002</v>
      </c>
      <c r="S520" s="17">
        <f ca="1">IFERROR(__xludf.DUMMYFUNCTION("""COMPUTED_VALUE"""),0.75862004503294)</f>
        <v>0.75862004503294</v>
      </c>
      <c r="T520" s="17">
        <f ca="1">IFERROR(__xludf.DUMMYFUNCTION("""COMPUTED_VALUE"""),0.768449637972937)</f>
        <v>0.76844963797293697</v>
      </c>
      <c r="U520" s="17">
        <f ca="1">IFERROR(__xludf.DUMMYFUNCTION("""COMPUTED_VALUE"""),0.843735869390287)</f>
        <v>0.843735869390287</v>
      </c>
      <c r="V520" s="17">
        <f ca="1">IFERROR(__xludf.DUMMYFUNCTION("""COMPUTED_VALUE"""),0.756695193383494)</f>
        <v>0.756695193383494</v>
      </c>
      <c r="W520" s="17">
        <f ca="1">IFERROR(__xludf.DUMMYFUNCTION("""COMPUTED_VALUE"""),0.675724066236959)</f>
        <v>0.67572406623695902</v>
      </c>
      <c r="X520" s="17">
        <f ca="1">IFERROR(__xludf.DUMMYFUNCTION("""COMPUTED_VALUE"""),0.602541657070425)</f>
        <v>0.60254165707042495</v>
      </c>
      <c r="Y520" s="17">
        <f ca="1">IFERROR(__xludf.DUMMYFUNCTION("""COMPUTED_VALUE"""),0.755642173401477)</f>
        <v>0.75564217340147699</v>
      </c>
      <c r="Z520" s="17">
        <f ca="1">IFERROR(__xludf.DUMMYFUNCTION("""COMPUTED_VALUE"""),0.718347742122578)</f>
        <v>0.71834774212257801</v>
      </c>
      <c r="AA520" s="17">
        <f ca="1">IFERROR(__xludf.DUMMYFUNCTION("""COMPUTED_VALUE"""),0.547193297953264)</f>
        <v>0.54719329795326399</v>
      </c>
      <c r="AB520" s="17">
        <f ca="1">IFERROR(__xludf.DUMMYFUNCTION("""COMPUTED_VALUE"""),0.771696037100474)</f>
        <v>0.77169603710047396</v>
      </c>
      <c r="AC520" s="17">
        <f ca="1">IFERROR(__xludf.DUMMYFUNCTION("""COMPUTED_VALUE"""),0.793660118379377)</f>
        <v>0.793660118379377</v>
      </c>
      <c r="AD520" s="17">
        <f ca="1">IFERROR(__xludf.DUMMYFUNCTION("""COMPUTED_VALUE"""),0.717595674634255)</f>
        <v>0.717595674634255</v>
      </c>
      <c r="AE520" s="17">
        <f ca="1">IFERROR(__xludf.DUMMYFUNCTION("""COMPUTED_VALUE"""),1.02712135310092)</f>
        <v>1.02712135310092</v>
      </c>
      <c r="AF520" s="17">
        <f ca="1">IFERROR(__xludf.DUMMYFUNCTION("""COMPUTED_VALUE"""),0.825950523704197)</f>
        <v>0.82595052370419697</v>
      </c>
      <c r="AG520" s="17">
        <f ca="1">IFERROR(__xludf.DUMMYFUNCTION("""COMPUTED_VALUE"""),0.96658677024204)</f>
        <v>0.96658677024203998</v>
      </c>
      <c r="AH520" s="17">
        <f ca="1">IFERROR(__xludf.DUMMYFUNCTION("""COMPUTED_VALUE"""),0.868499959648186)</f>
        <v>0.86849995964818605</v>
      </c>
      <c r="AI520" s="17">
        <f ca="1">IFERROR(__xludf.DUMMYFUNCTION("""COMPUTED_VALUE"""),0.914869522869546)</f>
        <v>0.91486952286954604</v>
      </c>
      <c r="AJ520" s="17">
        <f ca="1">IFERROR(__xludf.DUMMYFUNCTION("""COMPUTED_VALUE"""),0.966660747728714)</f>
        <v>0.96666074772871402</v>
      </c>
    </row>
    <row r="521" spans="2:36" ht="15.75" customHeight="1" x14ac:dyDescent="0.45">
      <c r="B521" s="10" t="str">
        <f ca="1">IFERROR(__xludf.DUMMYFUNCTION("""COMPUTED_VALUE"""),"Lightning7")</f>
        <v>Lightning7</v>
      </c>
      <c r="C521" s="10" t="str">
        <f ca="1">IFERROR(__xludf.DUMMYFUNCTION("""COMPUTED_VALUE"""),"aligned_timestamps")</f>
        <v>aligned_timestamps</v>
      </c>
      <c r="D521" s="10">
        <f ca="1">IFERROR(__xludf.DUMMYFUNCTION("""COMPUTED_VALUE"""),0.8)</f>
        <v>0.8</v>
      </c>
      <c r="E521" s="17">
        <f ca="1">IFERROR(__xludf.DUMMYFUNCTION("""COMPUTED_VALUE"""),1.03943247359161)</f>
        <v>1.0394324735916101</v>
      </c>
      <c r="F521" s="17">
        <f ca="1">IFERROR(__xludf.DUMMYFUNCTION("""COMPUTED_VALUE"""),0.920755844879469)</f>
        <v>0.92075584487946904</v>
      </c>
      <c r="G521" s="17">
        <f ca="1">IFERROR(__xludf.DUMMYFUNCTION("""COMPUTED_VALUE"""),1.22138635364983)</f>
        <v>1.2213863536498299</v>
      </c>
      <c r="H521" s="17">
        <f ca="1">IFERROR(__xludf.DUMMYFUNCTION("""COMPUTED_VALUE"""),0.898395193373525)</f>
        <v>0.89839519337352503</v>
      </c>
      <c r="I521" s="17">
        <f ca="1">IFERROR(__xludf.DUMMYFUNCTION("""COMPUTED_VALUE"""),0.904650601422795)</f>
        <v>0.90465060142279496</v>
      </c>
      <c r="J521" s="17">
        <f ca="1">IFERROR(__xludf.DUMMYFUNCTION("""COMPUTED_VALUE"""),1.37037437751562)</f>
        <v>1.3703743775156201</v>
      </c>
      <c r="K521" s="17" t="str">
        <f ca="1">IFERROR(__xludf.DUMMYFUNCTION("""COMPUTED_VALUE"""),"nan")</f>
        <v>nan</v>
      </c>
      <c r="L521" s="17">
        <f ca="1">IFERROR(__xludf.DUMMYFUNCTION("""COMPUTED_VALUE"""),0.944431090730002)</f>
        <v>0.94443109073000198</v>
      </c>
      <c r="M521" s="17">
        <f ca="1">IFERROR(__xludf.DUMMYFUNCTION("""COMPUTED_VALUE"""),0.975785589759033)</f>
        <v>0.97578558975903296</v>
      </c>
      <c r="N521" s="17">
        <f ca="1">IFERROR(__xludf.DUMMYFUNCTION("""COMPUTED_VALUE"""),0.942361900413673)</f>
        <v>0.94236190041367296</v>
      </c>
      <c r="O521" s="17">
        <f ca="1">IFERROR(__xludf.DUMMYFUNCTION("""COMPUTED_VALUE"""),0.831803893620682)</f>
        <v>0.83180389362068197</v>
      </c>
      <c r="P521" s="17">
        <f ca="1">IFERROR(__xludf.DUMMYFUNCTION("""COMPUTED_VALUE"""),1.12531576297383)</f>
        <v>1.12531576297383</v>
      </c>
      <c r="Q521" s="17">
        <f ca="1">IFERROR(__xludf.DUMMYFUNCTION("""COMPUTED_VALUE"""),1.0833422233568)</f>
        <v>1.0833422233568</v>
      </c>
      <c r="R521" s="17">
        <f ca="1">IFERROR(__xludf.DUMMYFUNCTION("""COMPUTED_VALUE"""),1.05140345840482)</f>
        <v>1.05140345840482</v>
      </c>
      <c r="S521" s="17">
        <f ca="1">IFERROR(__xludf.DUMMYFUNCTION("""COMPUTED_VALUE"""),1.07535889925092)</f>
        <v>1.07535889925092</v>
      </c>
      <c r="T521" s="17">
        <f ca="1">IFERROR(__xludf.DUMMYFUNCTION("""COMPUTED_VALUE"""),0.953692590380093)</f>
        <v>0.95369259038009302</v>
      </c>
      <c r="U521" s="17">
        <f ca="1">IFERROR(__xludf.DUMMYFUNCTION("""COMPUTED_VALUE"""),1.08930193249762)</f>
        <v>1.0893019324976201</v>
      </c>
      <c r="V521" s="17">
        <f ca="1">IFERROR(__xludf.DUMMYFUNCTION("""COMPUTED_VALUE"""),1.07126398793875)</f>
        <v>1.07126398793875</v>
      </c>
      <c r="W521" s="17">
        <f ca="1">IFERROR(__xludf.DUMMYFUNCTION("""COMPUTED_VALUE"""),0.998626537069225)</f>
        <v>0.998626537069225</v>
      </c>
      <c r="X521" s="17">
        <f ca="1">IFERROR(__xludf.DUMMYFUNCTION("""COMPUTED_VALUE"""),0.86792398046235)</f>
        <v>0.86792398046234998</v>
      </c>
      <c r="Y521" s="17">
        <f ca="1">IFERROR(__xludf.DUMMYFUNCTION("""COMPUTED_VALUE"""),1.07106018226112)</f>
        <v>1.0710601822611201</v>
      </c>
      <c r="Z521" s="17">
        <f ca="1">IFERROR(__xludf.DUMMYFUNCTION("""COMPUTED_VALUE"""),1.03576892079226)</f>
        <v>1.03576892079226</v>
      </c>
      <c r="AA521" s="17">
        <f ca="1">IFERROR(__xludf.DUMMYFUNCTION("""COMPUTED_VALUE"""),1.17335211635658)</f>
        <v>1.1733521163565801</v>
      </c>
      <c r="AB521" s="17">
        <f ca="1">IFERROR(__xludf.DUMMYFUNCTION("""COMPUTED_VALUE"""),1.287095726538)</f>
        <v>1.2870957265380001</v>
      </c>
      <c r="AC521" s="17">
        <f ca="1">IFERROR(__xludf.DUMMYFUNCTION("""COMPUTED_VALUE"""),1.05091597742413)</f>
        <v>1.0509159774241299</v>
      </c>
      <c r="AD521" s="17">
        <f ca="1">IFERROR(__xludf.DUMMYFUNCTION("""COMPUTED_VALUE"""),1.07859183863053)</f>
        <v>1.07859183863053</v>
      </c>
      <c r="AE521" s="17" t="str">
        <f ca="1">IFERROR(__xludf.DUMMYFUNCTION("""COMPUTED_VALUE"""),"nan")</f>
        <v>nan</v>
      </c>
      <c r="AF521" s="17">
        <f ca="1">IFERROR(__xludf.DUMMYFUNCTION("""COMPUTED_VALUE"""),1.08288195191548)</f>
        <v>1.08288195191548</v>
      </c>
      <c r="AG521" s="17">
        <f ca="1">IFERROR(__xludf.DUMMYFUNCTION("""COMPUTED_VALUE"""),1.15183065867997)</f>
        <v>1.15183065867997</v>
      </c>
      <c r="AH521" s="17">
        <f ca="1">IFERROR(__xludf.DUMMYFUNCTION("""COMPUTED_VALUE"""),1.05736247152102)</f>
        <v>1.0573624715210199</v>
      </c>
      <c r="AI521" s="17">
        <f ca="1">IFERROR(__xludf.DUMMYFUNCTION("""COMPUTED_VALUE"""),1.05616065598467)</f>
        <v>1.0561606559846699</v>
      </c>
      <c r="AJ521" s="17">
        <f ca="1">IFERROR(__xludf.DUMMYFUNCTION("""COMPUTED_VALUE"""),1.11467053702796)</f>
        <v>1.1146705370279599</v>
      </c>
    </row>
    <row r="522" spans="2:36" ht="15.75" customHeight="1" x14ac:dyDescent="0.45">
      <c r="B522" s="10" t="str">
        <f ca="1">IFERROR(__xludf.DUMMYFUNCTION("""COMPUTED_VALUE"""),"Lightning7")</f>
        <v>Lightning7</v>
      </c>
      <c r="C522" s="10" t="str">
        <f ca="1">IFERROR(__xludf.DUMMYFUNCTION("""COMPUTED_VALUE"""),"mcar")</f>
        <v>mcar</v>
      </c>
      <c r="D522" s="10">
        <f ca="1">IFERROR(__xludf.DUMMYFUNCTION("""COMPUTED_VALUE"""),0.1)</f>
        <v>0.1</v>
      </c>
      <c r="E522" s="17">
        <f ca="1">IFERROR(__xludf.DUMMYFUNCTION("""COMPUTED_VALUE"""),0.858996629868274)</f>
        <v>0.85899662986827396</v>
      </c>
      <c r="F522" s="17">
        <f ca="1">IFERROR(__xludf.DUMMYFUNCTION("""COMPUTED_VALUE"""),0.629457481081925)</f>
        <v>0.62945748108192501</v>
      </c>
      <c r="G522" s="17">
        <f ca="1">IFERROR(__xludf.DUMMYFUNCTION("""COMPUTED_VALUE"""),0.667299516220998)</f>
        <v>0.66729951622099803</v>
      </c>
      <c r="H522" s="17">
        <f ca="1">IFERROR(__xludf.DUMMYFUNCTION("""COMPUTED_VALUE"""),0.662754715837354)</f>
        <v>0.66275471583735401</v>
      </c>
      <c r="I522" s="17">
        <f ca="1">IFERROR(__xludf.DUMMYFUNCTION("""COMPUTED_VALUE"""),0.625614424974135)</f>
        <v>0.625614424974135</v>
      </c>
      <c r="J522" s="17">
        <f ca="1">IFERROR(__xludf.DUMMYFUNCTION("""COMPUTED_VALUE"""),0.598690010078751)</f>
        <v>0.598690010078751</v>
      </c>
      <c r="K522" s="17" t="str">
        <f ca="1">IFERROR(__xludf.DUMMYFUNCTION("""COMPUTED_VALUE"""),"nan")</f>
        <v>nan</v>
      </c>
      <c r="L522" s="17">
        <f ca="1">IFERROR(__xludf.DUMMYFUNCTION("""COMPUTED_VALUE"""),0.661043176107378)</f>
        <v>0.66104317610737795</v>
      </c>
      <c r="M522" s="17">
        <f ca="1">IFERROR(__xludf.DUMMYFUNCTION("""COMPUTED_VALUE"""),0.638553326280741)</f>
        <v>0.63855332628074102</v>
      </c>
      <c r="N522" s="17">
        <f ca="1">IFERROR(__xludf.DUMMYFUNCTION("""COMPUTED_VALUE"""),0.566139671563086)</f>
        <v>0.56613967156308598</v>
      </c>
      <c r="O522" s="17">
        <f ca="1">IFERROR(__xludf.DUMMYFUNCTION("""COMPUTED_VALUE"""),0.614123464229568)</f>
        <v>0.61412346422956798</v>
      </c>
      <c r="P522" s="17">
        <f ca="1">IFERROR(__xludf.DUMMYFUNCTION("""COMPUTED_VALUE"""),0.681976807467661)</f>
        <v>0.68197680746766098</v>
      </c>
      <c r="Q522" s="17">
        <f ca="1">IFERROR(__xludf.DUMMYFUNCTION("""COMPUTED_VALUE"""),0.805761739087607)</f>
        <v>0.80576173908760695</v>
      </c>
      <c r="R522" s="17">
        <f ca="1">IFERROR(__xludf.DUMMYFUNCTION("""COMPUTED_VALUE"""),0.893541002464237)</f>
        <v>0.89354100246423696</v>
      </c>
      <c r="S522" s="17">
        <f ca="1">IFERROR(__xludf.DUMMYFUNCTION("""COMPUTED_VALUE"""),0.593021995694885)</f>
        <v>0.59302199569488501</v>
      </c>
      <c r="T522" s="17">
        <f ca="1">IFERROR(__xludf.DUMMYFUNCTION("""COMPUTED_VALUE"""),0.560558548283019)</f>
        <v>0.56055854828301899</v>
      </c>
      <c r="U522" s="17">
        <f ca="1">IFERROR(__xludf.DUMMYFUNCTION("""COMPUTED_VALUE"""),0.558870932860662)</f>
        <v>0.55887093286066203</v>
      </c>
      <c r="V522" s="17">
        <f ca="1">IFERROR(__xludf.DUMMYFUNCTION("""COMPUTED_VALUE"""),0.680669229433043)</f>
        <v>0.68066922943304298</v>
      </c>
      <c r="W522" s="17">
        <f ca="1">IFERROR(__xludf.DUMMYFUNCTION("""COMPUTED_VALUE"""),0.614771470281112)</f>
        <v>0.61477147028111201</v>
      </c>
      <c r="X522" s="17">
        <f ca="1">IFERROR(__xludf.DUMMYFUNCTION("""COMPUTED_VALUE"""),0.585625154347692)</f>
        <v>0.58562515434769202</v>
      </c>
      <c r="Y522" s="17">
        <f ca="1">IFERROR(__xludf.DUMMYFUNCTION("""COMPUTED_VALUE"""),0.492883095408297)</f>
        <v>0.492883095408297</v>
      </c>
      <c r="Z522" s="17">
        <f ca="1">IFERROR(__xludf.DUMMYFUNCTION("""COMPUTED_VALUE"""),0.57458242040888)</f>
        <v>0.57458242040887997</v>
      </c>
      <c r="AA522" s="17">
        <f ca="1">IFERROR(__xludf.DUMMYFUNCTION("""COMPUTED_VALUE"""),0.686739956153486)</f>
        <v>0.68673995615348604</v>
      </c>
      <c r="AB522" s="17">
        <f ca="1">IFERROR(__xludf.DUMMYFUNCTION("""COMPUTED_VALUE"""),0.727212263191547)</f>
        <v>0.72721226319154697</v>
      </c>
      <c r="AC522" s="17">
        <f ca="1">IFERROR(__xludf.DUMMYFUNCTION("""COMPUTED_VALUE"""),0.483238513419807)</f>
        <v>0.483238513419807</v>
      </c>
      <c r="AD522" s="17">
        <f ca="1">IFERROR(__xludf.DUMMYFUNCTION("""COMPUTED_VALUE"""),0.571547795298129)</f>
        <v>0.57154779529812905</v>
      </c>
      <c r="AE522" s="17">
        <f ca="1">IFERROR(__xludf.DUMMYFUNCTION("""COMPUTED_VALUE"""),0.644624771272456)</f>
        <v>0.64462477127245599</v>
      </c>
      <c r="AF522" s="17">
        <f ca="1">IFERROR(__xludf.DUMMYFUNCTION("""COMPUTED_VALUE"""),0.55586277573633)</f>
        <v>0.55586277573633003</v>
      </c>
      <c r="AG522" s="17">
        <f ca="1">IFERROR(__xludf.DUMMYFUNCTION("""COMPUTED_VALUE"""),0.691747960035092)</f>
        <v>0.69174796003509198</v>
      </c>
      <c r="AH522" s="17">
        <f ca="1">IFERROR(__xludf.DUMMYFUNCTION("""COMPUTED_VALUE"""),0.5144208012364)</f>
        <v>0.51442080123639999</v>
      </c>
      <c r="AI522" s="17">
        <f ca="1">IFERROR(__xludf.DUMMYFUNCTION("""COMPUTED_VALUE"""),0.524689729120117)</f>
        <v>0.52468972912011702</v>
      </c>
      <c r="AJ522" s="17">
        <f ca="1">IFERROR(__xludf.DUMMYFUNCTION("""COMPUTED_VALUE"""),0.565192920842335)</f>
        <v>0.56519292084233497</v>
      </c>
    </row>
    <row r="523" spans="2:36" ht="15.75" customHeight="1" x14ac:dyDescent="0.45">
      <c r="B523" s="10" t="str">
        <f ca="1">IFERROR(__xludf.DUMMYFUNCTION("""COMPUTED_VALUE"""),"Lightning7")</f>
        <v>Lightning7</v>
      </c>
      <c r="C523" s="10" t="str">
        <f ca="1">IFERROR(__xludf.DUMMYFUNCTION("""COMPUTED_VALUE"""),"mcar")</f>
        <v>mcar</v>
      </c>
      <c r="D523" s="10">
        <f ca="1">IFERROR(__xludf.DUMMYFUNCTION("""COMPUTED_VALUE"""),0.2)</f>
        <v>0.2</v>
      </c>
      <c r="E523" s="17">
        <f ca="1">IFERROR(__xludf.DUMMYFUNCTION("""COMPUTED_VALUE"""),0.980676319418025)</f>
        <v>0.98067631941802502</v>
      </c>
      <c r="F523" s="17">
        <f ca="1">IFERROR(__xludf.DUMMYFUNCTION("""COMPUTED_VALUE"""),0.688005574183588)</f>
        <v>0.68800557418358799</v>
      </c>
      <c r="G523" s="17">
        <f ca="1">IFERROR(__xludf.DUMMYFUNCTION("""COMPUTED_VALUE"""),0.717645292732255)</f>
        <v>0.71764529273225497</v>
      </c>
      <c r="H523" s="17">
        <f ca="1">IFERROR(__xludf.DUMMYFUNCTION("""COMPUTED_VALUE"""),0.759625345495229)</f>
        <v>0.75962534549522898</v>
      </c>
      <c r="I523" s="17">
        <f ca="1">IFERROR(__xludf.DUMMYFUNCTION("""COMPUTED_VALUE"""),0.709876017354539)</f>
        <v>0.70987601735453898</v>
      </c>
      <c r="J523" s="17">
        <f ca="1">IFERROR(__xludf.DUMMYFUNCTION("""COMPUTED_VALUE"""),0.662713801918175)</f>
        <v>0.66271380191817497</v>
      </c>
      <c r="K523" s="17" t="str">
        <f ca="1">IFERROR(__xludf.DUMMYFUNCTION("""COMPUTED_VALUE"""),"nan")</f>
        <v>nan</v>
      </c>
      <c r="L523" s="17">
        <f ca="1">IFERROR(__xludf.DUMMYFUNCTION("""COMPUTED_VALUE"""),0.710751484543903)</f>
        <v>0.71075148454390302</v>
      </c>
      <c r="M523" s="17">
        <f ca="1">IFERROR(__xludf.DUMMYFUNCTION("""COMPUTED_VALUE"""),0.691232290480429)</f>
        <v>0.691232290480429</v>
      </c>
      <c r="N523" s="17">
        <f ca="1">IFERROR(__xludf.DUMMYFUNCTION("""COMPUTED_VALUE"""),0.721267346344749)</f>
        <v>0.72126734634474898</v>
      </c>
      <c r="O523" s="17">
        <f ca="1">IFERROR(__xludf.DUMMYFUNCTION("""COMPUTED_VALUE"""),0.781858691154598)</f>
        <v>0.78185869115459805</v>
      </c>
      <c r="P523" s="17">
        <f ca="1">IFERROR(__xludf.DUMMYFUNCTION("""COMPUTED_VALUE"""),0.775441778081125)</f>
        <v>0.77544177808112502</v>
      </c>
      <c r="Q523" s="17">
        <f ca="1">IFERROR(__xludf.DUMMYFUNCTION("""COMPUTED_VALUE"""),1.01862759951695)</f>
        <v>1.01862759951695</v>
      </c>
      <c r="R523" s="17">
        <f ca="1">IFERROR(__xludf.DUMMYFUNCTION("""COMPUTED_VALUE"""),0.950181542697138)</f>
        <v>0.95018154269713795</v>
      </c>
      <c r="S523" s="17">
        <f ca="1">IFERROR(__xludf.DUMMYFUNCTION("""COMPUTED_VALUE"""),0.706859454172193)</f>
        <v>0.70685945417219298</v>
      </c>
      <c r="T523" s="17">
        <f ca="1">IFERROR(__xludf.DUMMYFUNCTION("""COMPUTED_VALUE"""),0.677241450498346)</f>
        <v>0.67724145049834605</v>
      </c>
      <c r="U523" s="17">
        <f ca="1">IFERROR(__xludf.DUMMYFUNCTION("""COMPUTED_VALUE"""),0.642910661123723)</f>
        <v>0.64291066112372297</v>
      </c>
      <c r="V523" s="17">
        <f ca="1">IFERROR(__xludf.DUMMYFUNCTION("""COMPUTED_VALUE"""),0.849382211928425)</f>
        <v>0.849382211928425</v>
      </c>
      <c r="W523" s="17">
        <f ca="1">IFERROR(__xludf.DUMMYFUNCTION("""COMPUTED_VALUE"""),0.722355010588406)</f>
        <v>0.72235501058840601</v>
      </c>
      <c r="X523" s="17">
        <f ca="1">IFERROR(__xludf.DUMMYFUNCTION("""COMPUTED_VALUE"""),0.800138207330387)</f>
        <v>0.80013820733038699</v>
      </c>
      <c r="Y523" s="17">
        <f ca="1">IFERROR(__xludf.DUMMYFUNCTION("""COMPUTED_VALUE"""),0.595792531037267)</f>
        <v>0.59579253103726704</v>
      </c>
      <c r="Z523" s="17">
        <f ca="1">IFERROR(__xludf.DUMMYFUNCTION("""COMPUTED_VALUE"""),0.677524467761375)</f>
        <v>0.67752446776137498</v>
      </c>
      <c r="AA523" s="17">
        <f ca="1">IFERROR(__xludf.DUMMYFUNCTION("""COMPUTED_VALUE"""),0.777666805186888)</f>
        <v>0.77766680518688802</v>
      </c>
      <c r="AB523" s="17">
        <f ca="1">IFERROR(__xludf.DUMMYFUNCTION("""COMPUTED_VALUE"""),0.834568188367049)</f>
        <v>0.83456818836704905</v>
      </c>
      <c r="AC523" s="17">
        <f ca="1">IFERROR(__xludf.DUMMYFUNCTION("""COMPUTED_VALUE"""),0.605217204737229)</f>
        <v>0.60521720473722895</v>
      </c>
      <c r="AD523" s="17">
        <f ca="1">IFERROR(__xludf.DUMMYFUNCTION("""COMPUTED_VALUE"""),0.782922693972557)</f>
        <v>0.78292269397255698</v>
      </c>
      <c r="AE523" s="17">
        <f ca="1">IFERROR(__xludf.DUMMYFUNCTION("""COMPUTED_VALUE"""),0.707900620733336)</f>
        <v>0.70790062073333604</v>
      </c>
      <c r="AF523" s="17">
        <f ca="1">IFERROR(__xludf.DUMMYFUNCTION("""COMPUTED_VALUE"""),0.50747108027691)</f>
        <v>0.50747108027691001</v>
      </c>
      <c r="AG523" s="17">
        <f ca="1">IFERROR(__xludf.DUMMYFUNCTION("""COMPUTED_VALUE"""),0.864081350097827)</f>
        <v>0.86408135009782705</v>
      </c>
      <c r="AH523" s="17">
        <f ca="1">IFERROR(__xludf.DUMMYFUNCTION("""COMPUTED_VALUE"""),0.650111120246775)</f>
        <v>0.65011112024677498</v>
      </c>
      <c r="AI523" s="17">
        <f ca="1">IFERROR(__xludf.DUMMYFUNCTION("""COMPUTED_VALUE"""),0.734641427478765)</f>
        <v>0.73464142747876504</v>
      </c>
      <c r="AJ523" s="17">
        <f ca="1">IFERROR(__xludf.DUMMYFUNCTION("""COMPUTED_VALUE"""),0.692956837400081)</f>
        <v>0.69295683740008096</v>
      </c>
    </row>
    <row r="524" spans="2:36" ht="15.75" customHeight="1" x14ac:dyDescent="0.45">
      <c r="B524" s="10" t="str">
        <f ca="1">IFERROR(__xludf.DUMMYFUNCTION("""COMPUTED_VALUE"""),"Lightning7")</f>
        <v>Lightning7</v>
      </c>
      <c r="C524" s="10" t="str">
        <f ca="1">IFERROR(__xludf.DUMMYFUNCTION("""COMPUTED_VALUE"""),"mcar")</f>
        <v>mcar</v>
      </c>
      <c r="D524" s="10">
        <f ca="1">IFERROR(__xludf.DUMMYFUNCTION("""COMPUTED_VALUE"""),0.4)</f>
        <v>0.4</v>
      </c>
      <c r="E524" s="17">
        <f ca="1">IFERROR(__xludf.DUMMYFUNCTION("""COMPUTED_VALUE"""),0.956687174248785)</f>
        <v>0.95668717424878502</v>
      </c>
      <c r="F524" s="17">
        <f ca="1">IFERROR(__xludf.DUMMYFUNCTION("""COMPUTED_VALUE"""),0.837859224124991)</f>
        <v>0.83785922412499103</v>
      </c>
      <c r="G524" s="17">
        <f ca="1">IFERROR(__xludf.DUMMYFUNCTION("""COMPUTED_VALUE"""),0.975275666325195)</f>
        <v>0.97527566632519502</v>
      </c>
      <c r="H524" s="17">
        <f ca="1">IFERROR(__xludf.DUMMYFUNCTION("""COMPUTED_VALUE"""),0.966618170155669)</f>
        <v>0.96661817015566898</v>
      </c>
      <c r="I524" s="17">
        <f ca="1">IFERROR(__xludf.DUMMYFUNCTION("""COMPUTED_VALUE"""),0.751472619811901)</f>
        <v>0.75147261981190105</v>
      </c>
      <c r="J524" s="17">
        <f ca="1">IFERROR(__xludf.DUMMYFUNCTION("""COMPUTED_VALUE"""),0.696961176401421)</f>
        <v>0.69696117640142097</v>
      </c>
      <c r="K524" s="17" t="str">
        <f ca="1">IFERROR(__xludf.DUMMYFUNCTION("""COMPUTED_VALUE"""),"nan")</f>
        <v>nan</v>
      </c>
      <c r="L524" s="17">
        <f ca="1">IFERROR(__xludf.DUMMYFUNCTION("""COMPUTED_VALUE"""),0.759103646356074)</f>
        <v>0.75910364635607397</v>
      </c>
      <c r="M524" s="17">
        <f ca="1">IFERROR(__xludf.DUMMYFUNCTION("""COMPUTED_VALUE"""),0.714955608114948)</f>
        <v>0.71495560811494796</v>
      </c>
      <c r="N524" s="17">
        <f ca="1">IFERROR(__xludf.DUMMYFUNCTION("""COMPUTED_VALUE"""),0.732280343472752)</f>
        <v>0.73228034347275195</v>
      </c>
      <c r="O524" s="17">
        <f ca="1">IFERROR(__xludf.DUMMYFUNCTION("""COMPUTED_VALUE"""),0.722621827821442)</f>
        <v>0.72262182782144202</v>
      </c>
      <c r="P524" s="17">
        <f ca="1">IFERROR(__xludf.DUMMYFUNCTION("""COMPUTED_VALUE"""),0.828050889826564)</f>
        <v>0.82805088982656405</v>
      </c>
      <c r="Q524" s="17">
        <f ca="1">IFERROR(__xludf.DUMMYFUNCTION("""COMPUTED_VALUE"""),1.16667191469447)</f>
        <v>1.16667191469447</v>
      </c>
      <c r="R524" s="17">
        <f ca="1">IFERROR(__xludf.DUMMYFUNCTION("""COMPUTED_VALUE"""),0.836669635427987)</f>
        <v>0.836669635427987</v>
      </c>
      <c r="S524" s="17">
        <f ca="1">IFERROR(__xludf.DUMMYFUNCTION("""COMPUTED_VALUE"""),0.781337247361177)</f>
        <v>0.78133724736117705</v>
      </c>
      <c r="T524" s="17">
        <f ca="1">IFERROR(__xludf.DUMMYFUNCTION("""COMPUTED_VALUE"""),0.671873118106574)</f>
        <v>0.67187311810657402</v>
      </c>
      <c r="U524" s="17">
        <f ca="1">IFERROR(__xludf.DUMMYFUNCTION("""COMPUTED_VALUE"""),0.732582837815081)</f>
        <v>0.73258283781508104</v>
      </c>
      <c r="V524" s="17">
        <f ca="1">IFERROR(__xludf.DUMMYFUNCTION("""COMPUTED_VALUE"""),0.856848998701364)</f>
        <v>0.856848998701364</v>
      </c>
      <c r="W524" s="17">
        <f ca="1">IFERROR(__xludf.DUMMYFUNCTION("""COMPUTED_VALUE"""),0.72116333371781)</f>
        <v>0.72116333371781005</v>
      </c>
      <c r="X524" s="17">
        <f ca="1">IFERROR(__xludf.DUMMYFUNCTION("""COMPUTED_VALUE"""),0.671718306513921)</f>
        <v>0.67171830651392095</v>
      </c>
      <c r="Y524" s="17">
        <f ca="1">IFERROR(__xludf.DUMMYFUNCTION("""COMPUTED_VALUE"""),0.661955575973401)</f>
        <v>0.66195557597340104</v>
      </c>
      <c r="Z524" s="17">
        <f ca="1">IFERROR(__xludf.DUMMYFUNCTION("""COMPUTED_VALUE"""),0.725013016778435)</f>
        <v>0.72501301677843499</v>
      </c>
      <c r="AA524" s="17">
        <f ca="1">IFERROR(__xludf.DUMMYFUNCTION("""COMPUTED_VALUE"""),0.7220860674745)</f>
        <v>0.72208606747449999</v>
      </c>
      <c r="AB524" s="17">
        <f ca="1">IFERROR(__xludf.DUMMYFUNCTION("""COMPUTED_VALUE"""),0.852935655738834)</f>
        <v>0.85293565573883401</v>
      </c>
      <c r="AC524" s="17">
        <f ca="1">IFERROR(__xludf.DUMMYFUNCTION("""COMPUTED_VALUE"""),0.688391723386165)</f>
        <v>0.68839172338616506</v>
      </c>
      <c r="AD524" s="17">
        <f ca="1">IFERROR(__xludf.DUMMYFUNCTION("""COMPUTED_VALUE"""),0.820696513538041)</f>
        <v>0.82069651353804096</v>
      </c>
      <c r="AE524" s="17">
        <f ca="1">IFERROR(__xludf.DUMMYFUNCTION("""COMPUTED_VALUE"""),0.834101682096931)</f>
        <v>0.83410168209693103</v>
      </c>
      <c r="AF524" s="17">
        <f ca="1">IFERROR(__xludf.DUMMYFUNCTION("""COMPUTED_VALUE"""),0.725363790875561)</f>
        <v>0.72536379087556102</v>
      </c>
      <c r="AG524" s="17">
        <f ca="1">IFERROR(__xludf.DUMMYFUNCTION("""COMPUTED_VALUE"""),0.838060991207085)</f>
        <v>0.83806099120708499</v>
      </c>
      <c r="AH524" s="17">
        <f ca="1">IFERROR(__xludf.DUMMYFUNCTION("""COMPUTED_VALUE"""),0.706375956069572)</f>
        <v>0.70637595606957204</v>
      </c>
      <c r="AI524" s="17">
        <f ca="1">IFERROR(__xludf.DUMMYFUNCTION("""COMPUTED_VALUE"""),0.866839425533718)</f>
        <v>0.86683942553371796</v>
      </c>
      <c r="AJ524" s="17">
        <f ca="1">IFERROR(__xludf.DUMMYFUNCTION("""COMPUTED_VALUE"""),0.858441023615061)</f>
        <v>0.85844102361506103</v>
      </c>
    </row>
    <row r="525" spans="2:36" ht="15.75" customHeight="1" x14ac:dyDescent="0.45">
      <c r="B525" s="10" t="str">
        <f ca="1">IFERROR(__xludf.DUMMYFUNCTION("""COMPUTED_VALUE"""),"Lightning7")</f>
        <v>Lightning7</v>
      </c>
      <c r="C525" s="10" t="str">
        <f ca="1">IFERROR(__xludf.DUMMYFUNCTION("""COMPUTED_VALUE"""),"mcar")</f>
        <v>mcar</v>
      </c>
      <c r="D525" s="10">
        <f ca="1">IFERROR(__xludf.DUMMYFUNCTION("""COMPUTED_VALUE"""),0.6)</f>
        <v>0.6</v>
      </c>
      <c r="E525" s="17">
        <f ca="1">IFERROR(__xludf.DUMMYFUNCTION("""COMPUTED_VALUE"""),0.933471233443491)</f>
        <v>0.93347123344349103</v>
      </c>
      <c r="F525" s="17">
        <f ca="1">IFERROR(__xludf.DUMMYFUNCTION("""COMPUTED_VALUE"""),0.818467848387081)</f>
        <v>0.81846784838708098</v>
      </c>
      <c r="G525" s="17">
        <f ca="1">IFERROR(__xludf.DUMMYFUNCTION("""COMPUTED_VALUE"""),0.934455326091681)</f>
        <v>0.93445532609168103</v>
      </c>
      <c r="H525" s="17">
        <f ca="1">IFERROR(__xludf.DUMMYFUNCTION("""COMPUTED_VALUE"""),0.898835174471502)</f>
        <v>0.89883517447150196</v>
      </c>
      <c r="I525" s="17">
        <f ca="1">IFERROR(__xludf.DUMMYFUNCTION("""COMPUTED_VALUE"""),0.736569915965264)</f>
        <v>0.736569915965264</v>
      </c>
      <c r="J525" s="17">
        <f ca="1">IFERROR(__xludf.DUMMYFUNCTION("""COMPUTED_VALUE"""),0.72200647532949)</f>
        <v>0.72200647532949003</v>
      </c>
      <c r="K525" s="17" t="str">
        <f ca="1">IFERROR(__xludf.DUMMYFUNCTION("""COMPUTED_VALUE"""),"nan")</f>
        <v>nan</v>
      </c>
      <c r="L525" s="17">
        <f ca="1">IFERROR(__xludf.DUMMYFUNCTION("""COMPUTED_VALUE"""),0.813588606901926)</f>
        <v>0.81358860690192603</v>
      </c>
      <c r="M525" s="17">
        <f ca="1">IFERROR(__xludf.DUMMYFUNCTION("""COMPUTED_VALUE"""),0.782948961350995)</f>
        <v>0.78294896135099501</v>
      </c>
      <c r="N525" s="17">
        <f ca="1">IFERROR(__xludf.DUMMYFUNCTION("""COMPUTED_VALUE"""),0.851615680430139)</f>
        <v>0.85161568043013902</v>
      </c>
      <c r="O525" s="17">
        <f ca="1">IFERROR(__xludf.DUMMYFUNCTION("""COMPUTED_VALUE"""),0.783557908497967)</f>
        <v>0.78355790849796703</v>
      </c>
      <c r="P525" s="17">
        <f ca="1">IFERROR(__xludf.DUMMYFUNCTION("""COMPUTED_VALUE"""),0.87594873521535)</f>
        <v>0.87594873521534999</v>
      </c>
      <c r="Q525" s="17">
        <f ca="1">IFERROR(__xludf.DUMMYFUNCTION("""COMPUTED_VALUE"""),1.09120637847736)</f>
        <v>1.09120637847736</v>
      </c>
      <c r="R525" s="17">
        <f ca="1">IFERROR(__xludf.DUMMYFUNCTION("""COMPUTED_VALUE"""),0.878678588930781)</f>
        <v>0.87867858893078099</v>
      </c>
      <c r="S525" s="17">
        <f ca="1">IFERROR(__xludf.DUMMYFUNCTION("""COMPUTED_VALUE"""),0.896344438401004)</f>
        <v>0.89634443840100397</v>
      </c>
      <c r="T525" s="17">
        <f ca="1">IFERROR(__xludf.DUMMYFUNCTION("""COMPUTED_VALUE"""),0.731761283357337)</f>
        <v>0.73176128335733703</v>
      </c>
      <c r="U525" s="17">
        <f ca="1">IFERROR(__xludf.DUMMYFUNCTION("""COMPUTED_VALUE"""),0.820809240302597)</f>
        <v>0.82080924030259705</v>
      </c>
      <c r="V525" s="17">
        <f ca="1">IFERROR(__xludf.DUMMYFUNCTION("""COMPUTED_VALUE"""),0.879179632518877)</f>
        <v>0.87917963251887699</v>
      </c>
      <c r="W525" s="17">
        <f ca="1">IFERROR(__xludf.DUMMYFUNCTION("""COMPUTED_VALUE"""),0.77292841840737)</f>
        <v>0.77292841840737003</v>
      </c>
      <c r="X525" s="17">
        <f ca="1">IFERROR(__xludf.DUMMYFUNCTION("""COMPUTED_VALUE"""),0.778071833168285)</f>
        <v>0.77807183316828499</v>
      </c>
      <c r="Y525" s="17">
        <f ca="1">IFERROR(__xludf.DUMMYFUNCTION("""COMPUTED_VALUE"""),0.718149141782332)</f>
        <v>0.71814914178233202</v>
      </c>
      <c r="Z525" s="17">
        <f ca="1">IFERROR(__xludf.DUMMYFUNCTION("""COMPUTED_VALUE"""),0.773610165593133)</f>
        <v>0.773610165593133</v>
      </c>
      <c r="AA525" s="17">
        <f ca="1">IFERROR(__xludf.DUMMYFUNCTION("""COMPUTED_VALUE"""),0.763796191627833)</f>
        <v>0.76379619162783297</v>
      </c>
      <c r="AB525" s="17">
        <f ca="1">IFERROR(__xludf.DUMMYFUNCTION("""COMPUTED_VALUE"""),1.04224394093723)</f>
        <v>1.0422439409372299</v>
      </c>
      <c r="AC525" s="17">
        <f ca="1">IFERROR(__xludf.DUMMYFUNCTION("""COMPUTED_VALUE"""),0.865745915926835)</f>
        <v>0.86574591592683503</v>
      </c>
      <c r="AD525" s="17">
        <f ca="1">IFERROR(__xludf.DUMMYFUNCTION("""COMPUTED_VALUE"""),0.943146257464038)</f>
        <v>0.94314625746403802</v>
      </c>
      <c r="AE525" s="17">
        <f ca="1">IFERROR(__xludf.DUMMYFUNCTION("""COMPUTED_VALUE"""),1.06386976705204)</f>
        <v>1.0638697670520401</v>
      </c>
      <c r="AF525" s="17">
        <f ca="1">IFERROR(__xludf.DUMMYFUNCTION("""COMPUTED_VALUE"""),0.863163785837922)</f>
        <v>0.86316378583792197</v>
      </c>
      <c r="AG525" s="17">
        <f ca="1">IFERROR(__xludf.DUMMYFUNCTION("""COMPUTED_VALUE"""),0.974208528199493)</f>
        <v>0.974208528199493</v>
      </c>
      <c r="AH525" s="17">
        <f ca="1">IFERROR(__xludf.DUMMYFUNCTION("""COMPUTED_VALUE"""),0.93044996785893)</f>
        <v>0.93044996785892997</v>
      </c>
      <c r="AI525" s="17">
        <f ca="1">IFERROR(__xludf.DUMMYFUNCTION("""COMPUTED_VALUE"""),0.896114516571137)</f>
        <v>0.89611451657113705</v>
      </c>
      <c r="AJ525" s="17">
        <f ca="1">IFERROR(__xludf.DUMMYFUNCTION("""COMPUTED_VALUE"""),1.06736454417406)</f>
        <v>1.06736454417406</v>
      </c>
    </row>
    <row r="526" spans="2:36" ht="15.75" customHeight="1" x14ac:dyDescent="0.45">
      <c r="B526" s="10" t="str">
        <f ca="1">IFERROR(__xludf.DUMMYFUNCTION("""COMPUTED_VALUE"""),"Lightning7")</f>
        <v>Lightning7</v>
      </c>
      <c r="C526" s="10" t="str">
        <f ca="1">IFERROR(__xludf.DUMMYFUNCTION("""COMPUTED_VALUE"""),"mcar")</f>
        <v>mcar</v>
      </c>
      <c r="D526" s="10">
        <f ca="1">IFERROR(__xludf.DUMMYFUNCTION("""COMPUTED_VALUE"""),0.8)</f>
        <v>0.8</v>
      </c>
      <c r="E526" s="17">
        <f ca="1">IFERROR(__xludf.DUMMYFUNCTION("""COMPUTED_VALUE"""),1.00059218778896)</f>
        <v>1.0005921877889601</v>
      </c>
      <c r="F526" s="17">
        <f ca="1">IFERROR(__xludf.DUMMYFUNCTION("""COMPUTED_VALUE"""),0.783671594678509)</f>
        <v>0.783671594678509</v>
      </c>
      <c r="G526" s="17">
        <f ca="1">IFERROR(__xludf.DUMMYFUNCTION("""COMPUTED_VALUE"""),0.863639822795501)</f>
        <v>0.863639822795501</v>
      </c>
      <c r="H526" s="17">
        <f ca="1">IFERROR(__xludf.DUMMYFUNCTION("""COMPUTED_VALUE"""),0.920023691764597)</f>
        <v>0.92002369176459697</v>
      </c>
      <c r="I526" s="17">
        <f ca="1">IFERROR(__xludf.DUMMYFUNCTION("""COMPUTED_VALUE"""),0.821122354682709)</f>
        <v>0.821122354682709</v>
      </c>
      <c r="J526" s="17">
        <f ca="1">IFERROR(__xludf.DUMMYFUNCTION("""COMPUTED_VALUE"""),0.964601406387427)</f>
        <v>0.96460140638742697</v>
      </c>
      <c r="K526" s="17" t="str">
        <f ca="1">IFERROR(__xludf.DUMMYFUNCTION("""COMPUTED_VALUE"""),"nan")</f>
        <v>nan</v>
      </c>
      <c r="L526" s="17">
        <f ca="1">IFERROR(__xludf.DUMMYFUNCTION("""COMPUTED_VALUE"""),0.824470803196242)</f>
        <v>0.824470803196242</v>
      </c>
      <c r="M526" s="17">
        <f ca="1">IFERROR(__xludf.DUMMYFUNCTION("""COMPUTED_VALUE"""),1.02530583176946)</f>
        <v>1.0253058317694601</v>
      </c>
      <c r="N526" s="17">
        <f ca="1">IFERROR(__xludf.DUMMYFUNCTION("""COMPUTED_VALUE"""),0.807827781489938)</f>
        <v>0.80782778148993795</v>
      </c>
      <c r="O526" s="17">
        <f ca="1">IFERROR(__xludf.DUMMYFUNCTION("""COMPUTED_VALUE"""),0.760727017497895)</f>
        <v>0.76072701749789495</v>
      </c>
      <c r="P526" s="17">
        <f ca="1">IFERROR(__xludf.DUMMYFUNCTION("""COMPUTED_VALUE"""),1.03095390143745)</f>
        <v>1.03095390143745</v>
      </c>
      <c r="Q526" s="17">
        <f ca="1">IFERROR(__xludf.DUMMYFUNCTION("""COMPUTED_VALUE"""),1.10043845661105)</f>
        <v>1.1004384566110501</v>
      </c>
      <c r="R526" s="17">
        <f ca="1">IFERROR(__xludf.DUMMYFUNCTION("""COMPUTED_VALUE"""),1.30084789940256)</f>
        <v>1.3008478994025601</v>
      </c>
      <c r="S526" s="17">
        <f ca="1">IFERROR(__xludf.DUMMYFUNCTION("""COMPUTED_VALUE"""),1.36720403344617)</f>
        <v>1.3672040334461699</v>
      </c>
      <c r="T526" s="17">
        <f ca="1">IFERROR(__xludf.DUMMYFUNCTION("""COMPUTED_VALUE"""),0.938269501816785)</f>
        <v>0.93826950181678503</v>
      </c>
      <c r="U526" s="17">
        <f ca="1">IFERROR(__xludf.DUMMYFUNCTION("""COMPUTED_VALUE"""),0.913849220026898)</f>
        <v>0.91384922002689795</v>
      </c>
      <c r="V526" s="17">
        <f ca="1">IFERROR(__xludf.DUMMYFUNCTION("""COMPUTED_VALUE"""),1.01996998371351)</f>
        <v>1.0199699837135101</v>
      </c>
      <c r="W526" s="17">
        <f ca="1">IFERROR(__xludf.DUMMYFUNCTION("""COMPUTED_VALUE"""),0.898648512291283)</f>
        <v>0.89864851229128295</v>
      </c>
      <c r="X526" s="17">
        <f ca="1">IFERROR(__xludf.DUMMYFUNCTION("""COMPUTED_VALUE"""),0.808377477229696)</f>
        <v>0.808377477229696</v>
      </c>
      <c r="Y526" s="17">
        <f ca="1">IFERROR(__xludf.DUMMYFUNCTION("""COMPUTED_VALUE"""),0.837215201928512)</f>
        <v>0.83721520192851195</v>
      </c>
      <c r="Z526" s="17">
        <f ca="1">IFERROR(__xludf.DUMMYFUNCTION("""COMPUTED_VALUE"""),0.935905598416106)</f>
        <v>0.93590559841610599</v>
      </c>
      <c r="AA526" s="17">
        <f ca="1">IFERROR(__xludf.DUMMYFUNCTION("""COMPUTED_VALUE"""),1.0143030060729)</f>
        <v>1.0143030060728999</v>
      </c>
      <c r="AB526" s="17">
        <f ca="1">IFERROR(__xludf.DUMMYFUNCTION("""COMPUTED_VALUE"""),1.13314448221838)</f>
        <v>1.13314448221838</v>
      </c>
      <c r="AC526" s="17">
        <f ca="1">IFERROR(__xludf.DUMMYFUNCTION("""COMPUTED_VALUE"""),0.914741440808729)</f>
        <v>0.91474144080872899</v>
      </c>
      <c r="AD526" s="17">
        <f ca="1">IFERROR(__xludf.DUMMYFUNCTION("""COMPUTED_VALUE"""),0.983457327737012)</f>
        <v>0.983457327737012</v>
      </c>
      <c r="AE526" s="17">
        <f ca="1">IFERROR(__xludf.DUMMYFUNCTION("""COMPUTED_VALUE"""),1.71457168366913)</f>
        <v>1.71457168366913</v>
      </c>
      <c r="AF526" s="17">
        <f ca="1">IFERROR(__xludf.DUMMYFUNCTION("""COMPUTED_VALUE"""),1.04766071056028)</f>
        <v>1.04766071056028</v>
      </c>
      <c r="AG526" s="17">
        <f ca="1">IFERROR(__xludf.DUMMYFUNCTION("""COMPUTED_VALUE"""),1.25512992724259)</f>
        <v>1.25512992724259</v>
      </c>
      <c r="AH526" s="17">
        <f ca="1">IFERROR(__xludf.DUMMYFUNCTION("""COMPUTED_VALUE"""),1.50929010706585)</f>
        <v>1.50929010706585</v>
      </c>
      <c r="AI526" s="17">
        <f ca="1">IFERROR(__xludf.DUMMYFUNCTION("""COMPUTED_VALUE"""),1.05632204573914)</f>
        <v>1.05632204573914</v>
      </c>
      <c r="AJ526" s="17">
        <f ca="1">IFERROR(__xludf.DUMMYFUNCTION("""COMPUTED_VALUE"""),1.15100928925757)</f>
        <v>1.1510092892575701</v>
      </c>
    </row>
    <row r="527" spans="2:36" ht="15.75" customHeight="1" x14ac:dyDescent="0.45">
      <c r="B527" s="10" t="str">
        <f ca="1">IFERROR(__xludf.DUMMYFUNCTION("""COMPUTED_VALUE"""),"Meat")</f>
        <v>Meat</v>
      </c>
      <c r="C527" s="10" t="str">
        <f ca="1">IFERROR(__xludf.DUMMYFUNCTION("""COMPUTED_VALUE"""),"aligned_series")</f>
        <v>aligned_series</v>
      </c>
      <c r="D527" s="10">
        <f ca="1">IFERROR(__xludf.DUMMYFUNCTION("""COMPUTED_VALUE"""),0.1)</f>
        <v>0.1</v>
      </c>
      <c r="E527" s="17">
        <f ca="1">IFERROR(__xludf.DUMMYFUNCTION("""COMPUTED_VALUE"""),0.206132555930431)</f>
        <v>0.20613255593043101</v>
      </c>
      <c r="F527" s="17">
        <f ca="1">IFERROR(__xludf.DUMMYFUNCTION("""COMPUTED_VALUE"""),0.0140998963522773)</f>
        <v>1.40998963522773E-2</v>
      </c>
      <c r="G527" s="17">
        <f ca="1">IFERROR(__xludf.DUMMYFUNCTION("""COMPUTED_VALUE"""),0.0149784654412706)</f>
        <v>1.49784654412706E-2</v>
      </c>
      <c r="H527" s="17">
        <f ca="1">IFERROR(__xludf.DUMMYFUNCTION("""COMPUTED_VALUE"""),0.0176397036008423)</f>
        <v>1.7639703600842299E-2</v>
      </c>
      <c r="I527" s="17">
        <f ca="1">IFERROR(__xludf.DUMMYFUNCTION("""COMPUTED_VALUE"""),0.00928523823931881)</f>
        <v>9.2852382393188108E-3</v>
      </c>
      <c r="J527" s="17">
        <f ca="1">IFERROR(__xludf.DUMMYFUNCTION("""COMPUTED_VALUE"""),0.0525589184944897)</f>
        <v>5.2558918494489702E-2</v>
      </c>
      <c r="K527" s="17" t="str">
        <f ca="1">IFERROR(__xludf.DUMMYFUNCTION("""COMPUTED_VALUE"""),"nan")</f>
        <v>nan</v>
      </c>
      <c r="L527" s="17">
        <f ca="1">IFERROR(__xludf.DUMMYFUNCTION("""COMPUTED_VALUE"""),0.0148380354296055)</f>
        <v>1.48380354296055E-2</v>
      </c>
      <c r="M527" s="17">
        <f ca="1">IFERROR(__xludf.DUMMYFUNCTION("""COMPUTED_VALUE"""),0.0117683414869048)</f>
        <v>1.1768341486904799E-2</v>
      </c>
      <c r="N527" s="17">
        <f ca="1">IFERROR(__xludf.DUMMYFUNCTION("""COMPUTED_VALUE"""),0.0144499091754425)</f>
        <v>1.4449909175442499E-2</v>
      </c>
      <c r="O527" s="17">
        <f ca="1">IFERROR(__xludf.DUMMYFUNCTION("""COMPUTED_VALUE"""),0.00857509836294451)</f>
        <v>8.5750983629445093E-3</v>
      </c>
      <c r="P527" s="17">
        <f ca="1">IFERROR(__xludf.DUMMYFUNCTION("""COMPUTED_VALUE"""),1.20636183824767)</f>
        <v>1.20636183824767</v>
      </c>
      <c r="Q527" s="17">
        <f ca="1">IFERROR(__xludf.DUMMYFUNCTION("""COMPUTED_VALUE"""),0.0261989702000294)</f>
        <v>2.6198970200029401E-2</v>
      </c>
      <c r="R527" s="17">
        <f ca="1">IFERROR(__xludf.DUMMYFUNCTION("""COMPUTED_VALUE"""),0.152249382360716)</f>
        <v>0.152249382360716</v>
      </c>
      <c r="S527" s="17">
        <f ca="1">IFERROR(__xludf.DUMMYFUNCTION("""COMPUTED_VALUE"""),0.0311706636415328)</f>
        <v>3.11706636415328E-2</v>
      </c>
      <c r="T527" s="17">
        <f ca="1">IFERROR(__xludf.DUMMYFUNCTION("""COMPUTED_VALUE"""),0.202365879215897)</f>
        <v>0.20236587921589699</v>
      </c>
      <c r="U527" s="17">
        <f ca="1">IFERROR(__xludf.DUMMYFUNCTION("""COMPUTED_VALUE"""),0.0447967891349453)</f>
        <v>4.4796789134945302E-2</v>
      </c>
      <c r="V527" s="17">
        <f ca="1">IFERROR(__xludf.DUMMYFUNCTION("""COMPUTED_VALUE"""),0.0198357652207094)</f>
        <v>1.98357652207094E-2</v>
      </c>
      <c r="W527" s="17">
        <f ca="1">IFERROR(__xludf.DUMMYFUNCTION("""COMPUTED_VALUE"""),0.064791662239876)</f>
        <v>6.4791662239875994E-2</v>
      </c>
      <c r="X527" s="17">
        <f ca="1">IFERROR(__xludf.DUMMYFUNCTION("""COMPUTED_VALUE"""),0.340467417270012)</f>
        <v>0.34046741727001201</v>
      </c>
      <c r="Y527" s="17">
        <f ca="1">IFERROR(__xludf.DUMMYFUNCTION("""COMPUTED_VALUE"""),0.0152919321615172)</f>
        <v>1.52919321615172E-2</v>
      </c>
      <c r="Z527" s="17">
        <f ca="1">IFERROR(__xludf.DUMMYFUNCTION("""COMPUTED_VALUE"""),0.0646732738467417)</f>
        <v>6.4673273846741694E-2</v>
      </c>
      <c r="AA527" s="17">
        <f ca="1">IFERROR(__xludf.DUMMYFUNCTION("""COMPUTED_VALUE"""),0.00422021625203475)</f>
        <v>4.2202162520347504E-3</v>
      </c>
      <c r="AB527" s="17">
        <f ca="1">IFERROR(__xludf.DUMMYFUNCTION("""COMPUTED_VALUE"""),0.0365776226029526)</f>
        <v>3.6577622602952602E-2</v>
      </c>
      <c r="AC527" s="17">
        <f ca="1">IFERROR(__xludf.DUMMYFUNCTION("""COMPUTED_VALUE"""),0.150725267416717)</f>
        <v>0.15072526741671699</v>
      </c>
      <c r="AD527" s="17">
        <f ca="1">IFERROR(__xludf.DUMMYFUNCTION("""COMPUTED_VALUE"""),0.0250283773706565)</f>
        <v>2.50283773706565E-2</v>
      </c>
      <c r="AE527" s="17">
        <f ca="1">IFERROR(__xludf.DUMMYFUNCTION("""COMPUTED_VALUE"""),0.554011534756011)</f>
        <v>0.55401153475601095</v>
      </c>
      <c r="AF527" s="17">
        <f ca="1">IFERROR(__xludf.DUMMYFUNCTION("""COMPUTED_VALUE"""),0.0265325482923604)</f>
        <v>2.6532548292360399E-2</v>
      </c>
      <c r="AG527" s="17">
        <f ca="1">IFERROR(__xludf.DUMMYFUNCTION("""COMPUTED_VALUE"""),0.068092519613047)</f>
        <v>6.8092519613047006E-2</v>
      </c>
      <c r="AH527" s="17">
        <f ca="1">IFERROR(__xludf.DUMMYFUNCTION("""COMPUTED_VALUE"""),0.078610555271069)</f>
        <v>7.8610555271068999E-2</v>
      </c>
      <c r="AI527" s="17">
        <f ca="1">IFERROR(__xludf.DUMMYFUNCTION("""COMPUTED_VALUE"""),0.0786816962738262)</f>
        <v>7.8681696273826193E-2</v>
      </c>
      <c r="AJ527" s="17">
        <f ca="1">IFERROR(__xludf.DUMMYFUNCTION("""COMPUTED_VALUE"""),0.0593131456739824)</f>
        <v>5.9313145673982402E-2</v>
      </c>
    </row>
    <row r="528" spans="2:36" ht="15.75" customHeight="1" x14ac:dyDescent="0.45">
      <c r="B528" s="10" t="str">
        <f ca="1">IFERROR(__xludf.DUMMYFUNCTION("""COMPUTED_VALUE"""),"Meat")</f>
        <v>Meat</v>
      </c>
      <c r="C528" s="10" t="str">
        <f ca="1">IFERROR(__xludf.DUMMYFUNCTION("""COMPUTED_VALUE"""),"aligned_series")</f>
        <v>aligned_series</v>
      </c>
      <c r="D528" s="10">
        <f ca="1">IFERROR(__xludf.DUMMYFUNCTION("""COMPUTED_VALUE"""),0.2)</f>
        <v>0.2</v>
      </c>
      <c r="E528" s="17">
        <f ca="1">IFERROR(__xludf.DUMMYFUNCTION("""COMPUTED_VALUE"""),0.207407653727823)</f>
        <v>0.20740765372782299</v>
      </c>
      <c r="F528" s="17">
        <f ca="1">IFERROR(__xludf.DUMMYFUNCTION("""COMPUTED_VALUE"""),0.0260175943130935)</f>
        <v>2.6017594313093501E-2</v>
      </c>
      <c r="G528" s="17">
        <f ca="1">IFERROR(__xludf.DUMMYFUNCTION("""COMPUTED_VALUE"""),0.015762845201801)</f>
        <v>1.5762845201801001E-2</v>
      </c>
      <c r="H528" s="17">
        <f ca="1">IFERROR(__xludf.DUMMYFUNCTION("""COMPUTED_VALUE"""),0.0276286639067949)</f>
        <v>2.7628663906794901E-2</v>
      </c>
      <c r="I528" s="17">
        <f ca="1">IFERROR(__xludf.DUMMYFUNCTION("""COMPUTED_VALUE"""),0.019309179870645)</f>
        <v>1.9309179870645E-2</v>
      </c>
      <c r="J528" s="17">
        <f ca="1">IFERROR(__xludf.DUMMYFUNCTION("""COMPUTED_VALUE"""),0.0726188973239954)</f>
        <v>7.2618897323995402E-2</v>
      </c>
      <c r="K528" s="17" t="str">
        <f ca="1">IFERROR(__xludf.DUMMYFUNCTION("""COMPUTED_VALUE"""),"nan")</f>
        <v>nan</v>
      </c>
      <c r="L528" s="17">
        <f ca="1">IFERROR(__xludf.DUMMYFUNCTION("""COMPUTED_VALUE"""),0.0269746315196026)</f>
        <v>2.6974631519602599E-2</v>
      </c>
      <c r="M528" s="17">
        <f ca="1">IFERROR(__xludf.DUMMYFUNCTION("""COMPUTED_VALUE"""),0.0178936379937761)</f>
        <v>1.78936379937761E-2</v>
      </c>
      <c r="N528" s="17">
        <f ca="1">IFERROR(__xludf.DUMMYFUNCTION("""COMPUTED_VALUE"""),0.0319594263943855)</f>
        <v>3.1959426394385503E-2</v>
      </c>
      <c r="O528" s="17">
        <f ca="1">IFERROR(__xludf.DUMMYFUNCTION("""COMPUTED_VALUE"""),0.0145335462631055)</f>
        <v>1.4533546263105501E-2</v>
      </c>
      <c r="P528" s="17">
        <f ca="1">IFERROR(__xludf.DUMMYFUNCTION("""COMPUTED_VALUE"""),1.02714689349806)</f>
        <v>1.0271468934980601</v>
      </c>
      <c r="Q528" s="17">
        <f ca="1">IFERROR(__xludf.DUMMYFUNCTION("""COMPUTED_VALUE"""),0.03542427357157)</f>
        <v>3.5424273571569999E-2</v>
      </c>
      <c r="R528" s="17">
        <f ca="1">IFERROR(__xludf.DUMMYFUNCTION("""COMPUTED_VALUE"""),0.160318277912475)</f>
        <v>0.16031827791247499</v>
      </c>
      <c r="S528" s="17">
        <f ca="1">IFERROR(__xludf.DUMMYFUNCTION("""COMPUTED_VALUE"""),0.0471203623198915)</f>
        <v>4.7120362319891501E-2</v>
      </c>
      <c r="T528" s="17">
        <f ca="1">IFERROR(__xludf.DUMMYFUNCTION("""COMPUTED_VALUE"""),0.126522001484509)</f>
        <v>0.12652200148450901</v>
      </c>
      <c r="U528" s="17">
        <f ca="1">IFERROR(__xludf.DUMMYFUNCTION("""COMPUTED_VALUE"""),0.0709451762672987)</f>
        <v>7.0945176267298696E-2</v>
      </c>
      <c r="V528" s="17">
        <f ca="1">IFERROR(__xludf.DUMMYFUNCTION("""COMPUTED_VALUE"""),0.0347446457903632)</f>
        <v>3.4744645790363203E-2</v>
      </c>
      <c r="W528" s="17">
        <f ca="1">IFERROR(__xludf.DUMMYFUNCTION("""COMPUTED_VALUE"""),0.0492128085199754)</f>
        <v>4.92128085199754E-2</v>
      </c>
      <c r="X528" s="17">
        <f ca="1">IFERROR(__xludf.DUMMYFUNCTION("""COMPUTED_VALUE"""),0.119009336165354)</f>
        <v>0.119009336165354</v>
      </c>
      <c r="Y528" s="17">
        <f ca="1">IFERROR(__xludf.DUMMYFUNCTION("""COMPUTED_VALUE"""),0.0271575225694258)</f>
        <v>2.7157522569425802E-2</v>
      </c>
      <c r="Z528" s="17">
        <f ca="1">IFERROR(__xludf.DUMMYFUNCTION("""COMPUTED_VALUE"""),0.0624369926643529)</f>
        <v>6.2436992664352903E-2</v>
      </c>
      <c r="AA528" s="17">
        <f ca="1">IFERROR(__xludf.DUMMYFUNCTION("""COMPUTED_VALUE"""),0.00455222670355578)</f>
        <v>4.55222670355578E-3</v>
      </c>
      <c r="AB528" s="17">
        <f ca="1">IFERROR(__xludf.DUMMYFUNCTION("""COMPUTED_VALUE"""),0.17579062792106)</f>
        <v>0.17579062792106001</v>
      </c>
      <c r="AC528" s="17">
        <f ca="1">IFERROR(__xludf.DUMMYFUNCTION("""COMPUTED_VALUE"""),0.147861246197736)</f>
        <v>0.147861246197736</v>
      </c>
      <c r="AD528" s="17">
        <f ca="1">IFERROR(__xludf.DUMMYFUNCTION("""COMPUTED_VALUE"""),0.0291234776288167)</f>
        <v>2.9123477628816698E-2</v>
      </c>
      <c r="AE528" s="17">
        <f ca="1">IFERROR(__xludf.DUMMYFUNCTION("""COMPUTED_VALUE"""),0.588028507872941)</f>
        <v>0.58802850787294103</v>
      </c>
      <c r="AF528" s="17">
        <f ca="1">IFERROR(__xludf.DUMMYFUNCTION("""COMPUTED_VALUE"""),0.0333124818360002)</f>
        <v>3.3312481836000198E-2</v>
      </c>
      <c r="AG528" s="17">
        <f ca="1">IFERROR(__xludf.DUMMYFUNCTION("""COMPUTED_VALUE"""),0.0701113353763396)</f>
        <v>7.0111335376339595E-2</v>
      </c>
      <c r="AH528" s="17">
        <f ca="1">IFERROR(__xludf.DUMMYFUNCTION("""COMPUTED_VALUE"""),0.0789858346912045)</f>
        <v>7.8985834691204501E-2</v>
      </c>
      <c r="AI528" s="17">
        <f ca="1">IFERROR(__xludf.DUMMYFUNCTION("""COMPUTED_VALUE"""),0.079124317134926)</f>
        <v>7.9124317134926E-2</v>
      </c>
      <c r="AJ528" s="17">
        <f ca="1">IFERROR(__xludf.DUMMYFUNCTION("""COMPUTED_VALUE"""),0.0648659554867777)</f>
        <v>6.4865955486777704E-2</v>
      </c>
    </row>
    <row r="529" spans="2:36" ht="15.75" customHeight="1" x14ac:dyDescent="0.45">
      <c r="B529" s="10" t="str">
        <f ca="1">IFERROR(__xludf.DUMMYFUNCTION("""COMPUTED_VALUE"""),"Meat")</f>
        <v>Meat</v>
      </c>
      <c r="C529" s="10" t="str">
        <f ca="1">IFERROR(__xludf.DUMMYFUNCTION("""COMPUTED_VALUE"""),"aligned_series")</f>
        <v>aligned_series</v>
      </c>
      <c r="D529" s="10">
        <f ca="1">IFERROR(__xludf.DUMMYFUNCTION("""COMPUTED_VALUE"""),0.4)</f>
        <v>0.4</v>
      </c>
      <c r="E529" s="17">
        <f ca="1">IFERROR(__xludf.DUMMYFUNCTION("""COMPUTED_VALUE"""),0.222062809964072)</f>
        <v>0.22206280996407199</v>
      </c>
      <c r="F529" s="17">
        <f ca="1">IFERROR(__xludf.DUMMYFUNCTION("""COMPUTED_VALUE"""),0.022808569558215)</f>
        <v>2.2808569558214999E-2</v>
      </c>
      <c r="G529" s="17">
        <f ca="1">IFERROR(__xludf.DUMMYFUNCTION("""COMPUTED_VALUE"""),0.0179134320884623)</f>
        <v>1.79134320884623E-2</v>
      </c>
      <c r="H529" s="17">
        <f ca="1">IFERROR(__xludf.DUMMYFUNCTION("""COMPUTED_VALUE"""),0.0230842284374308)</f>
        <v>2.3084228437430802E-2</v>
      </c>
      <c r="I529" s="17">
        <f ca="1">IFERROR(__xludf.DUMMYFUNCTION("""COMPUTED_VALUE"""),0.021015465175307)</f>
        <v>2.1015465175306999E-2</v>
      </c>
      <c r="J529" s="17">
        <f ca="1">IFERROR(__xludf.DUMMYFUNCTION("""COMPUTED_VALUE"""),0.0850066680832404)</f>
        <v>8.5006668083240394E-2</v>
      </c>
      <c r="K529" s="17" t="str">
        <f ca="1">IFERROR(__xludf.DUMMYFUNCTION("""COMPUTED_VALUE"""),"nan")</f>
        <v>nan</v>
      </c>
      <c r="L529" s="17">
        <f ca="1">IFERROR(__xludf.DUMMYFUNCTION("""COMPUTED_VALUE"""),0.0225881130378296)</f>
        <v>2.2588113037829601E-2</v>
      </c>
      <c r="M529" s="17">
        <f ca="1">IFERROR(__xludf.DUMMYFUNCTION("""COMPUTED_VALUE"""),0.0187318930421133)</f>
        <v>1.8731893042113298E-2</v>
      </c>
      <c r="N529" s="17">
        <f ca="1">IFERROR(__xludf.DUMMYFUNCTION("""COMPUTED_VALUE"""),0.0235163745755988)</f>
        <v>2.3516374575598801E-2</v>
      </c>
      <c r="O529" s="17">
        <f ca="1">IFERROR(__xludf.DUMMYFUNCTION("""COMPUTED_VALUE"""),0.0153714464069261)</f>
        <v>1.5371446406926099E-2</v>
      </c>
      <c r="P529" s="17">
        <f ca="1">IFERROR(__xludf.DUMMYFUNCTION("""COMPUTED_VALUE"""),0.999051001571113)</f>
        <v>0.99905100157111304</v>
      </c>
      <c r="Q529" s="17">
        <f ca="1">IFERROR(__xludf.DUMMYFUNCTION("""COMPUTED_VALUE"""),0.0232972826607256)</f>
        <v>2.3297282660725602E-2</v>
      </c>
      <c r="R529" s="17">
        <f ca="1">IFERROR(__xludf.DUMMYFUNCTION("""COMPUTED_VALUE"""),0.198490274888435)</f>
        <v>0.19849027488843499</v>
      </c>
      <c r="S529" s="17">
        <f ca="1">IFERROR(__xludf.DUMMYFUNCTION("""COMPUTED_VALUE"""),0.0886078405423038)</f>
        <v>8.8607840542303806E-2</v>
      </c>
      <c r="T529" s="17">
        <f ca="1">IFERROR(__xludf.DUMMYFUNCTION("""COMPUTED_VALUE"""),0.234292884170486)</f>
        <v>0.23429288417048599</v>
      </c>
      <c r="U529" s="17">
        <f ca="1">IFERROR(__xludf.DUMMYFUNCTION("""COMPUTED_VALUE"""),0.0732795133580621)</f>
        <v>7.3279513358062098E-2</v>
      </c>
      <c r="V529" s="17">
        <f ca="1">IFERROR(__xludf.DUMMYFUNCTION("""COMPUTED_VALUE"""),0.0239710583740299)</f>
        <v>2.3971058374029901E-2</v>
      </c>
      <c r="W529" s="17">
        <f ca="1">IFERROR(__xludf.DUMMYFUNCTION("""COMPUTED_VALUE"""),0.0525349363564199)</f>
        <v>5.2534936356419898E-2</v>
      </c>
      <c r="X529" s="17">
        <f ca="1">IFERROR(__xludf.DUMMYFUNCTION("""COMPUTED_VALUE"""),0.0722935014949335)</f>
        <v>7.2293501494933493E-2</v>
      </c>
      <c r="Y529" s="17">
        <f ca="1">IFERROR(__xludf.DUMMYFUNCTION("""COMPUTED_VALUE"""),0.0238344251979583)</f>
        <v>2.3834425197958298E-2</v>
      </c>
      <c r="Z529" s="17">
        <f ca="1">IFERROR(__xludf.DUMMYFUNCTION("""COMPUTED_VALUE"""),0.0631576139758186)</f>
        <v>6.3157613975818594E-2</v>
      </c>
      <c r="AA529" s="17">
        <f ca="1">IFERROR(__xludf.DUMMYFUNCTION("""COMPUTED_VALUE"""),0.00635693215103054)</f>
        <v>6.3569321510305397E-3</v>
      </c>
      <c r="AB529" s="17">
        <f ca="1">IFERROR(__xludf.DUMMYFUNCTION("""COMPUTED_VALUE"""),1.58183442704707)</f>
        <v>1.5818344270470699</v>
      </c>
      <c r="AC529" s="17">
        <f ca="1">IFERROR(__xludf.DUMMYFUNCTION("""COMPUTED_VALUE"""),0.181775670875499)</f>
        <v>0.18177567087549901</v>
      </c>
      <c r="AD529" s="17">
        <f ca="1">IFERROR(__xludf.DUMMYFUNCTION("""COMPUTED_VALUE"""),0.0280024609820668)</f>
        <v>2.8002460982066799E-2</v>
      </c>
      <c r="AE529" s="17">
        <f ca="1">IFERROR(__xludf.DUMMYFUNCTION("""COMPUTED_VALUE"""),0.588063551137998)</f>
        <v>0.58806355113799802</v>
      </c>
      <c r="AF529" s="17">
        <f ca="1">IFERROR(__xludf.DUMMYFUNCTION("""COMPUTED_VALUE"""),0.0367690238518865)</f>
        <v>3.6769023851886497E-2</v>
      </c>
      <c r="AG529" s="17">
        <f ca="1">IFERROR(__xludf.DUMMYFUNCTION("""COMPUTED_VALUE"""),0.0686775003507742)</f>
        <v>6.8677500350774204E-2</v>
      </c>
      <c r="AH529" s="17">
        <f ca="1">IFERROR(__xludf.DUMMYFUNCTION("""COMPUTED_VALUE"""),0.0768978538547263)</f>
        <v>7.6897853854726306E-2</v>
      </c>
      <c r="AI529" s="17">
        <f ca="1">IFERROR(__xludf.DUMMYFUNCTION("""COMPUTED_VALUE"""),0.0770484757740292)</f>
        <v>7.7048475774029193E-2</v>
      </c>
      <c r="AJ529" s="17">
        <f ca="1">IFERROR(__xludf.DUMMYFUNCTION("""COMPUTED_VALUE"""),0.0665001555741057)</f>
        <v>6.6500155574105699E-2</v>
      </c>
    </row>
    <row r="530" spans="2:36" ht="15.75" customHeight="1" x14ac:dyDescent="0.45">
      <c r="B530" s="10" t="str">
        <f ca="1">IFERROR(__xludf.DUMMYFUNCTION("""COMPUTED_VALUE"""),"Meat")</f>
        <v>Meat</v>
      </c>
      <c r="C530" s="10" t="str">
        <f ca="1">IFERROR(__xludf.DUMMYFUNCTION("""COMPUTED_VALUE"""),"aligned_series")</f>
        <v>aligned_series</v>
      </c>
      <c r="D530" s="10">
        <f ca="1">IFERROR(__xludf.DUMMYFUNCTION("""COMPUTED_VALUE"""),0.6)</f>
        <v>0.6</v>
      </c>
      <c r="E530" s="17">
        <f ca="1">IFERROR(__xludf.DUMMYFUNCTION("""COMPUTED_VALUE"""),0.231967738261912)</f>
        <v>0.231967738261912</v>
      </c>
      <c r="F530" s="17">
        <f ca="1">IFERROR(__xludf.DUMMYFUNCTION("""COMPUTED_VALUE"""),0.021773468291234)</f>
        <v>2.1773468291233999E-2</v>
      </c>
      <c r="G530" s="17">
        <f ca="1">IFERROR(__xludf.DUMMYFUNCTION("""COMPUTED_VALUE"""),0.113244264430222)</f>
        <v>0.11324426443022199</v>
      </c>
      <c r="H530" s="17">
        <f ca="1">IFERROR(__xludf.DUMMYFUNCTION("""COMPUTED_VALUE"""),0.0203484693839482)</f>
        <v>2.0348469383948201E-2</v>
      </c>
      <c r="I530" s="17">
        <f ca="1">IFERROR(__xludf.DUMMYFUNCTION("""COMPUTED_VALUE"""),0.0196817878673246)</f>
        <v>1.96817878673246E-2</v>
      </c>
      <c r="J530" s="17">
        <f ca="1">IFERROR(__xludf.DUMMYFUNCTION("""COMPUTED_VALUE"""),0.0890149366677197)</f>
        <v>8.9014936667719702E-2</v>
      </c>
      <c r="K530" s="17" t="str">
        <f ca="1">IFERROR(__xludf.DUMMYFUNCTION("""COMPUTED_VALUE"""),"nan")</f>
        <v>nan</v>
      </c>
      <c r="L530" s="17">
        <f ca="1">IFERROR(__xludf.DUMMYFUNCTION("""COMPUTED_VALUE"""),0.0203423379639769)</f>
        <v>2.03423379639769E-2</v>
      </c>
      <c r="M530" s="17">
        <f ca="1">IFERROR(__xludf.DUMMYFUNCTION("""COMPUTED_VALUE"""),0.0180782556374593)</f>
        <v>1.8078255637459299E-2</v>
      </c>
      <c r="N530" s="17">
        <f ca="1">IFERROR(__xludf.DUMMYFUNCTION("""COMPUTED_VALUE"""),0.020924143920333)</f>
        <v>2.0924143920333E-2</v>
      </c>
      <c r="O530" s="17">
        <f ca="1">IFERROR(__xludf.DUMMYFUNCTION("""COMPUTED_VALUE"""),0.0219977851988191)</f>
        <v>2.1997785198819099E-2</v>
      </c>
      <c r="P530" s="17">
        <f ca="1">IFERROR(__xludf.DUMMYFUNCTION("""COMPUTED_VALUE"""),0.918347364050926)</f>
        <v>0.91834736405092598</v>
      </c>
      <c r="Q530" s="17">
        <f ca="1">IFERROR(__xludf.DUMMYFUNCTION("""COMPUTED_VALUE"""),0.0512672158729282)</f>
        <v>5.12672158729282E-2</v>
      </c>
      <c r="R530" s="17">
        <f ca="1">IFERROR(__xludf.DUMMYFUNCTION("""COMPUTED_VALUE"""),0.227256211035737)</f>
        <v>0.22725621103573701</v>
      </c>
      <c r="S530" s="17">
        <f ca="1">IFERROR(__xludf.DUMMYFUNCTION("""COMPUTED_VALUE"""),0.128770960788868)</f>
        <v>0.12877096078886799</v>
      </c>
      <c r="T530" s="17">
        <f ca="1">IFERROR(__xludf.DUMMYFUNCTION("""COMPUTED_VALUE"""),0.161878909514334)</f>
        <v>0.16187890951433401</v>
      </c>
      <c r="U530" s="17">
        <f ca="1">IFERROR(__xludf.DUMMYFUNCTION("""COMPUTED_VALUE"""),0.0857339504750307)</f>
        <v>8.5733950475030699E-2</v>
      </c>
      <c r="V530" s="17">
        <f ca="1">IFERROR(__xludf.DUMMYFUNCTION("""COMPUTED_VALUE"""),0.038253458651635)</f>
        <v>3.8253458651635E-2</v>
      </c>
      <c r="W530" s="17">
        <f ca="1">IFERROR(__xludf.DUMMYFUNCTION("""COMPUTED_VALUE"""),0.0634434443922374)</f>
        <v>6.3443444392237397E-2</v>
      </c>
      <c r="X530" s="17">
        <f ca="1">IFERROR(__xludf.DUMMYFUNCTION("""COMPUTED_VALUE"""),0.0700464228433574)</f>
        <v>7.0046422843357395E-2</v>
      </c>
      <c r="Y530" s="17">
        <f ca="1">IFERROR(__xludf.DUMMYFUNCTION("""COMPUTED_VALUE"""),0.0237405182518461)</f>
        <v>2.3740518251846102E-2</v>
      </c>
      <c r="Z530" s="17">
        <f ca="1">IFERROR(__xludf.DUMMYFUNCTION("""COMPUTED_VALUE"""),0.0676851935811993)</f>
        <v>6.7685193581199302E-2</v>
      </c>
      <c r="AA530" s="17">
        <f ca="1">IFERROR(__xludf.DUMMYFUNCTION("""COMPUTED_VALUE"""),0.0097147974231192)</f>
        <v>9.7147974231192001E-3</v>
      </c>
      <c r="AB530" s="17">
        <f ca="1">IFERROR(__xludf.DUMMYFUNCTION("""COMPUTED_VALUE"""),2.24938736530492)</f>
        <v>2.2493873653049201</v>
      </c>
      <c r="AC530" s="17">
        <f ca="1">IFERROR(__xludf.DUMMYFUNCTION("""COMPUTED_VALUE"""),0.202229625317861)</f>
        <v>0.20222962531786101</v>
      </c>
      <c r="AD530" s="17">
        <f ca="1">IFERROR(__xludf.DUMMYFUNCTION("""COMPUTED_VALUE"""),0.0293465961831429)</f>
        <v>2.9346596183142899E-2</v>
      </c>
      <c r="AE530" s="17">
        <f ca="1">IFERROR(__xludf.DUMMYFUNCTION("""COMPUTED_VALUE"""),0.596304317411376)</f>
        <v>0.59630431741137602</v>
      </c>
      <c r="AF530" s="17">
        <f ca="1">IFERROR(__xludf.DUMMYFUNCTION("""COMPUTED_VALUE"""),0.1387987527393)</f>
        <v>0.13879875273930001</v>
      </c>
      <c r="AG530" s="17">
        <f ca="1">IFERROR(__xludf.DUMMYFUNCTION("""COMPUTED_VALUE"""),0.0689696342375541)</f>
        <v>6.8969634237554103E-2</v>
      </c>
      <c r="AH530" s="17">
        <f ca="1">IFERROR(__xludf.DUMMYFUNCTION("""COMPUTED_VALUE"""),0.0766206276155849)</f>
        <v>7.6620627615584899E-2</v>
      </c>
      <c r="AI530" s="17">
        <f ca="1">IFERROR(__xludf.DUMMYFUNCTION("""COMPUTED_VALUE"""),0.0770240538135947)</f>
        <v>7.7024053813594701E-2</v>
      </c>
      <c r="AJ530" s="17">
        <f ca="1">IFERROR(__xludf.DUMMYFUNCTION("""COMPUTED_VALUE"""),0.0693285265786459)</f>
        <v>6.9328526578645897E-2</v>
      </c>
    </row>
    <row r="531" spans="2:36" ht="15.75" customHeight="1" x14ac:dyDescent="0.45">
      <c r="B531" s="10" t="str">
        <f ca="1">IFERROR(__xludf.DUMMYFUNCTION("""COMPUTED_VALUE"""),"Meat")</f>
        <v>Meat</v>
      </c>
      <c r="C531" s="10" t="str">
        <f ca="1">IFERROR(__xludf.DUMMYFUNCTION("""COMPUTED_VALUE"""),"aligned_series")</f>
        <v>aligned_series</v>
      </c>
      <c r="D531" s="10">
        <f ca="1">IFERROR(__xludf.DUMMYFUNCTION("""COMPUTED_VALUE"""),0.8)</f>
        <v>0.8</v>
      </c>
      <c r="E531" s="17">
        <f ca="1">IFERROR(__xludf.DUMMYFUNCTION("""COMPUTED_VALUE"""),0.24202425130982)</f>
        <v>0.24202425130982</v>
      </c>
      <c r="F531" s="17">
        <f ca="1">IFERROR(__xludf.DUMMYFUNCTION("""COMPUTED_VALUE"""),0.0264501117596515)</f>
        <v>2.64501117596515E-2</v>
      </c>
      <c r="G531" s="17">
        <f ca="1">IFERROR(__xludf.DUMMYFUNCTION("""COMPUTED_VALUE"""),0.161275861559369)</f>
        <v>0.16127586155936899</v>
      </c>
      <c r="H531" s="17">
        <f ca="1">IFERROR(__xludf.DUMMYFUNCTION("""COMPUTED_VALUE"""),0.019232049079055)</f>
        <v>1.9232049079055E-2</v>
      </c>
      <c r="I531" s="17">
        <f ca="1">IFERROR(__xludf.DUMMYFUNCTION("""COMPUTED_VALUE"""),0.018550253525763)</f>
        <v>1.8550253525762998E-2</v>
      </c>
      <c r="J531" s="17">
        <f ca="1">IFERROR(__xludf.DUMMYFUNCTION("""COMPUTED_VALUE"""),0.0897183171787063)</f>
        <v>8.9718317178706306E-2</v>
      </c>
      <c r="K531" s="17" t="str">
        <f ca="1">IFERROR(__xludf.DUMMYFUNCTION("""COMPUTED_VALUE"""),"nan")</f>
        <v>nan</v>
      </c>
      <c r="L531" s="17">
        <f ca="1">IFERROR(__xludf.DUMMYFUNCTION("""COMPUTED_VALUE"""),0.0195167803522976)</f>
        <v>1.9516780352297598E-2</v>
      </c>
      <c r="M531" s="17">
        <f ca="1">IFERROR(__xludf.DUMMYFUNCTION("""COMPUTED_VALUE"""),0.0403305416297074)</f>
        <v>4.0330541629707402E-2</v>
      </c>
      <c r="N531" s="17">
        <f ca="1">IFERROR(__xludf.DUMMYFUNCTION("""COMPUTED_VALUE"""),0.0194919827695023)</f>
        <v>1.94919827695023E-2</v>
      </c>
      <c r="O531" s="17">
        <f ca="1">IFERROR(__xludf.DUMMYFUNCTION("""COMPUTED_VALUE"""),0.0403025468973034)</f>
        <v>4.03025468973034E-2</v>
      </c>
      <c r="P531" s="17">
        <f ca="1">IFERROR(__xludf.DUMMYFUNCTION("""COMPUTED_VALUE"""),0.907035180287598)</f>
        <v>0.907035180287598</v>
      </c>
      <c r="Q531" s="17">
        <f ca="1">IFERROR(__xludf.DUMMYFUNCTION("""COMPUTED_VALUE"""),0.0716275067119614)</f>
        <v>7.16275067119614E-2</v>
      </c>
      <c r="R531" s="17">
        <f ca="1">IFERROR(__xludf.DUMMYFUNCTION("""COMPUTED_VALUE"""),0.244135650541922)</f>
        <v>0.24413565054192199</v>
      </c>
      <c r="S531" s="17">
        <f ca="1">IFERROR(__xludf.DUMMYFUNCTION("""COMPUTED_VALUE"""),0.167318726760708)</f>
        <v>0.167318726760708</v>
      </c>
      <c r="T531" s="17">
        <f ca="1">IFERROR(__xludf.DUMMYFUNCTION("""COMPUTED_VALUE"""),0.107187628972385)</f>
        <v>0.107187628972385</v>
      </c>
      <c r="U531" s="17">
        <f ca="1">IFERROR(__xludf.DUMMYFUNCTION("""COMPUTED_VALUE"""),0.0815876226465381)</f>
        <v>8.1587622646538099E-2</v>
      </c>
      <c r="V531" s="17">
        <f ca="1">IFERROR(__xludf.DUMMYFUNCTION("""COMPUTED_VALUE"""),0.05698286171499)</f>
        <v>5.698286171499E-2</v>
      </c>
      <c r="W531" s="17">
        <f ca="1">IFERROR(__xludf.DUMMYFUNCTION("""COMPUTED_VALUE"""),0.0602826414447795)</f>
        <v>6.0282641444779503E-2</v>
      </c>
      <c r="X531" s="17">
        <f ca="1">IFERROR(__xludf.DUMMYFUNCTION("""COMPUTED_VALUE"""),0.0553395044747972)</f>
        <v>5.5339504474797199E-2</v>
      </c>
      <c r="Y531" s="17">
        <f ca="1">IFERROR(__xludf.DUMMYFUNCTION("""COMPUTED_VALUE"""),0.0331814915248445)</f>
        <v>3.3181491524844502E-2</v>
      </c>
      <c r="Z531" s="17">
        <f ca="1">IFERROR(__xludf.DUMMYFUNCTION("""COMPUTED_VALUE"""),0.0710134584917762)</f>
        <v>7.1013458491776205E-2</v>
      </c>
      <c r="AA531" s="17">
        <f ca="1">IFERROR(__xludf.DUMMYFUNCTION("""COMPUTED_VALUE"""),0.0116182807437115)</f>
        <v>1.16182807437115E-2</v>
      </c>
      <c r="AB531" s="17">
        <f ca="1">IFERROR(__xludf.DUMMYFUNCTION("""COMPUTED_VALUE"""),1.75928079110835)</f>
        <v>1.7592807911083499</v>
      </c>
      <c r="AC531" s="17">
        <f ca="1">IFERROR(__xludf.DUMMYFUNCTION("""COMPUTED_VALUE"""),0.221300623273322)</f>
        <v>0.22130062327332201</v>
      </c>
      <c r="AD531" s="17">
        <f ca="1">IFERROR(__xludf.DUMMYFUNCTION("""COMPUTED_VALUE"""),0.0479073799027348)</f>
        <v>4.7907379902734797E-2</v>
      </c>
      <c r="AE531" s="17">
        <f ca="1">IFERROR(__xludf.DUMMYFUNCTION("""COMPUTED_VALUE"""),0.580529039074657)</f>
        <v>0.58052903907465703</v>
      </c>
      <c r="AF531" s="17">
        <f ca="1">IFERROR(__xludf.DUMMYFUNCTION("""COMPUTED_VALUE"""),0.185086653082859)</f>
        <v>0.18508665308285899</v>
      </c>
      <c r="AG531" s="17">
        <f ca="1">IFERROR(__xludf.DUMMYFUNCTION("""COMPUTED_VALUE"""),0.072508655683345)</f>
        <v>7.2508655683344997E-2</v>
      </c>
      <c r="AH531" s="17">
        <f ca="1">IFERROR(__xludf.DUMMYFUNCTION("""COMPUTED_VALUE"""),0.0772612531842635)</f>
        <v>7.7261253184263495E-2</v>
      </c>
      <c r="AI531" s="17">
        <f ca="1">IFERROR(__xludf.DUMMYFUNCTION("""COMPUTED_VALUE"""),0.077575536634225)</f>
        <v>7.7575536634225006E-2</v>
      </c>
      <c r="AJ531" s="17">
        <f ca="1">IFERROR(__xludf.DUMMYFUNCTION("""COMPUTED_VALUE"""),0.0735434846621032)</f>
        <v>7.3543484662103198E-2</v>
      </c>
    </row>
    <row r="532" spans="2:36" ht="15.75" customHeight="1" x14ac:dyDescent="0.45">
      <c r="B532" s="10" t="str">
        <f ca="1">IFERROR(__xludf.DUMMYFUNCTION("""COMPUTED_VALUE"""),"Meat")</f>
        <v>Meat</v>
      </c>
      <c r="C532" s="10" t="str">
        <f ca="1">IFERROR(__xludf.DUMMYFUNCTION("""COMPUTED_VALUE"""),"aligned_timestamps")</f>
        <v>aligned_timestamps</v>
      </c>
      <c r="D532" s="10">
        <f ca="1">IFERROR(__xludf.DUMMYFUNCTION("""COMPUTED_VALUE"""),0.1)</f>
        <v>0.1</v>
      </c>
      <c r="E532" s="17">
        <f ca="1">IFERROR(__xludf.DUMMYFUNCTION("""COMPUTED_VALUE"""),0.147298069812133)</f>
        <v>0.147298069812133</v>
      </c>
      <c r="F532" s="17">
        <f ca="1">IFERROR(__xludf.DUMMYFUNCTION("""COMPUTED_VALUE"""),0.0148912485631172)</f>
        <v>1.48912485631172E-2</v>
      </c>
      <c r="G532" s="17">
        <f ca="1">IFERROR(__xludf.DUMMYFUNCTION("""COMPUTED_VALUE"""),0.0197440452007882)</f>
        <v>1.97440452007882E-2</v>
      </c>
      <c r="H532" s="17">
        <f ca="1">IFERROR(__xludf.DUMMYFUNCTION("""COMPUTED_VALUE"""),0.0159605487934819)</f>
        <v>1.59605487934819E-2</v>
      </c>
      <c r="I532" s="17">
        <f ca="1">IFERROR(__xludf.DUMMYFUNCTION("""COMPUTED_VALUE"""),0.010985245915905)</f>
        <v>1.0985245915905001E-2</v>
      </c>
      <c r="J532" s="17">
        <f ca="1">IFERROR(__xludf.DUMMYFUNCTION("""COMPUTED_VALUE"""),0.0491274075878968)</f>
        <v>4.9127407587896799E-2</v>
      </c>
      <c r="K532" s="17" t="str">
        <f ca="1">IFERROR(__xludf.DUMMYFUNCTION("""COMPUTED_VALUE"""),"nan")</f>
        <v>nan</v>
      </c>
      <c r="L532" s="17">
        <f ca="1">IFERROR(__xludf.DUMMYFUNCTION("""COMPUTED_VALUE"""),0.0154462604406048)</f>
        <v>1.5446260440604801E-2</v>
      </c>
      <c r="M532" s="17">
        <f ca="1">IFERROR(__xludf.DUMMYFUNCTION("""COMPUTED_VALUE"""),0.0232398691406981)</f>
        <v>2.3239869140698099E-2</v>
      </c>
      <c r="N532" s="17">
        <f ca="1">IFERROR(__xludf.DUMMYFUNCTION("""COMPUTED_VALUE"""),0.020268103058733)</f>
        <v>2.0268103058733E-2</v>
      </c>
      <c r="O532" s="17">
        <f ca="1">IFERROR(__xludf.DUMMYFUNCTION("""COMPUTED_VALUE"""),0.020301622403763)</f>
        <v>2.0301622403763001E-2</v>
      </c>
      <c r="P532" s="17">
        <f ca="1">IFERROR(__xludf.DUMMYFUNCTION("""COMPUTED_VALUE"""),1.03340838031676)</f>
        <v>1.03340838031676</v>
      </c>
      <c r="Q532" s="17">
        <f ca="1">IFERROR(__xludf.DUMMYFUNCTION("""COMPUTED_VALUE"""),0.0243718780328849)</f>
        <v>2.4371878032884899E-2</v>
      </c>
      <c r="R532" s="17">
        <f ca="1">IFERROR(__xludf.DUMMYFUNCTION("""COMPUTED_VALUE"""),0.104702332636298)</f>
        <v>0.104702332636298</v>
      </c>
      <c r="S532" s="17">
        <f ca="1">IFERROR(__xludf.DUMMYFUNCTION("""COMPUTED_VALUE"""),0.0383009735969758)</f>
        <v>3.8300973596975797E-2</v>
      </c>
      <c r="T532" s="17">
        <f ca="1">IFERROR(__xludf.DUMMYFUNCTION("""COMPUTED_VALUE"""),0.165976380536289)</f>
        <v>0.16597638053628899</v>
      </c>
      <c r="U532" s="17">
        <f ca="1">IFERROR(__xludf.DUMMYFUNCTION("""COMPUTED_VALUE"""),0.0344281301337985)</f>
        <v>3.4428130133798501E-2</v>
      </c>
      <c r="V532" s="17">
        <f ca="1">IFERROR(__xludf.DUMMYFUNCTION("""COMPUTED_VALUE"""),0.0319338004589112)</f>
        <v>3.1933800458911199E-2</v>
      </c>
      <c r="W532" s="17">
        <f ca="1">IFERROR(__xludf.DUMMYFUNCTION("""COMPUTED_VALUE"""),0.0430020423667534)</f>
        <v>4.3002042366753403E-2</v>
      </c>
      <c r="X532" s="17">
        <f ca="1">IFERROR(__xludf.DUMMYFUNCTION("""COMPUTED_VALUE"""),0.151819086398444)</f>
        <v>0.15181908639844399</v>
      </c>
      <c r="Y532" s="17">
        <f ca="1">IFERROR(__xludf.DUMMYFUNCTION("""COMPUTED_VALUE"""),0.0154824146889332)</f>
        <v>1.54824146889332E-2</v>
      </c>
      <c r="Z532" s="17">
        <f ca="1">IFERROR(__xludf.DUMMYFUNCTION("""COMPUTED_VALUE"""),0.0696031061053881)</f>
        <v>6.9603106105388099E-2</v>
      </c>
      <c r="AA532" s="17">
        <f ca="1">IFERROR(__xludf.DUMMYFUNCTION("""COMPUTED_VALUE"""),0.00467729299064159)</f>
        <v>4.67729299064159E-3</v>
      </c>
      <c r="AB532" s="17">
        <f ca="1">IFERROR(__xludf.DUMMYFUNCTION("""COMPUTED_VALUE"""),0.0507938011610525)</f>
        <v>5.0793801161052497E-2</v>
      </c>
      <c r="AC532" s="17">
        <f ca="1">IFERROR(__xludf.DUMMYFUNCTION("""COMPUTED_VALUE"""),0.0689130259230123)</f>
        <v>6.8913025923012294E-2</v>
      </c>
      <c r="AD532" s="17">
        <f ca="1">IFERROR(__xludf.DUMMYFUNCTION("""COMPUTED_VALUE"""),0.0237158702846336)</f>
        <v>2.3715870284633601E-2</v>
      </c>
      <c r="AE532" s="17">
        <f ca="1">IFERROR(__xludf.DUMMYFUNCTION("""COMPUTED_VALUE"""),0.59371326767387)</f>
        <v>0.59371326767387</v>
      </c>
      <c r="AF532" s="17">
        <f ca="1">IFERROR(__xludf.DUMMYFUNCTION("""COMPUTED_VALUE"""),0.0156289247111127)</f>
        <v>1.5628924711112699E-2</v>
      </c>
      <c r="AG532" s="17">
        <f ca="1">IFERROR(__xludf.DUMMYFUNCTION("""COMPUTED_VALUE"""),0.0975319478657762)</f>
        <v>9.7531947865776195E-2</v>
      </c>
      <c r="AH532" s="17">
        <f ca="1">IFERROR(__xludf.DUMMYFUNCTION("""COMPUTED_VALUE"""),0.101039855235386)</f>
        <v>0.101039855235386</v>
      </c>
      <c r="AI532" s="17">
        <f ca="1">IFERROR(__xludf.DUMMYFUNCTION("""COMPUTED_VALUE"""),0.105495955835453)</f>
        <v>0.105495955835453</v>
      </c>
      <c r="AJ532" s="17">
        <f ca="1">IFERROR(__xludf.DUMMYFUNCTION("""COMPUTED_VALUE"""),0.0812889354170804)</f>
        <v>8.1288935417080405E-2</v>
      </c>
    </row>
    <row r="533" spans="2:36" ht="15.75" customHeight="1" x14ac:dyDescent="0.45">
      <c r="B533" s="10" t="str">
        <f ca="1">IFERROR(__xludf.DUMMYFUNCTION("""COMPUTED_VALUE"""),"Meat")</f>
        <v>Meat</v>
      </c>
      <c r="C533" s="10" t="str">
        <f ca="1">IFERROR(__xludf.DUMMYFUNCTION("""COMPUTED_VALUE"""),"aligned_timestamps")</f>
        <v>aligned_timestamps</v>
      </c>
      <c r="D533" s="10">
        <f ca="1">IFERROR(__xludf.DUMMYFUNCTION("""COMPUTED_VALUE"""),0.2)</f>
        <v>0.2</v>
      </c>
      <c r="E533" s="17">
        <f ca="1">IFERROR(__xludf.DUMMYFUNCTION("""COMPUTED_VALUE"""),0.207407653727823)</f>
        <v>0.20740765372782299</v>
      </c>
      <c r="F533" s="17">
        <f ca="1">IFERROR(__xludf.DUMMYFUNCTION("""COMPUTED_VALUE"""),0.0260175943130935)</f>
        <v>2.6017594313093501E-2</v>
      </c>
      <c r="G533" s="17">
        <f ca="1">IFERROR(__xludf.DUMMYFUNCTION("""COMPUTED_VALUE"""),0.015762845201801)</f>
        <v>1.5762845201801001E-2</v>
      </c>
      <c r="H533" s="17">
        <f ca="1">IFERROR(__xludf.DUMMYFUNCTION("""COMPUTED_VALUE"""),0.0276286639067949)</f>
        <v>2.7628663906794901E-2</v>
      </c>
      <c r="I533" s="17">
        <f ca="1">IFERROR(__xludf.DUMMYFUNCTION("""COMPUTED_VALUE"""),0.019309179870645)</f>
        <v>1.9309179870645E-2</v>
      </c>
      <c r="J533" s="17">
        <f ca="1">IFERROR(__xludf.DUMMYFUNCTION("""COMPUTED_VALUE"""),0.0726188973239954)</f>
        <v>7.2618897323995402E-2</v>
      </c>
      <c r="K533" s="17" t="str">
        <f ca="1">IFERROR(__xludf.DUMMYFUNCTION("""COMPUTED_VALUE"""),"nan")</f>
        <v>nan</v>
      </c>
      <c r="L533" s="17">
        <f ca="1">IFERROR(__xludf.DUMMYFUNCTION("""COMPUTED_VALUE"""),0.0269746315196026)</f>
        <v>2.6974631519602599E-2</v>
      </c>
      <c r="M533" s="17">
        <f ca="1">IFERROR(__xludf.DUMMYFUNCTION("""COMPUTED_VALUE"""),0.0178936379937761)</f>
        <v>1.78936379937761E-2</v>
      </c>
      <c r="N533" s="17">
        <f ca="1">IFERROR(__xludf.DUMMYFUNCTION("""COMPUTED_VALUE"""),0.0319594263943855)</f>
        <v>3.1959426394385503E-2</v>
      </c>
      <c r="O533" s="17">
        <f ca="1">IFERROR(__xludf.DUMMYFUNCTION("""COMPUTED_VALUE"""),0.0145335462631055)</f>
        <v>1.4533546263105501E-2</v>
      </c>
      <c r="P533" s="17">
        <f ca="1">IFERROR(__xludf.DUMMYFUNCTION("""COMPUTED_VALUE"""),1.02714689349806)</f>
        <v>1.0271468934980601</v>
      </c>
      <c r="Q533" s="17">
        <f ca="1">IFERROR(__xludf.DUMMYFUNCTION("""COMPUTED_VALUE"""),0.03542427357157)</f>
        <v>3.5424273571569999E-2</v>
      </c>
      <c r="R533" s="17">
        <f ca="1">IFERROR(__xludf.DUMMYFUNCTION("""COMPUTED_VALUE"""),0.160318277912475)</f>
        <v>0.16031827791247499</v>
      </c>
      <c r="S533" s="17">
        <f ca="1">IFERROR(__xludf.DUMMYFUNCTION("""COMPUTED_VALUE"""),0.0471203623198915)</f>
        <v>4.7120362319891501E-2</v>
      </c>
      <c r="T533" s="17">
        <f ca="1">IFERROR(__xludf.DUMMYFUNCTION("""COMPUTED_VALUE"""),0.126522001484509)</f>
        <v>0.12652200148450901</v>
      </c>
      <c r="U533" s="17">
        <f ca="1">IFERROR(__xludf.DUMMYFUNCTION("""COMPUTED_VALUE"""),0.0709451762672987)</f>
        <v>7.0945176267298696E-2</v>
      </c>
      <c r="V533" s="17">
        <f ca="1">IFERROR(__xludf.DUMMYFUNCTION("""COMPUTED_VALUE"""),0.0347446457903632)</f>
        <v>3.4744645790363203E-2</v>
      </c>
      <c r="W533" s="17">
        <f ca="1">IFERROR(__xludf.DUMMYFUNCTION("""COMPUTED_VALUE"""),0.0498052208377136)</f>
        <v>4.9805220837713597E-2</v>
      </c>
      <c r="X533" s="17">
        <f ca="1">IFERROR(__xludf.DUMMYFUNCTION("""COMPUTED_VALUE"""),0.0724822478237857)</f>
        <v>7.2482247823785706E-2</v>
      </c>
      <c r="Y533" s="17">
        <f ca="1">IFERROR(__xludf.DUMMYFUNCTION("""COMPUTED_VALUE"""),0.0271575225694258)</f>
        <v>2.7157522569425802E-2</v>
      </c>
      <c r="Z533" s="17">
        <f ca="1">IFERROR(__xludf.DUMMYFUNCTION("""COMPUTED_VALUE"""),0.0624369926643529)</f>
        <v>6.2436992664352903E-2</v>
      </c>
      <c r="AA533" s="17">
        <f ca="1">IFERROR(__xludf.DUMMYFUNCTION("""COMPUTED_VALUE"""),0.00455222670355578)</f>
        <v>4.55222670355578E-3</v>
      </c>
      <c r="AB533" s="17">
        <f ca="1">IFERROR(__xludf.DUMMYFUNCTION("""COMPUTED_VALUE"""),0.257089191396262)</f>
        <v>0.25708919139626202</v>
      </c>
      <c r="AC533" s="17">
        <f ca="1">IFERROR(__xludf.DUMMYFUNCTION("""COMPUTED_VALUE"""),0.147861246197736)</f>
        <v>0.147861246197736</v>
      </c>
      <c r="AD533" s="17">
        <f ca="1">IFERROR(__xludf.DUMMYFUNCTION("""COMPUTED_VALUE"""),0.0308329028514281)</f>
        <v>3.08329028514281E-2</v>
      </c>
      <c r="AE533" s="17">
        <f ca="1">IFERROR(__xludf.DUMMYFUNCTION("""COMPUTED_VALUE"""),0.548758749562007)</f>
        <v>0.54875874956200699</v>
      </c>
      <c r="AF533" s="17">
        <f ca="1">IFERROR(__xludf.DUMMYFUNCTION("""COMPUTED_VALUE"""),0.0333124818360002)</f>
        <v>3.3312481836000198E-2</v>
      </c>
      <c r="AG533" s="17">
        <f ca="1">IFERROR(__xludf.DUMMYFUNCTION("""COMPUTED_VALUE"""),0.0722627850386056)</f>
        <v>7.2262785038605601E-2</v>
      </c>
      <c r="AH533" s="17">
        <f ca="1">IFERROR(__xludf.DUMMYFUNCTION("""COMPUTED_VALUE"""),0.0790718160586705)</f>
        <v>7.9071816058670502E-2</v>
      </c>
      <c r="AI533" s="17">
        <f ca="1">IFERROR(__xludf.DUMMYFUNCTION("""COMPUTED_VALUE"""),0.079124317134926)</f>
        <v>7.9124317134926E-2</v>
      </c>
      <c r="AJ533" s="17">
        <f ca="1">IFERROR(__xludf.DUMMYFUNCTION("""COMPUTED_VALUE"""),0.0637570548365146)</f>
        <v>6.3757054836514601E-2</v>
      </c>
    </row>
    <row r="534" spans="2:36" ht="15.75" customHeight="1" x14ac:dyDescent="0.45">
      <c r="B534" s="10" t="str">
        <f ca="1">IFERROR(__xludf.DUMMYFUNCTION("""COMPUTED_VALUE"""),"Meat")</f>
        <v>Meat</v>
      </c>
      <c r="C534" s="10" t="str">
        <f ca="1">IFERROR(__xludf.DUMMYFUNCTION("""COMPUTED_VALUE"""),"aligned_timestamps")</f>
        <v>aligned_timestamps</v>
      </c>
      <c r="D534" s="10">
        <f ca="1">IFERROR(__xludf.DUMMYFUNCTION("""COMPUTED_VALUE"""),0.4)</f>
        <v>0.4</v>
      </c>
      <c r="E534" s="17">
        <f ca="1">IFERROR(__xludf.DUMMYFUNCTION("""COMPUTED_VALUE"""),0.218443480766081)</f>
        <v>0.218443480766081</v>
      </c>
      <c r="F534" s="17">
        <f ca="1">IFERROR(__xludf.DUMMYFUNCTION("""COMPUTED_VALUE"""),0.0196152247196297)</f>
        <v>1.96152247196297E-2</v>
      </c>
      <c r="G534" s="17">
        <f ca="1">IFERROR(__xludf.DUMMYFUNCTION("""COMPUTED_VALUE"""),0.0121005742983987)</f>
        <v>1.2100574298398699E-2</v>
      </c>
      <c r="H534" s="17">
        <f ca="1">IFERROR(__xludf.DUMMYFUNCTION("""COMPUTED_VALUE"""),0.0204655144408988)</f>
        <v>2.0465514440898801E-2</v>
      </c>
      <c r="I534" s="17">
        <f ca="1">IFERROR(__xludf.DUMMYFUNCTION("""COMPUTED_VALUE"""),0.0144237286045818)</f>
        <v>1.44237286045818E-2</v>
      </c>
      <c r="J534" s="17">
        <f ca="1">IFERROR(__xludf.DUMMYFUNCTION("""COMPUTED_VALUE"""),0.078476127677937)</f>
        <v>7.8476127677937005E-2</v>
      </c>
      <c r="K534" s="17" t="str">
        <f ca="1">IFERROR(__xludf.DUMMYFUNCTION("""COMPUTED_VALUE"""),"nan")</f>
        <v>nan</v>
      </c>
      <c r="L534" s="17">
        <f ca="1">IFERROR(__xludf.DUMMYFUNCTION("""COMPUTED_VALUE"""),0.0201234989494544)</f>
        <v>2.0123498949454401E-2</v>
      </c>
      <c r="M534" s="17">
        <f ca="1">IFERROR(__xludf.DUMMYFUNCTION("""COMPUTED_VALUE"""),0.171845806690239)</f>
        <v>0.17184580669023899</v>
      </c>
      <c r="N534" s="17">
        <f ca="1">IFERROR(__xludf.DUMMYFUNCTION("""COMPUTED_VALUE"""),0.0246905624624446)</f>
        <v>2.4690562462444599E-2</v>
      </c>
      <c r="O534" s="17">
        <f ca="1">IFERROR(__xludf.DUMMYFUNCTION("""COMPUTED_VALUE"""),0.010750605414309)</f>
        <v>1.0750605414309E-2</v>
      </c>
      <c r="P534" s="17">
        <f ca="1">IFERROR(__xludf.DUMMYFUNCTION("""COMPUTED_VALUE"""),1.15686602928887)</f>
        <v>1.1568660292888699</v>
      </c>
      <c r="Q534" s="17">
        <f ca="1">IFERROR(__xludf.DUMMYFUNCTION("""COMPUTED_VALUE"""),0.0260662336900959)</f>
        <v>2.6066233690095902E-2</v>
      </c>
      <c r="R534" s="17">
        <f ca="1">IFERROR(__xludf.DUMMYFUNCTION("""COMPUTED_VALUE"""),0.218688005323782)</f>
        <v>0.21868800532378199</v>
      </c>
      <c r="S534" s="17">
        <f ca="1">IFERROR(__xludf.DUMMYFUNCTION("""COMPUTED_VALUE"""),0.0508394583138858)</f>
        <v>5.0839458313885803E-2</v>
      </c>
      <c r="T534" s="17">
        <f ca="1">IFERROR(__xludf.DUMMYFUNCTION("""COMPUTED_VALUE"""),0.172452717716202)</f>
        <v>0.17245271771620199</v>
      </c>
      <c r="U534" s="17">
        <f ca="1">IFERROR(__xludf.DUMMYFUNCTION("""COMPUTED_VALUE"""),0.0799508468602304)</f>
        <v>7.9950846860230407E-2</v>
      </c>
      <c r="V534" s="17">
        <f ca="1">IFERROR(__xludf.DUMMYFUNCTION("""COMPUTED_VALUE"""),0.030187622914837)</f>
        <v>3.0187622914836999E-2</v>
      </c>
      <c r="W534" s="17">
        <f ca="1">IFERROR(__xludf.DUMMYFUNCTION("""COMPUTED_VALUE"""),0.0456224623076266)</f>
        <v>4.56224623076266E-2</v>
      </c>
      <c r="X534" s="17">
        <f ca="1">IFERROR(__xludf.DUMMYFUNCTION("""COMPUTED_VALUE"""),0.0500838002831921)</f>
        <v>5.0083800283192099E-2</v>
      </c>
      <c r="Y534" s="17">
        <f ca="1">IFERROR(__xludf.DUMMYFUNCTION("""COMPUTED_VALUE"""),0.0205453152900859)</f>
        <v>2.0545315290085901E-2</v>
      </c>
      <c r="Z534" s="17">
        <f ca="1">IFERROR(__xludf.DUMMYFUNCTION("""COMPUTED_VALUE"""),0.14704024050875)</f>
        <v>0.14704024050875</v>
      </c>
      <c r="AA534" s="17">
        <f ca="1">IFERROR(__xludf.DUMMYFUNCTION("""COMPUTED_VALUE"""),0.00461141796919805)</f>
        <v>4.6114179691980504E-3</v>
      </c>
      <c r="AB534" s="17">
        <f ca="1">IFERROR(__xludf.DUMMYFUNCTION("""COMPUTED_VALUE"""),0.168634264207145)</f>
        <v>0.168634264207145</v>
      </c>
      <c r="AC534" s="17">
        <f ca="1">IFERROR(__xludf.DUMMYFUNCTION("""COMPUTED_VALUE"""),0.221744945335891)</f>
        <v>0.22174494533589101</v>
      </c>
      <c r="AD534" s="17">
        <f ca="1">IFERROR(__xludf.DUMMYFUNCTION("""COMPUTED_VALUE"""),0.0282600710322156)</f>
        <v>2.8260071032215599E-2</v>
      </c>
      <c r="AE534" s="17">
        <f ca="1">IFERROR(__xludf.DUMMYFUNCTION("""COMPUTED_VALUE"""),0.45936557359728)</f>
        <v>0.45936557359727997</v>
      </c>
      <c r="AF534" s="17">
        <f ca="1">IFERROR(__xludf.DUMMYFUNCTION("""COMPUTED_VALUE"""),0.0713356846436657)</f>
        <v>7.13356846436657E-2</v>
      </c>
      <c r="AG534" s="17">
        <f ca="1">IFERROR(__xludf.DUMMYFUNCTION("""COMPUTED_VALUE"""),0.126287720127497)</f>
        <v>0.12628772012749701</v>
      </c>
      <c r="AH534" s="17">
        <f ca="1">IFERROR(__xludf.DUMMYFUNCTION("""COMPUTED_VALUE"""),0.16204528211191)</f>
        <v>0.16204528211190999</v>
      </c>
      <c r="AI534" s="17">
        <f ca="1">IFERROR(__xludf.DUMMYFUNCTION("""COMPUTED_VALUE"""),0.170663444038308)</f>
        <v>0.17066344403830799</v>
      </c>
      <c r="AJ534" s="17">
        <f ca="1">IFERROR(__xludf.DUMMYFUNCTION("""COMPUTED_VALUE"""),0.0510010819361938)</f>
        <v>5.10010819361938E-2</v>
      </c>
    </row>
    <row r="535" spans="2:36" ht="15.75" customHeight="1" x14ac:dyDescent="0.45">
      <c r="B535" s="10" t="str">
        <f ca="1">IFERROR(__xludf.DUMMYFUNCTION("""COMPUTED_VALUE"""),"Meat")</f>
        <v>Meat</v>
      </c>
      <c r="C535" s="10" t="str">
        <f ca="1">IFERROR(__xludf.DUMMYFUNCTION("""COMPUTED_VALUE"""),"aligned_timestamps")</f>
        <v>aligned_timestamps</v>
      </c>
      <c r="D535" s="10">
        <f ca="1">IFERROR(__xludf.DUMMYFUNCTION("""COMPUTED_VALUE"""),0.6)</f>
        <v>0.6</v>
      </c>
      <c r="E535" s="17">
        <f ca="1">IFERROR(__xludf.DUMMYFUNCTION("""COMPUTED_VALUE"""),0.361855279230606)</f>
        <v>0.36185527923060601</v>
      </c>
      <c r="F535" s="17">
        <f ca="1">IFERROR(__xludf.DUMMYFUNCTION("""COMPUTED_VALUE"""),0.0269180535946955)</f>
        <v>2.6918053594695499E-2</v>
      </c>
      <c r="G535" s="17">
        <f ca="1">IFERROR(__xludf.DUMMYFUNCTION("""COMPUTED_VALUE"""),0.091909875661849)</f>
        <v>9.1909875661848994E-2</v>
      </c>
      <c r="H535" s="17">
        <f ca="1">IFERROR(__xludf.DUMMYFUNCTION("""COMPUTED_VALUE"""),0.0238301494811799)</f>
        <v>2.38301494811799E-2</v>
      </c>
      <c r="I535" s="17">
        <f ca="1">IFERROR(__xludf.DUMMYFUNCTION("""COMPUTED_VALUE"""),0.0186032380128643)</f>
        <v>1.8603238012864301E-2</v>
      </c>
      <c r="J535" s="17">
        <f ca="1">IFERROR(__xludf.DUMMYFUNCTION("""COMPUTED_VALUE"""),0.372111985011099)</f>
        <v>0.37211198501109899</v>
      </c>
      <c r="K535" s="17" t="str">
        <f ca="1">IFERROR(__xludf.DUMMYFUNCTION("""COMPUTED_VALUE"""),"nan")</f>
        <v>nan</v>
      </c>
      <c r="L535" s="17">
        <f ca="1">IFERROR(__xludf.DUMMYFUNCTION("""COMPUTED_VALUE"""),0.0240508599581196)</f>
        <v>2.4050859958119598E-2</v>
      </c>
      <c r="M535" s="17">
        <f ca="1">IFERROR(__xludf.DUMMYFUNCTION("""COMPUTED_VALUE"""),0.573496633410327)</f>
        <v>0.57349663341032697</v>
      </c>
      <c r="N535" s="17">
        <f ca="1">IFERROR(__xludf.DUMMYFUNCTION("""COMPUTED_VALUE"""),0.0264652766534008)</f>
        <v>2.6465276653400802E-2</v>
      </c>
      <c r="O535" s="17">
        <f ca="1">IFERROR(__xludf.DUMMYFUNCTION("""COMPUTED_VALUE"""),0.0117687373711385)</f>
        <v>1.17687373711385E-2</v>
      </c>
      <c r="P535" s="17">
        <f ca="1">IFERROR(__xludf.DUMMYFUNCTION("""COMPUTED_VALUE"""),1.11174998317354)</f>
        <v>1.11174998317354</v>
      </c>
      <c r="Q535" s="17">
        <f ca="1">IFERROR(__xludf.DUMMYFUNCTION("""COMPUTED_VALUE"""),0.0249288160533062)</f>
        <v>2.4928816053306199E-2</v>
      </c>
      <c r="R535" s="17">
        <f ca="1">IFERROR(__xludf.DUMMYFUNCTION("""COMPUTED_VALUE"""),0.267173732224767)</f>
        <v>0.26717373222476698</v>
      </c>
      <c r="S535" s="17">
        <f ca="1">IFERROR(__xludf.DUMMYFUNCTION("""COMPUTED_VALUE"""),0.0840882383531361)</f>
        <v>8.4088238353136099E-2</v>
      </c>
      <c r="T535" s="17">
        <f ca="1">IFERROR(__xludf.DUMMYFUNCTION("""COMPUTED_VALUE"""),0.182994122976535)</f>
        <v>0.182994122976535</v>
      </c>
      <c r="U535" s="17">
        <f ca="1">IFERROR(__xludf.DUMMYFUNCTION("""COMPUTED_VALUE"""),0.0873072556994429)</f>
        <v>8.7307255699442907E-2</v>
      </c>
      <c r="V535" s="17">
        <f ca="1">IFERROR(__xludf.DUMMYFUNCTION("""COMPUTED_VALUE"""),0.0978816057006252)</f>
        <v>9.7881605700625193E-2</v>
      </c>
      <c r="W535" s="17">
        <f ca="1">IFERROR(__xludf.DUMMYFUNCTION("""COMPUTED_VALUE"""),0.0949446756998813)</f>
        <v>9.4944675699881298E-2</v>
      </c>
      <c r="X535" s="17">
        <f ca="1">IFERROR(__xludf.DUMMYFUNCTION("""COMPUTED_VALUE"""),0.0891522550599285)</f>
        <v>8.9152255059928506E-2</v>
      </c>
      <c r="Y535" s="17">
        <f ca="1">IFERROR(__xludf.DUMMYFUNCTION("""COMPUTED_VALUE"""),0.0260195115797371)</f>
        <v>2.6019511579737101E-2</v>
      </c>
      <c r="Z535" s="17">
        <f ca="1">IFERROR(__xludf.DUMMYFUNCTION("""COMPUTED_VALUE"""),0.165180182418784)</f>
        <v>0.16518018241878399</v>
      </c>
      <c r="AA535" s="17">
        <f ca="1">IFERROR(__xludf.DUMMYFUNCTION("""COMPUTED_VALUE"""),0.0493674006285845)</f>
        <v>4.9367400628584503E-2</v>
      </c>
      <c r="AB535" s="17">
        <f ca="1">IFERROR(__xludf.DUMMYFUNCTION("""COMPUTED_VALUE"""),0.225406061767114)</f>
        <v>0.225406061767114</v>
      </c>
      <c r="AC535" s="17">
        <f ca="1">IFERROR(__xludf.DUMMYFUNCTION("""COMPUTED_VALUE"""),0.210110854104589)</f>
        <v>0.21011085410458899</v>
      </c>
      <c r="AD535" s="17">
        <f ca="1">IFERROR(__xludf.DUMMYFUNCTION("""COMPUTED_VALUE"""),0.0976412851565925)</f>
        <v>9.7641285156592497E-2</v>
      </c>
      <c r="AE535" s="17" t="str">
        <f ca="1">IFERROR(__xludf.DUMMYFUNCTION("""COMPUTED_VALUE"""),"nan")</f>
        <v>nan</v>
      </c>
      <c r="AF535" s="17">
        <f ca="1">IFERROR(__xludf.DUMMYFUNCTION("""COMPUTED_VALUE"""),0.180796588812908)</f>
        <v>0.180796588812908</v>
      </c>
      <c r="AG535" s="17">
        <f ca="1">IFERROR(__xludf.DUMMYFUNCTION("""COMPUTED_VALUE"""),0.801521924754199)</f>
        <v>0.80152192475419903</v>
      </c>
      <c r="AH535" s="17">
        <f ca="1">IFERROR(__xludf.DUMMYFUNCTION("""COMPUTED_VALUE"""),0.720241161481372)</f>
        <v>0.72024116148137196</v>
      </c>
      <c r="AI535" s="17">
        <f ca="1">IFERROR(__xludf.DUMMYFUNCTION("""COMPUTED_VALUE"""),0.778063184563926)</f>
        <v>0.77806318456392598</v>
      </c>
      <c r="AJ535" s="17">
        <f ca="1">IFERROR(__xludf.DUMMYFUNCTION("""COMPUTED_VALUE"""),0.914577377916926)</f>
        <v>0.91457737791692595</v>
      </c>
    </row>
    <row r="536" spans="2:36" ht="15.75" customHeight="1" x14ac:dyDescent="0.45">
      <c r="B536" s="10" t="str">
        <f ca="1">IFERROR(__xludf.DUMMYFUNCTION("""COMPUTED_VALUE"""),"Meat")</f>
        <v>Meat</v>
      </c>
      <c r="C536" s="10" t="str">
        <f ca="1">IFERROR(__xludf.DUMMYFUNCTION("""COMPUTED_VALUE"""),"aligned_timestamps")</f>
        <v>aligned_timestamps</v>
      </c>
      <c r="D536" s="10">
        <f ca="1">IFERROR(__xludf.DUMMYFUNCTION("""COMPUTED_VALUE"""),0.8)</f>
        <v>0.8</v>
      </c>
      <c r="E536" s="17">
        <f ca="1">IFERROR(__xludf.DUMMYFUNCTION("""COMPUTED_VALUE"""),0.965728651735965)</f>
        <v>0.965728651735965</v>
      </c>
      <c r="F536" s="17">
        <f ca="1">IFERROR(__xludf.DUMMYFUNCTION("""COMPUTED_VALUE"""),0.0754784679769665)</f>
        <v>7.5478467976966501E-2</v>
      </c>
      <c r="G536" s="17">
        <f ca="1">IFERROR(__xludf.DUMMYFUNCTION("""COMPUTED_VALUE"""),0.679358372206619)</f>
        <v>0.67935837220661899</v>
      </c>
      <c r="H536" s="17">
        <f ca="1">IFERROR(__xludf.DUMMYFUNCTION("""COMPUTED_VALUE"""),0.277145623867911)</f>
        <v>0.27714562386791097</v>
      </c>
      <c r="I536" s="17">
        <f ca="1">IFERROR(__xludf.DUMMYFUNCTION("""COMPUTED_VALUE"""),0.37322911253705)</f>
        <v>0.37322911253704999</v>
      </c>
      <c r="J536" s="17">
        <f ca="1">IFERROR(__xludf.DUMMYFUNCTION("""COMPUTED_VALUE"""),1.00455374506263)</f>
        <v>1.0045537450626301</v>
      </c>
      <c r="K536" s="17" t="str">
        <f ca="1">IFERROR(__xludf.DUMMYFUNCTION("""COMPUTED_VALUE"""),"nan")</f>
        <v>nan</v>
      </c>
      <c r="L536" s="17">
        <f ca="1">IFERROR(__xludf.DUMMYFUNCTION("""COMPUTED_VALUE"""),0.0343266291190609)</f>
        <v>3.4326629119060897E-2</v>
      </c>
      <c r="M536" s="17">
        <f ca="1">IFERROR(__xludf.DUMMYFUNCTION("""COMPUTED_VALUE"""),1.32030350647737)</f>
        <v>1.32030350647737</v>
      </c>
      <c r="N536" s="17">
        <f ca="1">IFERROR(__xludf.DUMMYFUNCTION("""COMPUTED_VALUE"""),0.0331536132455367)</f>
        <v>3.3153613245536701E-2</v>
      </c>
      <c r="O536" s="17">
        <f ca="1">IFERROR(__xludf.DUMMYFUNCTION("""COMPUTED_VALUE"""),0.624703901138661)</f>
        <v>0.62470390113866103</v>
      </c>
      <c r="P536" s="17">
        <f ca="1">IFERROR(__xludf.DUMMYFUNCTION("""COMPUTED_VALUE"""),1.50431370834135)</f>
        <v>1.50431370834135</v>
      </c>
      <c r="Q536" s="17">
        <f ca="1">IFERROR(__xludf.DUMMYFUNCTION("""COMPUTED_VALUE"""),0.0271118547349324)</f>
        <v>2.7111854734932401E-2</v>
      </c>
      <c r="R536" s="17">
        <f ca="1">IFERROR(__xludf.DUMMYFUNCTION("""COMPUTED_VALUE"""),0.963417457267627)</f>
        <v>0.96341745726762695</v>
      </c>
      <c r="S536" s="17">
        <f ca="1">IFERROR(__xludf.DUMMYFUNCTION("""COMPUTED_VALUE"""),0.996078618224689)</f>
        <v>0.99607861822468902</v>
      </c>
      <c r="T536" s="17">
        <f ca="1">IFERROR(__xludf.DUMMYFUNCTION("""COMPUTED_VALUE"""),0.553157816797307)</f>
        <v>0.55315781679730702</v>
      </c>
      <c r="U536" s="17">
        <f ca="1">IFERROR(__xludf.DUMMYFUNCTION("""COMPUTED_VALUE"""),0.442719219851735)</f>
        <v>0.44271921985173501</v>
      </c>
      <c r="V536" s="17">
        <f ca="1">IFERROR(__xludf.DUMMYFUNCTION("""COMPUTED_VALUE"""),0.975433279621235)</f>
        <v>0.97543327962123505</v>
      </c>
      <c r="W536" s="17">
        <f ca="1">IFERROR(__xludf.DUMMYFUNCTION("""COMPUTED_VALUE"""),0.650682864616701)</f>
        <v>0.650682864616701</v>
      </c>
      <c r="X536" s="17">
        <f ca="1">IFERROR(__xludf.DUMMYFUNCTION("""COMPUTED_VALUE"""),0.19143312942407)</f>
        <v>0.19143312942407001</v>
      </c>
      <c r="Y536" s="17">
        <f ca="1">IFERROR(__xludf.DUMMYFUNCTION("""COMPUTED_VALUE"""),0.0370103617057235)</f>
        <v>3.7010361705723499E-2</v>
      </c>
      <c r="Z536" s="17">
        <f ca="1">IFERROR(__xludf.DUMMYFUNCTION("""COMPUTED_VALUE"""),0.939635663891137)</f>
        <v>0.93963566389113695</v>
      </c>
      <c r="AA536" s="17">
        <f ca="1">IFERROR(__xludf.DUMMYFUNCTION("""COMPUTED_VALUE"""),0.0216351012641558)</f>
        <v>2.1635101264155802E-2</v>
      </c>
      <c r="AB536" s="17">
        <f ca="1">IFERROR(__xludf.DUMMYFUNCTION("""COMPUTED_VALUE"""),1.03034994266801)</f>
        <v>1.0303499426680101</v>
      </c>
      <c r="AC536" s="17">
        <f ca="1">IFERROR(__xludf.DUMMYFUNCTION("""COMPUTED_VALUE"""),0.938821534254276)</f>
        <v>0.93882153425427595</v>
      </c>
      <c r="AD536" s="17">
        <f ca="1">IFERROR(__xludf.DUMMYFUNCTION("""COMPUTED_VALUE"""),0.581231676135673)</f>
        <v>0.58123167613567295</v>
      </c>
      <c r="AE536" s="17" t="str">
        <f ca="1">IFERROR(__xludf.DUMMYFUNCTION("""COMPUTED_VALUE"""),"nan")</f>
        <v>nan</v>
      </c>
      <c r="AF536" s="17">
        <f ca="1">IFERROR(__xludf.DUMMYFUNCTION("""COMPUTED_VALUE"""),1.26747373762723)</f>
        <v>1.26747373762723</v>
      </c>
      <c r="AG536" s="17">
        <f ca="1">IFERROR(__xludf.DUMMYFUNCTION("""COMPUTED_VALUE"""),0.910851667249684)</f>
        <v>0.91085166724968403</v>
      </c>
      <c r="AH536" s="17">
        <f ca="1">IFERROR(__xludf.DUMMYFUNCTION("""COMPUTED_VALUE"""),0.971405055062458)</f>
        <v>0.971405055062458</v>
      </c>
      <c r="AI536" s="17">
        <f ca="1">IFERROR(__xludf.DUMMYFUNCTION("""COMPUTED_VALUE"""),0.934468124701289)</f>
        <v>0.93446812470128904</v>
      </c>
      <c r="AJ536" s="17">
        <f ca="1">IFERROR(__xludf.DUMMYFUNCTION("""COMPUTED_VALUE"""),0.985452795495126)</f>
        <v>0.98545279549512599</v>
      </c>
    </row>
    <row r="537" spans="2:36" ht="15.75" customHeight="1" x14ac:dyDescent="0.45">
      <c r="B537" s="10" t="str">
        <f ca="1">IFERROR(__xludf.DUMMYFUNCTION("""COMPUTED_VALUE"""),"Meat")</f>
        <v>Meat</v>
      </c>
      <c r="C537" s="10" t="str">
        <f ca="1">IFERROR(__xludf.DUMMYFUNCTION("""COMPUTED_VALUE"""),"mcar")</f>
        <v>mcar</v>
      </c>
      <c r="D537" s="10">
        <f ca="1">IFERROR(__xludf.DUMMYFUNCTION("""COMPUTED_VALUE"""),0.1)</f>
        <v>0.1</v>
      </c>
      <c r="E537" s="17">
        <f ca="1">IFERROR(__xludf.DUMMYFUNCTION("""COMPUTED_VALUE"""),1.34476426806425)</f>
        <v>1.34476426806425</v>
      </c>
      <c r="F537" s="17">
        <f ca="1">IFERROR(__xludf.DUMMYFUNCTION("""COMPUTED_VALUE"""),0.0393522399226174)</f>
        <v>3.9352239922617403E-2</v>
      </c>
      <c r="G537" s="17">
        <f ca="1">IFERROR(__xludf.DUMMYFUNCTION("""COMPUTED_VALUE"""),0.204373413983448)</f>
        <v>0.20437341398344799</v>
      </c>
      <c r="H537" s="17">
        <f ca="1">IFERROR(__xludf.DUMMYFUNCTION("""COMPUTED_VALUE"""),0.0247266848395609)</f>
        <v>2.4726684839560899E-2</v>
      </c>
      <c r="I537" s="17">
        <f ca="1">IFERROR(__xludf.DUMMYFUNCTION("""COMPUTED_VALUE"""),0.0120287148365346)</f>
        <v>1.20287148365346E-2</v>
      </c>
      <c r="J537" s="17">
        <f ca="1">IFERROR(__xludf.DUMMYFUNCTION("""COMPUTED_VALUE"""),0.210400379096676)</f>
        <v>0.210400379096676</v>
      </c>
      <c r="K537" s="17" t="str">
        <f ca="1">IFERROR(__xludf.DUMMYFUNCTION("""COMPUTED_VALUE"""),"nan")</f>
        <v>nan</v>
      </c>
      <c r="L537" s="17">
        <f ca="1">IFERROR(__xludf.DUMMYFUNCTION("""COMPUTED_VALUE"""),0.0193467214714936)</f>
        <v>1.9346721471493598E-2</v>
      </c>
      <c r="M537" s="17">
        <f ca="1">IFERROR(__xludf.DUMMYFUNCTION("""COMPUTED_VALUE"""),0.012354947050311)</f>
        <v>1.2354947050311E-2</v>
      </c>
      <c r="N537" s="17">
        <f ca="1">IFERROR(__xludf.DUMMYFUNCTION("""COMPUTED_VALUE"""),0.0306655052642019)</f>
        <v>3.0665505264201899E-2</v>
      </c>
      <c r="O537" s="17">
        <f ca="1">IFERROR(__xludf.DUMMYFUNCTION("""COMPUTED_VALUE"""),0.00997558898443777)</f>
        <v>9.9755889844377697E-3</v>
      </c>
      <c r="P537" s="17">
        <f ca="1">IFERROR(__xludf.DUMMYFUNCTION("""COMPUTED_VALUE"""),0.782514993772102)</f>
        <v>0.78251499377210199</v>
      </c>
      <c r="Q537" s="17">
        <f ca="1">IFERROR(__xludf.DUMMYFUNCTION("""COMPUTED_VALUE"""),0.0198363311905203)</f>
        <v>1.98363311905203E-2</v>
      </c>
      <c r="R537" s="17">
        <f ca="1">IFERROR(__xludf.DUMMYFUNCTION("""COMPUTED_VALUE"""),0.0116704054776793)</f>
        <v>1.1670405477679301E-2</v>
      </c>
      <c r="S537" s="17">
        <f ca="1">IFERROR(__xludf.DUMMYFUNCTION("""COMPUTED_VALUE"""),0.141585348086975)</f>
        <v>0.14158534808697501</v>
      </c>
      <c r="T537" s="17">
        <f ca="1">IFERROR(__xludf.DUMMYFUNCTION("""COMPUTED_VALUE"""),0.166521550836235)</f>
        <v>0.16652155083623499</v>
      </c>
      <c r="U537" s="17">
        <f ca="1">IFERROR(__xludf.DUMMYFUNCTION("""COMPUTED_VALUE"""),0.0821997851507415)</f>
        <v>8.21997851507415E-2</v>
      </c>
      <c r="V537" s="17">
        <f ca="1">IFERROR(__xludf.DUMMYFUNCTION("""COMPUTED_VALUE"""),0.178145663113817)</f>
        <v>0.17814566311381699</v>
      </c>
      <c r="W537" s="17">
        <f ca="1">IFERROR(__xludf.DUMMYFUNCTION("""COMPUTED_VALUE"""),1.32116313933176)</f>
        <v>1.32116313933176</v>
      </c>
      <c r="X537" s="17">
        <f ca="1">IFERROR(__xludf.DUMMYFUNCTION("""COMPUTED_VALUE"""),0.0745202761231299)</f>
        <v>7.4520276123129905E-2</v>
      </c>
      <c r="Y537" s="17">
        <f ca="1">IFERROR(__xludf.DUMMYFUNCTION("""COMPUTED_VALUE"""),0.0460910952968397)</f>
        <v>4.6091095296839697E-2</v>
      </c>
      <c r="Z537" s="17">
        <f ca="1">IFERROR(__xludf.DUMMYFUNCTION("""COMPUTED_VALUE"""),0.118792662628995)</f>
        <v>0.118792662628995</v>
      </c>
      <c r="AA537" s="17">
        <f ca="1">IFERROR(__xludf.DUMMYFUNCTION("""COMPUTED_VALUE"""),0.0116064321696444)</f>
        <v>1.1606432169644401E-2</v>
      </c>
      <c r="AB537" s="17">
        <f ca="1">IFERROR(__xludf.DUMMYFUNCTION("""COMPUTED_VALUE"""),0.177748298694793)</f>
        <v>0.177748298694793</v>
      </c>
      <c r="AC537" s="17">
        <f ca="1">IFERROR(__xludf.DUMMYFUNCTION("""COMPUTED_VALUE"""),0.416440062855045)</f>
        <v>0.41644006285504498</v>
      </c>
      <c r="AD537" s="17">
        <f ca="1">IFERROR(__xludf.DUMMYFUNCTION("""COMPUTED_VALUE"""),0.735377951649211)</f>
        <v>0.73537795164921105</v>
      </c>
      <c r="AE537" s="17">
        <f ca="1">IFERROR(__xludf.DUMMYFUNCTION("""COMPUTED_VALUE"""),0.911915170115799)</f>
        <v>0.91191517011579903</v>
      </c>
      <c r="AF537" s="17">
        <f ca="1">IFERROR(__xludf.DUMMYFUNCTION("""COMPUTED_VALUE"""),0.105638036918433)</f>
        <v>0.105638036918433</v>
      </c>
      <c r="AG537" s="17">
        <f ca="1">IFERROR(__xludf.DUMMYFUNCTION("""COMPUTED_VALUE"""),0.306293728123316)</f>
        <v>0.30629372812331601</v>
      </c>
      <c r="AH537" s="17">
        <f ca="1">IFERROR(__xludf.DUMMYFUNCTION("""COMPUTED_VALUE"""),0.24576892744904)</f>
        <v>0.24576892744904</v>
      </c>
      <c r="AI537" s="17">
        <f ca="1">IFERROR(__xludf.DUMMYFUNCTION("""COMPUTED_VALUE"""),0.494506485108482)</f>
        <v>0.494506485108482</v>
      </c>
      <c r="AJ537" s="17">
        <f ca="1">IFERROR(__xludf.DUMMYFUNCTION("""COMPUTED_VALUE"""),0.137447357155049)</f>
        <v>0.13744735715504899</v>
      </c>
    </row>
    <row r="538" spans="2:36" ht="15.75" customHeight="1" x14ac:dyDescent="0.45">
      <c r="B538" s="10" t="str">
        <f ca="1">IFERROR(__xludf.DUMMYFUNCTION("""COMPUTED_VALUE"""),"Meat")</f>
        <v>Meat</v>
      </c>
      <c r="C538" s="10" t="str">
        <f ca="1">IFERROR(__xludf.DUMMYFUNCTION("""COMPUTED_VALUE"""),"mcar")</f>
        <v>mcar</v>
      </c>
      <c r="D538" s="10">
        <f ca="1">IFERROR(__xludf.DUMMYFUNCTION("""COMPUTED_VALUE"""),0.2)</f>
        <v>0.2</v>
      </c>
      <c r="E538" s="17">
        <f ca="1">IFERROR(__xludf.DUMMYFUNCTION("""COMPUTED_VALUE"""),1.16909477421029)</f>
        <v>1.16909477421029</v>
      </c>
      <c r="F538" s="17">
        <f ca="1">IFERROR(__xludf.DUMMYFUNCTION("""COMPUTED_VALUE"""),0.0364606956862805)</f>
        <v>3.6460695686280499E-2</v>
      </c>
      <c r="G538" s="17">
        <f ca="1">IFERROR(__xludf.DUMMYFUNCTION("""COMPUTED_VALUE"""),0.136189975331659)</f>
        <v>0.136189975331659</v>
      </c>
      <c r="H538" s="17">
        <f ca="1">IFERROR(__xludf.DUMMYFUNCTION("""COMPUTED_VALUE"""),0.0221182216420718)</f>
        <v>2.2118221642071799E-2</v>
      </c>
      <c r="I538" s="17">
        <f ca="1">IFERROR(__xludf.DUMMYFUNCTION("""COMPUTED_VALUE"""),0.0108229422005)</f>
        <v>1.0822942200500001E-2</v>
      </c>
      <c r="J538" s="17">
        <f ca="1">IFERROR(__xludf.DUMMYFUNCTION("""COMPUTED_VALUE"""),0.269357097875431)</f>
        <v>0.269357097875431</v>
      </c>
      <c r="K538" s="17" t="str">
        <f ca="1">IFERROR(__xludf.DUMMYFUNCTION("""COMPUTED_VALUE"""),"nan")</f>
        <v>nan</v>
      </c>
      <c r="L538" s="17">
        <f ca="1">IFERROR(__xludf.DUMMYFUNCTION("""COMPUTED_VALUE"""),0.0204796498158136)</f>
        <v>2.04796498158136E-2</v>
      </c>
      <c r="M538" s="17">
        <f ca="1">IFERROR(__xludf.DUMMYFUNCTION("""COMPUTED_VALUE"""),0.0119118026036641)</f>
        <v>1.19118026036641E-2</v>
      </c>
      <c r="N538" s="17">
        <f ca="1">IFERROR(__xludf.DUMMYFUNCTION("""COMPUTED_VALUE"""),0.0231238358719847)</f>
        <v>2.3123835871984699E-2</v>
      </c>
      <c r="O538" s="17">
        <f ca="1">IFERROR(__xludf.DUMMYFUNCTION("""COMPUTED_VALUE"""),0.00890281891253093)</f>
        <v>8.9028189125309291E-3</v>
      </c>
      <c r="P538" s="17">
        <f ca="1">IFERROR(__xludf.DUMMYFUNCTION("""COMPUTED_VALUE"""),0.635929391357446)</f>
        <v>0.63592939135744597</v>
      </c>
      <c r="Q538" s="17">
        <f ca="1">IFERROR(__xludf.DUMMYFUNCTION("""COMPUTED_VALUE"""),0.0916113001479663)</f>
        <v>9.1611300147966299E-2</v>
      </c>
      <c r="R538" s="17">
        <f ca="1">IFERROR(__xludf.DUMMYFUNCTION("""COMPUTED_VALUE"""),0.00910199512199391)</f>
        <v>9.1019951219939096E-3</v>
      </c>
      <c r="S538" s="17">
        <f ca="1">IFERROR(__xludf.DUMMYFUNCTION("""COMPUTED_VALUE"""),0.210104681091559)</f>
        <v>0.210104681091559</v>
      </c>
      <c r="T538" s="17">
        <f ca="1">IFERROR(__xludf.DUMMYFUNCTION("""COMPUTED_VALUE"""),0.115910799677931)</f>
        <v>0.115910799677931</v>
      </c>
      <c r="U538" s="17">
        <f ca="1">IFERROR(__xludf.DUMMYFUNCTION("""COMPUTED_VALUE"""),0.0651559672376801)</f>
        <v>6.5155967237680107E-2</v>
      </c>
      <c r="V538" s="17">
        <f ca="1">IFERROR(__xludf.DUMMYFUNCTION("""COMPUTED_VALUE"""),0.106217740580269)</f>
        <v>0.106217740580269</v>
      </c>
      <c r="W538" s="17">
        <f ca="1">IFERROR(__xludf.DUMMYFUNCTION("""COMPUTED_VALUE"""),1.09597092161461)</f>
        <v>1.0959709216146101</v>
      </c>
      <c r="X538" s="17">
        <f ca="1">IFERROR(__xludf.DUMMYFUNCTION("""COMPUTED_VALUE"""),0.0758571664161234)</f>
        <v>7.5857166416123403E-2</v>
      </c>
      <c r="Y538" s="17">
        <f ca="1">IFERROR(__xludf.DUMMYFUNCTION("""COMPUTED_VALUE"""),0.0478566832133567)</f>
        <v>4.7856683213356697E-2</v>
      </c>
      <c r="Z538" s="17">
        <f ca="1">IFERROR(__xludf.DUMMYFUNCTION("""COMPUTED_VALUE"""),0.0876065896440469)</f>
        <v>8.7606589644046898E-2</v>
      </c>
      <c r="AA538" s="17">
        <f ca="1">IFERROR(__xludf.DUMMYFUNCTION("""COMPUTED_VALUE"""),0.00837450941268869)</f>
        <v>8.3745094126886892E-3</v>
      </c>
      <c r="AB538" s="17">
        <f ca="1">IFERROR(__xludf.DUMMYFUNCTION("""COMPUTED_VALUE"""),0.284497524685526)</f>
        <v>0.28449752468552603</v>
      </c>
      <c r="AC538" s="17">
        <f ca="1">IFERROR(__xludf.DUMMYFUNCTION("""COMPUTED_VALUE"""),0.309044915358595)</f>
        <v>0.30904491535859502</v>
      </c>
      <c r="AD538" s="17">
        <f ca="1">IFERROR(__xludf.DUMMYFUNCTION("""COMPUTED_VALUE"""),0.605580636871427)</f>
        <v>0.60558063687142705</v>
      </c>
      <c r="AE538" s="17">
        <f ca="1">IFERROR(__xludf.DUMMYFUNCTION("""COMPUTED_VALUE"""),0.752396072793737)</f>
        <v>0.75239607279373699</v>
      </c>
      <c r="AF538" s="17">
        <f ca="1">IFERROR(__xludf.DUMMYFUNCTION("""COMPUTED_VALUE"""),0.0813436359564254)</f>
        <v>8.1343635956425395E-2</v>
      </c>
      <c r="AG538" s="17">
        <f ca="1">IFERROR(__xludf.DUMMYFUNCTION("""COMPUTED_VALUE"""),0.316346066155859)</f>
        <v>0.31634606615585897</v>
      </c>
      <c r="AH538" s="17">
        <f ca="1">IFERROR(__xludf.DUMMYFUNCTION("""COMPUTED_VALUE"""),0.208821053868577)</f>
        <v>0.20882105386857699</v>
      </c>
      <c r="AI538" s="17">
        <f ca="1">IFERROR(__xludf.DUMMYFUNCTION("""COMPUTED_VALUE"""),0.932782198817615)</f>
        <v>0.93278219881761504</v>
      </c>
      <c r="AJ538" s="17">
        <f ca="1">IFERROR(__xludf.DUMMYFUNCTION("""COMPUTED_VALUE"""),0.229922908364416)</f>
        <v>0.22992290836441601</v>
      </c>
    </row>
    <row r="539" spans="2:36" ht="15.75" customHeight="1" x14ac:dyDescent="0.45">
      <c r="B539" s="10" t="str">
        <f ca="1">IFERROR(__xludf.DUMMYFUNCTION("""COMPUTED_VALUE"""),"Meat")</f>
        <v>Meat</v>
      </c>
      <c r="C539" s="10" t="str">
        <f ca="1">IFERROR(__xludf.DUMMYFUNCTION("""COMPUTED_VALUE"""),"mcar")</f>
        <v>mcar</v>
      </c>
      <c r="D539" s="10">
        <f ca="1">IFERROR(__xludf.DUMMYFUNCTION("""COMPUTED_VALUE"""),0.4)</f>
        <v>0.4</v>
      </c>
      <c r="E539" s="17">
        <f ca="1">IFERROR(__xludf.DUMMYFUNCTION("""COMPUTED_VALUE"""),1.18355794401562)</f>
        <v>1.1835579440156201</v>
      </c>
      <c r="F539" s="17">
        <f ca="1">IFERROR(__xludf.DUMMYFUNCTION("""COMPUTED_VALUE"""),0.074661899550076)</f>
        <v>7.4661899550076002E-2</v>
      </c>
      <c r="G539" s="17">
        <f ca="1">IFERROR(__xludf.DUMMYFUNCTION("""COMPUTED_VALUE"""),0.53147669234914)</f>
        <v>0.53147669234913997</v>
      </c>
      <c r="H539" s="17">
        <f ca="1">IFERROR(__xludf.DUMMYFUNCTION("""COMPUTED_VALUE"""),0.105104531043211)</f>
        <v>0.10510453104321101</v>
      </c>
      <c r="I539" s="17">
        <f ca="1">IFERROR(__xludf.DUMMYFUNCTION("""COMPUTED_VALUE"""),0.0192721155882817)</f>
        <v>1.9272115588281701E-2</v>
      </c>
      <c r="J539" s="17">
        <f ca="1">IFERROR(__xludf.DUMMYFUNCTION("""COMPUTED_VALUE"""),0.897304490975375)</f>
        <v>0.89730449097537501</v>
      </c>
      <c r="K539" s="17" t="str">
        <f ca="1">IFERROR(__xludf.DUMMYFUNCTION("""COMPUTED_VALUE"""),"nan")</f>
        <v>nan</v>
      </c>
      <c r="L539" s="17">
        <f ca="1">IFERROR(__xludf.DUMMYFUNCTION("""COMPUTED_VALUE"""),0.0323935865176665)</f>
        <v>3.2393586517666502E-2</v>
      </c>
      <c r="M539" s="17">
        <f ca="1">IFERROR(__xludf.DUMMYFUNCTION("""COMPUTED_VALUE"""),0.26729860198439)</f>
        <v>0.26729860198438998</v>
      </c>
      <c r="N539" s="17">
        <f ca="1">IFERROR(__xludf.DUMMYFUNCTION("""COMPUTED_VALUE"""),0.0273568278762172)</f>
        <v>2.73568278762172E-2</v>
      </c>
      <c r="O539" s="17">
        <f ca="1">IFERROR(__xludf.DUMMYFUNCTION("""COMPUTED_VALUE"""),0.173364093542401)</f>
        <v>0.17336409354240101</v>
      </c>
      <c r="P539" s="17">
        <f ca="1">IFERROR(__xludf.DUMMYFUNCTION("""COMPUTED_VALUE"""),0.731111972503506)</f>
        <v>0.73111197250350601</v>
      </c>
      <c r="Q539" s="17">
        <f ca="1">IFERROR(__xludf.DUMMYFUNCTION("""COMPUTED_VALUE"""),0.534607776564092)</f>
        <v>0.53460777656409197</v>
      </c>
      <c r="R539" s="17">
        <f ca="1">IFERROR(__xludf.DUMMYFUNCTION("""COMPUTED_VALUE"""),0.00772686295727625)</f>
        <v>7.7268629572762497E-3</v>
      </c>
      <c r="S539" s="17">
        <f ca="1">IFERROR(__xludf.DUMMYFUNCTION("""COMPUTED_VALUE"""),0.550933057933948)</f>
        <v>0.55093305793394798</v>
      </c>
      <c r="T539" s="17">
        <f ca="1">IFERROR(__xludf.DUMMYFUNCTION("""COMPUTED_VALUE"""),0.170129400185464)</f>
        <v>0.17012940018546399</v>
      </c>
      <c r="U539" s="17">
        <f ca="1">IFERROR(__xludf.DUMMYFUNCTION("""COMPUTED_VALUE"""),0.115907012412406)</f>
        <v>0.115907012412406</v>
      </c>
      <c r="V539" s="17">
        <f ca="1">IFERROR(__xludf.DUMMYFUNCTION("""COMPUTED_VALUE"""),0.165782073271242)</f>
        <v>0.165782073271242</v>
      </c>
      <c r="W539" s="17">
        <f ca="1">IFERROR(__xludf.DUMMYFUNCTION("""COMPUTED_VALUE"""),1.11467948502988)</f>
        <v>1.11467948502988</v>
      </c>
      <c r="X539" s="17">
        <f ca="1">IFERROR(__xludf.DUMMYFUNCTION("""COMPUTED_VALUE"""),0.0846478289194183)</f>
        <v>8.46478289194183E-2</v>
      </c>
      <c r="Y539" s="17">
        <f ca="1">IFERROR(__xludf.DUMMYFUNCTION("""COMPUTED_VALUE"""),0.067694513318692)</f>
        <v>6.7694513318692001E-2</v>
      </c>
      <c r="Z539" s="17">
        <f ca="1">IFERROR(__xludf.DUMMYFUNCTION("""COMPUTED_VALUE"""),0.127055975898976)</f>
        <v>0.12705597589897599</v>
      </c>
      <c r="AA539" s="17">
        <f ca="1">IFERROR(__xludf.DUMMYFUNCTION("""COMPUTED_VALUE"""),0.00630343570330719)</f>
        <v>6.3034357033071899E-3</v>
      </c>
      <c r="AB539" s="17">
        <f ca="1">IFERROR(__xludf.DUMMYFUNCTION("""COMPUTED_VALUE"""),0.369106457355621)</f>
        <v>0.36910645735562098</v>
      </c>
      <c r="AC539" s="17">
        <f ca="1">IFERROR(__xludf.DUMMYFUNCTION("""COMPUTED_VALUE"""),0.475034971593471)</f>
        <v>0.47503497159347102</v>
      </c>
      <c r="AD539" s="17">
        <f ca="1">IFERROR(__xludf.DUMMYFUNCTION("""COMPUTED_VALUE"""),0.784053223755935)</f>
        <v>0.784053223755935</v>
      </c>
      <c r="AE539" s="17">
        <f ca="1">IFERROR(__xludf.DUMMYFUNCTION("""COMPUTED_VALUE"""),1.07314131820513)</f>
        <v>1.0731413182051299</v>
      </c>
      <c r="AF539" s="17">
        <f ca="1">IFERROR(__xludf.DUMMYFUNCTION("""COMPUTED_VALUE"""),0.247809201139157)</f>
        <v>0.247809201139157</v>
      </c>
      <c r="AG539" s="17">
        <f ca="1">IFERROR(__xludf.DUMMYFUNCTION("""COMPUTED_VALUE"""),0.830420606614523)</f>
        <v>0.83042060661452299</v>
      </c>
      <c r="AH539" s="17">
        <f ca="1">IFERROR(__xludf.DUMMYFUNCTION("""COMPUTED_VALUE"""),0.625027520432375)</f>
        <v>0.62502752043237497</v>
      </c>
      <c r="AI539" s="17">
        <f ca="1">IFERROR(__xludf.DUMMYFUNCTION("""COMPUTED_VALUE"""),1.31028600896756)</f>
        <v>1.3102860089675601</v>
      </c>
      <c r="AJ539" s="17">
        <f ca="1">IFERROR(__xludf.DUMMYFUNCTION("""COMPUTED_VALUE"""),0.332297815058245)</f>
        <v>0.33229781505824502</v>
      </c>
    </row>
    <row r="540" spans="2:36" ht="15.75" customHeight="1" x14ac:dyDescent="0.45">
      <c r="B540" s="10" t="str">
        <f ca="1">IFERROR(__xludf.DUMMYFUNCTION("""COMPUTED_VALUE"""),"Meat")</f>
        <v>Meat</v>
      </c>
      <c r="C540" s="10" t="str">
        <f ca="1">IFERROR(__xludf.DUMMYFUNCTION("""COMPUTED_VALUE"""),"mcar")</f>
        <v>mcar</v>
      </c>
      <c r="D540" s="10">
        <f ca="1">IFERROR(__xludf.DUMMYFUNCTION("""COMPUTED_VALUE"""),0.6)</f>
        <v>0.6</v>
      </c>
      <c r="E540" s="17">
        <f ca="1">IFERROR(__xludf.DUMMYFUNCTION("""COMPUTED_VALUE"""),1.06137072982338)</f>
        <v>1.0613707298233801</v>
      </c>
      <c r="F540" s="17">
        <f ca="1">IFERROR(__xludf.DUMMYFUNCTION("""COMPUTED_VALUE"""),0.0985631774915869)</f>
        <v>9.8563177491586898E-2</v>
      </c>
      <c r="G540" s="17">
        <f ca="1">IFERROR(__xludf.DUMMYFUNCTION("""COMPUTED_VALUE"""),0.576841653632935)</f>
        <v>0.57684165363293505</v>
      </c>
      <c r="H540" s="17">
        <f ca="1">IFERROR(__xludf.DUMMYFUNCTION("""COMPUTED_VALUE"""),0.133871441756386)</f>
        <v>0.13387144175638599</v>
      </c>
      <c r="I540" s="17">
        <f ca="1">IFERROR(__xludf.DUMMYFUNCTION("""COMPUTED_VALUE"""),0.0614065994540385)</f>
        <v>6.14065994540385E-2</v>
      </c>
      <c r="J540" s="17">
        <f ca="1">IFERROR(__xludf.DUMMYFUNCTION("""COMPUTED_VALUE"""),0.775265424291822)</f>
        <v>0.77526542429182199</v>
      </c>
      <c r="K540" s="17" t="str">
        <f ca="1">IFERROR(__xludf.DUMMYFUNCTION("""COMPUTED_VALUE"""),"nan")</f>
        <v>nan</v>
      </c>
      <c r="L540" s="17">
        <f ca="1">IFERROR(__xludf.DUMMYFUNCTION("""COMPUTED_VALUE"""),0.0399935733304619)</f>
        <v>3.9993573330461898E-2</v>
      </c>
      <c r="M540" s="17">
        <f ca="1">IFERROR(__xludf.DUMMYFUNCTION("""COMPUTED_VALUE"""),0.171817163532924)</f>
        <v>0.17181716353292401</v>
      </c>
      <c r="N540" s="17">
        <f ca="1">IFERROR(__xludf.DUMMYFUNCTION("""COMPUTED_VALUE"""),0.0230753992221502)</f>
        <v>2.3075399222150201E-2</v>
      </c>
      <c r="O540" s="17">
        <f ca="1">IFERROR(__xludf.DUMMYFUNCTION("""COMPUTED_VALUE"""),0.243178834540195)</f>
        <v>0.24317883454019501</v>
      </c>
      <c r="P540" s="17">
        <f ca="1">IFERROR(__xludf.DUMMYFUNCTION("""COMPUTED_VALUE"""),0.702037560945918)</f>
        <v>0.70203756094591796</v>
      </c>
      <c r="Q540" s="17">
        <f ca="1">IFERROR(__xludf.DUMMYFUNCTION("""COMPUTED_VALUE"""),0.449299337977052)</f>
        <v>0.44929933797705202</v>
      </c>
      <c r="R540" s="17">
        <f ca="1">IFERROR(__xludf.DUMMYFUNCTION("""COMPUTED_VALUE"""),0.00797379988424083)</f>
        <v>7.97379988424083E-3</v>
      </c>
      <c r="S540" s="17">
        <f ca="1">IFERROR(__xludf.DUMMYFUNCTION("""COMPUTED_VALUE"""),0.69220471742831)</f>
        <v>0.69220471742831002</v>
      </c>
      <c r="T540" s="17">
        <f ca="1">IFERROR(__xludf.DUMMYFUNCTION("""COMPUTED_VALUE"""),0.213788692479299)</f>
        <v>0.21378869247929899</v>
      </c>
      <c r="U540" s="17">
        <f ca="1">IFERROR(__xludf.DUMMYFUNCTION("""COMPUTED_VALUE"""),0.134907135351414)</f>
        <v>0.13490713535141399</v>
      </c>
      <c r="V540" s="17">
        <f ca="1">IFERROR(__xludf.DUMMYFUNCTION("""COMPUTED_VALUE"""),0.196833967169189)</f>
        <v>0.19683396716918899</v>
      </c>
      <c r="W540" s="17">
        <f ca="1">IFERROR(__xludf.DUMMYFUNCTION("""COMPUTED_VALUE"""),0.893277349194536)</f>
        <v>0.89327734919453605</v>
      </c>
      <c r="X540" s="17">
        <f ca="1">IFERROR(__xludf.DUMMYFUNCTION("""COMPUTED_VALUE"""),0.0850109785569553)</f>
        <v>8.5010978556955302E-2</v>
      </c>
      <c r="Y540" s="17">
        <f ca="1">IFERROR(__xludf.DUMMYFUNCTION("""COMPUTED_VALUE"""),0.0741176965446965)</f>
        <v>7.4117696544696507E-2</v>
      </c>
      <c r="Z540" s="17">
        <f ca="1">IFERROR(__xludf.DUMMYFUNCTION("""COMPUTED_VALUE"""),0.109444136142895)</f>
        <v>0.109444136142895</v>
      </c>
      <c r="AA540" s="17">
        <f ca="1">IFERROR(__xludf.DUMMYFUNCTION("""COMPUTED_VALUE"""),0.00636809881979175)</f>
        <v>6.3680988197917501E-3</v>
      </c>
      <c r="AB540" s="17">
        <f ca="1">IFERROR(__xludf.DUMMYFUNCTION("""COMPUTED_VALUE"""),0.266501384979415)</f>
        <v>0.266501384979415</v>
      </c>
      <c r="AC540" s="17">
        <f ca="1">IFERROR(__xludf.DUMMYFUNCTION("""COMPUTED_VALUE"""),0.486912037910728)</f>
        <v>0.48691203791072801</v>
      </c>
      <c r="AD540" s="17">
        <f ca="1">IFERROR(__xludf.DUMMYFUNCTION("""COMPUTED_VALUE"""),0.597456407318605)</f>
        <v>0.59745640731860505</v>
      </c>
      <c r="AE540" s="17">
        <f ca="1">IFERROR(__xludf.DUMMYFUNCTION("""COMPUTED_VALUE"""),1.42189007367845)</f>
        <v>1.4218900736784501</v>
      </c>
      <c r="AF540" s="17">
        <f ca="1">IFERROR(__xludf.DUMMYFUNCTION("""COMPUTED_VALUE"""),0.394444848479391)</f>
        <v>0.39444484847939099</v>
      </c>
      <c r="AG540" s="17">
        <f ca="1">IFERROR(__xludf.DUMMYFUNCTION("""COMPUTED_VALUE"""),1.01356220074362)</f>
        <v>1.01356220074362</v>
      </c>
      <c r="AH540" s="17">
        <f ca="1">IFERROR(__xludf.DUMMYFUNCTION("""COMPUTED_VALUE"""),0.824827580871016)</f>
        <v>0.82482758087101604</v>
      </c>
      <c r="AI540" s="17">
        <f ca="1">IFERROR(__xludf.DUMMYFUNCTION("""COMPUTED_VALUE"""),1.1383614497251)</f>
        <v>1.1383614497251</v>
      </c>
      <c r="AJ540" s="17">
        <f ca="1">IFERROR(__xludf.DUMMYFUNCTION("""COMPUTED_VALUE"""),0.642571516065059)</f>
        <v>0.64257151606505902</v>
      </c>
    </row>
    <row r="541" spans="2:36" ht="15.75" customHeight="1" x14ac:dyDescent="0.45">
      <c r="B541" s="10" t="str">
        <f ca="1">IFERROR(__xludf.DUMMYFUNCTION("""COMPUTED_VALUE"""),"Meat")</f>
        <v>Meat</v>
      </c>
      <c r="C541" s="10" t="str">
        <f ca="1">IFERROR(__xludf.DUMMYFUNCTION("""COMPUTED_VALUE"""),"mcar")</f>
        <v>mcar</v>
      </c>
      <c r="D541" s="10">
        <f ca="1">IFERROR(__xludf.DUMMYFUNCTION("""COMPUTED_VALUE"""),0.8)</f>
        <v>0.8</v>
      </c>
      <c r="E541" s="17">
        <f ca="1">IFERROR(__xludf.DUMMYFUNCTION("""COMPUTED_VALUE"""),1.04169372178366)</f>
        <v>1.0416937217836599</v>
      </c>
      <c r="F541" s="17">
        <f ca="1">IFERROR(__xludf.DUMMYFUNCTION("""COMPUTED_VALUE"""),0.142240235063052)</f>
        <v>0.142240235063052</v>
      </c>
      <c r="G541" s="17">
        <f ca="1">IFERROR(__xludf.DUMMYFUNCTION("""COMPUTED_VALUE"""),0.721764748698901)</f>
        <v>0.72176474869890095</v>
      </c>
      <c r="H541" s="17">
        <f ca="1">IFERROR(__xludf.DUMMYFUNCTION("""COMPUTED_VALUE"""),0.168359694422021)</f>
        <v>0.16835969442202101</v>
      </c>
      <c r="I541" s="17">
        <f ca="1">IFERROR(__xludf.DUMMYFUNCTION("""COMPUTED_VALUE"""),0.208735106930766)</f>
        <v>0.208735106930766</v>
      </c>
      <c r="J541" s="17">
        <f ca="1">IFERROR(__xludf.DUMMYFUNCTION("""COMPUTED_VALUE"""),0.765448205536662)</f>
        <v>0.76544820553666204</v>
      </c>
      <c r="K541" s="17" t="str">
        <f ca="1">IFERROR(__xludf.DUMMYFUNCTION("""COMPUTED_VALUE"""),"nan")</f>
        <v>nan</v>
      </c>
      <c r="L541" s="17">
        <f ca="1">IFERROR(__xludf.DUMMYFUNCTION("""COMPUTED_VALUE"""),0.064712800350537)</f>
        <v>6.4712800350537003E-2</v>
      </c>
      <c r="M541" s="17">
        <f ca="1">IFERROR(__xludf.DUMMYFUNCTION("""COMPUTED_VALUE"""),0.342053772287265)</f>
        <v>0.34205377228726502</v>
      </c>
      <c r="N541" s="17">
        <f ca="1">IFERROR(__xludf.DUMMYFUNCTION("""COMPUTED_VALUE"""),0.0211982737839555)</f>
        <v>2.1198273783955501E-2</v>
      </c>
      <c r="O541" s="17">
        <f ca="1">IFERROR(__xludf.DUMMYFUNCTION("""COMPUTED_VALUE"""),0.490293313840546)</f>
        <v>0.49029331384054597</v>
      </c>
      <c r="P541" s="17">
        <f ca="1">IFERROR(__xludf.DUMMYFUNCTION("""COMPUTED_VALUE"""),0.822360359349348)</f>
        <v>0.82236035934934804</v>
      </c>
      <c r="Q541" s="17">
        <f ca="1">IFERROR(__xludf.DUMMYFUNCTION("""COMPUTED_VALUE"""),0.474562618533268)</f>
        <v>0.47456261853326798</v>
      </c>
      <c r="R541" s="17">
        <f ca="1">IFERROR(__xludf.DUMMYFUNCTION("""COMPUTED_VALUE"""),0.00787989987224273)</f>
        <v>7.8798998722427304E-3</v>
      </c>
      <c r="S541" s="17">
        <f ca="1">IFERROR(__xludf.DUMMYFUNCTION("""COMPUTED_VALUE"""),1.03638092791136)</f>
        <v>1.0363809279113601</v>
      </c>
      <c r="T541" s="17">
        <f ca="1">IFERROR(__xludf.DUMMYFUNCTION("""COMPUTED_VALUE"""),0.249665197427873)</f>
        <v>0.24966519742787299</v>
      </c>
      <c r="U541" s="17">
        <f ca="1">IFERROR(__xludf.DUMMYFUNCTION("""COMPUTED_VALUE"""),0.176766405073404)</f>
        <v>0.17676640507340399</v>
      </c>
      <c r="V541" s="17">
        <f ca="1">IFERROR(__xludf.DUMMYFUNCTION("""COMPUTED_VALUE"""),0.225087310176918)</f>
        <v>0.22508731017691799</v>
      </c>
      <c r="W541" s="17">
        <f ca="1">IFERROR(__xludf.DUMMYFUNCTION("""COMPUTED_VALUE"""),0.845880786676237)</f>
        <v>0.84588078667623701</v>
      </c>
      <c r="X541" s="17">
        <f ca="1">IFERROR(__xludf.DUMMYFUNCTION("""COMPUTED_VALUE"""),0.0730959060596852)</f>
        <v>7.3095906059685203E-2</v>
      </c>
      <c r="Y541" s="17">
        <f ca="1">IFERROR(__xludf.DUMMYFUNCTION("""COMPUTED_VALUE"""),0.0641225687208706)</f>
        <v>6.4122568720870604E-2</v>
      </c>
      <c r="Z541" s="17">
        <f ca="1">IFERROR(__xludf.DUMMYFUNCTION("""COMPUTED_VALUE"""),0.346811545312837)</f>
        <v>0.34681154531283698</v>
      </c>
      <c r="AA541" s="17">
        <f ca="1">IFERROR(__xludf.DUMMYFUNCTION("""COMPUTED_VALUE"""),0.00662371395697554)</f>
        <v>6.6237139569755403E-3</v>
      </c>
      <c r="AB541" s="17">
        <f ca="1">IFERROR(__xludf.DUMMYFUNCTION("""COMPUTED_VALUE"""),0.563339629859658)</f>
        <v>0.56333962985965802</v>
      </c>
      <c r="AC541" s="17">
        <f ca="1">IFERROR(__xludf.DUMMYFUNCTION("""COMPUTED_VALUE"""),0.599254424034825)</f>
        <v>0.59925442403482498</v>
      </c>
      <c r="AD541" s="17">
        <f ca="1">IFERROR(__xludf.DUMMYFUNCTION("""COMPUTED_VALUE"""),0.692083214708433)</f>
        <v>0.69208321470843304</v>
      </c>
      <c r="AE541" s="17">
        <f ca="1">IFERROR(__xludf.DUMMYFUNCTION("""COMPUTED_VALUE"""),1.30176851055494)</f>
        <v>1.3017685105549399</v>
      </c>
      <c r="AF541" s="17">
        <f ca="1">IFERROR(__xludf.DUMMYFUNCTION("""COMPUTED_VALUE"""),0.345257779423433)</f>
        <v>0.345257779423433</v>
      </c>
      <c r="AG541" s="17">
        <f ca="1">IFERROR(__xludf.DUMMYFUNCTION("""COMPUTED_VALUE"""),1.04149106086266)</f>
        <v>1.04149106086266</v>
      </c>
      <c r="AH541" s="17">
        <f ca="1">IFERROR(__xludf.DUMMYFUNCTION("""COMPUTED_VALUE"""),1.14873901636916)</f>
        <v>1.14873901636916</v>
      </c>
      <c r="AI541" s="17">
        <f ca="1">IFERROR(__xludf.DUMMYFUNCTION("""COMPUTED_VALUE"""),1.08682417509961)</f>
        <v>1.0868241750996099</v>
      </c>
      <c r="AJ541" s="17">
        <f ca="1">IFERROR(__xludf.DUMMYFUNCTION("""COMPUTED_VALUE"""),1.09659423676541)</f>
        <v>1.09659423676541</v>
      </c>
    </row>
    <row r="542" spans="2:36" ht="15.75" customHeight="1" x14ac:dyDescent="0.45">
      <c r="B542" s="10" t="str">
        <f ca="1">IFERROR(__xludf.DUMMYFUNCTION("""COMPUTED_VALUE"""),"MedicalImages")</f>
        <v>MedicalImages</v>
      </c>
      <c r="C542" s="10" t="str">
        <f ca="1">IFERROR(__xludf.DUMMYFUNCTION("""COMPUTED_VALUE"""),"aligned_series")</f>
        <v>aligned_series</v>
      </c>
      <c r="D542" s="10">
        <f ca="1">IFERROR(__xludf.DUMMYFUNCTION("""COMPUTED_VALUE"""),0.1)</f>
        <v>0.1</v>
      </c>
      <c r="E542" s="17">
        <f ca="1">IFERROR(__xludf.DUMMYFUNCTION("""COMPUTED_VALUE"""),1.46908701577372)</f>
        <v>1.4690870157737199</v>
      </c>
      <c r="F542" s="17">
        <f ca="1">IFERROR(__xludf.DUMMYFUNCTION("""COMPUTED_VALUE"""),1.03585006677429)</f>
        <v>1.03585006677429</v>
      </c>
      <c r="G542" s="17">
        <f ca="1">IFERROR(__xludf.DUMMYFUNCTION("""COMPUTED_VALUE"""),1.07952745580258)</f>
        <v>1.07952745580258</v>
      </c>
      <c r="H542" s="17">
        <f ca="1">IFERROR(__xludf.DUMMYFUNCTION("""COMPUTED_VALUE"""),1.00756373285251)</f>
        <v>1.00756373285251</v>
      </c>
      <c r="I542" s="17">
        <f ca="1">IFERROR(__xludf.DUMMYFUNCTION("""COMPUTED_VALUE"""),0.843255333198031)</f>
        <v>0.84325533319803103</v>
      </c>
      <c r="J542" s="17">
        <f ca="1">IFERROR(__xludf.DUMMYFUNCTION("""COMPUTED_VALUE"""),1.04237351113068)</f>
        <v>1.04237351113068</v>
      </c>
      <c r="K542" s="17" t="str">
        <f ca="1">IFERROR(__xludf.DUMMYFUNCTION("""COMPUTED_VALUE"""),"nan")</f>
        <v>nan</v>
      </c>
      <c r="L542" s="17">
        <f ca="1">IFERROR(__xludf.DUMMYFUNCTION("""COMPUTED_VALUE"""),0.953057390957175)</f>
        <v>0.95305739095717501</v>
      </c>
      <c r="M542" s="17">
        <f ca="1">IFERROR(__xludf.DUMMYFUNCTION("""COMPUTED_VALUE"""),0.970319218857226)</f>
        <v>0.97031921885722605</v>
      </c>
      <c r="N542" s="17">
        <f ca="1">IFERROR(__xludf.DUMMYFUNCTION("""COMPUTED_VALUE"""),1.0377425987136)</f>
        <v>1.0377425987136</v>
      </c>
      <c r="O542" s="17">
        <f ca="1">IFERROR(__xludf.DUMMYFUNCTION("""COMPUTED_VALUE"""),0.816232469583119)</f>
        <v>0.81623246958311901</v>
      </c>
      <c r="P542" s="17">
        <f ca="1">IFERROR(__xludf.DUMMYFUNCTION("""COMPUTED_VALUE"""),1.50148402929905)</f>
        <v>1.5014840292990499</v>
      </c>
      <c r="Q542" s="17">
        <f ca="1">IFERROR(__xludf.DUMMYFUNCTION("""COMPUTED_VALUE"""),1.38357743089929)</f>
        <v>1.3835774308992901</v>
      </c>
      <c r="R542" s="17">
        <f ca="1">IFERROR(__xludf.DUMMYFUNCTION("""COMPUTED_VALUE"""),1.65557721275669)</f>
        <v>1.6555772127566899</v>
      </c>
      <c r="S542" s="17">
        <f ca="1">IFERROR(__xludf.DUMMYFUNCTION("""COMPUTED_VALUE"""),1.37451610909315)</f>
        <v>1.3745161090931499</v>
      </c>
      <c r="T542" s="17">
        <f ca="1">IFERROR(__xludf.DUMMYFUNCTION("""COMPUTED_VALUE"""),1.25064163807706)</f>
        <v>1.25064163807706</v>
      </c>
      <c r="U542" s="17">
        <f ca="1">IFERROR(__xludf.DUMMYFUNCTION("""COMPUTED_VALUE"""),0.923817861533461)</f>
        <v>0.92381786153346102</v>
      </c>
      <c r="V542" s="17">
        <f ca="1">IFERROR(__xludf.DUMMYFUNCTION("""COMPUTED_VALUE"""),1.0461203318737)</f>
        <v>1.0461203318737</v>
      </c>
      <c r="W542" s="17">
        <f ca="1">IFERROR(__xludf.DUMMYFUNCTION("""COMPUTED_VALUE"""),1.24731319448867)</f>
        <v>1.24731319448867</v>
      </c>
      <c r="X542" s="17">
        <f ca="1">IFERROR(__xludf.DUMMYFUNCTION("""COMPUTED_VALUE"""),1.0455605014056)</f>
        <v>1.0455605014056</v>
      </c>
      <c r="Y542" s="17">
        <f ca="1">IFERROR(__xludf.DUMMYFUNCTION("""COMPUTED_VALUE"""),0.966106504407501)</f>
        <v>0.96610650440750101</v>
      </c>
      <c r="Z542" s="17">
        <f ca="1">IFERROR(__xludf.DUMMYFUNCTION("""COMPUTED_VALUE"""),1.15584450648829)</f>
        <v>1.1558445064882901</v>
      </c>
      <c r="AA542" s="17">
        <f ca="1">IFERROR(__xludf.DUMMYFUNCTION("""COMPUTED_VALUE"""),0.684672198032754)</f>
        <v>0.68467219803275403</v>
      </c>
      <c r="AB542" s="17">
        <f ca="1">IFERROR(__xludf.DUMMYFUNCTION("""COMPUTED_VALUE"""),1.37959656620499)</f>
        <v>1.37959656620499</v>
      </c>
      <c r="AC542" s="17">
        <f ca="1">IFERROR(__xludf.DUMMYFUNCTION("""COMPUTED_VALUE"""),1.21861611677329)</f>
        <v>1.2186161167732901</v>
      </c>
      <c r="AD542" s="17">
        <f ca="1">IFERROR(__xludf.DUMMYFUNCTION("""COMPUTED_VALUE"""),1.22594945231058)</f>
        <v>1.2259494523105801</v>
      </c>
      <c r="AE542" s="17">
        <f ca="1">IFERROR(__xludf.DUMMYFUNCTION("""COMPUTED_VALUE"""),1.53237784860128)</f>
        <v>1.53237784860128</v>
      </c>
      <c r="AF542" s="17">
        <f ca="1">IFERROR(__xludf.DUMMYFUNCTION("""COMPUTED_VALUE"""),1.27411881733643)</f>
        <v>1.27411881733643</v>
      </c>
      <c r="AG542" s="17">
        <f ca="1">IFERROR(__xludf.DUMMYFUNCTION("""COMPUTED_VALUE"""),1.41915941564577)</f>
        <v>1.4191594156457701</v>
      </c>
      <c r="AH542" s="17">
        <f ca="1">IFERROR(__xludf.DUMMYFUNCTION("""COMPUTED_VALUE"""),1.20606117015393)</f>
        <v>1.2060611701539301</v>
      </c>
      <c r="AI542" s="17">
        <f ca="1">IFERROR(__xludf.DUMMYFUNCTION("""COMPUTED_VALUE"""),1.30768080536564)</f>
        <v>1.3076808053656399</v>
      </c>
      <c r="AJ542" s="17">
        <f ca="1">IFERROR(__xludf.DUMMYFUNCTION("""COMPUTED_VALUE"""),1.10682552687808)</f>
        <v>1.10682552687808</v>
      </c>
    </row>
    <row r="543" spans="2:36" ht="15.75" customHeight="1" x14ac:dyDescent="0.45">
      <c r="B543" s="10" t="str">
        <f ca="1">IFERROR(__xludf.DUMMYFUNCTION("""COMPUTED_VALUE"""),"MedicalImages")</f>
        <v>MedicalImages</v>
      </c>
      <c r="C543" s="10" t="str">
        <f ca="1">IFERROR(__xludf.DUMMYFUNCTION("""COMPUTED_VALUE"""),"aligned_series")</f>
        <v>aligned_series</v>
      </c>
      <c r="D543" s="10">
        <f ca="1">IFERROR(__xludf.DUMMYFUNCTION("""COMPUTED_VALUE"""),0.2)</f>
        <v>0.2</v>
      </c>
      <c r="E543" s="17">
        <f ca="1">IFERROR(__xludf.DUMMYFUNCTION("""COMPUTED_VALUE"""),1.4916377508467)</f>
        <v>1.4916377508467</v>
      </c>
      <c r="F543" s="17">
        <f ca="1">IFERROR(__xludf.DUMMYFUNCTION("""COMPUTED_VALUE"""),1.01140111767027)</f>
        <v>1.01140111767027</v>
      </c>
      <c r="G543" s="17">
        <f ca="1">IFERROR(__xludf.DUMMYFUNCTION("""COMPUTED_VALUE"""),1.08166364178308)</f>
        <v>1.0816636417830801</v>
      </c>
      <c r="H543" s="17">
        <f ca="1">IFERROR(__xludf.DUMMYFUNCTION("""COMPUTED_VALUE"""),1.04855737836993)</f>
        <v>1.04855737836993</v>
      </c>
      <c r="I543" s="17">
        <f ca="1">IFERROR(__xludf.DUMMYFUNCTION("""COMPUTED_VALUE"""),0.894085499152491)</f>
        <v>0.89408549915249103</v>
      </c>
      <c r="J543" s="17">
        <f ca="1">IFERROR(__xludf.DUMMYFUNCTION("""COMPUTED_VALUE"""),1.34498524903289)</f>
        <v>1.34498524903289</v>
      </c>
      <c r="K543" s="17" t="str">
        <f ca="1">IFERROR(__xludf.DUMMYFUNCTION("""COMPUTED_VALUE"""),"nan")</f>
        <v>nan</v>
      </c>
      <c r="L543" s="17">
        <f ca="1">IFERROR(__xludf.DUMMYFUNCTION("""COMPUTED_VALUE"""),0.844303610008581)</f>
        <v>0.84430361000858101</v>
      </c>
      <c r="M543" s="17">
        <f ca="1">IFERROR(__xludf.DUMMYFUNCTION("""COMPUTED_VALUE"""),0.988514488291394)</f>
        <v>0.98851448829139399</v>
      </c>
      <c r="N543" s="17">
        <f ca="1">IFERROR(__xludf.DUMMYFUNCTION("""COMPUTED_VALUE"""),0.986937728268735)</f>
        <v>0.98693772826873505</v>
      </c>
      <c r="O543" s="17">
        <f ca="1">IFERROR(__xludf.DUMMYFUNCTION("""COMPUTED_VALUE"""),0.792410603496546)</f>
        <v>0.79241060349654602</v>
      </c>
      <c r="P543" s="17">
        <f ca="1">IFERROR(__xludf.DUMMYFUNCTION("""COMPUTED_VALUE"""),1.51875688101503)</f>
        <v>1.51875688101503</v>
      </c>
      <c r="Q543" s="17">
        <f ca="1">IFERROR(__xludf.DUMMYFUNCTION("""COMPUTED_VALUE"""),1.30484609541676)</f>
        <v>1.30484609541676</v>
      </c>
      <c r="R543" s="17">
        <f ca="1">IFERROR(__xludf.DUMMYFUNCTION("""COMPUTED_VALUE"""),1.2520345826972)</f>
        <v>1.2520345826971999</v>
      </c>
      <c r="S543" s="17">
        <f ca="1">IFERROR(__xludf.DUMMYFUNCTION("""COMPUTED_VALUE"""),1.29759878257769)</f>
        <v>1.29759878257769</v>
      </c>
      <c r="T543" s="17">
        <f ca="1">IFERROR(__xludf.DUMMYFUNCTION("""COMPUTED_VALUE"""),1.27318005977657)</f>
        <v>1.2731800597765699</v>
      </c>
      <c r="U543" s="17">
        <f ca="1">IFERROR(__xludf.DUMMYFUNCTION("""COMPUTED_VALUE"""),0.905291278944553)</f>
        <v>0.90529127894455297</v>
      </c>
      <c r="V543" s="17">
        <f ca="1">IFERROR(__xludf.DUMMYFUNCTION("""COMPUTED_VALUE"""),1.05343170143179)</f>
        <v>1.05343170143179</v>
      </c>
      <c r="W543" s="17">
        <f ca="1">IFERROR(__xludf.DUMMYFUNCTION("""COMPUTED_VALUE"""),1.22910993351287)</f>
        <v>1.2291099335128699</v>
      </c>
      <c r="X543" s="17">
        <f ca="1">IFERROR(__xludf.DUMMYFUNCTION("""COMPUTED_VALUE"""),1.0442908590768)</f>
        <v>1.0442908590768001</v>
      </c>
      <c r="Y543" s="17">
        <f ca="1">IFERROR(__xludf.DUMMYFUNCTION("""COMPUTED_VALUE"""),0.948378964224144)</f>
        <v>0.94837896422414403</v>
      </c>
      <c r="Z543" s="17">
        <f ca="1">IFERROR(__xludf.DUMMYFUNCTION("""COMPUTED_VALUE"""),1.14126549727814)</f>
        <v>1.14126549727814</v>
      </c>
      <c r="AA543" s="17">
        <f ca="1">IFERROR(__xludf.DUMMYFUNCTION("""COMPUTED_VALUE"""),0.686454928835444)</f>
        <v>0.68645492883544401</v>
      </c>
      <c r="AB543" s="17">
        <f ca="1">IFERROR(__xludf.DUMMYFUNCTION("""COMPUTED_VALUE"""),1.33474441961097)</f>
        <v>1.3347444196109699</v>
      </c>
      <c r="AC543" s="17">
        <f ca="1">IFERROR(__xludf.DUMMYFUNCTION("""COMPUTED_VALUE"""),1.20891143946302)</f>
        <v>1.20891143946302</v>
      </c>
      <c r="AD543" s="17">
        <f ca="1">IFERROR(__xludf.DUMMYFUNCTION("""COMPUTED_VALUE"""),1.18066119097359)</f>
        <v>1.18066119097359</v>
      </c>
      <c r="AE543" s="17">
        <f ca="1">IFERROR(__xludf.DUMMYFUNCTION("""COMPUTED_VALUE"""),1.5579833997406)</f>
        <v>1.5579833997406001</v>
      </c>
      <c r="AF543" s="17">
        <f ca="1">IFERROR(__xludf.DUMMYFUNCTION("""COMPUTED_VALUE"""),1.26142377764452)</f>
        <v>1.2614237776445201</v>
      </c>
      <c r="AG543" s="17">
        <f ca="1">IFERROR(__xludf.DUMMYFUNCTION("""COMPUTED_VALUE"""),1.3598549023051)</f>
        <v>1.3598549023051001</v>
      </c>
      <c r="AH543" s="17">
        <f ca="1">IFERROR(__xludf.DUMMYFUNCTION("""COMPUTED_VALUE"""),1.15865626294633)</f>
        <v>1.15865626294633</v>
      </c>
      <c r="AI543" s="17">
        <f ca="1">IFERROR(__xludf.DUMMYFUNCTION("""COMPUTED_VALUE"""),1.26908438510451)</f>
        <v>1.2690843851045099</v>
      </c>
      <c r="AJ543" s="17">
        <f ca="1">IFERROR(__xludf.DUMMYFUNCTION("""COMPUTED_VALUE"""),1.07527537155766)</f>
        <v>1.07527537155766</v>
      </c>
    </row>
    <row r="544" spans="2:36" ht="15.75" customHeight="1" x14ac:dyDescent="0.45">
      <c r="B544" s="10" t="str">
        <f ca="1">IFERROR(__xludf.DUMMYFUNCTION("""COMPUTED_VALUE"""),"MedicalImages")</f>
        <v>MedicalImages</v>
      </c>
      <c r="C544" s="10" t="str">
        <f ca="1">IFERROR(__xludf.DUMMYFUNCTION("""COMPUTED_VALUE"""),"aligned_series")</f>
        <v>aligned_series</v>
      </c>
      <c r="D544" s="10">
        <f ca="1">IFERROR(__xludf.DUMMYFUNCTION("""COMPUTED_VALUE"""),0.4)</f>
        <v>0.4</v>
      </c>
      <c r="E544" s="17">
        <f ca="1">IFERROR(__xludf.DUMMYFUNCTION("""COMPUTED_VALUE"""),1.45096462802728)</f>
        <v>1.4509646280272801</v>
      </c>
      <c r="F544" s="17">
        <f ca="1">IFERROR(__xludf.DUMMYFUNCTION("""COMPUTED_VALUE"""),0.99048209630526)</f>
        <v>0.99048209630525996</v>
      </c>
      <c r="G544" s="17">
        <f ca="1">IFERROR(__xludf.DUMMYFUNCTION("""COMPUTED_VALUE"""),1.0139335602971)</f>
        <v>1.0139335602971</v>
      </c>
      <c r="H544" s="17">
        <f ca="1">IFERROR(__xludf.DUMMYFUNCTION("""COMPUTED_VALUE"""),1.04865545129687)</f>
        <v>1.04865545129687</v>
      </c>
      <c r="I544" s="17">
        <f ca="1">IFERROR(__xludf.DUMMYFUNCTION("""COMPUTED_VALUE"""),0.967499988825054)</f>
        <v>0.96749998882505395</v>
      </c>
      <c r="J544" s="17">
        <f ca="1">IFERROR(__xludf.DUMMYFUNCTION("""COMPUTED_VALUE"""),2.22173923897622)</f>
        <v>2.2217392389762201</v>
      </c>
      <c r="K544" s="17" t="str">
        <f ca="1">IFERROR(__xludf.DUMMYFUNCTION("""COMPUTED_VALUE"""),"nan")</f>
        <v>nan</v>
      </c>
      <c r="L544" s="17">
        <f ca="1">IFERROR(__xludf.DUMMYFUNCTION("""COMPUTED_VALUE"""),0.915315036678651)</f>
        <v>0.915315036678651</v>
      </c>
      <c r="M544" s="17">
        <f ca="1">IFERROR(__xludf.DUMMYFUNCTION("""COMPUTED_VALUE"""),1.09286182676497)</f>
        <v>1.0928618267649699</v>
      </c>
      <c r="N544" s="17">
        <f ca="1">IFERROR(__xludf.DUMMYFUNCTION("""COMPUTED_VALUE"""),0.990664209763947)</f>
        <v>0.99066420976394698</v>
      </c>
      <c r="O544" s="17">
        <f ca="1">IFERROR(__xludf.DUMMYFUNCTION("""COMPUTED_VALUE"""),0.858353940894281)</f>
        <v>0.85835394089428096</v>
      </c>
      <c r="P544" s="17">
        <f ca="1">IFERROR(__xludf.DUMMYFUNCTION("""COMPUTED_VALUE"""),1.52429996484074)</f>
        <v>1.52429996484074</v>
      </c>
      <c r="Q544" s="17">
        <f ca="1">IFERROR(__xludf.DUMMYFUNCTION("""COMPUTED_VALUE"""),1.28565380790163)</f>
        <v>1.28565380790163</v>
      </c>
      <c r="R544" s="17">
        <f ca="1">IFERROR(__xludf.DUMMYFUNCTION("""COMPUTED_VALUE"""),1.64739794515244)</f>
        <v>1.6473979451524401</v>
      </c>
      <c r="S544" s="17">
        <f ca="1">IFERROR(__xludf.DUMMYFUNCTION("""COMPUTED_VALUE"""),1.33252059147086)</f>
        <v>1.33252059147086</v>
      </c>
      <c r="T544" s="17">
        <f ca="1">IFERROR(__xludf.DUMMYFUNCTION("""COMPUTED_VALUE"""),1.23104725842792)</f>
        <v>1.23104725842792</v>
      </c>
      <c r="U544" s="17">
        <f ca="1">IFERROR(__xludf.DUMMYFUNCTION("""COMPUTED_VALUE"""),0.910621610027391)</f>
        <v>0.91062161002739095</v>
      </c>
      <c r="V544" s="17">
        <f ca="1">IFERROR(__xludf.DUMMYFUNCTION("""COMPUTED_VALUE"""),1.11226363826348)</f>
        <v>1.1122636382634801</v>
      </c>
      <c r="W544" s="17">
        <f ca="1">IFERROR(__xludf.DUMMYFUNCTION("""COMPUTED_VALUE"""),1.16536509263531)</f>
        <v>1.1653650926353101</v>
      </c>
      <c r="X544" s="17">
        <f ca="1">IFERROR(__xludf.DUMMYFUNCTION("""COMPUTED_VALUE"""),1.00835916889516)</f>
        <v>1.0083591688951601</v>
      </c>
      <c r="Y544" s="17">
        <f ca="1">IFERROR(__xludf.DUMMYFUNCTION("""COMPUTED_VALUE"""),0.957937219685621)</f>
        <v>0.95793721968562096</v>
      </c>
      <c r="Z544" s="17">
        <f ca="1">IFERROR(__xludf.DUMMYFUNCTION("""COMPUTED_VALUE"""),1.19121065168654)</f>
        <v>1.1912106516865399</v>
      </c>
      <c r="AA544" s="17">
        <f ca="1">IFERROR(__xludf.DUMMYFUNCTION("""COMPUTED_VALUE"""),0.841305517493987)</f>
        <v>0.84130551749398697</v>
      </c>
      <c r="AB544" s="17">
        <f ca="1">IFERROR(__xludf.DUMMYFUNCTION("""COMPUTED_VALUE"""),1.37688790377565)</f>
        <v>1.3768879037756501</v>
      </c>
      <c r="AC544" s="17">
        <f ca="1">IFERROR(__xludf.DUMMYFUNCTION("""COMPUTED_VALUE"""),1.12280951959648)</f>
        <v>1.12280951959648</v>
      </c>
      <c r="AD544" s="17">
        <f ca="1">IFERROR(__xludf.DUMMYFUNCTION("""COMPUTED_VALUE"""),1.09396222042012)</f>
        <v>1.09396222042012</v>
      </c>
      <c r="AE544" s="17">
        <f ca="1">IFERROR(__xludf.DUMMYFUNCTION("""COMPUTED_VALUE"""),1.49152912062674)</f>
        <v>1.49152912062674</v>
      </c>
      <c r="AF544" s="17">
        <f ca="1">IFERROR(__xludf.DUMMYFUNCTION("""COMPUTED_VALUE"""),1.26677545928179)</f>
        <v>1.2667754592817899</v>
      </c>
      <c r="AG544" s="17">
        <f ca="1">IFERROR(__xludf.DUMMYFUNCTION("""COMPUTED_VALUE"""),1.27317068494276)</f>
        <v>1.27317068494276</v>
      </c>
      <c r="AH544" s="17">
        <f ca="1">IFERROR(__xludf.DUMMYFUNCTION("""COMPUTED_VALUE"""),1.12215694304346)</f>
        <v>1.1221569430434599</v>
      </c>
      <c r="AI544" s="17">
        <f ca="1">IFERROR(__xludf.DUMMYFUNCTION("""COMPUTED_VALUE"""),1.24192447338201)</f>
        <v>1.2419244733820101</v>
      </c>
      <c r="AJ544" s="17">
        <f ca="1">IFERROR(__xludf.DUMMYFUNCTION("""COMPUTED_VALUE"""),1.09223124263477)</f>
        <v>1.09223124263477</v>
      </c>
    </row>
    <row r="545" spans="2:36" ht="15.75" customHeight="1" x14ac:dyDescent="0.45">
      <c r="B545" s="10" t="str">
        <f ca="1">IFERROR(__xludf.DUMMYFUNCTION("""COMPUTED_VALUE"""),"MedicalImages")</f>
        <v>MedicalImages</v>
      </c>
      <c r="C545" s="10" t="str">
        <f ca="1">IFERROR(__xludf.DUMMYFUNCTION("""COMPUTED_VALUE"""),"aligned_series")</f>
        <v>aligned_series</v>
      </c>
      <c r="D545" s="10">
        <f ca="1">IFERROR(__xludf.DUMMYFUNCTION("""COMPUTED_VALUE"""),0.6)</f>
        <v>0.6</v>
      </c>
      <c r="E545" s="17">
        <f ca="1">IFERROR(__xludf.DUMMYFUNCTION("""COMPUTED_VALUE"""),1.47555339743603)</f>
        <v>1.47555339743603</v>
      </c>
      <c r="F545" s="17">
        <f ca="1">IFERROR(__xludf.DUMMYFUNCTION("""COMPUTED_VALUE"""),1.01764101969985)</f>
        <v>1.01764101969985</v>
      </c>
      <c r="G545" s="17">
        <f ca="1">IFERROR(__xludf.DUMMYFUNCTION("""COMPUTED_VALUE"""),1.12094116021069)</f>
        <v>1.12094116021069</v>
      </c>
      <c r="H545" s="17">
        <f ca="1">IFERROR(__xludf.DUMMYFUNCTION("""COMPUTED_VALUE"""),1.1607859629571)</f>
        <v>1.1607859629571</v>
      </c>
      <c r="I545" s="17">
        <f ca="1">IFERROR(__xludf.DUMMYFUNCTION("""COMPUTED_VALUE"""),1.06658929442871)</f>
        <v>1.0665892944287101</v>
      </c>
      <c r="J545" s="17">
        <f ca="1">IFERROR(__xludf.DUMMYFUNCTION("""COMPUTED_VALUE"""),2.38778173024445)</f>
        <v>2.3877817302444502</v>
      </c>
      <c r="K545" s="17" t="str">
        <f ca="1">IFERROR(__xludf.DUMMYFUNCTION("""COMPUTED_VALUE"""),"nan")</f>
        <v>nan</v>
      </c>
      <c r="L545" s="17">
        <f ca="1">IFERROR(__xludf.DUMMYFUNCTION("""COMPUTED_VALUE"""),0.977592211320243)</f>
        <v>0.97759221132024299</v>
      </c>
      <c r="M545" s="17">
        <f ca="1">IFERROR(__xludf.DUMMYFUNCTION("""COMPUTED_VALUE"""),1.12882522192204)</f>
        <v>1.12882522192204</v>
      </c>
      <c r="N545" s="17">
        <f ca="1">IFERROR(__xludf.DUMMYFUNCTION("""COMPUTED_VALUE"""),1.01106488431102)</f>
        <v>1.0110648843110199</v>
      </c>
      <c r="O545" s="17">
        <f ca="1">IFERROR(__xludf.DUMMYFUNCTION("""COMPUTED_VALUE"""),0.949361194084328)</f>
        <v>0.94936119408432795</v>
      </c>
      <c r="P545" s="17">
        <f ca="1">IFERROR(__xludf.DUMMYFUNCTION("""COMPUTED_VALUE"""),1.53317400341909)</f>
        <v>1.5331740034190899</v>
      </c>
      <c r="Q545" s="17">
        <f ca="1">IFERROR(__xludf.DUMMYFUNCTION("""COMPUTED_VALUE"""),1.42170555729703)</f>
        <v>1.4217055572970301</v>
      </c>
      <c r="R545" s="17">
        <f ca="1">IFERROR(__xludf.DUMMYFUNCTION("""COMPUTED_VALUE"""),1.74243777130148)</f>
        <v>1.74243777130148</v>
      </c>
      <c r="S545" s="17">
        <f ca="1">IFERROR(__xludf.DUMMYFUNCTION("""COMPUTED_VALUE"""),1.4633057774125)</f>
        <v>1.4633057774125</v>
      </c>
      <c r="T545" s="17">
        <f ca="1">IFERROR(__xludf.DUMMYFUNCTION("""COMPUTED_VALUE"""),1.27450170778324)</f>
        <v>1.2745017077832399</v>
      </c>
      <c r="U545" s="17">
        <f ca="1">IFERROR(__xludf.DUMMYFUNCTION("""COMPUTED_VALUE"""),1.00015298010592)</f>
        <v>1.0001529801059199</v>
      </c>
      <c r="V545" s="17">
        <f ca="1">IFERROR(__xludf.DUMMYFUNCTION("""COMPUTED_VALUE"""),1.10858698237456)</f>
        <v>1.10858698237456</v>
      </c>
      <c r="W545" s="17">
        <f ca="1">IFERROR(__xludf.DUMMYFUNCTION("""COMPUTED_VALUE"""),1.14856156745551)</f>
        <v>1.1485615674555101</v>
      </c>
      <c r="X545" s="17">
        <f ca="1">IFERROR(__xludf.DUMMYFUNCTION("""COMPUTED_VALUE"""),1.03820630260886)</f>
        <v>1.0382063026088599</v>
      </c>
      <c r="Y545" s="17">
        <f ca="1">IFERROR(__xludf.DUMMYFUNCTION("""COMPUTED_VALUE"""),0.974954982714484)</f>
        <v>0.974954982714484</v>
      </c>
      <c r="Z545" s="17">
        <f ca="1">IFERROR(__xludf.DUMMYFUNCTION("""COMPUTED_VALUE"""),1.15507618007032)</f>
        <v>1.15507618007032</v>
      </c>
      <c r="AA545" s="17">
        <f ca="1">IFERROR(__xludf.DUMMYFUNCTION("""COMPUTED_VALUE"""),0.897978589003362)</f>
        <v>0.89797858900336203</v>
      </c>
      <c r="AB545" s="17">
        <f ca="1">IFERROR(__xludf.DUMMYFUNCTION("""COMPUTED_VALUE"""),1.67287268580252)</f>
        <v>1.67287268580252</v>
      </c>
      <c r="AC545" s="17">
        <f ca="1">IFERROR(__xludf.DUMMYFUNCTION("""COMPUTED_VALUE"""),1.11161698574147)</f>
        <v>1.1116169857414699</v>
      </c>
      <c r="AD545" s="17">
        <f ca="1">IFERROR(__xludf.DUMMYFUNCTION("""COMPUTED_VALUE"""),1.12488829613502)</f>
        <v>1.1248882961350199</v>
      </c>
      <c r="AE545" s="17">
        <f ca="1">IFERROR(__xludf.DUMMYFUNCTION("""COMPUTED_VALUE"""),1.49332507951765)</f>
        <v>1.49332507951765</v>
      </c>
      <c r="AF545" s="17">
        <f ca="1">IFERROR(__xludf.DUMMYFUNCTION("""COMPUTED_VALUE"""),1.29588532477236)</f>
        <v>1.2958853247723601</v>
      </c>
      <c r="AG545" s="17">
        <f ca="1">IFERROR(__xludf.DUMMYFUNCTION("""COMPUTED_VALUE"""),1.26780370654682)</f>
        <v>1.26780370654682</v>
      </c>
      <c r="AH545" s="17">
        <f ca="1">IFERROR(__xludf.DUMMYFUNCTION("""COMPUTED_VALUE"""),1.10506647367165)</f>
        <v>1.10506647367165</v>
      </c>
      <c r="AI545" s="17">
        <f ca="1">IFERROR(__xludf.DUMMYFUNCTION("""COMPUTED_VALUE"""),1.20857069529144)</f>
        <v>1.2085706952914399</v>
      </c>
      <c r="AJ545" s="17">
        <f ca="1">IFERROR(__xludf.DUMMYFUNCTION("""COMPUTED_VALUE"""),1.08560000721603)</f>
        <v>1.0856000072160299</v>
      </c>
    </row>
    <row r="546" spans="2:36" ht="15.75" customHeight="1" x14ac:dyDescent="0.45">
      <c r="B546" s="10" t="str">
        <f ca="1">IFERROR(__xludf.DUMMYFUNCTION("""COMPUTED_VALUE"""),"MedicalImages")</f>
        <v>MedicalImages</v>
      </c>
      <c r="C546" s="10" t="str">
        <f ca="1">IFERROR(__xludf.DUMMYFUNCTION("""COMPUTED_VALUE"""),"aligned_series")</f>
        <v>aligned_series</v>
      </c>
      <c r="D546" s="10">
        <f ca="1">IFERROR(__xludf.DUMMYFUNCTION("""COMPUTED_VALUE"""),0.8)</f>
        <v>0.8</v>
      </c>
      <c r="E546" s="17">
        <f ca="1">IFERROR(__xludf.DUMMYFUNCTION("""COMPUTED_VALUE"""),1.496084095487)</f>
        <v>1.4960840954870001</v>
      </c>
      <c r="F546" s="17">
        <f ca="1">IFERROR(__xludf.DUMMYFUNCTION("""COMPUTED_VALUE"""),1.0706857602778)</f>
        <v>1.0706857602777999</v>
      </c>
      <c r="G546" s="17">
        <f ca="1">IFERROR(__xludf.DUMMYFUNCTION("""COMPUTED_VALUE"""),1.21550215886892)</f>
        <v>1.2155021588689201</v>
      </c>
      <c r="H546" s="17">
        <f ca="1">IFERROR(__xludf.DUMMYFUNCTION("""COMPUTED_VALUE"""),1.65489021090685)</f>
        <v>1.65489021090685</v>
      </c>
      <c r="I546" s="17">
        <f ca="1">IFERROR(__xludf.DUMMYFUNCTION("""COMPUTED_VALUE"""),1.16468275318381)</f>
        <v>1.16468275318381</v>
      </c>
      <c r="J546" s="17">
        <f ca="1">IFERROR(__xludf.DUMMYFUNCTION("""COMPUTED_VALUE"""),2.51126873055299)</f>
        <v>2.5112687305529899</v>
      </c>
      <c r="K546" s="17" t="str">
        <f ca="1">IFERROR(__xludf.DUMMYFUNCTION("""COMPUTED_VALUE"""),"nan")</f>
        <v>nan</v>
      </c>
      <c r="L546" s="17">
        <f ca="1">IFERROR(__xludf.DUMMYFUNCTION("""COMPUTED_VALUE"""),0.908777196043634)</f>
        <v>0.90877719604363405</v>
      </c>
      <c r="M546" s="17">
        <f ca="1">IFERROR(__xludf.DUMMYFUNCTION("""COMPUTED_VALUE"""),1.33482947447484)</f>
        <v>1.3348294744748399</v>
      </c>
      <c r="N546" s="17">
        <f ca="1">IFERROR(__xludf.DUMMYFUNCTION("""COMPUTED_VALUE"""),1.04035501003631)</f>
        <v>1.0403550100363099</v>
      </c>
      <c r="O546" s="17">
        <f ca="1">IFERROR(__xludf.DUMMYFUNCTION("""COMPUTED_VALUE"""),1.22612166549179)</f>
        <v>1.2261216654917899</v>
      </c>
      <c r="P546" s="17">
        <f ca="1">IFERROR(__xludf.DUMMYFUNCTION("""COMPUTED_VALUE"""),1.53271851040664)</f>
        <v>1.5327185104066401</v>
      </c>
      <c r="Q546" s="17">
        <f ca="1">IFERROR(__xludf.DUMMYFUNCTION("""COMPUTED_VALUE"""),1.5487836068446)</f>
        <v>1.5487836068445999</v>
      </c>
      <c r="R546" s="17">
        <f ca="1">IFERROR(__xludf.DUMMYFUNCTION("""COMPUTED_VALUE"""),1.57477767957559)</f>
        <v>1.5747776795755899</v>
      </c>
      <c r="S546" s="17">
        <f ca="1">IFERROR(__xludf.DUMMYFUNCTION("""COMPUTED_VALUE"""),1.50317765616209)</f>
        <v>1.50317765616209</v>
      </c>
      <c r="T546" s="17">
        <f ca="1">IFERROR(__xludf.DUMMYFUNCTION("""COMPUTED_VALUE"""),1.34750465352727)</f>
        <v>1.3475046535272699</v>
      </c>
      <c r="U546" s="17">
        <f ca="1">IFERROR(__xludf.DUMMYFUNCTION("""COMPUTED_VALUE"""),1.04353092793677)</f>
        <v>1.0435309279367699</v>
      </c>
      <c r="V546" s="17">
        <f ca="1">IFERROR(__xludf.DUMMYFUNCTION("""COMPUTED_VALUE"""),1.1162654344141)</f>
        <v>1.1162654344141001</v>
      </c>
      <c r="W546" s="17">
        <f ca="1">IFERROR(__xludf.DUMMYFUNCTION("""COMPUTED_VALUE"""),1.13602448531625)</f>
        <v>1.13602448531625</v>
      </c>
      <c r="X546" s="17">
        <f ca="1">IFERROR(__xludf.DUMMYFUNCTION("""COMPUTED_VALUE"""),1.01527897775449)</f>
        <v>1.0152789777544899</v>
      </c>
      <c r="Y546" s="17">
        <f ca="1">IFERROR(__xludf.DUMMYFUNCTION("""COMPUTED_VALUE"""),1.03586653629694)</f>
        <v>1.0358665362969399</v>
      </c>
      <c r="Z546" s="17">
        <f ca="1">IFERROR(__xludf.DUMMYFUNCTION("""COMPUTED_VALUE"""),1.16672018472164)</f>
        <v>1.16672018472164</v>
      </c>
      <c r="AA546" s="17">
        <f ca="1">IFERROR(__xludf.DUMMYFUNCTION("""COMPUTED_VALUE"""),0.83404627016645)</f>
        <v>0.83404627016645005</v>
      </c>
      <c r="AB546" s="17">
        <f ca="1">IFERROR(__xludf.DUMMYFUNCTION("""COMPUTED_VALUE"""),2.07034450662455)</f>
        <v>2.0703445066245498</v>
      </c>
      <c r="AC546" s="17">
        <f ca="1">IFERROR(__xludf.DUMMYFUNCTION("""COMPUTED_VALUE"""),1.21568163020892)</f>
        <v>1.2156816302089199</v>
      </c>
      <c r="AD546" s="17">
        <f ca="1">IFERROR(__xludf.DUMMYFUNCTION("""COMPUTED_VALUE"""),1.14474558305546)</f>
        <v>1.14474558305546</v>
      </c>
      <c r="AE546" s="17">
        <f ca="1">IFERROR(__xludf.DUMMYFUNCTION("""COMPUTED_VALUE"""),1.47853397581236)</f>
        <v>1.4785339758123599</v>
      </c>
      <c r="AF546" s="17">
        <f ca="1">IFERROR(__xludf.DUMMYFUNCTION("""COMPUTED_VALUE"""),1.34167144713231)</f>
        <v>1.3416714471323099</v>
      </c>
      <c r="AG546" s="17">
        <f ca="1">IFERROR(__xludf.DUMMYFUNCTION("""COMPUTED_VALUE"""),1.25801840846747)</f>
        <v>1.2580184084674699</v>
      </c>
      <c r="AH546" s="17">
        <f ca="1">IFERROR(__xludf.DUMMYFUNCTION("""COMPUTED_VALUE"""),1.10595480887554)</f>
        <v>1.10595480887554</v>
      </c>
      <c r="AI546" s="17">
        <f ca="1">IFERROR(__xludf.DUMMYFUNCTION("""COMPUTED_VALUE"""),1.22562492690942)</f>
        <v>1.2256249269094199</v>
      </c>
      <c r="AJ546" s="17">
        <f ca="1">IFERROR(__xludf.DUMMYFUNCTION("""COMPUTED_VALUE"""),1.09415467813022)</f>
        <v>1.09415467813022</v>
      </c>
    </row>
    <row r="547" spans="2:36" ht="15.75" customHeight="1" x14ac:dyDescent="0.45">
      <c r="B547" s="10" t="str">
        <f ca="1">IFERROR(__xludf.DUMMYFUNCTION("""COMPUTED_VALUE"""),"MedicalImages")</f>
        <v>MedicalImages</v>
      </c>
      <c r="C547" s="10" t="str">
        <f ca="1">IFERROR(__xludf.DUMMYFUNCTION("""COMPUTED_VALUE"""),"aligned_timestamps")</f>
        <v>aligned_timestamps</v>
      </c>
      <c r="D547" s="10">
        <f ca="1">IFERROR(__xludf.DUMMYFUNCTION("""COMPUTED_VALUE"""),0.1)</f>
        <v>0.1</v>
      </c>
      <c r="E547" s="17">
        <f ca="1">IFERROR(__xludf.DUMMYFUNCTION("""COMPUTED_VALUE"""),1.99404342426479)</f>
        <v>1.99404342426479</v>
      </c>
      <c r="F547" s="17">
        <f ca="1">IFERROR(__xludf.DUMMYFUNCTION("""COMPUTED_VALUE"""),1.28191043576483)</f>
        <v>1.2819104357648301</v>
      </c>
      <c r="G547" s="17">
        <f ca="1">IFERROR(__xludf.DUMMYFUNCTION("""COMPUTED_VALUE"""),1.28642087800553)</f>
        <v>1.28642087800553</v>
      </c>
      <c r="H547" s="17">
        <f ca="1">IFERROR(__xludf.DUMMYFUNCTION("""COMPUTED_VALUE"""),1.33863563753832)</f>
        <v>1.3386356375383199</v>
      </c>
      <c r="I547" s="17">
        <f ca="1">IFERROR(__xludf.DUMMYFUNCTION("""COMPUTED_VALUE"""),1.07341591438179)</f>
        <v>1.0734159143817901</v>
      </c>
      <c r="J547" s="17">
        <f ca="1">IFERROR(__xludf.DUMMYFUNCTION("""COMPUTED_VALUE"""),0.955436875202078)</f>
        <v>0.95543687520207798</v>
      </c>
      <c r="K547" s="17" t="str">
        <f ca="1">IFERROR(__xludf.DUMMYFUNCTION("""COMPUTED_VALUE"""),"nan")</f>
        <v>nan</v>
      </c>
      <c r="L547" s="17">
        <f ca="1">IFERROR(__xludf.DUMMYFUNCTION("""COMPUTED_VALUE"""),0.902050206243448)</f>
        <v>0.90205020624344801</v>
      </c>
      <c r="M547" s="17">
        <f ca="1">IFERROR(__xludf.DUMMYFUNCTION("""COMPUTED_VALUE"""),1.16393518465442)</f>
        <v>1.1639351846544199</v>
      </c>
      <c r="N547" s="17">
        <f ca="1">IFERROR(__xludf.DUMMYFUNCTION("""COMPUTED_VALUE"""),1.10343589802097)</f>
        <v>1.10343589802097</v>
      </c>
      <c r="O547" s="17">
        <f ca="1">IFERROR(__xludf.DUMMYFUNCTION("""COMPUTED_VALUE"""),1.03675760831275)</f>
        <v>1.0367576083127501</v>
      </c>
      <c r="P547" s="17">
        <f ca="1">IFERROR(__xludf.DUMMYFUNCTION("""COMPUTED_VALUE"""),1.84122277870434)</f>
        <v>1.84122277870434</v>
      </c>
      <c r="Q547" s="17">
        <f ca="1">IFERROR(__xludf.DUMMYFUNCTION("""COMPUTED_VALUE"""),1.59344797953178)</f>
        <v>1.59344797953178</v>
      </c>
      <c r="R547" s="17">
        <f ca="1">IFERROR(__xludf.DUMMYFUNCTION("""COMPUTED_VALUE"""),1.31881888987169)</f>
        <v>1.3188188898716899</v>
      </c>
      <c r="S547" s="17">
        <f ca="1">IFERROR(__xludf.DUMMYFUNCTION("""COMPUTED_VALUE"""),1.41557248999263)</f>
        <v>1.4155724899926301</v>
      </c>
      <c r="T547" s="17">
        <f ca="1">IFERROR(__xludf.DUMMYFUNCTION("""COMPUTED_VALUE"""),1.70571673304152)</f>
        <v>1.7057167330415199</v>
      </c>
      <c r="U547" s="17">
        <f ca="1">IFERROR(__xludf.DUMMYFUNCTION("""COMPUTED_VALUE"""),0.96388980498874)</f>
        <v>0.96388980498874</v>
      </c>
      <c r="V547" s="17">
        <f ca="1">IFERROR(__xludf.DUMMYFUNCTION("""COMPUTED_VALUE"""),1.05350889457017)</f>
        <v>1.0535088945701701</v>
      </c>
      <c r="W547" s="17">
        <f ca="1">IFERROR(__xludf.DUMMYFUNCTION("""COMPUTED_VALUE"""),1.5076199713543)</f>
        <v>1.5076199713542999</v>
      </c>
      <c r="X547" s="17">
        <f ca="1">IFERROR(__xludf.DUMMYFUNCTION("""COMPUTED_VALUE"""),1.33438598248445)</f>
        <v>1.33438598248445</v>
      </c>
      <c r="Y547" s="17">
        <f ca="1">IFERROR(__xludf.DUMMYFUNCTION("""COMPUTED_VALUE"""),1.07762432886796)</f>
        <v>1.0776243288679599</v>
      </c>
      <c r="Z547" s="17">
        <f ca="1">IFERROR(__xludf.DUMMYFUNCTION("""COMPUTED_VALUE"""),1.30409753735495)</f>
        <v>1.3040975373549499</v>
      </c>
      <c r="AA547" s="17">
        <f ca="1">IFERROR(__xludf.DUMMYFUNCTION("""COMPUTED_VALUE"""),0.488730279312311)</f>
        <v>0.488730279312311</v>
      </c>
      <c r="AB547" s="17">
        <f ca="1">IFERROR(__xludf.DUMMYFUNCTION("""COMPUTED_VALUE"""),1.45997165420573)</f>
        <v>1.4599716542057299</v>
      </c>
      <c r="AC547" s="17">
        <f ca="1">IFERROR(__xludf.DUMMYFUNCTION("""COMPUTED_VALUE"""),1.4026029595639)</f>
        <v>1.4026029595639</v>
      </c>
      <c r="AD547" s="17">
        <f ca="1">IFERROR(__xludf.DUMMYFUNCTION("""COMPUTED_VALUE"""),1.41017185064563)</f>
        <v>1.41017185064563</v>
      </c>
      <c r="AE547" s="17">
        <f ca="1">IFERROR(__xludf.DUMMYFUNCTION("""COMPUTED_VALUE"""),1.99918756336388)</f>
        <v>1.99918756336388</v>
      </c>
      <c r="AF547" s="17">
        <f ca="1">IFERROR(__xludf.DUMMYFUNCTION("""COMPUTED_VALUE"""),1.49548144859369)</f>
        <v>1.49548144859369</v>
      </c>
      <c r="AG547" s="17">
        <f ca="1">IFERROR(__xludf.DUMMYFUNCTION("""COMPUTED_VALUE"""),1.75465602717026)</f>
        <v>1.75465602717026</v>
      </c>
      <c r="AH547" s="17">
        <f ca="1">IFERROR(__xludf.DUMMYFUNCTION("""COMPUTED_VALUE"""),1.33006425004015)</f>
        <v>1.3300642500401501</v>
      </c>
      <c r="AI547" s="17">
        <f ca="1">IFERROR(__xludf.DUMMYFUNCTION("""COMPUTED_VALUE"""),1.11475341180113)</f>
        <v>1.11475341180113</v>
      </c>
      <c r="AJ547" s="17">
        <f ca="1">IFERROR(__xludf.DUMMYFUNCTION("""COMPUTED_VALUE"""),1.29300476704902)</f>
        <v>1.2930047670490199</v>
      </c>
    </row>
    <row r="548" spans="2:36" ht="15.75" customHeight="1" x14ac:dyDescent="0.45">
      <c r="B548" s="10" t="str">
        <f ca="1">IFERROR(__xludf.DUMMYFUNCTION("""COMPUTED_VALUE"""),"MedicalImages")</f>
        <v>MedicalImages</v>
      </c>
      <c r="C548" s="10" t="str">
        <f ca="1">IFERROR(__xludf.DUMMYFUNCTION("""COMPUTED_VALUE"""),"aligned_timestamps")</f>
        <v>aligned_timestamps</v>
      </c>
      <c r="D548" s="10">
        <f ca="1">IFERROR(__xludf.DUMMYFUNCTION("""COMPUTED_VALUE"""),0.2)</f>
        <v>0.2</v>
      </c>
      <c r="E548" s="17">
        <f ca="1">IFERROR(__xludf.DUMMYFUNCTION("""COMPUTED_VALUE"""),1.4916377508467)</f>
        <v>1.4916377508467</v>
      </c>
      <c r="F548" s="17">
        <f ca="1">IFERROR(__xludf.DUMMYFUNCTION("""COMPUTED_VALUE"""),1.01140111767027)</f>
        <v>1.01140111767027</v>
      </c>
      <c r="G548" s="17">
        <f ca="1">IFERROR(__xludf.DUMMYFUNCTION("""COMPUTED_VALUE"""),1.08166364178308)</f>
        <v>1.0816636417830801</v>
      </c>
      <c r="H548" s="17">
        <f ca="1">IFERROR(__xludf.DUMMYFUNCTION("""COMPUTED_VALUE"""),1.04855737836993)</f>
        <v>1.04855737836993</v>
      </c>
      <c r="I548" s="17">
        <f ca="1">IFERROR(__xludf.DUMMYFUNCTION("""COMPUTED_VALUE"""),0.894085499152491)</f>
        <v>0.89408549915249103</v>
      </c>
      <c r="J548" s="17">
        <f ca="1">IFERROR(__xludf.DUMMYFUNCTION("""COMPUTED_VALUE"""),1.34498524903289)</f>
        <v>1.34498524903289</v>
      </c>
      <c r="K548" s="17" t="str">
        <f ca="1">IFERROR(__xludf.DUMMYFUNCTION("""COMPUTED_VALUE"""),"nan")</f>
        <v>nan</v>
      </c>
      <c r="L548" s="17">
        <f ca="1">IFERROR(__xludf.DUMMYFUNCTION("""COMPUTED_VALUE"""),0.848255788335361)</f>
        <v>0.84825578833536097</v>
      </c>
      <c r="M548" s="17">
        <f ca="1">IFERROR(__xludf.DUMMYFUNCTION("""COMPUTED_VALUE"""),0.988514488291394)</f>
        <v>0.98851448829139399</v>
      </c>
      <c r="N548" s="17">
        <f ca="1">IFERROR(__xludf.DUMMYFUNCTION("""COMPUTED_VALUE"""),0.986937728268735)</f>
        <v>0.98693772826873505</v>
      </c>
      <c r="O548" s="17">
        <f ca="1">IFERROR(__xludf.DUMMYFUNCTION("""COMPUTED_VALUE"""),0.792410603496546)</f>
        <v>0.79241060349654602</v>
      </c>
      <c r="P548" s="17">
        <f ca="1">IFERROR(__xludf.DUMMYFUNCTION("""COMPUTED_VALUE"""),1.51875688101503)</f>
        <v>1.51875688101503</v>
      </c>
      <c r="Q548" s="17">
        <f ca="1">IFERROR(__xludf.DUMMYFUNCTION("""COMPUTED_VALUE"""),1.30484609541676)</f>
        <v>1.30484609541676</v>
      </c>
      <c r="R548" s="17">
        <f ca="1">IFERROR(__xludf.DUMMYFUNCTION("""COMPUTED_VALUE"""),1.2520345826972)</f>
        <v>1.2520345826971999</v>
      </c>
      <c r="S548" s="17">
        <f ca="1">IFERROR(__xludf.DUMMYFUNCTION("""COMPUTED_VALUE"""),1.29759878257769)</f>
        <v>1.29759878257769</v>
      </c>
      <c r="T548" s="17">
        <f ca="1">IFERROR(__xludf.DUMMYFUNCTION("""COMPUTED_VALUE"""),1.27318005977657)</f>
        <v>1.2731800597765699</v>
      </c>
      <c r="U548" s="17">
        <f ca="1">IFERROR(__xludf.DUMMYFUNCTION("""COMPUTED_VALUE"""),0.905291278944553)</f>
        <v>0.90529127894455297</v>
      </c>
      <c r="V548" s="17">
        <f ca="1">IFERROR(__xludf.DUMMYFUNCTION("""COMPUTED_VALUE"""),1.05343170143179)</f>
        <v>1.05343170143179</v>
      </c>
      <c r="W548" s="17">
        <f ca="1">IFERROR(__xludf.DUMMYFUNCTION("""COMPUTED_VALUE"""),1.22829682467909)</f>
        <v>1.22829682467909</v>
      </c>
      <c r="X548" s="17">
        <f ca="1">IFERROR(__xludf.DUMMYFUNCTION("""COMPUTED_VALUE"""),1.04668648655779)</f>
        <v>1.0466864865577901</v>
      </c>
      <c r="Y548" s="17">
        <f ca="1">IFERROR(__xludf.DUMMYFUNCTION("""COMPUTED_VALUE"""),0.948378964224144)</f>
        <v>0.94837896422414403</v>
      </c>
      <c r="Z548" s="17">
        <f ca="1">IFERROR(__xludf.DUMMYFUNCTION("""COMPUTED_VALUE"""),1.14126549727814)</f>
        <v>1.14126549727814</v>
      </c>
      <c r="AA548" s="17">
        <f ca="1">IFERROR(__xludf.DUMMYFUNCTION("""COMPUTED_VALUE"""),0.686454928835444)</f>
        <v>0.68645492883544401</v>
      </c>
      <c r="AB548" s="17">
        <f ca="1">IFERROR(__xludf.DUMMYFUNCTION("""COMPUTED_VALUE"""),1.48257100275171)</f>
        <v>1.4825710027517101</v>
      </c>
      <c r="AC548" s="17">
        <f ca="1">IFERROR(__xludf.DUMMYFUNCTION("""COMPUTED_VALUE"""),1.20891143946302)</f>
        <v>1.20891143946302</v>
      </c>
      <c r="AD548" s="17">
        <f ca="1">IFERROR(__xludf.DUMMYFUNCTION("""COMPUTED_VALUE"""),1.19922546696775)</f>
        <v>1.19922546696775</v>
      </c>
      <c r="AE548" s="17">
        <f ca="1">IFERROR(__xludf.DUMMYFUNCTION("""COMPUTED_VALUE"""),1.54239286349056)</f>
        <v>1.5423928634905599</v>
      </c>
      <c r="AF548" s="17">
        <f ca="1">IFERROR(__xludf.DUMMYFUNCTION("""COMPUTED_VALUE"""),1.26142377764452)</f>
        <v>1.2614237776445201</v>
      </c>
      <c r="AG548" s="17">
        <f ca="1">IFERROR(__xludf.DUMMYFUNCTION("""COMPUTED_VALUE"""),1.36675414204596)</f>
        <v>1.3667541420459599</v>
      </c>
      <c r="AH548" s="17">
        <f ca="1">IFERROR(__xludf.DUMMYFUNCTION("""COMPUTED_VALUE"""),1.15865626294633)</f>
        <v>1.15865626294633</v>
      </c>
      <c r="AI548" s="17">
        <f ca="1">IFERROR(__xludf.DUMMYFUNCTION("""COMPUTED_VALUE"""),1.26908438510451)</f>
        <v>1.2690843851045099</v>
      </c>
      <c r="AJ548" s="17">
        <f ca="1">IFERROR(__xludf.DUMMYFUNCTION("""COMPUTED_VALUE"""),1.08577854793437)</f>
        <v>1.08577854793437</v>
      </c>
    </row>
    <row r="549" spans="2:36" ht="15.75" customHeight="1" x14ac:dyDescent="0.45">
      <c r="B549" s="10" t="str">
        <f ca="1">IFERROR(__xludf.DUMMYFUNCTION("""COMPUTED_VALUE"""),"MedicalImages")</f>
        <v>MedicalImages</v>
      </c>
      <c r="C549" s="10" t="str">
        <f ca="1">IFERROR(__xludf.DUMMYFUNCTION("""COMPUTED_VALUE"""),"aligned_timestamps")</f>
        <v>aligned_timestamps</v>
      </c>
      <c r="D549" s="10">
        <f ca="1">IFERROR(__xludf.DUMMYFUNCTION("""COMPUTED_VALUE"""),0.4)</f>
        <v>0.4</v>
      </c>
      <c r="E549" s="17">
        <f ca="1">IFERROR(__xludf.DUMMYFUNCTION("""COMPUTED_VALUE"""),1.1309582311055)</f>
        <v>1.1309582311055</v>
      </c>
      <c r="F549" s="17">
        <f ca="1">IFERROR(__xludf.DUMMYFUNCTION("""COMPUTED_VALUE"""),0.805096034262476)</f>
        <v>0.805096034262476</v>
      </c>
      <c r="G549" s="17">
        <f ca="1">IFERROR(__xludf.DUMMYFUNCTION("""COMPUTED_VALUE"""),0.92249052580638)</f>
        <v>0.92249052580638002</v>
      </c>
      <c r="H549" s="17">
        <f ca="1">IFERROR(__xludf.DUMMYFUNCTION("""COMPUTED_VALUE"""),0.850437218485272)</f>
        <v>0.85043721848527198</v>
      </c>
      <c r="I549" s="17">
        <f ca="1">IFERROR(__xludf.DUMMYFUNCTION("""COMPUTED_VALUE"""),0.762796084108199)</f>
        <v>0.76279608410819899</v>
      </c>
      <c r="J549" s="17">
        <f ca="1">IFERROR(__xludf.DUMMYFUNCTION("""COMPUTED_VALUE"""),2.41521929111992)</f>
        <v>2.4152192911199202</v>
      </c>
      <c r="K549" s="17" t="str">
        <f ca="1">IFERROR(__xludf.DUMMYFUNCTION("""COMPUTED_VALUE"""),"nan")</f>
        <v>nan</v>
      </c>
      <c r="L549" s="17">
        <f ca="1">IFERROR(__xludf.DUMMYFUNCTION("""COMPUTED_VALUE"""),0.790467749589526)</f>
        <v>0.79046774958952604</v>
      </c>
      <c r="M549" s="17">
        <f ca="1">IFERROR(__xludf.DUMMYFUNCTION("""COMPUTED_VALUE"""),1.06868612049211)</f>
        <v>1.0686861204921101</v>
      </c>
      <c r="N549" s="17">
        <f ca="1">IFERROR(__xludf.DUMMYFUNCTION("""COMPUTED_VALUE"""),0.806000037588329)</f>
        <v>0.80600003758832905</v>
      </c>
      <c r="O549" s="17">
        <f ca="1">IFERROR(__xludf.DUMMYFUNCTION("""COMPUTED_VALUE"""),0.678493219419265)</f>
        <v>0.67849321941926499</v>
      </c>
      <c r="P549" s="17">
        <f ca="1">IFERROR(__xludf.DUMMYFUNCTION("""COMPUTED_VALUE"""),1.23570466265468)</f>
        <v>1.2357046626546799</v>
      </c>
      <c r="Q549" s="17">
        <f ca="1">IFERROR(__xludf.DUMMYFUNCTION("""COMPUTED_VALUE"""),1.08381397889165)</f>
        <v>1.0838139788916501</v>
      </c>
      <c r="R549" s="17">
        <f ca="1">IFERROR(__xludf.DUMMYFUNCTION("""COMPUTED_VALUE"""),0.98908543238093)</f>
        <v>0.98908543238093005</v>
      </c>
      <c r="S549" s="17">
        <f ca="1">IFERROR(__xludf.DUMMYFUNCTION("""COMPUTED_VALUE"""),1.03511353776426)</f>
        <v>1.03511353776426</v>
      </c>
      <c r="T549" s="17">
        <f ca="1">IFERROR(__xludf.DUMMYFUNCTION("""COMPUTED_VALUE"""),0.986064558899279)</f>
        <v>0.98606455889927902</v>
      </c>
      <c r="U549" s="17">
        <f ca="1">IFERROR(__xludf.DUMMYFUNCTION("""COMPUTED_VALUE"""),0.715376132624567)</f>
        <v>0.71537613262456701</v>
      </c>
      <c r="V549" s="17">
        <f ca="1">IFERROR(__xludf.DUMMYFUNCTION("""COMPUTED_VALUE"""),0.871960311905534)</f>
        <v>0.87196031190553402</v>
      </c>
      <c r="W549" s="17">
        <f ca="1">IFERROR(__xludf.DUMMYFUNCTION("""COMPUTED_VALUE"""),0.961933081408628)</f>
        <v>0.96193308140862799</v>
      </c>
      <c r="X549" s="17">
        <f ca="1">IFERROR(__xludf.DUMMYFUNCTION("""COMPUTED_VALUE"""),0.816667893161829)</f>
        <v>0.81666789316182897</v>
      </c>
      <c r="Y549" s="17">
        <f ca="1">IFERROR(__xludf.DUMMYFUNCTION("""COMPUTED_VALUE"""),0.785789363551655)</f>
        <v>0.78578936355165496</v>
      </c>
      <c r="Z549" s="17">
        <f ca="1">IFERROR(__xludf.DUMMYFUNCTION("""COMPUTED_VALUE"""),0.875787167508521)</f>
        <v>0.87578716750852104</v>
      </c>
      <c r="AA549" s="17">
        <f ca="1">IFERROR(__xludf.DUMMYFUNCTION("""COMPUTED_VALUE"""),0.720371609765423)</f>
        <v>0.72037160976542303</v>
      </c>
      <c r="AB549" s="17">
        <f ca="1">IFERROR(__xludf.DUMMYFUNCTION("""COMPUTED_VALUE"""),1.22526561546239)</f>
        <v>1.22526561546239</v>
      </c>
      <c r="AC549" s="17">
        <f ca="1">IFERROR(__xludf.DUMMYFUNCTION("""COMPUTED_VALUE"""),0.985187337782999)</f>
        <v>0.98518733778299905</v>
      </c>
      <c r="AD549" s="17">
        <f ca="1">IFERROR(__xludf.DUMMYFUNCTION("""COMPUTED_VALUE"""),0.907090932305114)</f>
        <v>0.90709093230511395</v>
      </c>
      <c r="AE549" s="17">
        <f ca="1">IFERROR(__xludf.DUMMYFUNCTION("""COMPUTED_VALUE"""),1.09959142591865)</f>
        <v>1.0995914259186499</v>
      </c>
      <c r="AF549" s="17">
        <f ca="1">IFERROR(__xludf.DUMMYFUNCTION("""COMPUTED_VALUE"""),1.0267618886153)</f>
        <v>1.0267618886153</v>
      </c>
      <c r="AG549" s="17">
        <f ca="1">IFERROR(__xludf.DUMMYFUNCTION("""COMPUTED_VALUE"""),0.984407882691688)</f>
        <v>0.984407882691688</v>
      </c>
      <c r="AH549" s="17">
        <f ca="1">IFERROR(__xludf.DUMMYFUNCTION("""COMPUTED_VALUE"""),0.996414487151728)</f>
        <v>0.99641448715172798</v>
      </c>
      <c r="AI549" s="17">
        <f ca="1">IFERROR(__xludf.DUMMYFUNCTION("""COMPUTED_VALUE"""),1.00710372101317)</f>
        <v>1.0071037210131699</v>
      </c>
      <c r="AJ549" s="17">
        <f ca="1">IFERROR(__xludf.DUMMYFUNCTION("""COMPUTED_VALUE"""),0.943756014874683)</f>
        <v>0.94375601487468297</v>
      </c>
    </row>
    <row r="550" spans="2:36" ht="15.75" customHeight="1" x14ac:dyDescent="0.45">
      <c r="B550" s="10" t="str">
        <f ca="1">IFERROR(__xludf.DUMMYFUNCTION("""COMPUTED_VALUE"""),"MedicalImages")</f>
        <v>MedicalImages</v>
      </c>
      <c r="C550" s="10" t="str">
        <f ca="1">IFERROR(__xludf.DUMMYFUNCTION("""COMPUTED_VALUE"""),"aligned_timestamps")</f>
        <v>aligned_timestamps</v>
      </c>
      <c r="D550" s="10">
        <f ca="1">IFERROR(__xludf.DUMMYFUNCTION("""COMPUTED_VALUE"""),0.6)</f>
        <v>0.6</v>
      </c>
      <c r="E550" s="17">
        <f ca="1">IFERROR(__xludf.DUMMYFUNCTION("""COMPUTED_VALUE"""),0.960895983854186)</f>
        <v>0.96089598385418595</v>
      </c>
      <c r="F550" s="17">
        <f ca="1">IFERROR(__xludf.DUMMYFUNCTION("""COMPUTED_VALUE"""),0.673925478729176)</f>
        <v>0.67392547872917596</v>
      </c>
      <c r="G550" s="17">
        <f ca="1">IFERROR(__xludf.DUMMYFUNCTION("""COMPUTED_VALUE"""),0.685222202823182)</f>
        <v>0.68522220282318202</v>
      </c>
      <c r="H550" s="17">
        <f ca="1">IFERROR(__xludf.DUMMYFUNCTION("""COMPUTED_VALUE"""),0.786503798462491)</f>
        <v>0.78650379846249097</v>
      </c>
      <c r="I550" s="17">
        <f ca="1">IFERROR(__xludf.DUMMYFUNCTION("""COMPUTED_VALUE"""),0.700998064212899)</f>
        <v>0.70099806421289901</v>
      </c>
      <c r="J550" s="17">
        <f ca="1">IFERROR(__xludf.DUMMYFUNCTION("""COMPUTED_VALUE"""),2.73331560267785)</f>
        <v>2.73331560267785</v>
      </c>
      <c r="K550" s="17" t="str">
        <f ca="1">IFERROR(__xludf.DUMMYFUNCTION("""COMPUTED_VALUE"""),"nan")</f>
        <v>nan</v>
      </c>
      <c r="L550" s="17">
        <f ca="1">IFERROR(__xludf.DUMMYFUNCTION("""COMPUTED_VALUE"""),0.651912163230857)</f>
        <v>0.65191216323085699</v>
      </c>
      <c r="M550" s="17">
        <f ca="1">IFERROR(__xludf.DUMMYFUNCTION("""COMPUTED_VALUE"""),1.68885481344478)</f>
        <v>1.6888548134447801</v>
      </c>
      <c r="N550" s="17">
        <f ca="1">IFERROR(__xludf.DUMMYFUNCTION("""COMPUTED_VALUE"""),0.725284173431047)</f>
        <v>0.72528417343104701</v>
      </c>
      <c r="O550" s="17">
        <f ca="1">IFERROR(__xludf.DUMMYFUNCTION("""COMPUTED_VALUE"""),0.725009731367685)</f>
        <v>0.72500973136768498</v>
      </c>
      <c r="P550" s="17">
        <f ca="1">IFERROR(__xludf.DUMMYFUNCTION("""COMPUTED_VALUE"""),1.21328649485682)</f>
        <v>1.2132864948568201</v>
      </c>
      <c r="Q550" s="17">
        <f ca="1">IFERROR(__xludf.DUMMYFUNCTION("""COMPUTED_VALUE"""),0.94172759215179)</f>
        <v>0.94172759215179003</v>
      </c>
      <c r="R550" s="17">
        <f ca="1">IFERROR(__xludf.DUMMYFUNCTION("""COMPUTED_VALUE"""),0.868270047791557)</f>
        <v>0.86827004779155703</v>
      </c>
      <c r="S550" s="17">
        <f ca="1">IFERROR(__xludf.DUMMYFUNCTION("""COMPUTED_VALUE"""),1.02512302881254)</f>
        <v>1.0251230288125399</v>
      </c>
      <c r="T550" s="17">
        <f ca="1">IFERROR(__xludf.DUMMYFUNCTION("""COMPUTED_VALUE"""),0.834883229155094)</f>
        <v>0.83488322915509405</v>
      </c>
      <c r="U550" s="17">
        <f ca="1">IFERROR(__xludf.DUMMYFUNCTION("""COMPUTED_VALUE"""),0.770670109991472)</f>
        <v>0.77067010999147201</v>
      </c>
      <c r="V550" s="17">
        <f ca="1">IFERROR(__xludf.DUMMYFUNCTION("""COMPUTED_VALUE"""),0.752102048912913)</f>
        <v>0.75210204891291299</v>
      </c>
      <c r="W550" s="17">
        <f ca="1">IFERROR(__xludf.DUMMYFUNCTION("""COMPUTED_VALUE"""),0.803400579498061)</f>
        <v>0.80340057949806098</v>
      </c>
      <c r="X550" s="17">
        <f ca="1">IFERROR(__xludf.DUMMYFUNCTION("""COMPUTED_VALUE"""),0.69995119491801)</f>
        <v>0.69995119491800994</v>
      </c>
      <c r="Y550" s="17">
        <f ca="1">IFERROR(__xludf.DUMMYFUNCTION("""COMPUTED_VALUE"""),0.76424746049185)</f>
        <v>0.76424746049184999</v>
      </c>
      <c r="Z550" s="17">
        <f ca="1">IFERROR(__xludf.DUMMYFUNCTION("""COMPUTED_VALUE"""),0.793858615085343)</f>
        <v>0.79385861508534294</v>
      </c>
      <c r="AA550" s="17">
        <f ca="1">IFERROR(__xludf.DUMMYFUNCTION("""COMPUTED_VALUE"""),0.774618110718149)</f>
        <v>0.77461811071814901</v>
      </c>
      <c r="AB550" s="17">
        <f ca="1">IFERROR(__xludf.DUMMYFUNCTION("""COMPUTED_VALUE"""),1.06639845591281)</f>
        <v>1.0663984559128099</v>
      </c>
      <c r="AC550" s="17">
        <f ca="1">IFERROR(__xludf.DUMMYFUNCTION("""COMPUTED_VALUE"""),0.873925144870779)</f>
        <v>0.87392514487077899</v>
      </c>
      <c r="AD550" s="17">
        <f ca="1">IFERROR(__xludf.DUMMYFUNCTION("""COMPUTED_VALUE"""),0.808723142735994)</f>
        <v>0.80872314273599399</v>
      </c>
      <c r="AE550" s="17">
        <f ca="1">IFERROR(__xludf.DUMMYFUNCTION("""COMPUTED_VALUE"""),0.874337312053314)</f>
        <v>0.874337312053314</v>
      </c>
      <c r="AF550" s="17">
        <f ca="1">IFERROR(__xludf.DUMMYFUNCTION("""COMPUTED_VALUE"""),0.968306222777371)</f>
        <v>0.968306222777371</v>
      </c>
      <c r="AG550" s="17">
        <f ca="1">IFERROR(__xludf.DUMMYFUNCTION("""COMPUTED_VALUE"""),0.778805311883882)</f>
        <v>0.77880531188388202</v>
      </c>
      <c r="AH550" s="17">
        <f ca="1">IFERROR(__xludf.DUMMYFUNCTION("""COMPUTED_VALUE"""),0.83641658644349)</f>
        <v>0.83641658644349004</v>
      </c>
      <c r="AI550" s="17" t="str">
        <f ca="1">IFERROR(__xludf.DUMMYFUNCTION("""COMPUTED_VALUE"""),"nan")</f>
        <v>nan</v>
      </c>
      <c r="AJ550" s="17">
        <f ca="1">IFERROR(__xludf.DUMMYFUNCTION("""COMPUTED_VALUE"""),0.811582464917947)</f>
        <v>0.81158246491794706</v>
      </c>
    </row>
    <row r="551" spans="2:36" ht="15.75" customHeight="1" x14ac:dyDescent="0.45">
      <c r="B551" s="10" t="str">
        <f ca="1">IFERROR(__xludf.DUMMYFUNCTION("""COMPUTED_VALUE"""),"MedicalImages")</f>
        <v>MedicalImages</v>
      </c>
      <c r="C551" s="10" t="str">
        <f ca="1">IFERROR(__xludf.DUMMYFUNCTION("""COMPUTED_VALUE"""),"aligned_timestamps")</f>
        <v>aligned_timestamps</v>
      </c>
      <c r="D551" s="10">
        <f ca="1">IFERROR(__xludf.DUMMYFUNCTION("""COMPUTED_VALUE"""),0.8)</f>
        <v>0.8</v>
      </c>
      <c r="E551" s="17">
        <f ca="1">IFERROR(__xludf.DUMMYFUNCTION("""COMPUTED_VALUE"""),0.883894631590554)</f>
        <v>0.88389463159055404</v>
      </c>
      <c r="F551" s="17">
        <f ca="1">IFERROR(__xludf.DUMMYFUNCTION("""COMPUTED_VALUE"""),0.608496777506687)</f>
        <v>0.60849677750668696</v>
      </c>
      <c r="G551" s="17">
        <f ca="1">IFERROR(__xludf.DUMMYFUNCTION("""COMPUTED_VALUE"""),0.617616619140822)</f>
        <v>0.617616619140822</v>
      </c>
      <c r="H551" s="17">
        <f ca="1">IFERROR(__xludf.DUMMYFUNCTION("""COMPUTED_VALUE"""),0.723755757834408)</f>
        <v>0.72375575783440804</v>
      </c>
      <c r="I551" s="17">
        <f ca="1">IFERROR(__xludf.DUMMYFUNCTION("""COMPUTED_VALUE"""),0.665682690822258)</f>
        <v>0.66568269082225795</v>
      </c>
      <c r="J551" s="17">
        <f ca="1">IFERROR(__xludf.DUMMYFUNCTION("""COMPUTED_VALUE"""),2.88684891428425)</f>
        <v>2.8868489142842502</v>
      </c>
      <c r="K551" s="17" t="str">
        <f ca="1">IFERROR(__xludf.DUMMYFUNCTION("""COMPUTED_VALUE"""),"nan")</f>
        <v>nan</v>
      </c>
      <c r="L551" s="17">
        <f ca="1">IFERROR(__xludf.DUMMYFUNCTION("""COMPUTED_VALUE"""),0.593416737984789)</f>
        <v>0.593416737984789</v>
      </c>
      <c r="M551" s="17">
        <f ca="1">IFERROR(__xludf.DUMMYFUNCTION("""COMPUTED_VALUE"""),1.65235834155524)</f>
        <v>1.6523583415552401</v>
      </c>
      <c r="N551" s="17">
        <f ca="1">IFERROR(__xludf.DUMMYFUNCTION("""COMPUTED_VALUE"""),0.680372005973365)</f>
        <v>0.680372005973365</v>
      </c>
      <c r="O551" s="17">
        <f ca="1">IFERROR(__xludf.DUMMYFUNCTION("""COMPUTED_VALUE"""),1.00938423060944)</f>
        <v>1.00938423060944</v>
      </c>
      <c r="P551" s="17">
        <f ca="1">IFERROR(__xludf.DUMMYFUNCTION("""COMPUTED_VALUE"""),1.14173128533626)</f>
        <v>1.14173128533626</v>
      </c>
      <c r="Q551" s="17">
        <f ca="1">IFERROR(__xludf.DUMMYFUNCTION("""COMPUTED_VALUE"""),0.84968370310662)</f>
        <v>0.84968370310662</v>
      </c>
      <c r="R551" s="17">
        <f ca="1">IFERROR(__xludf.DUMMYFUNCTION("""COMPUTED_VALUE"""),0.724939218975092)</f>
        <v>0.72493921897509195</v>
      </c>
      <c r="S551" s="17">
        <f ca="1">IFERROR(__xludf.DUMMYFUNCTION("""COMPUTED_VALUE"""),0.918106878487309)</f>
        <v>0.91810687848730899</v>
      </c>
      <c r="T551" s="17">
        <f ca="1">IFERROR(__xludf.DUMMYFUNCTION("""COMPUTED_VALUE"""),0.762891697367306)</f>
        <v>0.762891697367306</v>
      </c>
      <c r="U551" s="17">
        <f ca="1">IFERROR(__xludf.DUMMYFUNCTION("""COMPUTED_VALUE"""),0.722913436784506)</f>
        <v>0.72291343678450604</v>
      </c>
      <c r="V551" s="17">
        <f ca="1">IFERROR(__xludf.DUMMYFUNCTION("""COMPUTED_VALUE"""),0.837554839032655)</f>
        <v>0.83755483903265504</v>
      </c>
      <c r="W551" s="17">
        <f ca="1">IFERROR(__xludf.DUMMYFUNCTION("""COMPUTED_VALUE"""),0.741892903349265)</f>
        <v>0.74189290334926505</v>
      </c>
      <c r="X551" s="17">
        <f ca="1">IFERROR(__xludf.DUMMYFUNCTION("""COMPUTED_VALUE"""),0.61590867059093)</f>
        <v>0.61590867059093002</v>
      </c>
      <c r="Y551" s="17">
        <f ca="1">IFERROR(__xludf.DUMMYFUNCTION("""COMPUTED_VALUE"""),0.80620059786876)</f>
        <v>0.80620059786875997</v>
      </c>
      <c r="Z551" s="17">
        <f ca="1">IFERROR(__xludf.DUMMYFUNCTION("""COMPUTED_VALUE"""),0.75924020316479)</f>
        <v>0.75924020316479002</v>
      </c>
      <c r="AA551" s="17">
        <f ca="1">IFERROR(__xludf.DUMMYFUNCTION("""COMPUTED_VALUE"""),0.800782991868494)</f>
        <v>0.800782991868494</v>
      </c>
      <c r="AB551" s="17">
        <f ca="1">IFERROR(__xludf.DUMMYFUNCTION("""COMPUTED_VALUE"""),1.05575576441501)</f>
        <v>1.05575576441501</v>
      </c>
      <c r="AC551" s="17">
        <f ca="1">IFERROR(__xludf.DUMMYFUNCTION("""COMPUTED_VALUE"""),0.855044156824338)</f>
        <v>0.85504415682433799</v>
      </c>
      <c r="AD551" s="17">
        <f ca="1">IFERROR(__xludf.DUMMYFUNCTION("""COMPUTED_VALUE"""),0.756264283837902)</f>
        <v>0.75626428383790201</v>
      </c>
      <c r="AE551" s="17" t="str">
        <f ca="1">IFERROR(__xludf.DUMMYFUNCTION("""COMPUTED_VALUE"""),"nan")</f>
        <v>nan</v>
      </c>
      <c r="AF551" s="17">
        <f ca="1">IFERROR(__xludf.DUMMYFUNCTION("""COMPUTED_VALUE"""),0.899875373709974)</f>
        <v>0.89987537370997395</v>
      </c>
      <c r="AG551" s="17">
        <f ca="1">IFERROR(__xludf.DUMMYFUNCTION("""COMPUTED_VALUE"""),0.841614086081467)</f>
        <v>0.84161408608146704</v>
      </c>
      <c r="AH551" s="17">
        <f ca="1">IFERROR(__xludf.DUMMYFUNCTION("""COMPUTED_VALUE"""),0.883958600075172)</f>
        <v>0.88395860007517202</v>
      </c>
      <c r="AI551" s="17" t="str">
        <f ca="1">IFERROR(__xludf.DUMMYFUNCTION("""COMPUTED_VALUE"""),"nan")</f>
        <v>nan</v>
      </c>
      <c r="AJ551" s="17">
        <f ca="1">IFERROR(__xludf.DUMMYFUNCTION("""COMPUTED_VALUE"""),0.84684277161519)</f>
        <v>0.84684277161518995</v>
      </c>
    </row>
    <row r="552" spans="2:36" ht="15.75" customHeight="1" x14ac:dyDescent="0.45">
      <c r="B552" s="10" t="str">
        <f ca="1">IFERROR(__xludf.DUMMYFUNCTION("""COMPUTED_VALUE"""),"MedicalImages")</f>
        <v>MedicalImages</v>
      </c>
      <c r="C552" s="10" t="str">
        <f ca="1">IFERROR(__xludf.DUMMYFUNCTION("""COMPUTED_VALUE"""),"mcar")</f>
        <v>mcar</v>
      </c>
      <c r="D552" s="10">
        <f ca="1">IFERROR(__xludf.DUMMYFUNCTION("""COMPUTED_VALUE"""),0.1)</f>
        <v>0.1</v>
      </c>
      <c r="E552" s="17">
        <f ca="1">IFERROR(__xludf.DUMMYFUNCTION("""COMPUTED_VALUE"""),0.863547899453796)</f>
        <v>0.86354789945379595</v>
      </c>
      <c r="F552" s="17">
        <f ca="1">IFERROR(__xludf.DUMMYFUNCTION("""COMPUTED_VALUE"""),0.628486411194373)</f>
        <v>0.62848641119437298</v>
      </c>
      <c r="G552" s="17">
        <f ca="1">IFERROR(__xludf.DUMMYFUNCTION("""COMPUTED_VALUE"""),0.630028760501928)</f>
        <v>0.63002876050192802</v>
      </c>
      <c r="H552" s="17">
        <f ca="1">IFERROR(__xludf.DUMMYFUNCTION("""COMPUTED_VALUE"""),0.630158457831523)</f>
        <v>0.63015845783152302</v>
      </c>
      <c r="I552" s="17">
        <f ca="1">IFERROR(__xludf.DUMMYFUNCTION("""COMPUTED_VALUE"""),0.254583871122486)</f>
        <v>0.25458387112248598</v>
      </c>
      <c r="J552" s="17">
        <f ca="1">IFERROR(__xludf.DUMMYFUNCTION("""COMPUTED_VALUE"""),0.549651887986065)</f>
        <v>0.54965188798606501</v>
      </c>
      <c r="K552" s="17" t="str">
        <f ca="1">IFERROR(__xludf.DUMMYFUNCTION("""COMPUTED_VALUE"""),"nan")</f>
        <v>nan</v>
      </c>
      <c r="L552" s="17">
        <f ca="1">IFERROR(__xludf.DUMMYFUNCTION("""COMPUTED_VALUE"""),0.544285294005783)</f>
        <v>0.54428529400578296</v>
      </c>
      <c r="M552" s="17">
        <f ca="1">IFERROR(__xludf.DUMMYFUNCTION("""COMPUTED_VALUE"""),0.594632283239841)</f>
        <v>0.59463228323984096</v>
      </c>
      <c r="N552" s="17">
        <f ca="1">IFERROR(__xludf.DUMMYFUNCTION("""COMPUTED_VALUE"""),0.334374566166402)</f>
        <v>0.33437456616640199</v>
      </c>
      <c r="O552" s="17">
        <f ca="1">IFERROR(__xludf.DUMMYFUNCTION("""COMPUTED_VALUE"""),0.576811035805103)</f>
        <v>0.57681103580510296</v>
      </c>
      <c r="P552" s="17">
        <f ca="1">IFERROR(__xludf.DUMMYFUNCTION("""COMPUTED_VALUE"""),0.621294450978461)</f>
        <v>0.62129445097846103</v>
      </c>
      <c r="Q552" s="17">
        <f ca="1">IFERROR(__xludf.DUMMYFUNCTION("""COMPUTED_VALUE"""),0.72092773087846)</f>
        <v>0.72092773087845996</v>
      </c>
      <c r="R552" s="17">
        <f ca="1">IFERROR(__xludf.DUMMYFUNCTION("""COMPUTED_VALUE"""),0.22439119036752)</f>
        <v>0.22439119036752</v>
      </c>
      <c r="S552" s="17">
        <f ca="1">IFERROR(__xludf.DUMMYFUNCTION("""COMPUTED_VALUE"""),0.792249688082987)</f>
        <v>0.79224968808298701</v>
      </c>
      <c r="T552" s="17">
        <f ca="1">IFERROR(__xludf.DUMMYFUNCTION("""COMPUTED_VALUE"""),0.65036547952229)</f>
        <v>0.65036547952228996</v>
      </c>
      <c r="U552" s="17">
        <f ca="1">IFERROR(__xludf.DUMMYFUNCTION("""COMPUTED_VALUE"""),0.361587170249889)</f>
        <v>0.36158717024988901</v>
      </c>
      <c r="V552" s="17">
        <f ca="1">IFERROR(__xludf.DUMMYFUNCTION("""COMPUTED_VALUE"""),0.321868048366548)</f>
        <v>0.32186804836654798</v>
      </c>
      <c r="W552" s="17">
        <f ca="1">IFERROR(__xludf.DUMMYFUNCTION("""COMPUTED_VALUE"""),0.42863840942162)</f>
        <v>0.42863840942162001</v>
      </c>
      <c r="X552" s="17">
        <f ca="1">IFERROR(__xludf.DUMMYFUNCTION("""COMPUTED_VALUE"""),0.566697644344073)</f>
        <v>0.56669764434407299</v>
      </c>
      <c r="Y552" s="17">
        <f ca="1">IFERROR(__xludf.DUMMYFUNCTION("""COMPUTED_VALUE"""),0.447121367098921)</f>
        <v>0.44712136709892097</v>
      </c>
      <c r="Z552" s="17">
        <f ca="1">IFERROR(__xludf.DUMMYFUNCTION("""COMPUTED_VALUE"""),0.485992378808174)</f>
        <v>0.48599237880817397</v>
      </c>
      <c r="AA552" s="17">
        <f ca="1">IFERROR(__xludf.DUMMYFUNCTION("""COMPUTED_VALUE"""),0.170946556354958)</f>
        <v>0.17094655635495801</v>
      </c>
      <c r="AB552" s="17">
        <f ca="1">IFERROR(__xludf.DUMMYFUNCTION("""COMPUTED_VALUE"""),0.621063192065874)</f>
        <v>0.62106319206587401</v>
      </c>
      <c r="AC552" s="17">
        <f ca="1">IFERROR(__xludf.DUMMYFUNCTION("""COMPUTED_VALUE"""),0.394168182816263)</f>
        <v>0.39416818281626298</v>
      </c>
      <c r="AD552" s="17">
        <f ca="1">IFERROR(__xludf.DUMMYFUNCTION("""COMPUTED_VALUE"""),0.47709662613071)</f>
        <v>0.47709662613071002</v>
      </c>
      <c r="AE552" s="17">
        <f ca="1">IFERROR(__xludf.DUMMYFUNCTION("""COMPUTED_VALUE"""),0.694471295480012)</f>
        <v>0.69447129548001196</v>
      </c>
      <c r="AF552" s="17">
        <f ca="1">IFERROR(__xludf.DUMMYFUNCTION("""COMPUTED_VALUE"""),0.628241181718859)</f>
        <v>0.62824118171885901</v>
      </c>
      <c r="AG552" s="17">
        <f ca="1">IFERROR(__xludf.DUMMYFUNCTION("""COMPUTED_VALUE"""),0.697717351406705)</f>
        <v>0.69771735140670499</v>
      </c>
      <c r="AH552" s="17">
        <f ca="1">IFERROR(__xludf.DUMMYFUNCTION("""COMPUTED_VALUE"""),0.549221521412343)</f>
        <v>0.54922152141234304</v>
      </c>
      <c r="AI552" s="17">
        <f ca="1">IFERROR(__xludf.DUMMYFUNCTION("""COMPUTED_VALUE"""),0.399161115842233)</f>
        <v>0.39916111584223302</v>
      </c>
      <c r="AJ552" s="17">
        <f ca="1">IFERROR(__xludf.DUMMYFUNCTION("""COMPUTED_VALUE"""),0.502166324066553)</f>
        <v>0.50216632406655304</v>
      </c>
    </row>
    <row r="553" spans="2:36" ht="15.75" customHeight="1" x14ac:dyDescent="0.45">
      <c r="B553" s="10" t="str">
        <f ca="1">IFERROR(__xludf.DUMMYFUNCTION("""COMPUTED_VALUE"""),"MedicalImages")</f>
        <v>MedicalImages</v>
      </c>
      <c r="C553" s="10" t="str">
        <f ca="1">IFERROR(__xludf.DUMMYFUNCTION("""COMPUTED_VALUE"""),"mcar")</f>
        <v>mcar</v>
      </c>
      <c r="D553" s="10">
        <f ca="1">IFERROR(__xludf.DUMMYFUNCTION("""COMPUTED_VALUE"""),0.2)</f>
        <v>0.2</v>
      </c>
      <c r="E553" s="17">
        <f ca="1">IFERROR(__xludf.DUMMYFUNCTION("""COMPUTED_VALUE"""),0.852791694328737)</f>
        <v>0.85279169432873703</v>
      </c>
      <c r="F553" s="17">
        <f ca="1">IFERROR(__xludf.DUMMYFUNCTION("""COMPUTED_VALUE"""),0.588726063466015)</f>
        <v>0.58872606346601497</v>
      </c>
      <c r="G553" s="17">
        <f ca="1">IFERROR(__xludf.DUMMYFUNCTION("""COMPUTED_VALUE"""),0.586772088605758)</f>
        <v>0.58677208860575802</v>
      </c>
      <c r="H553" s="17">
        <f ca="1">IFERROR(__xludf.DUMMYFUNCTION("""COMPUTED_VALUE"""),0.584035105697266)</f>
        <v>0.58403510569726602</v>
      </c>
      <c r="I553" s="17">
        <f ca="1">IFERROR(__xludf.DUMMYFUNCTION("""COMPUTED_VALUE"""),0.315949592809925)</f>
        <v>0.31594959280992502</v>
      </c>
      <c r="J553" s="17">
        <f ca="1">IFERROR(__xludf.DUMMYFUNCTION("""COMPUTED_VALUE"""),0.512718628464679)</f>
        <v>0.51271862846467897</v>
      </c>
      <c r="K553" s="17" t="str">
        <f ca="1">IFERROR(__xludf.DUMMYFUNCTION("""COMPUTED_VALUE"""),"nan")</f>
        <v>nan</v>
      </c>
      <c r="L553" s="17">
        <f ca="1">IFERROR(__xludf.DUMMYFUNCTION("""COMPUTED_VALUE"""),0.496057852939958)</f>
        <v>0.49605785293995802</v>
      </c>
      <c r="M553" s="17">
        <f ca="1">IFERROR(__xludf.DUMMYFUNCTION("""COMPUTED_VALUE"""),0.523384213175713)</f>
        <v>0.52338421317571304</v>
      </c>
      <c r="N553" s="17">
        <f ca="1">IFERROR(__xludf.DUMMYFUNCTION("""COMPUTED_VALUE"""),0.427588995261406)</f>
        <v>0.42758899526140598</v>
      </c>
      <c r="O553" s="17">
        <f ca="1">IFERROR(__xludf.DUMMYFUNCTION("""COMPUTED_VALUE"""),0.502848557680436)</f>
        <v>0.50284855768043601</v>
      </c>
      <c r="P553" s="17">
        <f ca="1">IFERROR(__xludf.DUMMYFUNCTION("""COMPUTED_VALUE"""),0.702851878399932)</f>
        <v>0.70285187839993202</v>
      </c>
      <c r="Q553" s="17">
        <f ca="1">IFERROR(__xludf.DUMMYFUNCTION("""COMPUTED_VALUE"""),0.658721342702286)</f>
        <v>0.65872134270228599</v>
      </c>
      <c r="R553" s="17">
        <f ca="1">IFERROR(__xludf.DUMMYFUNCTION("""COMPUTED_VALUE"""),0.279268851408723)</f>
        <v>0.27926885140872298</v>
      </c>
      <c r="S553" s="17">
        <f ca="1">IFERROR(__xludf.DUMMYFUNCTION("""COMPUTED_VALUE"""),1.19016587873163)</f>
        <v>1.19016587873163</v>
      </c>
      <c r="T553" s="17">
        <f ca="1">IFERROR(__xludf.DUMMYFUNCTION("""COMPUTED_VALUE"""),0.632605433881695)</f>
        <v>0.63260543388169499</v>
      </c>
      <c r="U553" s="17">
        <f ca="1">IFERROR(__xludf.DUMMYFUNCTION("""COMPUTED_VALUE"""),0.412557579713306)</f>
        <v>0.41255757971330598</v>
      </c>
      <c r="V553" s="17">
        <f ca="1">IFERROR(__xludf.DUMMYFUNCTION("""COMPUTED_VALUE"""),0.430685746717467)</f>
        <v>0.43068574671746701</v>
      </c>
      <c r="W553" s="17">
        <f ca="1">IFERROR(__xludf.DUMMYFUNCTION("""COMPUTED_VALUE"""),0.618375263734329)</f>
        <v>0.61837526373432905</v>
      </c>
      <c r="X553" s="17">
        <f ca="1">IFERROR(__xludf.DUMMYFUNCTION("""COMPUTED_VALUE"""),0.561916693764536)</f>
        <v>0.56191669376453601</v>
      </c>
      <c r="Y553" s="17">
        <f ca="1">IFERROR(__xludf.DUMMYFUNCTION("""COMPUTED_VALUE"""),0.510210489340147)</f>
        <v>0.51021048934014701</v>
      </c>
      <c r="Z553" s="17">
        <f ca="1">IFERROR(__xludf.DUMMYFUNCTION("""COMPUTED_VALUE"""),0.542908640424623)</f>
        <v>0.54290864042462295</v>
      </c>
      <c r="AA553" s="17">
        <f ca="1">IFERROR(__xludf.DUMMYFUNCTION("""COMPUTED_VALUE"""),0.242050496258286)</f>
        <v>0.24205049625828601</v>
      </c>
      <c r="AB553" s="17">
        <f ca="1">IFERROR(__xludf.DUMMYFUNCTION("""COMPUTED_VALUE"""),0.62384228918011)</f>
        <v>0.62384228918010998</v>
      </c>
      <c r="AC553" s="17">
        <f ca="1">IFERROR(__xludf.DUMMYFUNCTION("""COMPUTED_VALUE"""),0.649566222001892)</f>
        <v>0.64956622200189196</v>
      </c>
      <c r="AD553" s="17">
        <f ca="1">IFERROR(__xludf.DUMMYFUNCTION("""COMPUTED_VALUE"""),0.637233707954391)</f>
        <v>0.63723370795439105</v>
      </c>
      <c r="AE553" s="17">
        <f ca="1">IFERROR(__xludf.DUMMYFUNCTION("""COMPUTED_VALUE"""),0.770970075572331)</f>
        <v>0.77097007557233099</v>
      </c>
      <c r="AF553" s="17">
        <f ca="1">IFERROR(__xludf.DUMMYFUNCTION("""COMPUTED_VALUE"""),0.587998889302092)</f>
        <v>0.58799888930209199</v>
      </c>
      <c r="AG553" s="17">
        <f ca="1">IFERROR(__xludf.DUMMYFUNCTION("""COMPUTED_VALUE"""),0.654623160156976)</f>
        <v>0.65462316015697597</v>
      </c>
      <c r="AH553" s="17">
        <f ca="1">IFERROR(__xludf.DUMMYFUNCTION("""COMPUTED_VALUE"""),0.549623509753199)</f>
        <v>0.54962350975319896</v>
      </c>
      <c r="AI553" s="17">
        <f ca="1">IFERROR(__xludf.DUMMYFUNCTION("""COMPUTED_VALUE"""),0.578221234833968)</f>
        <v>0.57822123483396803</v>
      </c>
      <c r="AJ553" s="17">
        <f ca="1">IFERROR(__xludf.DUMMYFUNCTION("""COMPUTED_VALUE"""),0.574632189939602)</f>
        <v>0.57463218993960197</v>
      </c>
    </row>
    <row r="554" spans="2:36" ht="15.75" customHeight="1" x14ac:dyDescent="0.45">
      <c r="B554" s="10" t="str">
        <f ca="1">IFERROR(__xludf.DUMMYFUNCTION("""COMPUTED_VALUE"""),"MedicalImages")</f>
        <v>MedicalImages</v>
      </c>
      <c r="C554" s="10" t="str">
        <f ca="1">IFERROR(__xludf.DUMMYFUNCTION("""COMPUTED_VALUE"""),"mcar")</f>
        <v>mcar</v>
      </c>
      <c r="D554" s="10">
        <f ca="1">IFERROR(__xludf.DUMMYFUNCTION("""COMPUTED_VALUE"""),0.4)</f>
        <v>0.4</v>
      </c>
      <c r="E554" s="17">
        <f ca="1">IFERROR(__xludf.DUMMYFUNCTION("""COMPUTED_VALUE"""),0.822975386717233)</f>
        <v>0.82297538671723303</v>
      </c>
      <c r="F554" s="17">
        <f ca="1">IFERROR(__xludf.DUMMYFUNCTION("""COMPUTED_VALUE"""),0.627088580376794)</f>
        <v>0.62708858037679405</v>
      </c>
      <c r="G554" s="17">
        <f ca="1">IFERROR(__xludf.DUMMYFUNCTION("""COMPUTED_VALUE"""),0.644599926986133)</f>
        <v>0.644599926986133</v>
      </c>
      <c r="H554" s="17">
        <f ca="1">IFERROR(__xludf.DUMMYFUNCTION("""COMPUTED_VALUE"""),0.607615858265124)</f>
        <v>0.60761585826512399</v>
      </c>
      <c r="I554" s="17">
        <f ca="1">IFERROR(__xludf.DUMMYFUNCTION("""COMPUTED_VALUE"""),0.415348226663746)</f>
        <v>0.41534822666374599</v>
      </c>
      <c r="J554" s="17">
        <f ca="1">IFERROR(__xludf.DUMMYFUNCTION("""COMPUTED_VALUE"""),0.583062276567811)</f>
        <v>0.58306227656781096</v>
      </c>
      <c r="K554" s="17" t="str">
        <f ca="1">IFERROR(__xludf.DUMMYFUNCTION("""COMPUTED_VALUE"""),"nan")</f>
        <v>nan</v>
      </c>
      <c r="L554" s="17">
        <f ca="1">IFERROR(__xludf.DUMMYFUNCTION("""COMPUTED_VALUE"""),0.547923133551471)</f>
        <v>0.54792313355147104</v>
      </c>
      <c r="M554" s="17">
        <f ca="1">IFERROR(__xludf.DUMMYFUNCTION("""COMPUTED_VALUE"""),0.607788501681844)</f>
        <v>0.60778850168184395</v>
      </c>
      <c r="N554" s="17">
        <f ca="1">IFERROR(__xludf.DUMMYFUNCTION("""COMPUTED_VALUE"""),0.533745418189632)</f>
        <v>0.53374541818963195</v>
      </c>
      <c r="O554" s="17">
        <f ca="1">IFERROR(__xludf.DUMMYFUNCTION("""COMPUTED_VALUE"""),0.586888838981429)</f>
        <v>0.58688883898142896</v>
      </c>
      <c r="P554" s="17">
        <f ca="1">IFERROR(__xludf.DUMMYFUNCTION("""COMPUTED_VALUE"""),0.687304328068135)</f>
        <v>0.68730432806813502</v>
      </c>
      <c r="Q554" s="17">
        <f ca="1">IFERROR(__xludf.DUMMYFUNCTION("""COMPUTED_VALUE"""),0.772728523657555)</f>
        <v>0.77272852365755496</v>
      </c>
      <c r="R554" s="17">
        <f ca="1">IFERROR(__xludf.DUMMYFUNCTION("""COMPUTED_VALUE"""),0.49364205784917)</f>
        <v>0.49364205784916998</v>
      </c>
      <c r="S554" s="17">
        <f ca="1">IFERROR(__xludf.DUMMYFUNCTION("""COMPUTED_VALUE"""),1.22340317813577)</f>
        <v>1.2234031781357699</v>
      </c>
      <c r="T554" s="17">
        <f ca="1">IFERROR(__xludf.DUMMYFUNCTION("""COMPUTED_VALUE"""),0.629519635056717)</f>
        <v>0.62951963505671704</v>
      </c>
      <c r="U554" s="17">
        <f ca="1">IFERROR(__xludf.DUMMYFUNCTION("""COMPUTED_VALUE"""),0.474726344213738)</f>
        <v>0.47472634421373799</v>
      </c>
      <c r="V554" s="17">
        <f ca="1">IFERROR(__xludf.DUMMYFUNCTION("""COMPUTED_VALUE"""),0.546804222829778)</f>
        <v>0.54680422282977803</v>
      </c>
      <c r="W554" s="17">
        <f ca="1">IFERROR(__xludf.DUMMYFUNCTION("""COMPUTED_VALUE"""),0.584821630133842)</f>
        <v>0.58482163013384203</v>
      </c>
      <c r="X554" s="17">
        <f ca="1">IFERROR(__xludf.DUMMYFUNCTION("""COMPUTED_VALUE"""),0.564755115611445)</f>
        <v>0.56475511561144498</v>
      </c>
      <c r="Y554" s="17">
        <f ca="1">IFERROR(__xludf.DUMMYFUNCTION("""COMPUTED_VALUE"""),0.541438834025679)</f>
        <v>0.54143883402567905</v>
      </c>
      <c r="Z554" s="17">
        <f ca="1">IFERROR(__xludf.DUMMYFUNCTION("""COMPUTED_VALUE"""),0.568039199790336)</f>
        <v>0.56803919979033601</v>
      </c>
      <c r="AA554" s="17">
        <f ca="1">IFERROR(__xludf.DUMMYFUNCTION("""COMPUTED_VALUE"""),0.362216587084426)</f>
        <v>0.362216587084426</v>
      </c>
      <c r="AB554" s="17">
        <f ca="1">IFERROR(__xludf.DUMMYFUNCTION("""COMPUTED_VALUE"""),0.706591401710596)</f>
        <v>0.70659140171059598</v>
      </c>
      <c r="AC554" s="17">
        <f ca="1">IFERROR(__xludf.DUMMYFUNCTION("""COMPUTED_VALUE"""),0.629874272206528)</f>
        <v>0.62987427220652803</v>
      </c>
      <c r="AD554" s="17">
        <f ca="1">IFERROR(__xludf.DUMMYFUNCTION("""COMPUTED_VALUE"""),0.639838073853886)</f>
        <v>0.63983807385388602</v>
      </c>
      <c r="AE554" s="17">
        <f ca="1">IFERROR(__xludf.DUMMYFUNCTION("""COMPUTED_VALUE"""),0.738638652150209)</f>
        <v>0.73863865215020896</v>
      </c>
      <c r="AF554" s="17">
        <f ca="1">IFERROR(__xludf.DUMMYFUNCTION("""COMPUTED_VALUE"""),0.639367424644878)</f>
        <v>0.63936742464487795</v>
      </c>
      <c r="AG554" s="17">
        <f ca="1">IFERROR(__xludf.DUMMYFUNCTION("""COMPUTED_VALUE"""),0.651715922527039)</f>
        <v>0.65171592252703903</v>
      </c>
      <c r="AH554" s="17">
        <f ca="1">IFERROR(__xludf.DUMMYFUNCTION("""COMPUTED_VALUE"""),0.630417771014587)</f>
        <v>0.63041777101458696</v>
      </c>
      <c r="AI554" s="17">
        <f ca="1">IFERROR(__xludf.DUMMYFUNCTION("""COMPUTED_VALUE"""),0.642728975156519)</f>
        <v>0.64272897515651894</v>
      </c>
      <c r="AJ554" s="17">
        <f ca="1">IFERROR(__xludf.DUMMYFUNCTION("""COMPUTED_VALUE"""),0.587654160620506)</f>
        <v>0.58765416062050602</v>
      </c>
    </row>
    <row r="555" spans="2:36" ht="15.75" customHeight="1" x14ac:dyDescent="0.45">
      <c r="B555" s="10" t="str">
        <f ca="1">IFERROR(__xludf.DUMMYFUNCTION("""COMPUTED_VALUE"""),"MedicalImages")</f>
        <v>MedicalImages</v>
      </c>
      <c r="C555" s="10" t="str">
        <f ca="1">IFERROR(__xludf.DUMMYFUNCTION("""COMPUTED_VALUE"""),"mcar")</f>
        <v>mcar</v>
      </c>
      <c r="D555" s="10">
        <f ca="1">IFERROR(__xludf.DUMMYFUNCTION("""COMPUTED_VALUE"""),0.6)</f>
        <v>0.6</v>
      </c>
      <c r="E555" s="17">
        <f ca="1">IFERROR(__xludf.DUMMYFUNCTION("""COMPUTED_VALUE"""),0.872740051974243)</f>
        <v>0.87274005197424298</v>
      </c>
      <c r="F555" s="17">
        <f ca="1">IFERROR(__xludf.DUMMYFUNCTION("""COMPUTED_VALUE"""),0.678496641558335)</f>
        <v>0.678496641558335</v>
      </c>
      <c r="G555" s="17">
        <f ca="1">IFERROR(__xludf.DUMMYFUNCTION("""COMPUTED_VALUE"""),0.695227661231208)</f>
        <v>0.69522766123120805</v>
      </c>
      <c r="H555" s="17">
        <f ca="1">IFERROR(__xludf.DUMMYFUNCTION("""COMPUTED_VALUE"""),0.653719215780119)</f>
        <v>0.65371921578011905</v>
      </c>
      <c r="I555" s="17">
        <f ca="1">IFERROR(__xludf.DUMMYFUNCTION("""COMPUTED_VALUE"""),0.508127823065716)</f>
        <v>0.50812782306571602</v>
      </c>
      <c r="J555" s="17">
        <f ca="1">IFERROR(__xludf.DUMMYFUNCTION("""COMPUTED_VALUE"""),0.642616261850423)</f>
        <v>0.64261626185042298</v>
      </c>
      <c r="K555" s="17" t="str">
        <f ca="1">IFERROR(__xludf.DUMMYFUNCTION("""COMPUTED_VALUE"""),"nan")</f>
        <v>nan</v>
      </c>
      <c r="L555" s="17">
        <f ca="1">IFERROR(__xludf.DUMMYFUNCTION("""COMPUTED_VALUE"""),0.602361689620959)</f>
        <v>0.60236168962095904</v>
      </c>
      <c r="M555" s="17">
        <f ca="1">IFERROR(__xludf.DUMMYFUNCTION("""COMPUTED_VALUE"""),0.668415164097364)</f>
        <v>0.66841516409736401</v>
      </c>
      <c r="N555" s="17">
        <f ca="1">IFERROR(__xludf.DUMMYFUNCTION("""COMPUTED_VALUE"""),0.557558264846507)</f>
        <v>0.55755826484650695</v>
      </c>
      <c r="O555" s="17">
        <f ca="1">IFERROR(__xludf.DUMMYFUNCTION("""COMPUTED_VALUE"""),0.599736370087622)</f>
        <v>0.59973637008762204</v>
      </c>
      <c r="P555" s="17">
        <f ca="1">IFERROR(__xludf.DUMMYFUNCTION("""COMPUTED_VALUE"""),0.758643085448112)</f>
        <v>0.75864308544811199</v>
      </c>
      <c r="Q555" s="17">
        <f ca="1">IFERROR(__xludf.DUMMYFUNCTION("""COMPUTED_VALUE"""),0.79666953562816)</f>
        <v>0.79666953562816001</v>
      </c>
      <c r="R555" s="17">
        <f ca="1">IFERROR(__xludf.DUMMYFUNCTION("""COMPUTED_VALUE"""),0.635260848636081)</f>
        <v>0.63526084863608101</v>
      </c>
      <c r="S555" s="17">
        <f ca="1">IFERROR(__xludf.DUMMYFUNCTION("""COMPUTED_VALUE"""),1.47403358488051)</f>
        <v>1.47403358488051</v>
      </c>
      <c r="T555" s="17">
        <f ca="1">IFERROR(__xludf.DUMMYFUNCTION("""COMPUTED_VALUE"""),0.650448006718755)</f>
        <v>0.65044800671875502</v>
      </c>
      <c r="U555" s="17">
        <f ca="1">IFERROR(__xludf.DUMMYFUNCTION("""COMPUTED_VALUE"""),0.502443097972301)</f>
        <v>0.50244309797230102</v>
      </c>
      <c r="V555" s="17">
        <f ca="1">IFERROR(__xludf.DUMMYFUNCTION("""COMPUTED_VALUE"""),0.633042496782699)</f>
        <v>0.63304249678269897</v>
      </c>
      <c r="W555" s="17">
        <f ca="1">IFERROR(__xludf.DUMMYFUNCTION("""COMPUTED_VALUE"""),0.652116567967446)</f>
        <v>0.65211656796744599</v>
      </c>
      <c r="X555" s="17">
        <f ca="1">IFERROR(__xludf.DUMMYFUNCTION("""COMPUTED_VALUE"""),0.586622117750914)</f>
        <v>0.586622117750914</v>
      </c>
      <c r="Y555" s="17">
        <f ca="1">IFERROR(__xludf.DUMMYFUNCTION("""COMPUTED_VALUE"""),0.577037785727763)</f>
        <v>0.57703778572776299</v>
      </c>
      <c r="Z555" s="17">
        <f ca="1">IFERROR(__xludf.DUMMYFUNCTION("""COMPUTED_VALUE"""),0.628968751232731)</f>
        <v>0.62896875123273099</v>
      </c>
      <c r="AA555" s="17">
        <f ca="1">IFERROR(__xludf.DUMMYFUNCTION("""COMPUTED_VALUE"""),0.446609803292202)</f>
        <v>0.44660980329220201</v>
      </c>
      <c r="AB555" s="17">
        <f ca="1">IFERROR(__xludf.DUMMYFUNCTION("""COMPUTED_VALUE"""),0.763208962525305)</f>
        <v>0.76320896252530501</v>
      </c>
      <c r="AC555" s="17">
        <f ca="1">IFERROR(__xludf.DUMMYFUNCTION("""COMPUTED_VALUE"""),0.764103540107258)</f>
        <v>0.76410354010725801</v>
      </c>
      <c r="AD555" s="17">
        <f ca="1">IFERROR(__xludf.DUMMYFUNCTION("""COMPUTED_VALUE"""),0.725368405465313)</f>
        <v>0.725368405465313</v>
      </c>
      <c r="AE555" s="17">
        <f ca="1">IFERROR(__xludf.DUMMYFUNCTION("""COMPUTED_VALUE"""),0.966702796547756)</f>
        <v>0.96670279654775604</v>
      </c>
      <c r="AF555" s="17">
        <f ca="1">IFERROR(__xludf.DUMMYFUNCTION("""COMPUTED_VALUE"""),0.692254170419044)</f>
        <v>0.69225417041904402</v>
      </c>
      <c r="AG555" s="17">
        <f ca="1">IFERROR(__xludf.DUMMYFUNCTION("""COMPUTED_VALUE"""),0.796042733137739)</f>
        <v>0.79604273313773899</v>
      </c>
      <c r="AH555" s="17">
        <f ca="1">IFERROR(__xludf.DUMMYFUNCTION("""COMPUTED_VALUE"""),0.756492004744115)</f>
        <v>0.75649200474411504</v>
      </c>
      <c r="AI555" s="17" t="str">
        <f ca="1">IFERROR(__xludf.DUMMYFUNCTION("""COMPUTED_VALUE"""),"nan")</f>
        <v>nan</v>
      </c>
      <c r="AJ555" s="17">
        <f ca="1">IFERROR(__xludf.DUMMYFUNCTION("""COMPUTED_VALUE"""),0.846861610407129)</f>
        <v>0.84686161040712904</v>
      </c>
    </row>
    <row r="556" spans="2:36" ht="15.75" customHeight="1" x14ac:dyDescent="0.45">
      <c r="B556" s="10" t="str">
        <f ca="1">IFERROR(__xludf.DUMMYFUNCTION("""COMPUTED_VALUE"""),"MedicalImages")</f>
        <v>MedicalImages</v>
      </c>
      <c r="C556" s="10" t="str">
        <f ca="1">IFERROR(__xludf.DUMMYFUNCTION("""COMPUTED_VALUE"""),"mcar")</f>
        <v>mcar</v>
      </c>
      <c r="D556" s="10">
        <f ca="1">IFERROR(__xludf.DUMMYFUNCTION("""COMPUTED_VALUE"""),0.8)</f>
        <v>0.8</v>
      </c>
      <c r="E556" s="17">
        <f ca="1">IFERROR(__xludf.DUMMYFUNCTION("""COMPUTED_VALUE"""),0.852868213344846)</f>
        <v>0.85286821334484597</v>
      </c>
      <c r="F556" s="17">
        <f ca="1">IFERROR(__xludf.DUMMYFUNCTION("""COMPUTED_VALUE"""),0.685874630541205)</f>
        <v>0.68587463054120501</v>
      </c>
      <c r="G556" s="17">
        <f ca="1">IFERROR(__xludf.DUMMYFUNCTION("""COMPUTED_VALUE"""),0.749567633102188)</f>
        <v>0.74956763310218799</v>
      </c>
      <c r="H556" s="17">
        <f ca="1">IFERROR(__xludf.DUMMYFUNCTION("""COMPUTED_VALUE"""),0.675052425357436)</f>
        <v>0.67505242535743604</v>
      </c>
      <c r="I556" s="17">
        <f ca="1">IFERROR(__xludf.DUMMYFUNCTION("""COMPUTED_VALUE"""),0.566922315555373)</f>
        <v>0.56692231555537298</v>
      </c>
      <c r="J556" s="17">
        <f ca="1">IFERROR(__xludf.DUMMYFUNCTION("""COMPUTED_VALUE"""),1.04667081737756)</f>
        <v>1.0466708173775601</v>
      </c>
      <c r="K556" s="17" t="str">
        <f ca="1">IFERROR(__xludf.DUMMYFUNCTION("""COMPUTED_VALUE"""),"nan")</f>
        <v>nan</v>
      </c>
      <c r="L556" s="17">
        <f ca="1">IFERROR(__xludf.DUMMYFUNCTION("""COMPUTED_VALUE"""),0.639371669982807)</f>
        <v>0.63937166998280703</v>
      </c>
      <c r="M556" s="17">
        <f ca="1">IFERROR(__xludf.DUMMYFUNCTION("""COMPUTED_VALUE"""),0.936723182789703)</f>
        <v>0.93672318278970301</v>
      </c>
      <c r="N556" s="17">
        <f ca="1">IFERROR(__xludf.DUMMYFUNCTION("""COMPUTED_VALUE"""),0.605929337902629)</f>
        <v>0.60592933790262904</v>
      </c>
      <c r="O556" s="17">
        <f ca="1">IFERROR(__xludf.DUMMYFUNCTION("""COMPUTED_VALUE"""),0.741742154935489)</f>
        <v>0.74174215493548901</v>
      </c>
      <c r="P556" s="17">
        <f ca="1">IFERROR(__xludf.DUMMYFUNCTION("""COMPUTED_VALUE"""),0.842621892447332)</f>
        <v>0.84262189244733199</v>
      </c>
      <c r="Q556" s="17">
        <f ca="1">IFERROR(__xludf.DUMMYFUNCTION("""COMPUTED_VALUE"""),0.813866376524257)</f>
        <v>0.81386637652425697</v>
      </c>
      <c r="R556" s="17">
        <f ca="1">IFERROR(__xludf.DUMMYFUNCTION("""COMPUTED_VALUE"""),0.791598477473797)</f>
        <v>0.79159847747379697</v>
      </c>
      <c r="S556" s="17">
        <f ca="1">IFERROR(__xludf.DUMMYFUNCTION("""COMPUTED_VALUE"""),1.64168599212563)</f>
        <v>1.6416859921256299</v>
      </c>
      <c r="T556" s="17">
        <f ca="1">IFERROR(__xludf.DUMMYFUNCTION("""COMPUTED_VALUE"""),0.727143633067326)</f>
        <v>0.72714363306732599</v>
      </c>
      <c r="U556" s="17">
        <f ca="1">IFERROR(__xludf.DUMMYFUNCTION("""COMPUTED_VALUE"""),0.65328262508535)</f>
        <v>0.65328262508534996</v>
      </c>
      <c r="V556" s="17">
        <f ca="1">IFERROR(__xludf.DUMMYFUNCTION("""COMPUTED_VALUE"""),0.75450520251973)</f>
        <v>0.75450520251972997</v>
      </c>
      <c r="W556" s="17">
        <f ca="1">IFERROR(__xludf.DUMMYFUNCTION("""COMPUTED_VALUE"""),0.676603177706171)</f>
        <v>0.67660317770617096</v>
      </c>
      <c r="X556" s="17">
        <f ca="1">IFERROR(__xludf.DUMMYFUNCTION("""COMPUTED_VALUE"""),0.590121779496935)</f>
        <v>0.59012177949693501</v>
      </c>
      <c r="Y556" s="17">
        <f ca="1">IFERROR(__xludf.DUMMYFUNCTION("""COMPUTED_VALUE"""),0.608644639997771)</f>
        <v>0.60864463999777096</v>
      </c>
      <c r="Z556" s="17">
        <f ca="1">IFERROR(__xludf.DUMMYFUNCTION("""COMPUTED_VALUE"""),0.685864804984126)</f>
        <v>0.68586480498412605</v>
      </c>
      <c r="AA556" s="17">
        <f ca="1">IFERROR(__xludf.DUMMYFUNCTION("""COMPUTED_VALUE"""),0.574231234291024)</f>
        <v>0.57423123429102396</v>
      </c>
      <c r="AB556" s="17">
        <f ca="1">IFERROR(__xludf.DUMMYFUNCTION("""COMPUTED_VALUE"""),0.962910432798369)</f>
        <v>0.96291043279836896</v>
      </c>
      <c r="AC556" s="17">
        <f ca="1">IFERROR(__xludf.DUMMYFUNCTION("""COMPUTED_VALUE"""),0.80445944271139)</f>
        <v>0.80445944271139003</v>
      </c>
      <c r="AD556" s="17">
        <f ca="1">IFERROR(__xludf.DUMMYFUNCTION("""COMPUTED_VALUE"""),0.726792595761195)</f>
        <v>0.72679259576119504</v>
      </c>
      <c r="AE556" s="17">
        <f ca="1">IFERROR(__xludf.DUMMYFUNCTION("""COMPUTED_VALUE"""),1.41577135265485)</f>
        <v>1.4157713526548501</v>
      </c>
      <c r="AF556" s="17">
        <f ca="1">IFERROR(__xludf.DUMMYFUNCTION("""COMPUTED_VALUE"""),0.827107179395763)</f>
        <v>0.82710717939576295</v>
      </c>
      <c r="AG556" s="17">
        <f ca="1">IFERROR(__xludf.DUMMYFUNCTION("""COMPUTED_VALUE"""),0.855652105902944)</f>
        <v>0.85565210590294405</v>
      </c>
      <c r="AH556" s="17">
        <f ca="1">IFERROR(__xludf.DUMMYFUNCTION("""COMPUTED_VALUE"""),0.814158872825798)</f>
        <v>0.81415887282579802</v>
      </c>
      <c r="AI556" s="17" t="str">
        <f ca="1">IFERROR(__xludf.DUMMYFUNCTION("""COMPUTED_VALUE"""),"nan")</f>
        <v>nan</v>
      </c>
      <c r="AJ556" s="17">
        <f ca="1">IFERROR(__xludf.DUMMYFUNCTION("""COMPUTED_VALUE"""),0.86090980586702)</f>
        <v>0.86090980586702004</v>
      </c>
    </row>
    <row r="557" spans="2:36" ht="15.75" customHeight="1" x14ac:dyDescent="0.45">
      <c r="B557" s="10" t="str">
        <f ca="1">IFERROR(__xludf.DUMMYFUNCTION("""COMPUTED_VALUE"""),"MoteStrain")</f>
        <v>MoteStrain</v>
      </c>
      <c r="C557" s="10" t="str">
        <f ca="1">IFERROR(__xludf.DUMMYFUNCTION("""COMPUTED_VALUE"""),"aligned_series")</f>
        <v>aligned_series</v>
      </c>
      <c r="D557" s="10">
        <f ca="1">IFERROR(__xludf.DUMMYFUNCTION("""COMPUTED_VALUE"""),0.1)</f>
        <v>0.1</v>
      </c>
      <c r="E557" s="17">
        <f ca="1">IFERROR(__xludf.DUMMYFUNCTION("""COMPUTED_VALUE"""),0.469438225545506)</f>
        <v>0.46943822554550602</v>
      </c>
      <c r="F557" s="17">
        <f ca="1">IFERROR(__xludf.DUMMYFUNCTION("""COMPUTED_VALUE"""),2.11456196252386)</f>
        <v>2.1145619625238599</v>
      </c>
      <c r="G557" s="17">
        <f ca="1">IFERROR(__xludf.DUMMYFUNCTION("""COMPUTED_VALUE"""),4.45679424483322)</f>
        <v>4.4567942448332198</v>
      </c>
      <c r="H557" s="17">
        <f ca="1">IFERROR(__xludf.DUMMYFUNCTION("""COMPUTED_VALUE"""),0.466860291158907)</f>
        <v>0.46686029115890698</v>
      </c>
      <c r="I557" s="17">
        <f ca="1">IFERROR(__xludf.DUMMYFUNCTION("""COMPUTED_VALUE"""),0.411926464199203)</f>
        <v>0.41192646419920298</v>
      </c>
      <c r="J557" s="17">
        <f ca="1">IFERROR(__xludf.DUMMYFUNCTION("""COMPUTED_VALUE"""),0.45966672285303)</f>
        <v>0.45966672285303001</v>
      </c>
      <c r="K557" s="17" t="str">
        <f ca="1">IFERROR(__xludf.DUMMYFUNCTION("""COMPUTED_VALUE"""),"nan")</f>
        <v>nan</v>
      </c>
      <c r="L557" s="17">
        <f ca="1">IFERROR(__xludf.DUMMYFUNCTION("""COMPUTED_VALUE"""),0.670319951272199)</f>
        <v>0.67031995127219901</v>
      </c>
      <c r="M557" s="17">
        <f ca="1">IFERROR(__xludf.DUMMYFUNCTION("""COMPUTED_VALUE"""),0.567792040791262)</f>
        <v>0.567792040791262</v>
      </c>
      <c r="N557" s="17">
        <f ca="1">IFERROR(__xludf.DUMMYFUNCTION("""COMPUTED_VALUE"""),0.488903824314355)</f>
        <v>0.48890382431435497</v>
      </c>
      <c r="O557" s="17">
        <f ca="1">IFERROR(__xludf.DUMMYFUNCTION("""COMPUTED_VALUE"""),0.651930467802382)</f>
        <v>0.65193046780238195</v>
      </c>
      <c r="P557" s="17">
        <f ca="1">IFERROR(__xludf.DUMMYFUNCTION("""COMPUTED_VALUE"""),0.472718096321546)</f>
        <v>0.47271809632154599</v>
      </c>
      <c r="Q557" s="17">
        <f ca="1">IFERROR(__xludf.DUMMYFUNCTION("""COMPUTED_VALUE"""),0.830009056719111)</f>
        <v>0.83000905671911096</v>
      </c>
      <c r="R557" s="17">
        <f ca="1">IFERROR(__xludf.DUMMYFUNCTION("""COMPUTED_VALUE"""),0.70392947712098)</f>
        <v>0.70392947712097997</v>
      </c>
      <c r="S557" s="17">
        <f ca="1">IFERROR(__xludf.DUMMYFUNCTION("""COMPUTED_VALUE"""),0.534756755442613)</f>
        <v>0.53475675544261303</v>
      </c>
      <c r="T557" s="17">
        <f ca="1">IFERROR(__xludf.DUMMYFUNCTION("""COMPUTED_VALUE"""),0.643283886015571)</f>
        <v>0.64328388601557096</v>
      </c>
      <c r="U557" s="17">
        <f ca="1">IFERROR(__xludf.DUMMYFUNCTION("""COMPUTED_VALUE"""),0.62353656552103)</f>
        <v>0.62353656552102998</v>
      </c>
      <c r="V557" s="17">
        <f ca="1">IFERROR(__xludf.DUMMYFUNCTION("""COMPUTED_VALUE"""),0.499175941432675)</f>
        <v>0.49917594143267502</v>
      </c>
      <c r="W557" s="17">
        <f ca="1">IFERROR(__xludf.DUMMYFUNCTION("""COMPUTED_VALUE"""),0.550044236619003)</f>
        <v>0.55004423661900304</v>
      </c>
      <c r="X557" s="17">
        <f ca="1">IFERROR(__xludf.DUMMYFUNCTION("""COMPUTED_VALUE"""),0.429558783692765)</f>
        <v>0.42955878369276501</v>
      </c>
      <c r="Y557" s="17">
        <f ca="1">IFERROR(__xludf.DUMMYFUNCTION("""COMPUTED_VALUE"""),0.53010996952006)</f>
        <v>0.53010996952005995</v>
      </c>
      <c r="Z557" s="17">
        <f ca="1">IFERROR(__xludf.DUMMYFUNCTION("""COMPUTED_VALUE"""),0.640207928105753)</f>
        <v>0.640207928105753</v>
      </c>
      <c r="AA557" s="17">
        <f ca="1">IFERROR(__xludf.DUMMYFUNCTION("""COMPUTED_VALUE"""),0.855177380588108)</f>
        <v>0.85517738058810799</v>
      </c>
      <c r="AB557" s="17">
        <f ca="1">IFERROR(__xludf.DUMMYFUNCTION("""COMPUTED_VALUE"""),0.565329108028708)</f>
        <v>0.56532910802870795</v>
      </c>
      <c r="AC557" s="17">
        <f ca="1">IFERROR(__xludf.DUMMYFUNCTION("""COMPUTED_VALUE"""),0.592478727048161)</f>
        <v>0.59247872704816096</v>
      </c>
      <c r="AD557" s="17">
        <f ca="1">IFERROR(__xludf.DUMMYFUNCTION("""COMPUTED_VALUE"""),0.390368848248897)</f>
        <v>0.390368848248897</v>
      </c>
      <c r="AE557" s="17">
        <f ca="1">IFERROR(__xludf.DUMMYFUNCTION("""COMPUTED_VALUE"""),0.484594458312778)</f>
        <v>0.48459445831277798</v>
      </c>
      <c r="AF557" s="17">
        <f ca="1">IFERROR(__xludf.DUMMYFUNCTION("""COMPUTED_VALUE"""),0.750771129005917)</f>
        <v>0.75077112900591703</v>
      </c>
      <c r="AG557" s="17">
        <f ca="1">IFERROR(__xludf.DUMMYFUNCTION("""COMPUTED_VALUE"""),0.633680151969682)</f>
        <v>0.63368015196968197</v>
      </c>
      <c r="AH557" s="17">
        <f ca="1">IFERROR(__xludf.DUMMYFUNCTION("""COMPUTED_VALUE"""),0.654039466645585)</f>
        <v>0.65403946664558499</v>
      </c>
      <c r="AI557" s="17">
        <f ca="1">IFERROR(__xludf.DUMMYFUNCTION("""COMPUTED_VALUE"""),0.620815202502922)</f>
        <v>0.62081520250292199</v>
      </c>
      <c r="AJ557" s="17">
        <f ca="1">IFERROR(__xludf.DUMMYFUNCTION("""COMPUTED_VALUE"""),0.62013214267772)</f>
        <v>0.62013214267771999</v>
      </c>
    </row>
    <row r="558" spans="2:36" ht="15.75" customHeight="1" x14ac:dyDescent="0.45">
      <c r="B558" s="10" t="str">
        <f ca="1">IFERROR(__xludf.DUMMYFUNCTION("""COMPUTED_VALUE"""),"MoteStrain")</f>
        <v>MoteStrain</v>
      </c>
      <c r="C558" s="10" t="str">
        <f ca="1">IFERROR(__xludf.DUMMYFUNCTION("""COMPUTED_VALUE"""),"aligned_series")</f>
        <v>aligned_series</v>
      </c>
      <c r="D558" s="10">
        <f ca="1">IFERROR(__xludf.DUMMYFUNCTION("""COMPUTED_VALUE"""),0.2)</f>
        <v>0.2</v>
      </c>
      <c r="E558" s="17">
        <f ca="1">IFERROR(__xludf.DUMMYFUNCTION("""COMPUTED_VALUE"""),0.704625346928279)</f>
        <v>0.70462534692827905</v>
      </c>
      <c r="F558" s="17">
        <f ca="1">IFERROR(__xludf.DUMMYFUNCTION("""COMPUTED_VALUE"""),1.65453518506933)</f>
        <v>1.65453518506933</v>
      </c>
      <c r="G558" s="17">
        <f ca="1">IFERROR(__xludf.DUMMYFUNCTION("""COMPUTED_VALUE"""),3.33413693168725)</f>
        <v>3.33413693168725</v>
      </c>
      <c r="H558" s="17">
        <f ca="1">IFERROR(__xludf.DUMMYFUNCTION("""COMPUTED_VALUE"""),0.418221204363446)</f>
        <v>0.41822120436344601</v>
      </c>
      <c r="I558" s="17">
        <f ca="1">IFERROR(__xludf.DUMMYFUNCTION("""COMPUTED_VALUE"""),0.372374936691137)</f>
        <v>0.37237493669113703</v>
      </c>
      <c r="J558" s="17">
        <f ca="1">IFERROR(__xludf.DUMMYFUNCTION("""COMPUTED_VALUE"""),0.424387932812843)</f>
        <v>0.42438793281284298</v>
      </c>
      <c r="K558" s="17" t="str">
        <f ca="1">IFERROR(__xludf.DUMMYFUNCTION("""COMPUTED_VALUE"""),"nan")</f>
        <v>nan</v>
      </c>
      <c r="L558" s="17">
        <f ca="1">IFERROR(__xludf.DUMMYFUNCTION("""COMPUTED_VALUE"""),0.682152956052879)</f>
        <v>0.68215295605287896</v>
      </c>
      <c r="M558" s="17">
        <f ca="1">IFERROR(__xludf.DUMMYFUNCTION("""COMPUTED_VALUE"""),0.465578890791273)</f>
        <v>0.46557889079127301</v>
      </c>
      <c r="N558" s="17">
        <f ca="1">IFERROR(__xludf.DUMMYFUNCTION("""COMPUTED_VALUE"""),0.404916162869397)</f>
        <v>0.40491616286939702</v>
      </c>
      <c r="O558" s="17">
        <f ca="1">IFERROR(__xludf.DUMMYFUNCTION("""COMPUTED_VALUE"""),0.504164790563333)</f>
        <v>0.50416479056333297</v>
      </c>
      <c r="P558" s="17">
        <f ca="1">IFERROR(__xludf.DUMMYFUNCTION("""COMPUTED_VALUE"""),0.501845093992264)</f>
        <v>0.50184509399226396</v>
      </c>
      <c r="Q558" s="17">
        <f ca="1">IFERROR(__xludf.DUMMYFUNCTION("""COMPUTED_VALUE"""),0.701236708763748)</f>
        <v>0.701236708763748</v>
      </c>
      <c r="R558" s="17">
        <f ca="1">IFERROR(__xludf.DUMMYFUNCTION("""COMPUTED_VALUE"""),0.757084669011196)</f>
        <v>0.75708466901119598</v>
      </c>
      <c r="S558" s="17">
        <f ca="1">IFERROR(__xludf.DUMMYFUNCTION("""COMPUTED_VALUE"""),0.471798094708707)</f>
        <v>0.47179809470870698</v>
      </c>
      <c r="T558" s="17">
        <f ca="1">IFERROR(__xludf.DUMMYFUNCTION("""COMPUTED_VALUE"""),0.591614353782976)</f>
        <v>0.591614353782976</v>
      </c>
      <c r="U558" s="17">
        <f ca="1">IFERROR(__xludf.DUMMYFUNCTION("""COMPUTED_VALUE"""),0.49088308234322)</f>
        <v>0.49088308234321998</v>
      </c>
      <c r="V558" s="17">
        <f ca="1">IFERROR(__xludf.DUMMYFUNCTION("""COMPUTED_VALUE"""),0.496284725197999)</f>
        <v>0.49628472519799899</v>
      </c>
      <c r="W558" s="17">
        <f ca="1">IFERROR(__xludf.DUMMYFUNCTION("""COMPUTED_VALUE"""),0.385905508190499)</f>
        <v>0.38590550819049901</v>
      </c>
      <c r="X558" s="17">
        <f ca="1">IFERROR(__xludf.DUMMYFUNCTION("""COMPUTED_VALUE"""),0.478252355955691)</f>
        <v>0.47825235595569099</v>
      </c>
      <c r="Y558" s="17">
        <f ca="1">IFERROR(__xludf.DUMMYFUNCTION("""COMPUTED_VALUE"""),0.490315895291844)</f>
        <v>0.490315895291844</v>
      </c>
      <c r="Z558" s="17">
        <f ca="1">IFERROR(__xludf.DUMMYFUNCTION("""COMPUTED_VALUE"""),0.413715687694984)</f>
        <v>0.41371568769498401</v>
      </c>
      <c r="AA558" s="17">
        <f ca="1">IFERROR(__xludf.DUMMYFUNCTION("""COMPUTED_VALUE"""),0.608290835666705)</f>
        <v>0.60829083566670505</v>
      </c>
      <c r="AB558" s="17">
        <f ca="1">IFERROR(__xludf.DUMMYFUNCTION("""COMPUTED_VALUE"""),1.1197160359294)</f>
        <v>1.1197160359294001</v>
      </c>
      <c r="AC558" s="17">
        <f ca="1">IFERROR(__xludf.DUMMYFUNCTION("""COMPUTED_VALUE"""),0.58102658341989)</f>
        <v>0.58102658341989</v>
      </c>
      <c r="AD558" s="17">
        <f ca="1">IFERROR(__xludf.DUMMYFUNCTION("""COMPUTED_VALUE"""),0.382283849136331)</f>
        <v>0.38228384913633101</v>
      </c>
      <c r="AE558" s="17">
        <f ca="1">IFERROR(__xludf.DUMMYFUNCTION("""COMPUTED_VALUE"""),0.669588885048575)</f>
        <v>0.66958888504857506</v>
      </c>
      <c r="AF558" s="17">
        <f ca="1">IFERROR(__xludf.DUMMYFUNCTION("""COMPUTED_VALUE"""),0.577845321283936)</f>
        <v>0.57784532128393595</v>
      </c>
      <c r="AG558" s="17">
        <f ca="1">IFERROR(__xludf.DUMMYFUNCTION("""COMPUTED_VALUE"""),0.701136150713043)</f>
        <v>0.70113615071304303</v>
      </c>
      <c r="AH558" s="17">
        <f ca="1">IFERROR(__xludf.DUMMYFUNCTION("""COMPUTED_VALUE"""),1.03992256320971)</f>
        <v>1.03992256320971</v>
      </c>
      <c r="AI558" s="17">
        <f ca="1">IFERROR(__xludf.DUMMYFUNCTION("""COMPUTED_VALUE"""),0.720388694594596)</f>
        <v>0.72038869459459598</v>
      </c>
      <c r="AJ558" s="17">
        <f ca="1">IFERROR(__xludf.DUMMYFUNCTION("""COMPUTED_VALUE"""),0.72735599069144)</f>
        <v>0.72735599069143997</v>
      </c>
    </row>
    <row r="559" spans="2:36" ht="15.75" customHeight="1" x14ac:dyDescent="0.45">
      <c r="B559" s="10" t="str">
        <f ca="1">IFERROR(__xludf.DUMMYFUNCTION("""COMPUTED_VALUE"""),"MoteStrain")</f>
        <v>MoteStrain</v>
      </c>
      <c r="C559" s="10" t="str">
        <f ca="1">IFERROR(__xludf.DUMMYFUNCTION("""COMPUTED_VALUE"""),"aligned_series")</f>
        <v>aligned_series</v>
      </c>
      <c r="D559" s="10">
        <f ca="1">IFERROR(__xludf.DUMMYFUNCTION("""COMPUTED_VALUE"""),0.4)</f>
        <v>0.4</v>
      </c>
      <c r="E559" s="17">
        <f ca="1">IFERROR(__xludf.DUMMYFUNCTION("""COMPUTED_VALUE"""),0.761362929358029)</f>
        <v>0.76136292935802896</v>
      </c>
      <c r="F559" s="17">
        <f ca="1">IFERROR(__xludf.DUMMYFUNCTION("""COMPUTED_VALUE"""),1.31885713491749)</f>
        <v>1.31885713491749</v>
      </c>
      <c r="G559" s="17">
        <f ca="1">IFERROR(__xludf.DUMMYFUNCTION("""COMPUTED_VALUE"""),2.49059161794145)</f>
        <v>2.4905916179414498</v>
      </c>
      <c r="H559" s="17">
        <f ca="1">IFERROR(__xludf.DUMMYFUNCTION("""COMPUTED_VALUE"""),0.528079798591983)</f>
        <v>0.52807979859198295</v>
      </c>
      <c r="I559" s="17">
        <f ca="1">IFERROR(__xludf.DUMMYFUNCTION("""COMPUTED_VALUE"""),0.420568080052407)</f>
        <v>0.42056808005240698</v>
      </c>
      <c r="J559" s="17">
        <f ca="1">IFERROR(__xludf.DUMMYFUNCTION("""COMPUTED_VALUE"""),0.481095871077679)</f>
        <v>0.48109587107767898</v>
      </c>
      <c r="K559" s="17" t="str">
        <f ca="1">IFERROR(__xludf.DUMMYFUNCTION("""COMPUTED_VALUE"""),"nan")</f>
        <v>nan</v>
      </c>
      <c r="L559" s="17">
        <f ca="1">IFERROR(__xludf.DUMMYFUNCTION("""COMPUTED_VALUE"""),0.724821504765804)</f>
        <v>0.72482150476580398</v>
      </c>
      <c r="M559" s="17">
        <f ca="1">IFERROR(__xludf.DUMMYFUNCTION("""COMPUTED_VALUE"""),0.574252554466619)</f>
        <v>0.57425255446661905</v>
      </c>
      <c r="N559" s="17">
        <f ca="1">IFERROR(__xludf.DUMMYFUNCTION("""COMPUTED_VALUE"""),0.406135760830877)</f>
        <v>0.40613576083087699</v>
      </c>
      <c r="O559" s="17">
        <f ca="1">IFERROR(__xludf.DUMMYFUNCTION("""COMPUTED_VALUE"""),0.506412312178488)</f>
        <v>0.50641231217848803</v>
      </c>
      <c r="P559" s="17">
        <f ca="1">IFERROR(__xludf.DUMMYFUNCTION("""COMPUTED_VALUE"""),1.06986728720021)</f>
        <v>1.06986728720021</v>
      </c>
      <c r="Q559" s="17">
        <f ca="1">IFERROR(__xludf.DUMMYFUNCTION("""COMPUTED_VALUE"""),0.931450241894706)</f>
        <v>0.93145024189470604</v>
      </c>
      <c r="R559" s="17">
        <f ca="1">IFERROR(__xludf.DUMMYFUNCTION("""COMPUTED_VALUE"""),0.742644290077991)</f>
        <v>0.74264429007799104</v>
      </c>
      <c r="S559" s="17">
        <f ca="1">IFERROR(__xludf.DUMMYFUNCTION("""COMPUTED_VALUE"""),0.509119241054561)</f>
        <v>0.50911924105456097</v>
      </c>
      <c r="T559" s="17">
        <f ca="1">IFERROR(__xludf.DUMMYFUNCTION("""COMPUTED_VALUE"""),0.461188309143445)</f>
        <v>0.461188309143445</v>
      </c>
      <c r="U559" s="17">
        <f ca="1">IFERROR(__xludf.DUMMYFUNCTION("""COMPUTED_VALUE"""),0.448789804097623)</f>
        <v>0.44878980409762298</v>
      </c>
      <c r="V559" s="17">
        <f ca="1">IFERROR(__xludf.DUMMYFUNCTION("""COMPUTED_VALUE"""),0.463916632084426)</f>
        <v>0.46391663208442602</v>
      </c>
      <c r="W559" s="17">
        <f ca="1">IFERROR(__xludf.DUMMYFUNCTION("""COMPUTED_VALUE"""),0.400430869742711)</f>
        <v>0.40043086974271103</v>
      </c>
      <c r="X559" s="17">
        <f ca="1">IFERROR(__xludf.DUMMYFUNCTION("""COMPUTED_VALUE"""),0.492562641276588)</f>
        <v>0.492562641276588</v>
      </c>
      <c r="Y559" s="17">
        <f ca="1">IFERROR(__xludf.DUMMYFUNCTION("""COMPUTED_VALUE"""),0.502879493737347)</f>
        <v>0.50287949373734697</v>
      </c>
      <c r="Z559" s="17">
        <f ca="1">IFERROR(__xludf.DUMMYFUNCTION("""COMPUTED_VALUE"""),0.472464592613793)</f>
        <v>0.47246459261379298</v>
      </c>
      <c r="AA559" s="17">
        <f ca="1">IFERROR(__xludf.DUMMYFUNCTION("""COMPUTED_VALUE"""),0.505815297343931)</f>
        <v>0.50581529734393105</v>
      </c>
      <c r="AB559" s="17">
        <f ca="1">IFERROR(__xludf.DUMMYFUNCTION("""COMPUTED_VALUE"""),0.962592251488332)</f>
        <v>0.96259225148833205</v>
      </c>
      <c r="AC559" s="17">
        <f ca="1">IFERROR(__xludf.DUMMYFUNCTION("""COMPUTED_VALUE"""),0.628318696260006)</f>
        <v>0.62831869626000603</v>
      </c>
      <c r="AD559" s="17">
        <f ca="1">IFERROR(__xludf.DUMMYFUNCTION("""COMPUTED_VALUE"""),0.532870983054169)</f>
        <v>0.53287098305416902</v>
      </c>
      <c r="AE559" s="17">
        <f ca="1">IFERROR(__xludf.DUMMYFUNCTION("""COMPUTED_VALUE"""),0.725767976945191)</f>
        <v>0.72576797694519102</v>
      </c>
      <c r="AF559" s="17">
        <f ca="1">IFERROR(__xludf.DUMMYFUNCTION("""COMPUTED_VALUE"""),0.562738946151885)</f>
        <v>0.56273894615188502</v>
      </c>
      <c r="AG559" s="17">
        <f ca="1">IFERROR(__xludf.DUMMYFUNCTION("""COMPUTED_VALUE"""),0.838954754969165)</f>
        <v>0.83895475496916505</v>
      </c>
      <c r="AH559" s="17">
        <f ca="1">IFERROR(__xludf.DUMMYFUNCTION("""COMPUTED_VALUE"""),1.12431843380819)</f>
        <v>1.12431843380819</v>
      </c>
      <c r="AI559" s="17">
        <f ca="1">IFERROR(__xludf.DUMMYFUNCTION("""COMPUTED_VALUE"""),0.789539861962915)</f>
        <v>0.78953986196291503</v>
      </c>
      <c r="AJ559" s="17">
        <f ca="1">IFERROR(__xludf.DUMMYFUNCTION("""COMPUTED_VALUE"""),0.79440046360516)</f>
        <v>0.79440046360516003</v>
      </c>
    </row>
    <row r="560" spans="2:36" ht="15.75" customHeight="1" x14ac:dyDescent="0.45">
      <c r="B560" s="10" t="str">
        <f ca="1">IFERROR(__xludf.DUMMYFUNCTION("""COMPUTED_VALUE"""),"MoteStrain")</f>
        <v>MoteStrain</v>
      </c>
      <c r="C560" s="10" t="str">
        <f ca="1">IFERROR(__xludf.DUMMYFUNCTION("""COMPUTED_VALUE"""),"aligned_series")</f>
        <v>aligned_series</v>
      </c>
      <c r="D560" s="10">
        <f ca="1">IFERROR(__xludf.DUMMYFUNCTION("""COMPUTED_VALUE"""),0.6)</f>
        <v>0.6</v>
      </c>
      <c r="E560" s="17">
        <f ca="1">IFERROR(__xludf.DUMMYFUNCTION("""COMPUTED_VALUE"""),0.732139187474998)</f>
        <v>0.73213918747499795</v>
      </c>
      <c r="F560" s="17">
        <f ca="1">IFERROR(__xludf.DUMMYFUNCTION("""COMPUTED_VALUE"""),1.17661718250795)</f>
        <v>1.1766171825079501</v>
      </c>
      <c r="G560" s="17">
        <f ca="1">IFERROR(__xludf.DUMMYFUNCTION("""COMPUTED_VALUE"""),2.05979324130628)</f>
        <v>2.0597932413062798</v>
      </c>
      <c r="H560" s="17">
        <f ca="1">IFERROR(__xludf.DUMMYFUNCTION("""COMPUTED_VALUE"""),1.07133605995998)</f>
        <v>1.0713360599599799</v>
      </c>
      <c r="I560" s="17">
        <f ca="1">IFERROR(__xludf.DUMMYFUNCTION("""COMPUTED_VALUE"""),0.491145809517577)</f>
        <v>0.49114580951757703</v>
      </c>
      <c r="J560" s="17">
        <f ca="1">IFERROR(__xludf.DUMMYFUNCTION("""COMPUTED_VALUE"""),0.615995465389757)</f>
        <v>0.61599546538975702</v>
      </c>
      <c r="K560" s="17" t="str">
        <f ca="1">IFERROR(__xludf.DUMMYFUNCTION("""COMPUTED_VALUE"""),"nan")</f>
        <v>nan</v>
      </c>
      <c r="L560" s="17">
        <f ca="1">IFERROR(__xludf.DUMMYFUNCTION("""COMPUTED_VALUE"""),0.80078457383151)</f>
        <v>0.80078457383151003</v>
      </c>
      <c r="M560" s="17">
        <f ca="1">IFERROR(__xludf.DUMMYFUNCTION("""COMPUTED_VALUE"""),0.598006536198625)</f>
        <v>0.59800653619862498</v>
      </c>
      <c r="N560" s="17">
        <f ca="1">IFERROR(__xludf.DUMMYFUNCTION("""COMPUTED_VALUE"""),0.472090815571357)</f>
        <v>0.47209081557135701</v>
      </c>
      <c r="O560" s="17">
        <f ca="1">IFERROR(__xludf.DUMMYFUNCTION("""COMPUTED_VALUE"""),0.557166464732618)</f>
        <v>0.55716646473261799</v>
      </c>
      <c r="P560" s="17">
        <f ca="1">IFERROR(__xludf.DUMMYFUNCTION("""COMPUTED_VALUE"""),0.980538585050984)</f>
        <v>0.98053858505098401</v>
      </c>
      <c r="Q560" s="17">
        <f ca="1">IFERROR(__xludf.DUMMYFUNCTION("""COMPUTED_VALUE"""),0.847931878809021)</f>
        <v>0.84793187880902099</v>
      </c>
      <c r="R560" s="17">
        <f ca="1">IFERROR(__xludf.DUMMYFUNCTION("""COMPUTED_VALUE"""),0.79219095494986)</f>
        <v>0.79219095494986003</v>
      </c>
      <c r="S560" s="17">
        <f ca="1">IFERROR(__xludf.DUMMYFUNCTION("""COMPUTED_VALUE"""),0.573117958656319)</f>
        <v>0.57311795865631898</v>
      </c>
      <c r="T560" s="17">
        <f ca="1">IFERROR(__xludf.DUMMYFUNCTION("""COMPUTED_VALUE"""),0.751322983826756)</f>
        <v>0.751322983826756</v>
      </c>
      <c r="U560" s="17">
        <f ca="1">IFERROR(__xludf.DUMMYFUNCTION("""COMPUTED_VALUE"""),0.501795557459196)</f>
        <v>0.50179555745919602</v>
      </c>
      <c r="V560" s="17">
        <f ca="1">IFERROR(__xludf.DUMMYFUNCTION("""COMPUTED_VALUE"""),0.442299211756187)</f>
        <v>0.44229921175618703</v>
      </c>
      <c r="W560" s="17">
        <f ca="1">IFERROR(__xludf.DUMMYFUNCTION("""COMPUTED_VALUE"""),0.420341978019615)</f>
        <v>0.42034197801961498</v>
      </c>
      <c r="X560" s="17">
        <f ca="1">IFERROR(__xludf.DUMMYFUNCTION("""COMPUTED_VALUE"""),0.448330622648772)</f>
        <v>0.44833062264877199</v>
      </c>
      <c r="Y560" s="17">
        <f ca="1">IFERROR(__xludf.DUMMYFUNCTION("""COMPUTED_VALUE"""),0.442471888709291)</f>
        <v>0.44247188870929099</v>
      </c>
      <c r="Z560" s="17">
        <f ca="1">IFERROR(__xludf.DUMMYFUNCTION("""COMPUTED_VALUE"""),0.422058718571968)</f>
        <v>0.42205871857196797</v>
      </c>
      <c r="AA560" s="17">
        <f ca="1">IFERROR(__xludf.DUMMYFUNCTION("""COMPUTED_VALUE"""),0.696607607009401)</f>
        <v>0.69660760700940105</v>
      </c>
      <c r="AB560" s="17">
        <f ca="1">IFERROR(__xludf.DUMMYFUNCTION("""COMPUTED_VALUE"""),1.58983970837593)</f>
        <v>1.5898397083759299</v>
      </c>
      <c r="AC560" s="17">
        <f ca="1">IFERROR(__xludf.DUMMYFUNCTION("""COMPUTED_VALUE"""),0.607441372155043)</f>
        <v>0.60744137215504301</v>
      </c>
      <c r="AD560" s="17">
        <f ca="1">IFERROR(__xludf.DUMMYFUNCTION("""COMPUTED_VALUE"""),0.528541357434932)</f>
        <v>0.52854135743493202</v>
      </c>
      <c r="AE560" s="17">
        <f ca="1">IFERROR(__xludf.DUMMYFUNCTION("""COMPUTED_VALUE"""),0.732069842201725)</f>
        <v>0.732069842201725</v>
      </c>
      <c r="AF560" s="17">
        <f ca="1">IFERROR(__xludf.DUMMYFUNCTION("""COMPUTED_VALUE"""),0.645218754825878)</f>
        <v>0.64521875482587798</v>
      </c>
      <c r="AG560" s="17">
        <f ca="1">IFERROR(__xludf.DUMMYFUNCTION("""COMPUTED_VALUE"""),0.863608144444453)</f>
        <v>0.863608144444453</v>
      </c>
      <c r="AH560" s="17">
        <f ca="1">IFERROR(__xludf.DUMMYFUNCTION("""COMPUTED_VALUE"""),1.03619113190849)</f>
        <v>1.03619113190849</v>
      </c>
      <c r="AI560" s="17">
        <f ca="1">IFERROR(__xludf.DUMMYFUNCTION("""COMPUTED_VALUE"""),0.760164218040253)</f>
        <v>0.76016421804025303</v>
      </c>
      <c r="AJ560" s="17">
        <f ca="1">IFERROR(__xludf.DUMMYFUNCTION("""COMPUTED_VALUE"""),0.759195552216136)</f>
        <v>0.75919555221613599</v>
      </c>
    </row>
    <row r="561" spans="2:36" ht="15.75" customHeight="1" x14ac:dyDescent="0.45">
      <c r="B561" s="10" t="str">
        <f ca="1">IFERROR(__xludf.DUMMYFUNCTION("""COMPUTED_VALUE"""),"MoteStrain")</f>
        <v>MoteStrain</v>
      </c>
      <c r="C561" s="10" t="str">
        <f ca="1">IFERROR(__xludf.DUMMYFUNCTION("""COMPUTED_VALUE"""),"aligned_series")</f>
        <v>aligned_series</v>
      </c>
      <c r="D561" s="10">
        <f ca="1">IFERROR(__xludf.DUMMYFUNCTION("""COMPUTED_VALUE"""),0.8)</f>
        <v>0.8</v>
      </c>
      <c r="E561" s="17">
        <f ca="1">IFERROR(__xludf.DUMMYFUNCTION("""COMPUTED_VALUE"""),0.927256079264062)</f>
        <v>0.92725607926406195</v>
      </c>
      <c r="F561" s="17">
        <f ca="1">IFERROR(__xludf.DUMMYFUNCTION("""COMPUTED_VALUE"""),0.811694608208202)</f>
        <v>0.81169460820820205</v>
      </c>
      <c r="G561" s="17">
        <f ca="1">IFERROR(__xludf.DUMMYFUNCTION("""COMPUTED_VALUE"""),0.960380300653568)</f>
        <v>0.96038030065356805</v>
      </c>
      <c r="H561" s="17">
        <f ca="1">IFERROR(__xludf.DUMMYFUNCTION("""COMPUTED_VALUE"""),1.34095882594688)</f>
        <v>1.3409588259468801</v>
      </c>
      <c r="I561" s="17">
        <f ca="1">IFERROR(__xludf.DUMMYFUNCTION("""COMPUTED_VALUE"""),0.808821401899991)</f>
        <v>0.80882140189999097</v>
      </c>
      <c r="J561" s="17">
        <f ca="1">IFERROR(__xludf.DUMMYFUNCTION("""COMPUTED_VALUE"""),1.07876273674384)</f>
        <v>1.0787627367438399</v>
      </c>
      <c r="K561" s="17" t="str">
        <f ca="1">IFERROR(__xludf.DUMMYFUNCTION("""COMPUTED_VALUE"""),"nan")</f>
        <v>nan</v>
      </c>
      <c r="L561" s="17">
        <f ca="1">IFERROR(__xludf.DUMMYFUNCTION("""COMPUTED_VALUE"""),0.87072259515667)</f>
        <v>0.87072259515667005</v>
      </c>
      <c r="M561" s="17">
        <f ca="1">IFERROR(__xludf.DUMMYFUNCTION("""COMPUTED_VALUE"""),0.923276379426406)</f>
        <v>0.92327637942640595</v>
      </c>
      <c r="N561" s="17">
        <f ca="1">IFERROR(__xludf.DUMMYFUNCTION("""COMPUTED_VALUE"""),0.612314137958543)</f>
        <v>0.61231413795854295</v>
      </c>
      <c r="O561" s="17">
        <f ca="1">IFERROR(__xludf.DUMMYFUNCTION("""COMPUTED_VALUE"""),0.677896831164164)</f>
        <v>0.67789683116416399</v>
      </c>
      <c r="P561" s="17">
        <f ca="1">IFERROR(__xludf.DUMMYFUNCTION("""COMPUTED_VALUE"""),1.11481802265837)</f>
        <v>1.1148180226583699</v>
      </c>
      <c r="Q561" s="17">
        <f ca="1">IFERROR(__xludf.DUMMYFUNCTION("""COMPUTED_VALUE"""),0.90463321122921)</f>
        <v>0.90463321122921003</v>
      </c>
      <c r="R561" s="17">
        <f ca="1">IFERROR(__xludf.DUMMYFUNCTION("""COMPUTED_VALUE"""),0.870934269678377)</f>
        <v>0.87093426967837695</v>
      </c>
      <c r="S561" s="17">
        <f ca="1">IFERROR(__xludf.DUMMYFUNCTION("""COMPUTED_VALUE"""),0.940048167162673)</f>
        <v>0.94004816716267303</v>
      </c>
      <c r="T561" s="17">
        <f ca="1">IFERROR(__xludf.DUMMYFUNCTION("""COMPUTED_VALUE"""),0.877673843591976)</f>
        <v>0.87767384359197598</v>
      </c>
      <c r="U561" s="17">
        <f ca="1">IFERROR(__xludf.DUMMYFUNCTION("""COMPUTED_VALUE"""),0.624802785446437)</f>
        <v>0.62480278544643697</v>
      </c>
      <c r="V561" s="17">
        <f ca="1">IFERROR(__xludf.DUMMYFUNCTION("""COMPUTED_VALUE"""),0.726275265653132)</f>
        <v>0.72627526565313205</v>
      </c>
      <c r="W561" s="17">
        <f ca="1">IFERROR(__xludf.DUMMYFUNCTION("""COMPUTED_VALUE"""),0.627327694590019)</f>
        <v>0.62732769459001902</v>
      </c>
      <c r="X561" s="17">
        <f ca="1">IFERROR(__xludf.DUMMYFUNCTION("""COMPUTED_VALUE"""),0.71899280751773)</f>
        <v>0.71899280751772998</v>
      </c>
      <c r="Y561" s="17">
        <f ca="1">IFERROR(__xludf.DUMMYFUNCTION("""COMPUTED_VALUE"""),0.633913844455449)</f>
        <v>0.63391384445544896</v>
      </c>
      <c r="Z561" s="17">
        <f ca="1">IFERROR(__xludf.DUMMYFUNCTION("""COMPUTED_VALUE"""),0.690835178738548)</f>
        <v>0.69083517873854805</v>
      </c>
      <c r="AA561" s="17">
        <f ca="1">IFERROR(__xludf.DUMMYFUNCTION("""COMPUTED_VALUE"""),0.751565126077211)</f>
        <v>0.75156512607721104</v>
      </c>
      <c r="AB561" s="17">
        <f ca="1">IFERROR(__xludf.DUMMYFUNCTION("""COMPUTED_VALUE"""),3.74355931309373)</f>
        <v>3.7435593130937299</v>
      </c>
      <c r="AC561" s="17">
        <f ca="1">IFERROR(__xludf.DUMMYFUNCTION("""COMPUTED_VALUE"""),0.807739210377108)</f>
        <v>0.80773921037710805</v>
      </c>
      <c r="AD561" s="17">
        <f ca="1">IFERROR(__xludf.DUMMYFUNCTION("""COMPUTED_VALUE"""),0.672502766293535)</f>
        <v>0.672502766293535</v>
      </c>
      <c r="AE561" s="17">
        <f ca="1">IFERROR(__xludf.DUMMYFUNCTION("""COMPUTED_VALUE"""),0.893933453885263)</f>
        <v>0.89393345388526302</v>
      </c>
      <c r="AF561" s="17">
        <f ca="1">IFERROR(__xludf.DUMMYFUNCTION("""COMPUTED_VALUE"""),0.793775316832951)</f>
        <v>0.79377531683295099</v>
      </c>
      <c r="AG561" s="17">
        <f ca="1">IFERROR(__xludf.DUMMYFUNCTION("""COMPUTED_VALUE"""),0.995327579682365)</f>
        <v>0.99532757968236496</v>
      </c>
      <c r="AH561" s="17">
        <f ca="1">IFERROR(__xludf.DUMMYFUNCTION("""COMPUTED_VALUE"""),1.17374950247996)</f>
        <v>1.17374950247996</v>
      </c>
      <c r="AI561" s="17">
        <f ca="1">IFERROR(__xludf.DUMMYFUNCTION("""COMPUTED_VALUE"""),0.895288557783721)</f>
        <v>0.89528855778372096</v>
      </c>
      <c r="AJ561" s="17">
        <f ca="1">IFERROR(__xludf.DUMMYFUNCTION("""COMPUTED_VALUE"""),0.903945715531186)</f>
        <v>0.90394571553118597</v>
      </c>
    </row>
    <row r="562" spans="2:36" ht="15.75" customHeight="1" x14ac:dyDescent="0.45">
      <c r="B562" s="10" t="str">
        <f ca="1">IFERROR(__xludf.DUMMYFUNCTION("""COMPUTED_VALUE"""),"MoteStrain")</f>
        <v>MoteStrain</v>
      </c>
      <c r="C562" s="10" t="str">
        <f ca="1">IFERROR(__xludf.DUMMYFUNCTION("""COMPUTED_VALUE"""),"aligned_timestamps")</f>
        <v>aligned_timestamps</v>
      </c>
      <c r="D562" s="10">
        <f ca="1">IFERROR(__xludf.DUMMYFUNCTION("""COMPUTED_VALUE"""),0.1)</f>
        <v>0.1</v>
      </c>
      <c r="E562" s="17">
        <f ca="1">IFERROR(__xludf.DUMMYFUNCTION("""COMPUTED_VALUE"""),0.851894177039006)</f>
        <v>0.85189417703900605</v>
      </c>
      <c r="F562" s="17">
        <f ca="1">IFERROR(__xludf.DUMMYFUNCTION("""COMPUTED_VALUE"""),0.72325243587486)</f>
        <v>0.72325243587485999</v>
      </c>
      <c r="G562" s="17">
        <f ca="1">IFERROR(__xludf.DUMMYFUNCTION("""COMPUTED_VALUE"""),1.57671109708295)</f>
        <v>1.5767110970829501</v>
      </c>
      <c r="H562" s="17">
        <f ca="1">IFERROR(__xludf.DUMMYFUNCTION("""COMPUTED_VALUE"""),0.493865515721)</f>
        <v>0.49386551572100001</v>
      </c>
      <c r="I562" s="17">
        <f ca="1">IFERROR(__xludf.DUMMYFUNCTION("""COMPUTED_VALUE"""),0.470685422825956)</f>
        <v>0.47068542282595599</v>
      </c>
      <c r="J562" s="17">
        <f ca="1">IFERROR(__xludf.DUMMYFUNCTION("""COMPUTED_VALUE"""),0.504864529991051)</f>
        <v>0.50486452999105103</v>
      </c>
      <c r="K562" s="17" t="str">
        <f ca="1">IFERROR(__xludf.DUMMYFUNCTION("""COMPUTED_VALUE"""),"nan")</f>
        <v>nan</v>
      </c>
      <c r="L562" s="17">
        <f ca="1">IFERROR(__xludf.DUMMYFUNCTION("""COMPUTED_VALUE"""),0.503829050899714)</f>
        <v>0.50382905089971397</v>
      </c>
      <c r="M562" s="17">
        <f ca="1">IFERROR(__xludf.DUMMYFUNCTION("""COMPUTED_VALUE"""),0.480063591763072)</f>
        <v>0.48006359176307201</v>
      </c>
      <c r="N562" s="17">
        <f ca="1">IFERROR(__xludf.DUMMYFUNCTION("""COMPUTED_VALUE"""),0.512189377233517)</f>
        <v>0.51218937723351698</v>
      </c>
      <c r="O562" s="17">
        <f ca="1">IFERROR(__xludf.DUMMYFUNCTION("""COMPUTED_VALUE"""),0.620181453741922)</f>
        <v>0.62018145374192202</v>
      </c>
      <c r="P562" s="17">
        <f ca="1">IFERROR(__xludf.DUMMYFUNCTION("""COMPUTED_VALUE"""),0.635232839934257)</f>
        <v>0.63523283993425705</v>
      </c>
      <c r="Q562" s="17">
        <f ca="1">IFERROR(__xludf.DUMMYFUNCTION("""COMPUTED_VALUE"""),0.751564869194499)</f>
        <v>0.75156486919449905</v>
      </c>
      <c r="R562" s="17">
        <f ca="1">IFERROR(__xludf.DUMMYFUNCTION("""COMPUTED_VALUE"""),0.509244735491052)</f>
        <v>0.50924473549105198</v>
      </c>
      <c r="S562" s="17">
        <f ca="1">IFERROR(__xludf.DUMMYFUNCTION("""COMPUTED_VALUE"""),0.535469744155605)</f>
        <v>0.535469744155605</v>
      </c>
      <c r="T562" s="17">
        <f ca="1">IFERROR(__xludf.DUMMYFUNCTION("""COMPUTED_VALUE"""),0.723399616495498)</f>
        <v>0.723399616495498</v>
      </c>
      <c r="U562" s="17">
        <f ca="1">IFERROR(__xludf.DUMMYFUNCTION("""COMPUTED_VALUE"""),0.41674020939707)</f>
        <v>0.41674020939707002</v>
      </c>
      <c r="V562" s="17">
        <f ca="1">IFERROR(__xludf.DUMMYFUNCTION("""COMPUTED_VALUE"""),0.522694464295748)</f>
        <v>0.52269446429574795</v>
      </c>
      <c r="W562" s="17">
        <f ca="1">IFERROR(__xludf.DUMMYFUNCTION("""COMPUTED_VALUE"""),0.516485474407377)</f>
        <v>0.51648547440737702</v>
      </c>
      <c r="X562" s="17">
        <f ca="1">IFERROR(__xludf.DUMMYFUNCTION("""COMPUTED_VALUE"""),0.622508956501377)</f>
        <v>0.62250895650137705</v>
      </c>
      <c r="Y562" s="17">
        <f ca="1">IFERROR(__xludf.DUMMYFUNCTION("""COMPUTED_VALUE"""),0.558415645077955)</f>
        <v>0.55841564507795505</v>
      </c>
      <c r="Z562" s="17">
        <f ca="1">IFERROR(__xludf.DUMMYFUNCTION("""COMPUTED_VALUE"""),0.623040162366324)</f>
        <v>0.62304016236632398</v>
      </c>
      <c r="AA562" s="17">
        <f ca="1">IFERROR(__xludf.DUMMYFUNCTION("""COMPUTED_VALUE"""),0.483003925805193)</f>
        <v>0.48300392580519302</v>
      </c>
      <c r="AB562" s="17">
        <f ca="1">IFERROR(__xludf.DUMMYFUNCTION("""COMPUTED_VALUE"""),1.12704550565134)</f>
        <v>1.12704550565134</v>
      </c>
      <c r="AC562" s="17">
        <f ca="1">IFERROR(__xludf.DUMMYFUNCTION("""COMPUTED_VALUE"""),0.525036922223562)</f>
        <v>0.52503692222356202</v>
      </c>
      <c r="AD562" s="17">
        <f ca="1">IFERROR(__xludf.DUMMYFUNCTION("""COMPUTED_VALUE"""),0.599274876750541)</f>
        <v>0.59927487675054103</v>
      </c>
      <c r="AE562" s="17">
        <f ca="1">IFERROR(__xludf.DUMMYFUNCTION("""COMPUTED_VALUE"""),0.708246477127883)</f>
        <v>0.70824647712788302</v>
      </c>
      <c r="AF562" s="17">
        <f ca="1">IFERROR(__xludf.DUMMYFUNCTION("""COMPUTED_VALUE"""),0.326154011441667)</f>
        <v>0.326154011441667</v>
      </c>
      <c r="AG562" s="17">
        <f ca="1">IFERROR(__xludf.DUMMYFUNCTION("""COMPUTED_VALUE"""),1.11387825846492)</f>
        <v>1.1138782584649201</v>
      </c>
      <c r="AH562" s="17">
        <f ca="1">IFERROR(__xludf.DUMMYFUNCTION("""COMPUTED_VALUE"""),0.915084099172952)</f>
        <v>0.91508409917295197</v>
      </c>
      <c r="AI562" s="17">
        <f ca="1">IFERROR(__xludf.DUMMYFUNCTION("""COMPUTED_VALUE"""),0.404382833716453)</f>
        <v>0.40438283371645301</v>
      </c>
      <c r="AJ562" s="17">
        <f ca="1">IFERROR(__xludf.DUMMYFUNCTION("""COMPUTED_VALUE"""),0.653330016739472)</f>
        <v>0.653330016739472</v>
      </c>
    </row>
    <row r="563" spans="2:36" ht="15.75" customHeight="1" x14ac:dyDescent="0.45">
      <c r="B563" s="10" t="str">
        <f ca="1">IFERROR(__xludf.DUMMYFUNCTION("""COMPUTED_VALUE"""),"MoteStrain")</f>
        <v>MoteStrain</v>
      </c>
      <c r="C563" s="10" t="str">
        <f ca="1">IFERROR(__xludf.DUMMYFUNCTION("""COMPUTED_VALUE"""),"aligned_timestamps")</f>
        <v>aligned_timestamps</v>
      </c>
      <c r="D563" s="10">
        <f ca="1">IFERROR(__xludf.DUMMYFUNCTION("""COMPUTED_VALUE"""),0.2)</f>
        <v>0.2</v>
      </c>
      <c r="E563" s="17">
        <f ca="1">IFERROR(__xludf.DUMMYFUNCTION("""COMPUTED_VALUE"""),0.704625346928279)</f>
        <v>0.70462534692827905</v>
      </c>
      <c r="F563" s="17">
        <f ca="1">IFERROR(__xludf.DUMMYFUNCTION("""COMPUTED_VALUE"""),1.65453518506933)</f>
        <v>1.65453518506933</v>
      </c>
      <c r="G563" s="17">
        <f ca="1">IFERROR(__xludf.DUMMYFUNCTION("""COMPUTED_VALUE"""),3.33413693168725)</f>
        <v>3.33413693168725</v>
      </c>
      <c r="H563" s="17">
        <f ca="1">IFERROR(__xludf.DUMMYFUNCTION("""COMPUTED_VALUE"""),0.418221204363446)</f>
        <v>0.41822120436344601</v>
      </c>
      <c r="I563" s="17">
        <f ca="1">IFERROR(__xludf.DUMMYFUNCTION("""COMPUTED_VALUE"""),0.372374936691137)</f>
        <v>0.37237493669113703</v>
      </c>
      <c r="J563" s="17">
        <f ca="1">IFERROR(__xludf.DUMMYFUNCTION("""COMPUTED_VALUE"""),0.424387932812843)</f>
        <v>0.42438793281284298</v>
      </c>
      <c r="K563" s="17" t="str">
        <f ca="1">IFERROR(__xludf.DUMMYFUNCTION("""COMPUTED_VALUE"""),"nan")</f>
        <v>nan</v>
      </c>
      <c r="L563" s="17">
        <f ca="1">IFERROR(__xludf.DUMMYFUNCTION("""COMPUTED_VALUE"""),0.682152956052879)</f>
        <v>0.68215295605287896</v>
      </c>
      <c r="M563" s="17">
        <f ca="1">IFERROR(__xludf.DUMMYFUNCTION("""COMPUTED_VALUE"""),0.465578890791273)</f>
        <v>0.46557889079127301</v>
      </c>
      <c r="N563" s="17">
        <f ca="1">IFERROR(__xludf.DUMMYFUNCTION("""COMPUTED_VALUE"""),0.404916162869397)</f>
        <v>0.40491616286939702</v>
      </c>
      <c r="O563" s="17">
        <f ca="1">IFERROR(__xludf.DUMMYFUNCTION("""COMPUTED_VALUE"""),0.504164790563333)</f>
        <v>0.50416479056333297</v>
      </c>
      <c r="P563" s="17">
        <f ca="1">IFERROR(__xludf.DUMMYFUNCTION("""COMPUTED_VALUE"""),0.501845093992264)</f>
        <v>0.50184509399226396</v>
      </c>
      <c r="Q563" s="17">
        <f ca="1">IFERROR(__xludf.DUMMYFUNCTION("""COMPUTED_VALUE"""),0.701236708763748)</f>
        <v>0.701236708763748</v>
      </c>
      <c r="R563" s="17">
        <f ca="1">IFERROR(__xludf.DUMMYFUNCTION("""COMPUTED_VALUE"""),0.757084669011196)</f>
        <v>0.75708466901119598</v>
      </c>
      <c r="S563" s="17">
        <f ca="1">IFERROR(__xludf.DUMMYFUNCTION("""COMPUTED_VALUE"""),0.471798094708707)</f>
        <v>0.47179809470870698</v>
      </c>
      <c r="T563" s="17">
        <f ca="1">IFERROR(__xludf.DUMMYFUNCTION("""COMPUTED_VALUE"""),0.591614353782976)</f>
        <v>0.591614353782976</v>
      </c>
      <c r="U563" s="17">
        <f ca="1">IFERROR(__xludf.DUMMYFUNCTION("""COMPUTED_VALUE"""),0.49088308234322)</f>
        <v>0.49088308234321998</v>
      </c>
      <c r="V563" s="17">
        <f ca="1">IFERROR(__xludf.DUMMYFUNCTION("""COMPUTED_VALUE"""),0.496284725197999)</f>
        <v>0.49628472519799899</v>
      </c>
      <c r="W563" s="17">
        <f ca="1">IFERROR(__xludf.DUMMYFUNCTION("""COMPUTED_VALUE"""),0.425257829627728)</f>
        <v>0.42525782962772801</v>
      </c>
      <c r="X563" s="17">
        <f ca="1">IFERROR(__xludf.DUMMYFUNCTION("""COMPUTED_VALUE"""),0.46115379047018)</f>
        <v>0.46115379047018001</v>
      </c>
      <c r="Y563" s="17">
        <f ca="1">IFERROR(__xludf.DUMMYFUNCTION("""COMPUTED_VALUE"""),0.490315895291844)</f>
        <v>0.490315895291844</v>
      </c>
      <c r="Z563" s="17">
        <f ca="1">IFERROR(__xludf.DUMMYFUNCTION("""COMPUTED_VALUE"""),0.413715687694984)</f>
        <v>0.41371568769498401</v>
      </c>
      <c r="AA563" s="17">
        <f ca="1">IFERROR(__xludf.DUMMYFUNCTION("""COMPUTED_VALUE"""),0.608290835666705)</f>
        <v>0.60829083566670505</v>
      </c>
      <c r="AB563" s="17">
        <f ca="1">IFERROR(__xludf.DUMMYFUNCTION("""COMPUTED_VALUE"""),1.15181690205362)</f>
        <v>1.15181690205362</v>
      </c>
      <c r="AC563" s="17">
        <f ca="1">IFERROR(__xludf.DUMMYFUNCTION("""COMPUTED_VALUE"""),0.58102658341989)</f>
        <v>0.58102658341989</v>
      </c>
      <c r="AD563" s="17">
        <f ca="1">IFERROR(__xludf.DUMMYFUNCTION("""COMPUTED_VALUE"""),0.393692649013606)</f>
        <v>0.39369264901360601</v>
      </c>
      <c r="AE563" s="17">
        <f ca="1">IFERROR(__xludf.DUMMYFUNCTION("""COMPUTED_VALUE"""),0.619620150339919)</f>
        <v>0.61962015033991902</v>
      </c>
      <c r="AF563" s="17">
        <f ca="1">IFERROR(__xludf.DUMMYFUNCTION("""COMPUTED_VALUE"""),0.577845321283936)</f>
        <v>0.57784532128393595</v>
      </c>
      <c r="AG563" s="17">
        <f ca="1">IFERROR(__xludf.DUMMYFUNCTION("""COMPUTED_VALUE"""),0.705552698127964)</f>
        <v>0.70555269812796395</v>
      </c>
      <c r="AH563" s="17">
        <f ca="1">IFERROR(__xludf.DUMMYFUNCTION("""COMPUTED_VALUE"""),1.03992256320971)</f>
        <v>1.03992256320971</v>
      </c>
      <c r="AI563" s="17">
        <f ca="1">IFERROR(__xludf.DUMMYFUNCTION("""COMPUTED_VALUE"""),0.720388694594596)</f>
        <v>0.72038869459459598</v>
      </c>
      <c r="AJ563" s="17">
        <f ca="1">IFERROR(__xludf.DUMMYFUNCTION("""COMPUTED_VALUE"""),0.725443580311912)</f>
        <v>0.72544358031191203</v>
      </c>
    </row>
    <row r="564" spans="2:36" ht="15.75" customHeight="1" x14ac:dyDescent="0.45">
      <c r="B564" s="10" t="str">
        <f ca="1">IFERROR(__xludf.DUMMYFUNCTION("""COMPUTED_VALUE"""),"MoteStrain")</f>
        <v>MoteStrain</v>
      </c>
      <c r="C564" s="10" t="str">
        <f ca="1">IFERROR(__xludf.DUMMYFUNCTION("""COMPUTED_VALUE"""),"aligned_timestamps")</f>
        <v>aligned_timestamps</v>
      </c>
      <c r="D564" s="10">
        <f ca="1">IFERROR(__xludf.DUMMYFUNCTION("""COMPUTED_VALUE"""),0.4)</f>
        <v>0.4</v>
      </c>
      <c r="E564" s="17">
        <f ca="1">IFERROR(__xludf.DUMMYFUNCTION("""COMPUTED_VALUE"""),0.891559440649396)</f>
        <v>0.89155944064939596</v>
      </c>
      <c r="F564" s="17">
        <f ca="1">IFERROR(__xludf.DUMMYFUNCTION("""COMPUTED_VALUE"""),1.93318794321711)</f>
        <v>1.93318794321711</v>
      </c>
      <c r="G564" s="17">
        <f ca="1">IFERROR(__xludf.DUMMYFUNCTION("""COMPUTED_VALUE"""),3.56195749996532)</f>
        <v>3.5619574999653199</v>
      </c>
      <c r="H564" s="17">
        <f ca="1">IFERROR(__xludf.DUMMYFUNCTION("""COMPUTED_VALUE"""),0.58137920718439)</f>
        <v>0.58137920718438996</v>
      </c>
      <c r="I564" s="17">
        <f ca="1">IFERROR(__xludf.DUMMYFUNCTION("""COMPUTED_VALUE"""),0.495824958180407)</f>
        <v>0.495824958180407</v>
      </c>
      <c r="J564" s="17">
        <f ca="1">IFERROR(__xludf.DUMMYFUNCTION("""COMPUTED_VALUE"""),0.588715402538738)</f>
        <v>0.588715402538738</v>
      </c>
      <c r="K564" s="17" t="str">
        <f ca="1">IFERROR(__xludf.DUMMYFUNCTION("""COMPUTED_VALUE"""),"nan")</f>
        <v>nan</v>
      </c>
      <c r="L564" s="17">
        <f ca="1">IFERROR(__xludf.DUMMYFUNCTION("""COMPUTED_VALUE"""),0.717272253782556)</f>
        <v>0.71727225378255599</v>
      </c>
      <c r="M564" s="17">
        <f ca="1">IFERROR(__xludf.DUMMYFUNCTION("""COMPUTED_VALUE"""),0.686329688713194)</f>
        <v>0.686329688713194</v>
      </c>
      <c r="N564" s="17">
        <f ca="1">IFERROR(__xludf.DUMMYFUNCTION("""COMPUTED_VALUE"""),0.570876540083079)</f>
        <v>0.57087654008307898</v>
      </c>
      <c r="O564" s="17">
        <f ca="1">IFERROR(__xludf.DUMMYFUNCTION("""COMPUTED_VALUE"""),1.05992594456343)</f>
        <v>1.0599259445634299</v>
      </c>
      <c r="P564" s="17">
        <f ca="1">IFERROR(__xludf.DUMMYFUNCTION("""COMPUTED_VALUE"""),0.859468820222898)</f>
        <v>0.85946882022289794</v>
      </c>
      <c r="Q564" s="17">
        <f ca="1">IFERROR(__xludf.DUMMYFUNCTION("""COMPUTED_VALUE"""),0.686206942405206)</f>
        <v>0.68620694240520597</v>
      </c>
      <c r="R564" s="17">
        <f ca="1">IFERROR(__xludf.DUMMYFUNCTION("""COMPUTED_VALUE"""),0.574120718441623)</f>
        <v>0.57412071844162305</v>
      </c>
      <c r="S564" s="17">
        <f ca="1">IFERROR(__xludf.DUMMYFUNCTION("""COMPUTED_VALUE"""),0.59400185572061)</f>
        <v>0.59400185572061004</v>
      </c>
      <c r="T564" s="17">
        <f ca="1">IFERROR(__xludf.DUMMYFUNCTION("""COMPUTED_VALUE"""),0.670570941740773)</f>
        <v>0.67057094174077303</v>
      </c>
      <c r="U564" s="17">
        <f ca="1">IFERROR(__xludf.DUMMYFUNCTION("""COMPUTED_VALUE"""),0.917407859011669)</f>
        <v>0.91740785901166899</v>
      </c>
      <c r="V564" s="17">
        <f ca="1">IFERROR(__xludf.DUMMYFUNCTION("""COMPUTED_VALUE"""),0.608616463880882)</f>
        <v>0.60861646388088197</v>
      </c>
      <c r="W564" s="17">
        <f ca="1">IFERROR(__xludf.DUMMYFUNCTION("""COMPUTED_VALUE"""),0.525173846296426)</f>
        <v>0.52517384629642605</v>
      </c>
      <c r="X564" s="17">
        <f ca="1">IFERROR(__xludf.DUMMYFUNCTION("""COMPUTED_VALUE"""),0.595858448408943)</f>
        <v>0.59585844840894298</v>
      </c>
      <c r="Y564" s="17">
        <f ca="1">IFERROR(__xludf.DUMMYFUNCTION("""COMPUTED_VALUE"""),0.629629129243)</f>
        <v>0.62962912924299996</v>
      </c>
      <c r="Z564" s="17">
        <f ca="1">IFERROR(__xludf.DUMMYFUNCTION("""COMPUTED_VALUE"""),0.877116322854126)</f>
        <v>0.877116322854126</v>
      </c>
      <c r="AA564" s="17">
        <f ca="1">IFERROR(__xludf.DUMMYFUNCTION("""COMPUTED_VALUE"""),0.629625393388907)</f>
        <v>0.629625393388907</v>
      </c>
      <c r="AB564" s="17">
        <f ca="1">IFERROR(__xludf.DUMMYFUNCTION("""COMPUTED_VALUE"""),1.00639223555915)</f>
        <v>1.0063922355591499</v>
      </c>
      <c r="AC564" s="17">
        <f ca="1">IFERROR(__xludf.DUMMYFUNCTION("""COMPUTED_VALUE"""),0.689450883555472)</f>
        <v>0.68945088355547202</v>
      </c>
      <c r="AD564" s="17">
        <f ca="1">IFERROR(__xludf.DUMMYFUNCTION("""COMPUTED_VALUE"""),0.823762092052778)</f>
        <v>0.82376209205277795</v>
      </c>
      <c r="AE564" s="17">
        <f ca="1">IFERROR(__xludf.DUMMYFUNCTION("""COMPUTED_VALUE"""),0.832686415535361)</f>
        <v>0.83268641553536105</v>
      </c>
      <c r="AF564" s="17">
        <f ca="1">IFERROR(__xludf.DUMMYFUNCTION("""COMPUTED_VALUE"""),0.754406351356104)</f>
        <v>0.75440635135610401</v>
      </c>
      <c r="AG564" s="17">
        <f ca="1">IFERROR(__xludf.DUMMYFUNCTION("""COMPUTED_VALUE"""),0.672216853511745)</f>
        <v>0.67221685351174498</v>
      </c>
      <c r="AH564" s="17">
        <f ca="1">IFERROR(__xludf.DUMMYFUNCTION("""COMPUTED_VALUE"""),0.842551750421131)</f>
        <v>0.84255175042113095</v>
      </c>
      <c r="AI564" s="17">
        <f ca="1">IFERROR(__xludf.DUMMYFUNCTION("""COMPUTED_VALUE"""),0.718389201900992)</f>
        <v>0.71838920190099198</v>
      </c>
      <c r="AJ564" s="17">
        <f ca="1">IFERROR(__xludf.DUMMYFUNCTION("""COMPUTED_VALUE"""),0.83285891491114)</f>
        <v>0.83285891491113995</v>
      </c>
    </row>
    <row r="565" spans="2:36" ht="15.75" customHeight="1" x14ac:dyDescent="0.45">
      <c r="B565" s="10" t="str">
        <f ca="1">IFERROR(__xludf.DUMMYFUNCTION("""COMPUTED_VALUE"""),"MoteStrain")</f>
        <v>MoteStrain</v>
      </c>
      <c r="C565" s="10" t="str">
        <f ca="1">IFERROR(__xludf.DUMMYFUNCTION("""COMPUTED_VALUE"""),"aligned_timestamps")</f>
        <v>aligned_timestamps</v>
      </c>
      <c r="D565" s="10">
        <f ca="1">IFERROR(__xludf.DUMMYFUNCTION("""COMPUTED_VALUE"""),0.6)</f>
        <v>0.6</v>
      </c>
      <c r="E565" s="17">
        <f ca="1">IFERROR(__xludf.DUMMYFUNCTION("""COMPUTED_VALUE"""),0.997530858582462)</f>
        <v>0.99753085858246204</v>
      </c>
      <c r="F565" s="17">
        <f ca="1">IFERROR(__xludf.DUMMYFUNCTION("""COMPUTED_VALUE"""),1.41299946430413)</f>
        <v>1.4129994643041299</v>
      </c>
      <c r="G565" s="17">
        <f ca="1">IFERROR(__xludf.DUMMYFUNCTION("""COMPUTED_VALUE"""),2.35533579757153)</f>
        <v>2.3553357975715299</v>
      </c>
      <c r="H565" s="17">
        <f ca="1">IFERROR(__xludf.DUMMYFUNCTION("""COMPUTED_VALUE"""),0.791080595541079)</f>
        <v>0.79108059554107901</v>
      </c>
      <c r="I565" s="17">
        <f ca="1">IFERROR(__xludf.DUMMYFUNCTION("""COMPUTED_VALUE"""),0.769855349064873)</f>
        <v>0.76985534906487296</v>
      </c>
      <c r="J565" s="17">
        <f ca="1">IFERROR(__xludf.DUMMYFUNCTION("""COMPUTED_VALUE"""),1.06356220379021)</f>
        <v>1.0635622037902099</v>
      </c>
      <c r="K565" s="17" t="str">
        <f ca="1">IFERROR(__xludf.DUMMYFUNCTION("""COMPUTED_VALUE"""),"nan")</f>
        <v>nan</v>
      </c>
      <c r="L565" s="17">
        <f ca="1">IFERROR(__xludf.DUMMYFUNCTION("""COMPUTED_VALUE"""),0.932926595093586)</f>
        <v>0.932926595093586</v>
      </c>
      <c r="M565" s="17">
        <f ca="1">IFERROR(__xludf.DUMMYFUNCTION("""COMPUTED_VALUE"""),0.806487083064177)</f>
        <v>0.80648708306417705</v>
      </c>
      <c r="N565" s="17">
        <f ca="1">IFERROR(__xludf.DUMMYFUNCTION("""COMPUTED_VALUE"""),0.801768675229383)</f>
        <v>0.801768675229383</v>
      </c>
      <c r="O565" s="17">
        <f ca="1">IFERROR(__xludf.DUMMYFUNCTION("""COMPUTED_VALUE"""),1.10733517562101)</f>
        <v>1.1073351756210099</v>
      </c>
      <c r="P565" s="17">
        <f ca="1">IFERROR(__xludf.DUMMYFUNCTION("""COMPUTED_VALUE"""),1.15039804964302)</f>
        <v>1.1503980496430199</v>
      </c>
      <c r="Q565" s="17">
        <f ca="1">IFERROR(__xludf.DUMMYFUNCTION("""COMPUTED_VALUE"""),0.835920886885733)</f>
        <v>0.83592088688573296</v>
      </c>
      <c r="R565" s="17">
        <f ca="1">IFERROR(__xludf.DUMMYFUNCTION("""COMPUTED_VALUE"""),1.62095264143509)</f>
        <v>1.6209526414350901</v>
      </c>
      <c r="S565" s="17">
        <f ca="1">IFERROR(__xludf.DUMMYFUNCTION("""COMPUTED_VALUE"""),1.12866614001731)</f>
        <v>1.1286661400173099</v>
      </c>
      <c r="T565" s="17">
        <f ca="1">IFERROR(__xludf.DUMMYFUNCTION("""COMPUTED_VALUE"""),0.969543487548323)</f>
        <v>0.96954348754832298</v>
      </c>
      <c r="U565" s="17">
        <f ca="1">IFERROR(__xludf.DUMMYFUNCTION("""COMPUTED_VALUE"""),0.9524779939722)</f>
        <v>0.95247799397220001</v>
      </c>
      <c r="V565" s="17">
        <f ca="1">IFERROR(__xludf.DUMMYFUNCTION("""COMPUTED_VALUE"""),1.18466434365086)</f>
        <v>1.1846643436508599</v>
      </c>
      <c r="W565" s="17">
        <f ca="1">IFERROR(__xludf.DUMMYFUNCTION("""COMPUTED_VALUE"""),0.738387352022803)</f>
        <v>0.73838735202280303</v>
      </c>
      <c r="X565" s="17">
        <f ca="1">IFERROR(__xludf.DUMMYFUNCTION("""COMPUTED_VALUE"""),0.751893639931921)</f>
        <v>0.75189363993192104</v>
      </c>
      <c r="Y565" s="17">
        <f ca="1">IFERROR(__xludf.DUMMYFUNCTION("""COMPUTED_VALUE"""),0.840933857617795)</f>
        <v>0.84093385761779504</v>
      </c>
      <c r="Z565" s="17">
        <f ca="1">IFERROR(__xludf.DUMMYFUNCTION("""COMPUTED_VALUE"""),0.967649344818685)</f>
        <v>0.96764934481868503</v>
      </c>
      <c r="AA565" s="17">
        <f ca="1">IFERROR(__xludf.DUMMYFUNCTION("""COMPUTED_VALUE"""),0.834990496054865)</f>
        <v>0.83499049605486497</v>
      </c>
      <c r="AB565" s="17">
        <f ca="1">IFERROR(__xludf.DUMMYFUNCTION("""COMPUTED_VALUE"""),1.05356939908824)</f>
        <v>1.05356939908824</v>
      </c>
      <c r="AC565" s="17">
        <f ca="1">IFERROR(__xludf.DUMMYFUNCTION("""COMPUTED_VALUE"""),0.853491701265324)</f>
        <v>0.85349170126532403</v>
      </c>
      <c r="AD565" s="17">
        <f ca="1">IFERROR(__xludf.DUMMYFUNCTION("""COMPUTED_VALUE"""),1.02511087378327)</f>
        <v>1.0251108737832699</v>
      </c>
      <c r="AE565" s="17">
        <f ca="1">IFERROR(__xludf.DUMMYFUNCTION("""COMPUTED_VALUE"""),1.09200208069921)</f>
        <v>1.0920020806992099</v>
      </c>
      <c r="AF565" s="17">
        <f ca="1">IFERROR(__xludf.DUMMYFUNCTION("""COMPUTED_VALUE"""),1.22884352036874)</f>
        <v>1.22884352036874</v>
      </c>
      <c r="AG565" s="17">
        <f ca="1">IFERROR(__xludf.DUMMYFUNCTION("""COMPUTED_VALUE"""),1.03104538431653)</f>
        <v>1.0310453843165299</v>
      </c>
      <c r="AH565" s="17">
        <f ca="1">IFERROR(__xludf.DUMMYFUNCTION("""COMPUTED_VALUE"""),1.06506992485577)</f>
        <v>1.06506992485577</v>
      </c>
      <c r="AI565" s="17" t="str">
        <f ca="1">IFERROR(__xludf.DUMMYFUNCTION("""COMPUTED_VALUE"""),"nan")</f>
        <v>nan</v>
      </c>
      <c r="AJ565" s="17">
        <f ca="1">IFERROR(__xludf.DUMMYFUNCTION("""COMPUTED_VALUE"""),1.0427426899217)</f>
        <v>1.0427426899217</v>
      </c>
    </row>
    <row r="566" spans="2:36" ht="15.75" customHeight="1" x14ac:dyDescent="0.45">
      <c r="B566" s="10" t="str">
        <f ca="1">IFERROR(__xludf.DUMMYFUNCTION("""COMPUTED_VALUE"""),"MoteStrain")</f>
        <v>MoteStrain</v>
      </c>
      <c r="C566" s="10" t="str">
        <f ca="1">IFERROR(__xludf.DUMMYFUNCTION("""COMPUTED_VALUE"""),"aligned_timestamps")</f>
        <v>aligned_timestamps</v>
      </c>
      <c r="D566" s="10">
        <f ca="1">IFERROR(__xludf.DUMMYFUNCTION("""COMPUTED_VALUE"""),0.8)</f>
        <v>0.8</v>
      </c>
      <c r="E566" s="17">
        <f ca="1">IFERROR(__xludf.DUMMYFUNCTION("""COMPUTED_VALUE"""),1.06688548424292)</f>
        <v>1.0668854842429201</v>
      </c>
      <c r="F566" s="17">
        <f ca="1">IFERROR(__xludf.DUMMYFUNCTION("""COMPUTED_VALUE"""),1.01005940394263)</f>
        <v>1.0100594039426301</v>
      </c>
      <c r="G566" s="17">
        <f ca="1">IFERROR(__xludf.DUMMYFUNCTION("""COMPUTED_VALUE"""),1.275347184831)</f>
        <v>1.2753471848310001</v>
      </c>
      <c r="H566" s="17">
        <f ca="1">IFERROR(__xludf.DUMMYFUNCTION("""COMPUTED_VALUE"""),0.938989511597737)</f>
        <v>0.93898951159773703</v>
      </c>
      <c r="I566" s="17">
        <f ca="1">IFERROR(__xludf.DUMMYFUNCTION("""COMPUTED_VALUE"""),0.981119012291886)</f>
        <v>0.98111901229188603</v>
      </c>
      <c r="J566" s="17">
        <f ca="1">IFERROR(__xludf.DUMMYFUNCTION("""COMPUTED_VALUE"""),1.23263388935441)</f>
        <v>1.23263388935441</v>
      </c>
      <c r="K566" s="17" t="str">
        <f ca="1">IFERROR(__xludf.DUMMYFUNCTION("""COMPUTED_VALUE"""),"nan")</f>
        <v>nan</v>
      </c>
      <c r="L566" s="17">
        <f ca="1">IFERROR(__xludf.DUMMYFUNCTION("""COMPUTED_VALUE"""),0.950171178225037)</f>
        <v>0.95017117822503705</v>
      </c>
      <c r="M566" s="17">
        <f ca="1">IFERROR(__xludf.DUMMYFUNCTION("""COMPUTED_VALUE"""),1.64884309166003)</f>
        <v>1.6488430916600301</v>
      </c>
      <c r="N566" s="17">
        <f ca="1">IFERROR(__xludf.DUMMYFUNCTION("""COMPUTED_VALUE"""),0.867920033663579)</f>
        <v>0.86792003366357895</v>
      </c>
      <c r="O566" s="17">
        <f ca="1">IFERROR(__xludf.DUMMYFUNCTION("""COMPUTED_VALUE"""),0.95032276402561)</f>
        <v>0.95032276402561</v>
      </c>
      <c r="P566" s="17">
        <f ca="1">IFERROR(__xludf.DUMMYFUNCTION("""COMPUTED_VALUE"""),1.06751117301249)</f>
        <v>1.06751117301249</v>
      </c>
      <c r="Q566" s="17">
        <f ca="1">IFERROR(__xludf.DUMMYFUNCTION("""COMPUTED_VALUE"""),0.951323435387223)</f>
        <v>0.95132343538722297</v>
      </c>
      <c r="R566" s="17">
        <f ca="1">IFERROR(__xludf.DUMMYFUNCTION("""COMPUTED_VALUE"""),1.45912720487636)</f>
        <v>1.4591272048763599</v>
      </c>
      <c r="S566" s="17">
        <f ca="1">IFERROR(__xludf.DUMMYFUNCTION("""COMPUTED_VALUE"""),1.24729147386841)</f>
        <v>1.24729147386841</v>
      </c>
      <c r="T566" s="17">
        <f ca="1">IFERROR(__xludf.DUMMYFUNCTION("""COMPUTED_VALUE"""),1.26937010093594)</f>
        <v>1.2693701009359399</v>
      </c>
      <c r="U566" s="17">
        <f ca="1">IFERROR(__xludf.DUMMYFUNCTION("""COMPUTED_VALUE"""),1.26377461708504)</f>
        <v>1.2637746170850399</v>
      </c>
      <c r="V566" s="17">
        <f ca="1">IFERROR(__xludf.DUMMYFUNCTION("""COMPUTED_VALUE"""),1.24208356286599)</f>
        <v>1.2420835628659901</v>
      </c>
      <c r="W566" s="17">
        <f ca="1">IFERROR(__xludf.DUMMYFUNCTION("""COMPUTED_VALUE"""),1.01277097730979)</f>
        <v>1.0127709773097899</v>
      </c>
      <c r="X566" s="17">
        <f ca="1">IFERROR(__xludf.DUMMYFUNCTION("""COMPUTED_VALUE"""),0.847724571176099)</f>
        <v>0.84772457117609901</v>
      </c>
      <c r="Y566" s="17">
        <f ca="1">IFERROR(__xludf.DUMMYFUNCTION("""COMPUTED_VALUE"""),0.946079807426154)</f>
        <v>0.94607980742615405</v>
      </c>
      <c r="Z566" s="17">
        <f ca="1">IFERROR(__xludf.DUMMYFUNCTION("""COMPUTED_VALUE"""),1.09171850259004)</f>
        <v>1.09171850259004</v>
      </c>
      <c r="AA566" s="17">
        <f ca="1">IFERROR(__xludf.DUMMYFUNCTION("""COMPUTED_VALUE"""),1.15884226976527)</f>
        <v>1.15884226976527</v>
      </c>
      <c r="AB566" s="17">
        <f ca="1">IFERROR(__xludf.DUMMYFUNCTION("""COMPUTED_VALUE"""),1.25715561731228)</f>
        <v>1.25715561731228</v>
      </c>
      <c r="AC566" s="17">
        <f ca="1">IFERROR(__xludf.DUMMYFUNCTION("""COMPUTED_VALUE"""),1.05414293143894)</f>
        <v>1.0541429314389399</v>
      </c>
      <c r="AD566" s="17">
        <f ca="1">IFERROR(__xludf.DUMMYFUNCTION("""COMPUTED_VALUE"""),0.995951416228601)</f>
        <v>0.99595141622860095</v>
      </c>
      <c r="AE566" s="17">
        <f ca="1">IFERROR(__xludf.DUMMYFUNCTION("""COMPUTED_VALUE"""),1.86798224403715)</f>
        <v>1.8679822440371501</v>
      </c>
      <c r="AF566" s="17">
        <f ca="1">IFERROR(__xludf.DUMMYFUNCTION("""COMPUTED_VALUE"""),1.08080185444767)</f>
        <v>1.0808018544476701</v>
      </c>
      <c r="AG566" s="17">
        <f ca="1">IFERROR(__xludf.DUMMYFUNCTION("""COMPUTED_VALUE"""),1.17954991176174)</f>
        <v>1.1795499117617401</v>
      </c>
      <c r="AH566" s="17">
        <f ca="1">IFERROR(__xludf.DUMMYFUNCTION("""COMPUTED_VALUE"""),1.08941331880794)</f>
        <v>1.08941331880794</v>
      </c>
      <c r="AI566" s="17" t="str">
        <f ca="1">IFERROR(__xludf.DUMMYFUNCTION("""COMPUTED_VALUE"""),"nan")</f>
        <v>nan</v>
      </c>
      <c r="AJ566" s="17">
        <f ca="1">IFERROR(__xludf.DUMMYFUNCTION("""COMPUTED_VALUE"""),1.28495811752814)</f>
        <v>1.2849581175281399</v>
      </c>
    </row>
    <row r="567" spans="2:36" ht="15.75" customHeight="1" x14ac:dyDescent="0.45">
      <c r="B567" s="10" t="str">
        <f ca="1">IFERROR(__xludf.DUMMYFUNCTION("""COMPUTED_VALUE"""),"MoteStrain")</f>
        <v>MoteStrain</v>
      </c>
      <c r="C567" s="10" t="str">
        <f ca="1">IFERROR(__xludf.DUMMYFUNCTION("""COMPUTED_VALUE"""),"mcar")</f>
        <v>mcar</v>
      </c>
      <c r="D567" s="10">
        <f ca="1">IFERROR(__xludf.DUMMYFUNCTION("""COMPUTED_VALUE"""),0.1)</f>
        <v>0.1</v>
      </c>
      <c r="E567" s="17">
        <f ca="1">IFERROR(__xludf.DUMMYFUNCTION("""COMPUTED_VALUE"""),0.721355348552164)</f>
        <v>0.72135534855216399</v>
      </c>
      <c r="F567" s="17">
        <f ca="1">IFERROR(__xludf.DUMMYFUNCTION("""COMPUTED_VALUE"""),0.623751441396334)</f>
        <v>0.62375144139633398</v>
      </c>
      <c r="G567" s="17">
        <f ca="1">IFERROR(__xludf.DUMMYFUNCTION("""COMPUTED_VALUE"""),0.630160719748033)</f>
        <v>0.630160719748033</v>
      </c>
      <c r="H567" s="17">
        <f ca="1">IFERROR(__xludf.DUMMYFUNCTION("""COMPUTED_VALUE"""),0.736478911788707)</f>
        <v>0.73647891178870695</v>
      </c>
      <c r="I567" s="17">
        <f ca="1">IFERROR(__xludf.DUMMYFUNCTION("""COMPUTED_VALUE"""),0.60950447983454)</f>
        <v>0.60950447983454004</v>
      </c>
      <c r="J567" s="17">
        <f ca="1">IFERROR(__xludf.DUMMYFUNCTION("""COMPUTED_VALUE"""),0.652157549237324)</f>
        <v>0.65215754923732405</v>
      </c>
      <c r="K567" s="17" t="str">
        <f ca="1">IFERROR(__xludf.DUMMYFUNCTION("""COMPUTED_VALUE"""),"nan")</f>
        <v>nan</v>
      </c>
      <c r="L567" s="17">
        <f ca="1">IFERROR(__xludf.DUMMYFUNCTION("""COMPUTED_VALUE"""),0.70672234051203)</f>
        <v>0.70672234051202998</v>
      </c>
      <c r="M567" s="17">
        <f ca="1">IFERROR(__xludf.DUMMYFUNCTION("""COMPUTED_VALUE"""),1.25064911691894)</f>
        <v>1.25064911691894</v>
      </c>
      <c r="N567" s="17">
        <f ca="1">IFERROR(__xludf.DUMMYFUNCTION("""COMPUTED_VALUE"""),0.363285987168251)</f>
        <v>0.363285987168251</v>
      </c>
      <c r="O567" s="17">
        <f ca="1">IFERROR(__xludf.DUMMYFUNCTION("""COMPUTED_VALUE"""),0.755874501654228)</f>
        <v>0.75587450165422798</v>
      </c>
      <c r="P567" s="17">
        <f ca="1">IFERROR(__xludf.DUMMYFUNCTION("""COMPUTED_VALUE"""),0.678492079902981)</f>
        <v>0.67849207990298099</v>
      </c>
      <c r="Q567" s="17">
        <f ca="1">IFERROR(__xludf.DUMMYFUNCTION("""COMPUTED_VALUE"""),1.02626725160619)</f>
        <v>1.0262672516061899</v>
      </c>
      <c r="R567" s="17">
        <f ca="1">IFERROR(__xludf.DUMMYFUNCTION("""COMPUTED_VALUE"""),0.72192681555996)</f>
        <v>0.72192681555995997</v>
      </c>
      <c r="S567" s="17">
        <f ca="1">IFERROR(__xludf.DUMMYFUNCTION("""COMPUTED_VALUE"""),0.678637126369588)</f>
        <v>0.67863712636958795</v>
      </c>
      <c r="T567" s="17">
        <f ca="1">IFERROR(__xludf.DUMMYFUNCTION("""COMPUTED_VALUE"""),0.628637446411934)</f>
        <v>0.62863744641193398</v>
      </c>
      <c r="U567" s="17">
        <f ca="1">IFERROR(__xludf.DUMMYFUNCTION("""COMPUTED_VALUE"""),0.33721390373191)</f>
        <v>0.33721390373191001</v>
      </c>
      <c r="V567" s="17">
        <f ca="1">IFERROR(__xludf.DUMMYFUNCTION("""COMPUTED_VALUE"""),0.838802181994509)</f>
        <v>0.83880218199450896</v>
      </c>
      <c r="W567" s="17">
        <f ca="1">IFERROR(__xludf.DUMMYFUNCTION("""COMPUTED_VALUE"""),0.523964710479573)</f>
        <v>0.52396471047957305</v>
      </c>
      <c r="X567" s="17">
        <f ca="1">IFERROR(__xludf.DUMMYFUNCTION("""COMPUTED_VALUE"""),0.557621179082297)</f>
        <v>0.55762117908229702</v>
      </c>
      <c r="Y567" s="17">
        <f ca="1">IFERROR(__xludf.DUMMYFUNCTION("""COMPUTED_VALUE"""),0.610899599850674)</f>
        <v>0.61089959985067399</v>
      </c>
      <c r="Z567" s="17">
        <f ca="1">IFERROR(__xludf.DUMMYFUNCTION("""COMPUTED_VALUE"""),0.590118169844574)</f>
        <v>0.59011816984457399</v>
      </c>
      <c r="AA567" s="17">
        <f ca="1">IFERROR(__xludf.DUMMYFUNCTION("""COMPUTED_VALUE"""),0.525174207951186)</f>
        <v>0.52517420795118597</v>
      </c>
      <c r="AB567" s="17">
        <f ca="1">IFERROR(__xludf.DUMMYFUNCTION("""COMPUTED_VALUE"""),1.21134911485277)</f>
        <v>1.21134911485277</v>
      </c>
      <c r="AC567" s="17">
        <f ca="1">IFERROR(__xludf.DUMMYFUNCTION("""COMPUTED_VALUE"""),0.629081446147351)</f>
        <v>0.62908144614735095</v>
      </c>
      <c r="AD567" s="17">
        <f ca="1">IFERROR(__xludf.DUMMYFUNCTION("""COMPUTED_VALUE"""),0.57467568350024)</f>
        <v>0.57467568350024001</v>
      </c>
      <c r="AE567" s="17">
        <f ca="1">IFERROR(__xludf.DUMMYFUNCTION("""COMPUTED_VALUE"""),0.537679982511545)</f>
        <v>0.53767998251154503</v>
      </c>
      <c r="AF567" s="17">
        <f ca="1">IFERROR(__xludf.DUMMYFUNCTION("""COMPUTED_VALUE"""),0.633378475896555)</f>
        <v>0.63337847589655505</v>
      </c>
      <c r="AG567" s="17">
        <f ca="1">IFERROR(__xludf.DUMMYFUNCTION("""COMPUTED_VALUE"""),0.569575734944791)</f>
        <v>0.56957573494479097</v>
      </c>
      <c r="AH567" s="17">
        <f ca="1">IFERROR(__xludf.DUMMYFUNCTION("""COMPUTED_VALUE"""),0.441735654118865)</f>
        <v>0.44173565411886501</v>
      </c>
      <c r="AI567" s="17">
        <f ca="1">IFERROR(__xludf.DUMMYFUNCTION("""COMPUTED_VALUE"""),0.426138743380575)</f>
        <v>0.426138743380575</v>
      </c>
      <c r="AJ567" s="17">
        <f ca="1">IFERROR(__xludf.DUMMYFUNCTION("""COMPUTED_VALUE"""),0.503459906321227)</f>
        <v>0.50345990632122695</v>
      </c>
    </row>
    <row r="568" spans="2:36" ht="15.75" customHeight="1" x14ac:dyDescent="0.45">
      <c r="B568" s="10" t="str">
        <f ca="1">IFERROR(__xludf.DUMMYFUNCTION("""COMPUTED_VALUE"""),"MoteStrain")</f>
        <v>MoteStrain</v>
      </c>
      <c r="C568" s="10" t="str">
        <f ca="1">IFERROR(__xludf.DUMMYFUNCTION("""COMPUTED_VALUE"""),"mcar")</f>
        <v>mcar</v>
      </c>
      <c r="D568" s="10">
        <f ca="1">IFERROR(__xludf.DUMMYFUNCTION("""COMPUTED_VALUE"""),0.2)</f>
        <v>0.2</v>
      </c>
      <c r="E568" s="17">
        <f ca="1">IFERROR(__xludf.DUMMYFUNCTION("""COMPUTED_VALUE"""),0.942304372260157)</f>
        <v>0.94230437226015695</v>
      </c>
      <c r="F568" s="17">
        <f ca="1">IFERROR(__xludf.DUMMYFUNCTION("""COMPUTED_VALUE"""),0.652689484352453)</f>
        <v>0.652689484352453</v>
      </c>
      <c r="G568" s="17">
        <f ca="1">IFERROR(__xludf.DUMMYFUNCTION("""COMPUTED_VALUE"""),0.655742201848371)</f>
        <v>0.65574220184837095</v>
      </c>
      <c r="H568" s="17">
        <f ca="1">IFERROR(__xludf.DUMMYFUNCTION("""COMPUTED_VALUE"""),0.825678300138507)</f>
        <v>0.82567830013850696</v>
      </c>
      <c r="I568" s="17">
        <f ca="1">IFERROR(__xludf.DUMMYFUNCTION("""COMPUTED_VALUE"""),0.714367451935166)</f>
        <v>0.71436745193516604</v>
      </c>
      <c r="J568" s="17">
        <f ca="1">IFERROR(__xludf.DUMMYFUNCTION("""COMPUTED_VALUE"""),0.564823278602193)</f>
        <v>0.56482327860219295</v>
      </c>
      <c r="K568" s="17" t="str">
        <f ca="1">IFERROR(__xludf.DUMMYFUNCTION("""COMPUTED_VALUE"""),"nan")</f>
        <v>nan</v>
      </c>
      <c r="L568" s="17">
        <f ca="1">IFERROR(__xludf.DUMMYFUNCTION("""COMPUTED_VALUE"""),0.831925734684493)</f>
        <v>0.83192573468449305</v>
      </c>
      <c r="M568" s="17">
        <f ca="1">IFERROR(__xludf.DUMMYFUNCTION("""COMPUTED_VALUE"""),1.18982801104872)</f>
        <v>1.18982801104872</v>
      </c>
      <c r="N568" s="17">
        <f ca="1">IFERROR(__xludf.DUMMYFUNCTION("""COMPUTED_VALUE"""),0.430908175416154)</f>
        <v>0.430908175416154</v>
      </c>
      <c r="O568" s="17">
        <f ca="1">IFERROR(__xludf.DUMMYFUNCTION("""COMPUTED_VALUE"""),0.801374592639398)</f>
        <v>0.80137459263939803</v>
      </c>
      <c r="P568" s="17">
        <f ca="1">IFERROR(__xludf.DUMMYFUNCTION("""COMPUTED_VALUE"""),0.843534813822748)</f>
        <v>0.84353481382274798</v>
      </c>
      <c r="Q568" s="17">
        <f ca="1">IFERROR(__xludf.DUMMYFUNCTION("""COMPUTED_VALUE"""),0.703263711408474)</f>
        <v>0.70326371140847399</v>
      </c>
      <c r="R568" s="17">
        <f ca="1">IFERROR(__xludf.DUMMYFUNCTION("""COMPUTED_VALUE"""),0.874075586021246)</f>
        <v>0.87407558602124602</v>
      </c>
      <c r="S568" s="17">
        <f ca="1">IFERROR(__xludf.DUMMYFUNCTION("""COMPUTED_VALUE"""),0.825581770625954)</f>
        <v>0.82558177062595395</v>
      </c>
      <c r="T568" s="17">
        <f ca="1">IFERROR(__xludf.DUMMYFUNCTION("""COMPUTED_VALUE"""),0.674020158217329)</f>
        <v>0.67402015821732897</v>
      </c>
      <c r="U568" s="17">
        <f ca="1">IFERROR(__xludf.DUMMYFUNCTION("""COMPUTED_VALUE"""),0.534777300877117)</f>
        <v>0.53477730087711695</v>
      </c>
      <c r="V568" s="17">
        <f ca="1">IFERROR(__xludf.DUMMYFUNCTION("""COMPUTED_VALUE"""),0.76895945664898)</f>
        <v>0.76895945664898002</v>
      </c>
      <c r="W568" s="17">
        <f ca="1">IFERROR(__xludf.DUMMYFUNCTION("""COMPUTED_VALUE"""),0.488032183569531)</f>
        <v>0.48803218356953099</v>
      </c>
      <c r="X568" s="17">
        <f ca="1">IFERROR(__xludf.DUMMYFUNCTION("""COMPUTED_VALUE"""),0.656811670391193)</f>
        <v>0.65681167039119304</v>
      </c>
      <c r="Y568" s="17">
        <f ca="1">IFERROR(__xludf.DUMMYFUNCTION("""COMPUTED_VALUE"""),0.758425135198634)</f>
        <v>0.75842513519863397</v>
      </c>
      <c r="Z568" s="17">
        <f ca="1">IFERROR(__xludf.DUMMYFUNCTION("""COMPUTED_VALUE"""),0.7060041490364)</f>
        <v>0.70600414903639996</v>
      </c>
      <c r="AA568" s="17">
        <f ca="1">IFERROR(__xludf.DUMMYFUNCTION("""COMPUTED_VALUE"""),0.699139051764941)</f>
        <v>0.69913905176494096</v>
      </c>
      <c r="AB568" s="17">
        <f ca="1">IFERROR(__xludf.DUMMYFUNCTION("""COMPUTED_VALUE"""),0.907237819636103)</f>
        <v>0.90723781963610295</v>
      </c>
      <c r="AC568" s="17">
        <f ca="1">IFERROR(__xludf.DUMMYFUNCTION("""COMPUTED_VALUE"""),0.832820756903833)</f>
        <v>0.83282075690383295</v>
      </c>
      <c r="AD568" s="17">
        <f ca="1">IFERROR(__xludf.DUMMYFUNCTION("""COMPUTED_VALUE"""),0.701985363818681)</f>
        <v>0.70198536381868104</v>
      </c>
      <c r="AE568" s="17">
        <f ca="1">IFERROR(__xludf.DUMMYFUNCTION("""COMPUTED_VALUE"""),0.856982406991539)</f>
        <v>0.85698240699153905</v>
      </c>
      <c r="AF568" s="17">
        <f ca="1">IFERROR(__xludf.DUMMYFUNCTION("""COMPUTED_VALUE"""),0.766100199505402)</f>
        <v>0.76610019950540198</v>
      </c>
      <c r="AG568" s="17">
        <f ca="1">IFERROR(__xludf.DUMMYFUNCTION("""COMPUTED_VALUE"""),0.579571274428275)</f>
        <v>0.57957127442827505</v>
      </c>
      <c r="AH568" s="17">
        <f ca="1">IFERROR(__xludf.DUMMYFUNCTION("""COMPUTED_VALUE"""),0.488888494757091)</f>
        <v>0.48888849475709101</v>
      </c>
      <c r="AI568" s="17">
        <f ca="1">IFERROR(__xludf.DUMMYFUNCTION("""COMPUTED_VALUE"""),0.590378542501307)</f>
        <v>0.59037854250130695</v>
      </c>
      <c r="AJ568" s="17">
        <f ca="1">IFERROR(__xludf.DUMMYFUNCTION("""COMPUTED_VALUE"""),0.43863660044459)</f>
        <v>0.43863660044459002</v>
      </c>
    </row>
    <row r="569" spans="2:36" ht="15.75" customHeight="1" x14ac:dyDescent="0.45">
      <c r="B569" s="10" t="str">
        <f ca="1">IFERROR(__xludf.DUMMYFUNCTION("""COMPUTED_VALUE"""),"MoteStrain")</f>
        <v>MoteStrain</v>
      </c>
      <c r="C569" s="10" t="str">
        <f ca="1">IFERROR(__xludf.DUMMYFUNCTION("""COMPUTED_VALUE"""),"mcar")</f>
        <v>mcar</v>
      </c>
      <c r="D569" s="10">
        <f ca="1">IFERROR(__xludf.DUMMYFUNCTION("""COMPUTED_VALUE"""),0.4)</f>
        <v>0.4</v>
      </c>
      <c r="E569" s="17">
        <f ca="1">IFERROR(__xludf.DUMMYFUNCTION("""COMPUTED_VALUE"""),1.06458909552357)</f>
        <v>1.06458909552357</v>
      </c>
      <c r="F569" s="17">
        <f ca="1">IFERROR(__xludf.DUMMYFUNCTION("""COMPUTED_VALUE"""),0.772517065859424)</f>
        <v>0.77251706585942403</v>
      </c>
      <c r="G569" s="17">
        <f ca="1">IFERROR(__xludf.DUMMYFUNCTION("""COMPUTED_VALUE"""),0.774651156097803)</f>
        <v>0.774651156097803</v>
      </c>
      <c r="H569" s="17">
        <f ca="1">IFERROR(__xludf.DUMMYFUNCTION("""COMPUTED_VALUE"""),0.884815523587386)</f>
        <v>0.88481552358738602</v>
      </c>
      <c r="I569" s="17">
        <f ca="1">IFERROR(__xludf.DUMMYFUNCTION("""COMPUTED_VALUE"""),0.815613768490163)</f>
        <v>0.81561376849016298</v>
      </c>
      <c r="J569" s="17">
        <f ca="1">IFERROR(__xludf.DUMMYFUNCTION("""COMPUTED_VALUE"""),0.957680457063928)</f>
        <v>0.95768045706392801</v>
      </c>
      <c r="K569" s="17" t="str">
        <f ca="1">IFERROR(__xludf.DUMMYFUNCTION("""COMPUTED_VALUE"""),"nan")</f>
        <v>nan</v>
      </c>
      <c r="L569" s="17">
        <f ca="1">IFERROR(__xludf.DUMMYFUNCTION("""COMPUTED_VALUE"""),1.00643261731596)</f>
        <v>1.0064326173159599</v>
      </c>
      <c r="M569" s="17">
        <f ca="1">IFERROR(__xludf.DUMMYFUNCTION("""COMPUTED_VALUE"""),2.47380759129414)</f>
        <v>2.4738075912941402</v>
      </c>
      <c r="N569" s="17">
        <f ca="1">IFERROR(__xludf.DUMMYFUNCTION("""COMPUTED_VALUE"""),0.761986523521817)</f>
        <v>0.76198652352181695</v>
      </c>
      <c r="O569" s="17">
        <f ca="1">IFERROR(__xludf.DUMMYFUNCTION("""COMPUTED_VALUE"""),0.755770035383719)</f>
        <v>0.75577003538371901</v>
      </c>
      <c r="P569" s="17">
        <f ca="1">IFERROR(__xludf.DUMMYFUNCTION("""COMPUTED_VALUE"""),1.01397159928894)</f>
        <v>1.01397159928894</v>
      </c>
      <c r="Q569" s="17">
        <f ca="1">IFERROR(__xludf.DUMMYFUNCTION("""COMPUTED_VALUE"""),1.00080179412539)</f>
        <v>1.0008017941253899</v>
      </c>
      <c r="R569" s="17">
        <f ca="1">IFERROR(__xludf.DUMMYFUNCTION("""COMPUTED_VALUE"""),1.08232163243327)</f>
        <v>1.0823216324332701</v>
      </c>
      <c r="S569" s="17">
        <f ca="1">IFERROR(__xludf.DUMMYFUNCTION("""COMPUTED_VALUE"""),0.911842074585057)</f>
        <v>0.91184207458505695</v>
      </c>
      <c r="T569" s="17">
        <f ca="1">IFERROR(__xludf.DUMMYFUNCTION("""COMPUTED_VALUE"""),1.07481026317563)</f>
        <v>1.07481026317563</v>
      </c>
      <c r="U569" s="17">
        <f ca="1">IFERROR(__xludf.DUMMYFUNCTION("""COMPUTED_VALUE"""),0.986471229883307)</f>
        <v>0.98647122988330704</v>
      </c>
      <c r="V569" s="17">
        <f ca="1">IFERROR(__xludf.DUMMYFUNCTION("""COMPUTED_VALUE"""),1.07609381743349)</f>
        <v>1.07609381743349</v>
      </c>
      <c r="W569" s="17">
        <f ca="1">IFERROR(__xludf.DUMMYFUNCTION("""COMPUTED_VALUE"""),0.900150305668523)</f>
        <v>0.90015030566852305</v>
      </c>
      <c r="X569" s="17">
        <f ca="1">IFERROR(__xludf.DUMMYFUNCTION("""COMPUTED_VALUE"""),0.780550299520632)</f>
        <v>0.78055029952063204</v>
      </c>
      <c r="Y569" s="17">
        <f ca="1">IFERROR(__xludf.DUMMYFUNCTION("""COMPUTED_VALUE"""),0.875851379788475)</f>
        <v>0.87585137978847505</v>
      </c>
      <c r="Z569" s="17">
        <f ca="1">IFERROR(__xludf.DUMMYFUNCTION("""COMPUTED_VALUE"""),1.0155959207092)</f>
        <v>1.0155959207092</v>
      </c>
      <c r="AA569" s="17">
        <f ca="1">IFERROR(__xludf.DUMMYFUNCTION("""COMPUTED_VALUE"""),1.14801846537251)</f>
        <v>1.1480184653725101</v>
      </c>
      <c r="AB569" s="17">
        <f ca="1">IFERROR(__xludf.DUMMYFUNCTION("""COMPUTED_VALUE"""),1.10142468519431)</f>
        <v>1.1014246851943099</v>
      </c>
      <c r="AC569" s="17">
        <f ca="1">IFERROR(__xludf.DUMMYFUNCTION("""COMPUTED_VALUE"""),1.01227399025253)</f>
        <v>1.01227399025253</v>
      </c>
      <c r="AD569" s="17">
        <f ca="1">IFERROR(__xludf.DUMMYFUNCTION("""COMPUTED_VALUE"""),0.908390247207364)</f>
        <v>0.90839024720736405</v>
      </c>
      <c r="AE569" s="17">
        <f ca="1">IFERROR(__xludf.DUMMYFUNCTION("""COMPUTED_VALUE"""),1.34781248926129)</f>
        <v>1.3478124892612899</v>
      </c>
      <c r="AF569" s="17">
        <f ca="1">IFERROR(__xludf.DUMMYFUNCTION("""COMPUTED_VALUE"""),1.19630523149441)</f>
        <v>1.19630523149441</v>
      </c>
      <c r="AG569" s="17">
        <f ca="1">IFERROR(__xludf.DUMMYFUNCTION("""COMPUTED_VALUE"""),1.06053415874088)</f>
        <v>1.0605341587408801</v>
      </c>
      <c r="AH569" s="17">
        <f ca="1">IFERROR(__xludf.DUMMYFUNCTION("""COMPUTED_VALUE"""),1.01873692756466)</f>
        <v>1.0187369275646601</v>
      </c>
      <c r="AI569" s="17">
        <f ca="1">IFERROR(__xludf.DUMMYFUNCTION("""COMPUTED_VALUE"""),1.16299546174089)</f>
        <v>1.16299546174089</v>
      </c>
      <c r="AJ569" s="17">
        <f ca="1">IFERROR(__xludf.DUMMYFUNCTION("""COMPUTED_VALUE"""),1.17020901211819)</f>
        <v>1.1702090121181901</v>
      </c>
    </row>
    <row r="570" spans="2:36" ht="15.75" customHeight="1" x14ac:dyDescent="0.45">
      <c r="B570" s="10" t="str">
        <f ca="1">IFERROR(__xludf.DUMMYFUNCTION("""COMPUTED_VALUE"""),"MoteStrain")</f>
        <v>MoteStrain</v>
      </c>
      <c r="C570" s="10" t="str">
        <f ca="1">IFERROR(__xludf.DUMMYFUNCTION("""COMPUTED_VALUE"""),"mcar")</f>
        <v>mcar</v>
      </c>
      <c r="D570" s="10">
        <f ca="1">IFERROR(__xludf.DUMMYFUNCTION("""COMPUTED_VALUE"""),0.6)</f>
        <v>0.6</v>
      </c>
      <c r="E570" s="17">
        <f ca="1">IFERROR(__xludf.DUMMYFUNCTION("""COMPUTED_VALUE"""),0.979325619266838)</f>
        <v>0.97932561926683803</v>
      </c>
      <c r="F570" s="17">
        <f ca="1">IFERROR(__xludf.DUMMYFUNCTION("""COMPUTED_VALUE"""),1.13446230909659)</f>
        <v>1.13446230909659</v>
      </c>
      <c r="G570" s="17">
        <f ca="1">IFERROR(__xludf.DUMMYFUNCTION("""COMPUTED_VALUE"""),1.51675264725618)</f>
        <v>1.5167526472561801</v>
      </c>
      <c r="H570" s="17">
        <f ca="1">IFERROR(__xludf.DUMMYFUNCTION("""COMPUTED_VALUE"""),1.01765095632871)</f>
        <v>1.0176509563287099</v>
      </c>
      <c r="I570" s="17">
        <f ca="1">IFERROR(__xludf.DUMMYFUNCTION("""COMPUTED_VALUE"""),0.789927398794109)</f>
        <v>0.789927398794109</v>
      </c>
      <c r="J570" s="17">
        <f ca="1">IFERROR(__xludf.DUMMYFUNCTION("""COMPUTED_VALUE"""),0.765977708801259)</f>
        <v>0.76597770880125904</v>
      </c>
      <c r="K570" s="17" t="str">
        <f ca="1">IFERROR(__xludf.DUMMYFUNCTION("""COMPUTED_VALUE"""),"nan")</f>
        <v>nan</v>
      </c>
      <c r="L570" s="17">
        <f ca="1">IFERROR(__xludf.DUMMYFUNCTION("""COMPUTED_VALUE"""),0.941737243953768)</f>
        <v>0.94173724395376801</v>
      </c>
      <c r="M570" s="17">
        <f ca="1">IFERROR(__xludf.DUMMYFUNCTION("""COMPUTED_VALUE"""),1.46533346894473)</f>
        <v>1.4653334689447299</v>
      </c>
      <c r="N570" s="17">
        <f ca="1">IFERROR(__xludf.DUMMYFUNCTION("""COMPUTED_VALUE"""),0.815220966763558)</f>
        <v>0.81522096676355804</v>
      </c>
      <c r="O570" s="17">
        <f ca="1">IFERROR(__xludf.DUMMYFUNCTION("""COMPUTED_VALUE"""),1.00480667310908)</f>
        <v>1.0048066731090799</v>
      </c>
      <c r="P570" s="17">
        <f ca="1">IFERROR(__xludf.DUMMYFUNCTION("""COMPUTED_VALUE"""),0.813173192894945)</f>
        <v>0.81317319289494505</v>
      </c>
      <c r="Q570" s="17">
        <f ca="1">IFERROR(__xludf.DUMMYFUNCTION("""COMPUTED_VALUE"""),0.910939555298476)</f>
        <v>0.91093955529847603</v>
      </c>
      <c r="R570" s="17">
        <f ca="1">IFERROR(__xludf.DUMMYFUNCTION("""COMPUTED_VALUE"""),2.32576598651663)</f>
        <v>2.3257659865166298</v>
      </c>
      <c r="S570" s="17">
        <f ca="1">IFERROR(__xludf.DUMMYFUNCTION("""COMPUTED_VALUE"""),0.919380509802856)</f>
        <v>0.91938050980285602</v>
      </c>
      <c r="T570" s="17">
        <f ca="1">IFERROR(__xludf.DUMMYFUNCTION("""COMPUTED_VALUE"""),1.1629750335706)</f>
        <v>1.1629750335705999</v>
      </c>
      <c r="U570" s="17">
        <f ca="1">IFERROR(__xludf.DUMMYFUNCTION("""COMPUTED_VALUE"""),0.891734777549892)</f>
        <v>0.89173477754989205</v>
      </c>
      <c r="V570" s="17">
        <f ca="1">IFERROR(__xludf.DUMMYFUNCTION("""COMPUTED_VALUE"""),0.999770274625098)</f>
        <v>0.99977027462509804</v>
      </c>
      <c r="W570" s="17">
        <f ca="1">IFERROR(__xludf.DUMMYFUNCTION("""COMPUTED_VALUE"""),0.848656039487886)</f>
        <v>0.84865603948788604</v>
      </c>
      <c r="X570" s="17">
        <f ca="1">IFERROR(__xludf.DUMMYFUNCTION("""COMPUTED_VALUE"""),0.715691842309733)</f>
        <v>0.71569184230973304</v>
      </c>
      <c r="Y570" s="17">
        <f ca="1">IFERROR(__xludf.DUMMYFUNCTION("""COMPUTED_VALUE"""),0.776666281177436)</f>
        <v>0.77666628117743597</v>
      </c>
      <c r="Z570" s="17">
        <f ca="1">IFERROR(__xludf.DUMMYFUNCTION("""COMPUTED_VALUE"""),0.85624229064956)</f>
        <v>0.85624229064956003</v>
      </c>
      <c r="AA570" s="17">
        <f ca="1">IFERROR(__xludf.DUMMYFUNCTION("""COMPUTED_VALUE"""),1.40273616906508)</f>
        <v>1.4027361690650799</v>
      </c>
      <c r="AB570" s="17">
        <f ca="1">IFERROR(__xludf.DUMMYFUNCTION("""COMPUTED_VALUE"""),2.04038643051095)</f>
        <v>2.0403864305109498</v>
      </c>
      <c r="AC570" s="17">
        <f ca="1">IFERROR(__xludf.DUMMYFUNCTION("""COMPUTED_VALUE"""),0.96017553954869)</f>
        <v>0.96017553954868995</v>
      </c>
      <c r="AD570" s="17">
        <f ca="1">IFERROR(__xludf.DUMMYFUNCTION("""COMPUTED_VALUE"""),1.0257789873591)</f>
        <v>1.0257789873590999</v>
      </c>
      <c r="AE570" s="17">
        <f ca="1">IFERROR(__xludf.DUMMYFUNCTION("""COMPUTED_VALUE"""),1.22759669482049)</f>
        <v>1.2275966948204899</v>
      </c>
      <c r="AF570" s="17">
        <f ca="1">IFERROR(__xludf.DUMMYFUNCTION("""COMPUTED_VALUE"""),1.01379526091428)</f>
        <v>1.01379526091428</v>
      </c>
      <c r="AG570" s="17">
        <f ca="1">IFERROR(__xludf.DUMMYFUNCTION("""COMPUTED_VALUE"""),1.35938844781905)</f>
        <v>1.3593884478190501</v>
      </c>
      <c r="AH570" s="17">
        <f ca="1">IFERROR(__xludf.DUMMYFUNCTION("""COMPUTED_VALUE"""),1.10033150429462)</f>
        <v>1.10033150429462</v>
      </c>
      <c r="AI570" s="17" t="str">
        <f ca="1">IFERROR(__xludf.DUMMYFUNCTION("""COMPUTED_VALUE"""),"nan")</f>
        <v>nan</v>
      </c>
      <c r="AJ570" s="17">
        <f ca="1">IFERROR(__xludf.DUMMYFUNCTION("""COMPUTED_VALUE"""),1.09257518633214)</f>
        <v>1.09257518633214</v>
      </c>
    </row>
    <row r="571" spans="2:36" ht="15.75" customHeight="1" x14ac:dyDescent="0.45">
      <c r="B571" s="10" t="str">
        <f ca="1">IFERROR(__xludf.DUMMYFUNCTION("""COMPUTED_VALUE"""),"MoteStrain")</f>
        <v>MoteStrain</v>
      </c>
      <c r="C571" s="10" t="str">
        <f ca="1">IFERROR(__xludf.DUMMYFUNCTION("""COMPUTED_VALUE"""),"mcar")</f>
        <v>mcar</v>
      </c>
      <c r="D571" s="10">
        <f ca="1">IFERROR(__xludf.DUMMYFUNCTION("""COMPUTED_VALUE"""),0.8)</f>
        <v>0.8</v>
      </c>
      <c r="E571" s="17">
        <f ca="1">IFERROR(__xludf.DUMMYFUNCTION("""COMPUTED_VALUE"""),1.02592637851584)</f>
        <v>1.0259263785158399</v>
      </c>
      <c r="F571" s="17">
        <f ca="1">IFERROR(__xludf.DUMMYFUNCTION("""COMPUTED_VALUE"""),1.06390209920205)</f>
        <v>1.06390209920205</v>
      </c>
      <c r="G571" s="17">
        <f ca="1">IFERROR(__xludf.DUMMYFUNCTION("""COMPUTED_VALUE"""),1.45418423754817)</f>
        <v>1.4541842375481699</v>
      </c>
      <c r="H571" s="17">
        <f ca="1">IFERROR(__xludf.DUMMYFUNCTION("""COMPUTED_VALUE"""),1.06511849605633)</f>
        <v>1.06511849605633</v>
      </c>
      <c r="I571" s="17">
        <f ca="1">IFERROR(__xludf.DUMMYFUNCTION("""COMPUTED_VALUE"""),0.883186814336333)</f>
        <v>0.88318681433633295</v>
      </c>
      <c r="J571" s="17">
        <f ca="1">IFERROR(__xludf.DUMMYFUNCTION("""COMPUTED_VALUE"""),0.837750620780961)</f>
        <v>0.83775062078096096</v>
      </c>
      <c r="K571" s="17" t="str">
        <f ca="1">IFERROR(__xludf.DUMMYFUNCTION("""COMPUTED_VALUE"""),"nan")</f>
        <v>nan</v>
      </c>
      <c r="L571" s="17">
        <f ca="1">IFERROR(__xludf.DUMMYFUNCTION("""COMPUTED_VALUE"""),1.01125669885725)</f>
        <v>1.01125669885725</v>
      </c>
      <c r="M571" s="17">
        <f ca="1">IFERROR(__xludf.DUMMYFUNCTION("""COMPUTED_VALUE"""),1.4148028292631)</f>
        <v>1.4148028292631001</v>
      </c>
      <c r="N571" s="17">
        <f ca="1">IFERROR(__xludf.DUMMYFUNCTION("""COMPUTED_VALUE"""),0.766076835445631)</f>
        <v>0.76607683544563099</v>
      </c>
      <c r="O571" s="17">
        <f ca="1">IFERROR(__xludf.DUMMYFUNCTION("""COMPUTED_VALUE"""),0.928663577529774)</f>
        <v>0.92866357752977402</v>
      </c>
      <c r="P571" s="17">
        <f ca="1">IFERROR(__xludf.DUMMYFUNCTION("""COMPUTED_VALUE"""),0.92000165285928)</f>
        <v>0.92000165285928004</v>
      </c>
      <c r="Q571" s="17">
        <f ca="1">IFERROR(__xludf.DUMMYFUNCTION("""COMPUTED_VALUE"""),0.902912593423105)</f>
        <v>0.90291259342310504</v>
      </c>
      <c r="R571" s="17">
        <f ca="1">IFERROR(__xludf.DUMMYFUNCTION("""COMPUTED_VALUE"""),1.98933545648838)</f>
        <v>1.9893354564883801</v>
      </c>
      <c r="S571" s="17">
        <f ca="1">IFERROR(__xludf.DUMMYFUNCTION("""COMPUTED_VALUE"""),1.02883914439627)</f>
        <v>1.0288391443962699</v>
      </c>
      <c r="T571" s="17">
        <f ca="1">IFERROR(__xludf.DUMMYFUNCTION("""COMPUTED_VALUE"""),1.07893188551089)</f>
        <v>1.07893188551089</v>
      </c>
      <c r="U571" s="17">
        <f ca="1">IFERROR(__xludf.DUMMYFUNCTION("""COMPUTED_VALUE"""),0.953581471349599)</f>
        <v>0.95358147134959903</v>
      </c>
      <c r="V571" s="17">
        <f ca="1">IFERROR(__xludf.DUMMYFUNCTION("""COMPUTED_VALUE"""),1.00245689958319)</f>
        <v>1.00245689958319</v>
      </c>
      <c r="W571" s="17">
        <f ca="1">IFERROR(__xludf.DUMMYFUNCTION("""COMPUTED_VALUE"""),0.857742858431955)</f>
        <v>0.85774285843195497</v>
      </c>
      <c r="X571" s="17">
        <f ca="1">IFERROR(__xludf.DUMMYFUNCTION("""COMPUTED_VALUE"""),0.77681914299913)</f>
        <v>0.77681914299913002</v>
      </c>
      <c r="Y571" s="17">
        <f ca="1">IFERROR(__xludf.DUMMYFUNCTION("""COMPUTED_VALUE"""),0.839645671172069)</f>
        <v>0.83964567117206901</v>
      </c>
      <c r="Z571" s="17">
        <f ca="1">IFERROR(__xludf.DUMMYFUNCTION("""COMPUTED_VALUE"""),0.939159911695371)</f>
        <v>0.93915991169537105</v>
      </c>
      <c r="AA571" s="17">
        <f ca="1">IFERROR(__xludf.DUMMYFUNCTION("""COMPUTED_VALUE"""),1.19496418006286)</f>
        <v>1.1949641800628601</v>
      </c>
      <c r="AB571" s="17">
        <f ca="1">IFERROR(__xludf.DUMMYFUNCTION("""COMPUTED_VALUE"""),1.14478178277385)</f>
        <v>1.14478178277385</v>
      </c>
      <c r="AC571" s="17">
        <f ca="1">IFERROR(__xludf.DUMMYFUNCTION("""COMPUTED_VALUE"""),0.993266905322271)</f>
        <v>0.99326690532227102</v>
      </c>
      <c r="AD571" s="17">
        <f ca="1">IFERROR(__xludf.DUMMYFUNCTION("""COMPUTED_VALUE"""),1.0701802038037)</f>
        <v>1.0701802038037</v>
      </c>
      <c r="AE571" s="17">
        <f ca="1">IFERROR(__xludf.DUMMYFUNCTION("""COMPUTED_VALUE"""),1.25436183769724)</f>
        <v>1.2543618376972401</v>
      </c>
      <c r="AF571" s="17">
        <f ca="1">IFERROR(__xludf.DUMMYFUNCTION("""COMPUTED_VALUE"""),0.948573095489392)</f>
        <v>0.94857309548939195</v>
      </c>
      <c r="AG571" s="17">
        <f ca="1">IFERROR(__xludf.DUMMYFUNCTION("""COMPUTED_VALUE"""),1.25273432524482)</f>
        <v>1.25273432524482</v>
      </c>
      <c r="AH571" s="17">
        <f ca="1">IFERROR(__xludf.DUMMYFUNCTION("""COMPUTED_VALUE"""),1.1433256119327)</f>
        <v>1.1433256119327</v>
      </c>
      <c r="AI571" s="17">
        <f ca="1">IFERROR(__xludf.DUMMYFUNCTION("""COMPUTED_VALUE"""),1.10988887386705)</f>
        <v>1.10988887386705</v>
      </c>
      <c r="AJ571" s="17">
        <f ca="1">IFERROR(__xludf.DUMMYFUNCTION("""COMPUTED_VALUE"""),1.15496148351554)</f>
        <v>1.15496148351554</v>
      </c>
    </row>
    <row r="572" spans="2:36" ht="15.75" customHeight="1" x14ac:dyDescent="0.45">
      <c r="B572" s="10" t="str">
        <f ca="1">IFERROR(__xludf.DUMMYFUNCTION("""COMPUTED_VALUE"""),"OSULeaf")</f>
        <v>OSULeaf</v>
      </c>
      <c r="C572" s="10" t="str">
        <f ca="1">IFERROR(__xludf.DUMMYFUNCTION("""COMPUTED_VALUE"""),"aligned_series")</f>
        <v>aligned_series</v>
      </c>
      <c r="D572" s="10">
        <f ca="1">IFERROR(__xludf.DUMMYFUNCTION("""COMPUTED_VALUE"""),0.1)</f>
        <v>0.1</v>
      </c>
      <c r="E572" s="17">
        <f ca="1">IFERROR(__xludf.DUMMYFUNCTION("""COMPUTED_VALUE"""),0.96847397051752)</f>
        <v>0.96847397051752004</v>
      </c>
      <c r="F572" s="17">
        <f ca="1">IFERROR(__xludf.DUMMYFUNCTION("""COMPUTED_VALUE"""),0.887155649738803)</f>
        <v>0.88715564973880301</v>
      </c>
      <c r="G572" s="17">
        <f ca="1">IFERROR(__xludf.DUMMYFUNCTION("""COMPUTED_VALUE"""),0.891901800627122)</f>
        <v>0.89190180062712199</v>
      </c>
      <c r="H572" s="17">
        <f ca="1">IFERROR(__xludf.DUMMYFUNCTION("""COMPUTED_VALUE"""),0.960270911009136)</f>
        <v>0.96027091100913597</v>
      </c>
      <c r="I572" s="17">
        <f ca="1">IFERROR(__xludf.DUMMYFUNCTION("""COMPUTED_VALUE"""),0.767734039923122)</f>
        <v>0.76773403992312195</v>
      </c>
      <c r="J572" s="17">
        <f ca="1">IFERROR(__xludf.DUMMYFUNCTION("""COMPUTED_VALUE"""),0.819365394039216)</f>
        <v>0.81936539403921604</v>
      </c>
      <c r="K572" s="17" t="str">
        <f ca="1">IFERROR(__xludf.DUMMYFUNCTION("""COMPUTED_VALUE"""),"nan")</f>
        <v>nan</v>
      </c>
      <c r="L572" s="17">
        <f ca="1">IFERROR(__xludf.DUMMYFUNCTION("""COMPUTED_VALUE"""),0.948199348495991)</f>
        <v>0.94819934849599097</v>
      </c>
      <c r="M572" s="17">
        <f ca="1">IFERROR(__xludf.DUMMYFUNCTION("""COMPUTED_VALUE"""),0.913159001815338)</f>
        <v>0.91315900181533805</v>
      </c>
      <c r="N572" s="17">
        <f ca="1">IFERROR(__xludf.DUMMYFUNCTION("""COMPUTED_VALUE"""),1.00455214714198)</f>
        <v>1.00455214714198</v>
      </c>
      <c r="O572" s="17">
        <f ca="1">IFERROR(__xludf.DUMMYFUNCTION("""COMPUTED_VALUE"""),0.979822007541553)</f>
        <v>0.97982200754155302</v>
      </c>
      <c r="P572" s="17">
        <f ca="1">IFERROR(__xludf.DUMMYFUNCTION("""COMPUTED_VALUE"""),0.896043608808436)</f>
        <v>0.89604360880843603</v>
      </c>
      <c r="Q572" s="17">
        <f ca="1">IFERROR(__xludf.DUMMYFUNCTION("""COMPUTED_VALUE"""),1.37456378170842)</f>
        <v>1.37456378170842</v>
      </c>
      <c r="R572" s="17">
        <f ca="1">IFERROR(__xludf.DUMMYFUNCTION("""COMPUTED_VALUE"""),1.18557312797122)</f>
        <v>1.1855731279712201</v>
      </c>
      <c r="S572" s="17">
        <f ca="1">IFERROR(__xludf.DUMMYFUNCTION("""COMPUTED_VALUE"""),0.937402582162112)</f>
        <v>0.93740258216211203</v>
      </c>
      <c r="T572" s="17">
        <f ca="1">IFERROR(__xludf.DUMMYFUNCTION("""COMPUTED_VALUE"""),0.877769025963325)</f>
        <v>0.87776902596332496</v>
      </c>
      <c r="U572" s="17">
        <f ca="1">IFERROR(__xludf.DUMMYFUNCTION("""COMPUTED_VALUE"""),0.884477662411508)</f>
        <v>0.88447766241150805</v>
      </c>
      <c r="V572" s="17">
        <f ca="1">IFERROR(__xludf.DUMMYFUNCTION("""COMPUTED_VALUE"""),0.865057978748786)</f>
        <v>0.86505797874878598</v>
      </c>
      <c r="W572" s="17">
        <f ca="1">IFERROR(__xludf.DUMMYFUNCTION("""COMPUTED_VALUE"""),0.915797966443434)</f>
        <v>0.91579796644343403</v>
      </c>
      <c r="X572" s="17">
        <f ca="1">IFERROR(__xludf.DUMMYFUNCTION("""COMPUTED_VALUE"""),0.824015675521306)</f>
        <v>0.82401567552130595</v>
      </c>
      <c r="Y572" s="17">
        <f ca="1">IFERROR(__xludf.DUMMYFUNCTION("""COMPUTED_VALUE"""),0.731276383603025)</f>
        <v>0.73127638360302505</v>
      </c>
      <c r="Z572" s="17">
        <f ca="1">IFERROR(__xludf.DUMMYFUNCTION("""COMPUTED_VALUE"""),0.830349392056761)</f>
        <v>0.83034939205676095</v>
      </c>
      <c r="AA572" s="17">
        <f ca="1">IFERROR(__xludf.DUMMYFUNCTION("""COMPUTED_VALUE"""),1.71457358816658)</f>
        <v>1.71457358816658</v>
      </c>
      <c r="AB572" s="17">
        <f ca="1">IFERROR(__xludf.DUMMYFUNCTION("""COMPUTED_VALUE"""),1.17162982619622)</f>
        <v>1.1716298261962199</v>
      </c>
      <c r="AC572" s="17">
        <f ca="1">IFERROR(__xludf.DUMMYFUNCTION("""COMPUTED_VALUE"""),0.966364290040705)</f>
        <v>0.96636429004070501</v>
      </c>
      <c r="AD572" s="17">
        <f ca="1">IFERROR(__xludf.DUMMYFUNCTION("""COMPUTED_VALUE"""),0.922948595857163)</f>
        <v>0.92294859585716305</v>
      </c>
      <c r="AE572" s="17">
        <f ca="1">IFERROR(__xludf.DUMMYFUNCTION("""COMPUTED_VALUE"""),1.1027399924525)</f>
        <v>1.1027399924525001</v>
      </c>
      <c r="AF572" s="17">
        <f ca="1">IFERROR(__xludf.DUMMYFUNCTION("""COMPUTED_VALUE"""),0.902640829209803)</f>
        <v>0.90264082920980304</v>
      </c>
      <c r="AG572" s="17">
        <f ca="1">IFERROR(__xludf.DUMMYFUNCTION("""COMPUTED_VALUE"""),1.00712832800792)</f>
        <v>1.00712832800792</v>
      </c>
      <c r="AH572" s="17">
        <f ca="1">IFERROR(__xludf.DUMMYFUNCTION("""COMPUTED_VALUE"""),1.01203898048892)</f>
        <v>1.01203898048892</v>
      </c>
      <c r="AI572" s="17">
        <f ca="1">IFERROR(__xludf.DUMMYFUNCTION("""COMPUTED_VALUE"""),1.02367111991969)</f>
        <v>1.02367111991969</v>
      </c>
      <c r="AJ572" s="17">
        <f ca="1">IFERROR(__xludf.DUMMYFUNCTION("""COMPUTED_VALUE"""),0.944846093143095)</f>
        <v>0.94484609314309498</v>
      </c>
    </row>
    <row r="573" spans="2:36" ht="15.75" customHeight="1" x14ac:dyDescent="0.45">
      <c r="B573" s="10" t="str">
        <f ca="1">IFERROR(__xludf.DUMMYFUNCTION("""COMPUTED_VALUE"""),"OSULeaf")</f>
        <v>OSULeaf</v>
      </c>
      <c r="C573" s="10" t="str">
        <f ca="1">IFERROR(__xludf.DUMMYFUNCTION("""COMPUTED_VALUE"""),"aligned_series")</f>
        <v>aligned_series</v>
      </c>
      <c r="D573" s="10">
        <f ca="1">IFERROR(__xludf.DUMMYFUNCTION("""COMPUTED_VALUE"""),0.2)</f>
        <v>0.2</v>
      </c>
      <c r="E573" s="17">
        <f ca="1">IFERROR(__xludf.DUMMYFUNCTION("""COMPUTED_VALUE"""),0.977806675269612)</f>
        <v>0.97780667526961196</v>
      </c>
      <c r="F573" s="17">
        <f ca="1">IFERROR(__xludf.DUMMYFUNCTION("""COMPUTED_VALUE"""),0.856677103090219)</f>
        <v>0.85667710309021905</v>
      </c>
      <c r="G573" s="17">
        <f ca="1">IFERROR(__xludf.DUMMYFUNCTION("""COMPUTED_VALUE"""),0.866221767325884)</f>
        <v>0.86622176732588396</v>
      </c>
      <c r="H573" s="17">
        <f ca="1">IFERROR(__xludf.DUMMYFUNCTION("""COMPUTED_VALUE"""),0.87493597425766)</f>
        <v>0.87493597425766001</v>
      </c>
      <c r="I573" s="17">
        <f ca="1">IFERROR(__xludf.DUMMYFUNCTION("""COMPUTED_VALUE"""),0.754632080478954)</f>
        <v>0.75463208047895403</v>
      </c>
      <c r="J573" s="17">
        <f ca="1">IFERROR(__xludf.DUMMYFUNCTION("""COMPUTED_VALUE"""),0.841374930057369)</f>
        <v>0.84137493005736896</v>
      </c>
      <c r="K573" s="17" t="str">
        <f ca="1">IFERROR(__xludf.DUMMYFUNCTION("""COMPUTED_VALUE"""),"nan")</f>
        <v>nan</v>
      </c>
      <c r="L573" s="17">
        <f ca="1">IFERROR(__xludf.DUMMYFUNCTION("""COMPUTED_VALUE"""),1.09766473000131)</f>
        <v>1.09766473000131</v>
      </c>
      <c r="M573" s="17">
        <f ca="1">IFERROR(__xludf.DUMMYFUNCTION("""COMPUTED_VALUE"""),0.84525852471461)</f>
        <v>0.84525852471461005</v>
      </c>
      <c r="N573" s="17">
        <f ca="1">IFERROR(__xludf.DUMMYFUNCTION("""COMPUTED_VALUE"""),0.995211914965386)</f>
        <v>0.99521191496538597</v>
      </c>
      <c r="O573" s="17">
        <f ca="1">IFERROR(__xludf.DUMMYFUNCTION("""COMPUTED_VALUE"""),1.22910013334591)</f>
        <v>1.22910013334591</v>
      </c>
      <c r="P573" s="17">
        <f ca="1">IFERROR(__xludf.DUMMYFUNCTION("""COMPUTED_VALUE"""),0.902684764344612)</f>
        <v>0.90268476434461198</v>
      </c>
      <c r="Q573" s="17">
        <f ca="1">IFERROR(__xludf.DUMMYFUNCTION("""COMPUTED_VALUE"""),1.20585290526565)</f>
        <v>1.2058529052656499</v>
      </c>
      <c r="R573" s="17">
        <f ca="1">IFERROR(__xludf.DUMMYFUNCTION("""COMPUTED_VALUE"""),1.06800384127857)</f>
        <v>1.06800384127857</v>
      </c>
      <c r="S573" s="17">
        <f ca="1">IFERROR(__xludf.DUMMYFUNCTION("""COMPUTED_VALUE"""),0.928249829757564)</f>
        <v>0.92824982975756398</v>
      </c>
      <c r="T573" s="17">
        <f ca="1">IFERROR(__xludf.DUMMYFUNCTION("""COMPUTED_VALUE"""),0.865542184517786)</f>
        <v>0.86554218451778597</v>
      </c>
      <c r="U573" s="17">
        <f ca="1">IFERROR(__xludf.DUMMYFUNCTION("""COMPUTED_VALUE"""),0.883104823292254)</f>
        <v>0.88310482329225404</v>
      </c>
      <c r="V573" s="17">
        <f ca="1">IFERROR(__xludf.DUMMYFUNCTION("""COMPUTED_VALUE"""),0.870795244078995)</f>
        <v>0.870795244078995</v>
      </c>
      <c r="W573" s="17">
        <f ca="1">IFERROR(__xludf.DUMMYFUNCTION("""COMPUTED_VALUE"""),0.932503551244534)</f>
        <v>0.93250355124453399</v>
      </c>
      <c r="X573" s="17">
        <f ca="1">IFERROR(__xludf.DUMMYFUNCTION("""COMPUTED_VALUE"""),0.787670134039993)</f>
        <v>0.78767013403999298</v>
      </c>
      <c r="Y573" s="17">
        <f ca="1">IFERROR(__xludf.DUMMYFUNCTION("""COMPUTED_VALUE"""),0.721754064397949)</f>
        <v>0.72175406439794898</v>
      </c>
      <c r="Z573" s="17">
        <f ca="1">IFERROR(__xludf.DUMMYFUNCTION("""COMPUTED_VALUE"""),0.786123955819718)</f>
        <v>0.78612395581971795</v>
      </c>
      <c r="AA573" s="17">
        <f ca="1">IFERROR(__xludf.DUMMYFUNCTION("""COMPUTED_VALUE"""),1.47281906432873)</f>
        <v>1.47281906432873</v>
      </c>
      <c r="AB573" s="17">
        <f ca="1">IFERROR(__xludf.DUMMYFUNCTION("""COMPUTED_VALUE"""),1.16644490367873)</f>
        <v>1.1664449036787301</v>
      </c>
      <c r="AC573" s="17">
        <f ca="1">IFERROR(__xludf.DUMMYFUNCTION("""COMPUTED_VALUE"""),0.866734649656587)</f>
        <v>0.86673464965658698</v>
      </c>
      <c r="AD573" s="17">
        <f ca="1">IFERROR(__xludf.DUMMYFUNCTION("""COMPUTED_VALUE"""),0.898755662228841)</f>
        <v>0.89875566222884096</v>
      </c>
      <c r="AE573" s="17">
        <f ca="1">IFERROR(__xludf.DUMMYFUNCTION("""COMPUTED_VALUE"""),1.10199802268039)</f>
        <v>1.10199802268039</v>
      </c>
      <c r="AF573" s="17">
        <f ca="1">IFERROR(__xludf.DUMMYFUNCTION("""COMPUTED_VALUE"""),0.862880152592322)</f>
        <v>0.86288015259232198</v>
      </c>
      <c r="AG573" s="17">
        <f ca="1">IFERROR(__xludf.DUMMYFUNCTION("""COMPUTED_VALUE"""),1.03590382127934)</f>
        <v>1.0359038212793401</v>
      </c>
      <c r="AH573" s="17">
        <f ca="1">IFERROR(__xludf.DUMMYFUNCTION("""COMPUTED_VALUE"""),1.0362452755807)</f>
        <v>1.0362452755806999</v>
      </c>
      <c r="AI573" s="17">
        <f ca="1">IFERROR(__xludf.DUMMYFUNCTION("""COMPUTED_VALUE"""),1.04647248665438)</f>
        <v>1.04647248665438</v>
      </c>
      <c r="AJ573" s="17">
        <f ca="1">IFERROR(__xludf.DUMMYFUNCTION("""COMPUTED_VALUE"""),0.966041382244087)</f>
        <v>0.96604138224408698</v>
      </c>
    </row>
    <row r="574" spans="2:36" ht="15.75" customHeight="1" x14ac:dyDescent="0.45">
      <c r="B574" s="10" t="str">
        <f ca="1">IFERROR(__xludf.DUMMYFUNCTION("""COMPUTED_VALUE"""),"OSULeaf")</f>
        <v>OSULeaf</v>
      </c>
      <c r="C574" s="10" t="str">
        <f ca="1">IFERROR(__xludf.DUMMYFUNCTION("""COMPUTED_VALUE"""),"aligned_series")</f>
        <v>aligned_series</v>
      </c>
      <c r="D574" s="10">
        <f ca="1">IFERROR(__xludf.DUMMYFUNCTION("""COMPUTED_VALUE"""),0.4)</f>
        <v>0.4</v>
      </c>
      <c r="E574" s="17">
        <f ca="1">IFERROR(__xludf.DUMMYFUNCTION("""COMPUTED_VALUE"""),0.982167995402)</f>
        <v>0.98216799540199995</v>
      </c>
      <c r="F574" s="17">
        <f ca="1">IFERROR(__xludf.DUMMYFUNCTION("""COMPUTED_VALUE"""),0.821452413803864)</f>
        <v>0.82145241380386402</v>
      </c>
      <c r="G574" s="17">
        <f ca="1">IFERROR(__xludf.DUMMYFUNCTION("""COMPUTED_VALUE"""),0.834884067732783)</f>
        <v>0.83488406773278301</v>
      </c>
      <c r="H574" s="17">
        <f ca="1">IFERROR(__xludf.DUMMYFUNCTION("""COMPUTED_VALUE"""),0.907168388541233)</f>
        <v>0.90716838854123305</v>
      </c>
      <c r="I574" s="17">
        <f ca="1">IFERROR(__xludf.DUMMYFUNCTION("""COMPUTED_VALUE"""),0.761996835603595)</f>
        <v>0.76199683560359499</v>
      </c>
      <c r="J574" s="17">
        <f ca="1">IFERROR(__xludf.DUMMYFUNCTION("""COMPUTED_VALUE"""),0.853508424583473)</f>
        <v>0.85350842458347298</v>
      </c>
      <c r="K574" s="17" t="str">
        <f ca="1">IFERROR(__xludf.DUMMYFUNCTION("""COMPUTED_VALUE"""),"nan")</f>
        <v>nan</v>
      </c>
      <c r="L574" s="17">
        <f ca="1">IFERROR(__xludf.DUMMYFUNCTION("""COMPUTED_VALUE"""),0.848214233579048)</f>
        <v>0.84821423357904802</v>
      </c>
      <c r="M574" s="17">
        <f ca="1">IFERROR(__xludf.DUMMYFUNCTION("""COMPUTED_VALUE"""),0.829411106985543)</f>
        <v>0.82941110698554299</v>
      </c>
      <c r="N574" s="17">
        <f ca="1">IFERROR(__xludf.DUMMYFUNCTION("""COMPUTED_VALUE"""),0.947801270520921)</f>
        <v>0.947801270520921</v>
      </c>
      <c r="O574" s="17">
        <f ca="1">IFERROR(__xludf.DUMMYFUNCTION("""COMPUTED_VALUE"""),1.12885352902236)</f>
        <v>1.12885352902236</v>
      </c>
      <c r="P574" s="17">
        <f ca="1">IFERROR(__xludf.DUMMYFUNCTION("""COMPUTED_VALUE"""),0.966049378759701)</f>
        <v>0.96604937875970098</v>
      </c>
      <c r="Q574" s="17">
        <f ca="1">IFERROR(__xludf.DUMMYFUNCTION("""COMPUTED_VALUE"""),1.29247392155838)</f>
        <v>1.29247392155838</v>
      </c>
      <c r="R574" s="17">
        <f ca="1">IFERROR(__xludf.DUMMYFUNCTION("""COMPUTED_VALUE"""),1.06139238503566)</f>
        <v>1.0613923850356599</v>
      </c>
      <c r="S574" s="17">
        <f ca="1">IFERROR(__xludf.DUMMYFUNCTION("""COMPUTED_VALUE"""),0.973777791957452)</f>
        <v>0.97377779195745195</v>
      </c>
      <c r="T574" s="17">
        <f ca="1">IFERROR(__xludf.DUMMYFUNCTION("""COMPUTED_VALUE"""),0.838779150607864)</f>
        <v>0.83877915060786401</v>
      </c>
      <c r="U574" s="17">
        <f ca="1">IFERROR(__xludf.DUMMYFUNCTION("""COMPUTED_VALUE"""),0.853310691104173)</f>
        <v>0.85331069110417301</v>
      </c>
      <c r="V574" s="17">
        <f ca="1">IFERROR(__xludf.DUMMYFUNCTION("""COMPUTED_VALUE"""),0.887494566221171)</f>
        <v>0.88749456622117096</v>
      </c>
      <c r="W574" s="17">
        <f ca="1">IFERROR(__xludf.DUMMYFUNCTION("""COMPUTED_VALUE"""),0.914753244687488)</f>
        <v>0.91475324468748798</v>
      </c>
      <c r="X574" s="17">
        <f ca="1">IFERROR(__xludf.DUMMYFUNCTION("""COMPUTED_VALUE"""),0.811939263608036)</f>
        <v>0.81193926360803603</v>
      </c>
      <c r="Y574" s="17">
        <f ca="1">IFERROR(__xludf.DUMMYFUNCTION("""COMPUTED_VALUE"""),0.71406496585649)</f>
        <v>0.71406496585649004</v>
      </c>
      <c r="Z574" s="17">
        <f ca="1">IFERROR(__xludf.DUMMYFUNCTION("""COMPUTED_VALUE"""),0.796532986517869)</f>
        <v>0.79653298651786897</v>
      </c>
      <c r="AA574" s="17">
        <f ca="1">IFERROR(__xludf.DUMMYFUNCTION("""COMPUTED_VALUE"""),1.3001200802989)</f>
        <v>1.3001200802988999</v>
      </c>
      <c r="AB574" s="17">
        <f ca="1">IFERROR(__xludf.DUMMYFUNCTION("""COMPUTED_VALUE"""),2.07581439007292)</f>
        <v>2.07581439007292</v>
      </c>
      <c r="AC574" s="17">
        <f ca="1">IFERROR(__xludf.DUMMYFUNCTION("""COMPUTED_VALUE"""),0.854364124146134)</f>
        <v>0.85436412414613405</v>
      </c>
      <c r="AD574" s="17">
        <f ca="1">IFERROR(__xludf.DUMMYFUNCTION("""COMPUTED_VALUE"""),0.904880825507652)</f>
        <v>0.90488082550765203</v>
      </c>
      <c r="AE574" s="17">
        <f ca="1">IFERROR(__xludf.DUMMYFUNCTION("""COMPUTED_VALUE"""),1.15008261473346)</f>
        <v>1.15008261473346</v>
      </c>
      <c r="AF574" s="17">
        <f ca="1">IFERROR(__xludf.DUMMYFUNCTION("""COMPUTED_VALUE"""),0.8540845061084)</f>
        <v>0.85408450610840003</v>
      </c>
      <c r="AG574" s="17">
        <f ca="1">IFERROR(__xludf.DUMMYFUNCTION("""COMPUTED_VALUE"""),1.04839691207939)</f>
        <v>1.0483969120793899</v>
      </c>
      <c r="AH574" s="17">
        <f ca="1">IFERROR(__xludf.DUMMYFUNCTION("""COMPUTED_VALUE"""),1.05347942121022)</f>
        <v>1.0534794212102201</v>
      </c>
      <c r="AI574" s="17">
        <f ca="1">IFERROR(__xludf.DUMMYFUNCTION("""COMPUTED_VALUE"""),1.06431939592289)</f>
        <v>1.06431939592289</v>
      </c>
      <c r="AJ574" s="17">
        <f ca="1">IFERROR(__xludf.DUMMYFUNCTION("""COMPUTED_VALUE"""),0.997301964625747)</f>
        <v>0.99730196462574705</v>
      </c>
    </row>
    <row r="575" spans="2:36" ht="15.75" customHeight="1" x14ac:dyDescent="0.45">
      <c r="B575" s="10" t="str">
        <f ca="1">IFERROR(__xludf.DUMMYFUNCTION("""COMPUTED_VALUE"""),"OSULeaf")</f>
        <v>OSULeaf</v>
      </c>
      <c r="C575" s="10" t="str">
        <f ca="1">IFERROR(__xludf.DUMMYFUNCTION("""COMPUTED_VALUE"""),"aligned_series")</f>
        <v>aligned_series</v>
      </c>
      <c r="D575" s="10">
        <f ca="1">IFERROR(__xludf.DUMMYFUNCTION("""COMPUTED_VALUE"""),0.6)</f>
        <v>0.6</v>
      </c>
      <c r="E575" s="17">
        <f ca="1">IFERROR(__xludf.DUMMYFUNCTION("""COMPUTED_VALUE"""),0.975003064900662)</f>
        <v>0.97500306490066202</v>
      </c>
      <c r="F575" s="17">
        <f ca="1">IFERROR(__xludf.DUMMYFUNCTION("""COMPUTED_VALUE"""),0.861715924034323)</f>
        <v>0.86171592403432296</v>
      </c>
      <c r="G575" s="17">
        <f ca="1">IFERROR(__xludf.DUMMYFUNCTION("""COMPUTED_VALUE"""),0.941575142277025)</f>
        <v>0.94157514227702499</v>
      </c>
      <c r="H575" s="17">
        <f ca="1">IFERROR(__xludf.DUMMYFUNCTION("""COMPUTED_VALUE"""),0.951675160068785)</f>
        <v>0.95167516006878505</v>
      </c>
      <c r="I575" s="17">
        <f ca="1">IFERROR(__xludf.DUMMYFUNCTION("""COMPUTED_VALUE"""),0.795842338754184)</f>
        <v>0.79584233875418398</v>
      </c>
      <c r="J575" s="17">
        <f ca="1">IFERROR(__xludf.DUMMYFUNCTION("""COMPUTED_VALUE"""),0.901264714517719)</f>
        <v>0.90126471451771895</v>
      </c>
      <c r="K575" s="17" t="str">
        <f ca="1">IFERROR(__xludf.DUMMYFUNCTION("""COMPUTED_VALUE"""),"nan")</f>
        <v>nan</v>
      </c>
      <c r="L575" s="17">
        <f ca="1">IFERROR(__xludf.DUMMYFUNCTION("""COMPUTED_VALUE"""),0.957158715051682)</f>
        <v>0.95715871505168204</v>
      </c>
      <c r="M575" s="17">
        <f ca="1">IFERROR(__xludf.DUMMYFUNCTION("""COMPUTED_VALUE"""),0.889949994519744)</f>
        <v>0.88994999451974399</v>
      </c>
      <c r="N575" s="17">
        <f ca="1">IFERROR(__xludf.DUMMYFUNCTION("""COMPUTED_VALUE"""),0.900246177382834)</f>
        <v>0.90024617738283397</v>
      </c>
      <c r="O575" s="17">
        <f ca="1">IFERROR(__xludf.DUMMYFUNCTION("""COMPUTED_VALUE"""),1.11642067167427)</f>
        <v>1.1164206716742699</v>
      </c>
      <c r="P575" s="17">
        <f ca="1">IFERROR(__xludf.DUMMYFUNCTION("""COMPUTED_VALUE"""),1.09537421335828)</f>
        <v>1.09537421335828</v>
      </c>
      <c r="Q575" s="17">
        <f ca="1">IFERROR(__xludf.DUMMYFUNCTION("""COMPUTED_VALUE"""),1.18747861788992)</f>
        <v>1.1874786178899199</v>
      </c>
      <c r="R575" s="17">
        <f ca="1">IFERROR(__xludf.DUMMYFUNCTION("""COMPUTED_VALUE"""),1.06024047793192)</f>
        <v>1.0602404779319199</v>
      </c>
      <c r="S575" s="17">
        <f ca="1">IFERROR(__xludf.DUMMYFUNCTION("""COMPUTED_VALUE"""),1.04882576105967)</f>
        <v>1.0488257610596701</v>
      </c>
      <c r="T575" s="17">
        <f ca="1">IFERROR(__xludf.DUMMYFUNCTION("""COMPUTED_VALUE"""),0.860852528484402)</f>
        <v>0.86085252848440197</v>
      </c>
      <c r="U575" s="17">
        <f ca="1">IFERROR(__xludf.DUMMYFUNCTION("""COMPUTED_VALUE"""),0.874160383068045)</f>
        <v>0.874160383068045</v>
      </c>
      <c r="V575" s="17">
        <f ca="1">IFERROR(__xludf.DUMMYFUNCTION("""COMPUTED_VALUE"""),0.929268960209089)</f>
        <v>0.929268960209089</v>
      </c>
      <c r="W575" s="17">
        <f ca="1">IFERROR(__xludf.DUMMYFUNCTION("""COMPUTED_VALUE"""),0.906215482723944)</f>
        <v>0.90621548272394403</v>
      </c>
      <c r="X575" s="17">
        <f ca="1">IFERROR(__xludf.DUMMYFUNCTION("""COMPUTED_VALUE"""),0.836658314725916)</f>
        <v>0.83665831472591601</v>
      </c>
      <c r="Y575" s="17">
        <f ca="1">IFERROR(__xludf.DUMMYFUNCTION("""COMPUTED_VALUE"""),0.764310534674465)</f>
        <v>0.76431053467446497</v>
      </c>
      <c r="Z575" s="17">
        <f ca="1">IFERROR(__xludf.DUMMYFUNCTION("""COMPUTED_VALUE"""),0.82776238704777)</f>
        <v>0.82776238704777005</v>
      </c>
      <c r="AA575" s="17">
        <f ca="1">IFERROR(__xludf.DUMMYFUNCTION("""COMPUTED_VALUE"""),1.26925425187352)</f>
        <v>1.2692542518735199</v>
      </c>
      <c r="AB575" s="17">
        <f ca="1">IFERROR(__xludf.DUMMYFUNCTION("""COMPUTED_VALUE"""),2.1716561038595)</f>
        <v>2.1716561038595001</v>
      </c>
      <c r="AC575" s="17">
        <f ca="1">IFERROR(__xludf.DUMMYFUNCTION("""COMPUTED_VALUE"""),0.89135317236847)</f>
        <v>0.89135317236847</v>
      </c>
      <c r="AD575" s="17">
        <f ca="1">IFERROR(__xludf.DUMMYFUNCTION("""COMPUTED_VALUE"""),0.912242040485395)</f>
        <v>0.91224204048539503</v>
      </c>
      <c r="AE575" s="17">
        <f ca="1">IFERROR(__xludf.DUMMYFUNCTION("""COMPUTED_VALUE"""),1.14363395156863)</f>
        <v>1.14363395156863</v>
      </c>
      <c r="AF575" s="17">
        <f ca="1">IFERROR(__xludf.DUMMYFUNCTION("""COMPUTED_VALUE"""),0.902798710946534)</f>
        <v>0.90279871094653397</v>
      </c>
      <c r="AG575" s="17">
        <f ca="1">IFERROR(__xludf.DUMMYFUNCTION("""COMPUTED_VALUE"""),1.05868914534057)</f>
        <v>1.05868914534057</v>
      </c>
      <c r="AH575" s="17">
        <f ca="1">IFERROR(__xludf.DUMMYFUNCTION("""COMPUTED_VALUE"""),1.05394518515023)</f>
        <v>1.0539451851502299</v>
      </c>
      <c r="AI575" s="17">
        <f ca="1">IFERROR(__xludf.DUMMYFUNCTION("""COMPUTED_VALUE"""),1.06338393630958)</f>
        <v>1.0633839363095801</v>
      </c>
      <c r="AJ575" s="17">
        <f ca="1">IFERROR(__xludf.DUMMYFUNCTION("""COMPUTED_VALUE"""),1.01205634892306)</f>
        <v>1.0120563489230601</v>
      </c>
    </row>
    <row r="576" spans="2:36" ht="15.75" customHeight="1" x14ac:dyDescent="0.45">
      <c r="B576" s="10" t="str">
        <f ca="1">IFERROR(__xludf.DUMMYFUNCTION("""COMPUTED_VALUE"""),"OSULeaf")</f>
        <v>OSULeaf</v>
      </c>
      <c r="C576" s="10" t="str">
        <f ca="1">IFERROR(__xludf.DUMMYFUNCTION("""COMPUTED_VALUE"""),"aligned_series")</f>
        <v>aligned_series</v>
      </c>
      <c r="D576" s="10">
        <f ca="1">IFERROR(__xludf.DUMMYFUNCTION("""COMPUTED_VALUE"""),0.8)</f>
        <v>0.8</v>
      </c>
      <c r="E576" s="17">
        <f ca="1">IFERROR(__xludf.DUMMYFUNCTION("""COMPUTED_VALUE"""),0.970042043886281)</f>
        <v>0.97004204388628101</v>
      </c>
      <c r="F576" s="17">
        <f ca="1">IFERROR(__xludf.DUMMYFUNCTION("""COMPUTED_VALUE"""),1.05298717444924)</f>
        <v>1.0529871744492401</v>
      </c>
      <c r="G576" s="17">
        <f ca="1">IFERROR(__xludf.DUMMYFUNCTION("""COMPUTED_VALUE"""),1.30999493631847)</f>
        <v>1.30999493631847</v>
      </c>
      <c r="H576" s="17">
        <f ca="1">IFERROR(__xludf.DUMMYFUNCTION("""COMPUTED_VALUE"""),2.71054278780745)</f>
        <v>2.7105427878074502</v>
      </c>
      <c r="I576" s="17">
        <f ca="1">IFERROR(__xludf.DUMMYFUNCTION("""COMPUTED_VALUE"""),0.844031877991487)</f>
        <v>0.84403187799148705</v>
      </c>
      <c r="J576" s="17">
        <f ca="1">IFERROR(__xludf.DUMMYFUNCTION("""COMPUTED_VALUE"""),1.13078179457956)</f>
        <v>1.13078179457956</v>
      </c>
      <c r="K576" s="17" t="str">
        <f ca="1">IFERROR(__xludf.DUMMYFUNCTION("""COMPUTED_VALUE"""),"nan")</f>
        <v>nan</v>
      </c>
      <c r="L576" s="17">
        <f ca="1">IFERROR(__xludf.DUMMYFUNCTION("""COMPUTED_VALUE"""),0.944256830527076)</f>
        <v>0.94425683052707599</v>
      </c>
      <c r="M576" s="17">
        <f ca="1">IFERROR(__xludf.DUMMYFUNCTION("""COMPUTED_VALUE"""),1.42719580417639)</f>
        <v>1.4271958041763899</v>
      </c>
      <c r="N576" s="17">
        <f ca="1">IFERROR(__xludf.DUMMYFUNCTION("""COMPUTED_VALUE"""),0.98875607454845)</f>
        <v>0.98875607454845005</v>
      </c>
      <c r="O576" s="17">
        <f ca="1">IFERROR(__xludf.DUMMYFUNCTION("""COMPUTED_VALUE"""),1.05336109696858)</f>
        <v>1.05336109696858</v>
      </c>
      <c r="P576" s="17">
        <f ca="1">IFERROR(__xludf.DUMMYFUNCTION("""COMPUTED_VALUE"""),1.20149123427519)</f>
        <v>1.20149123427519</v>
      </c>
      <c r="Q576" s="17">
        <f ca="1">IFERROR(__xludf.DUMMYFUNCTION("""COMPUTED_VALUE"""),1.08081962949782)</f>
        <v>1.0808196294978201</v>
      </c>
      <c r="R576" s="17">
        <f ca="1">IFERROR(__xludf.DUMMYFUNCTION("""COMPUTED_VALUE"""),1.06556430181447)</f>
        <v>1.06556430181447</v>
      </c>
      <c r="S576" s="17">
        <f ca="1">IFERROR(__xludf.DUMMYFUNCTION("""COMPUTED_VALUE"""),1.09101953311922)</f>
        <v>1.0910195331192201</v>
      </c>
      <c r="T576" s="17">
        <f ca="1">IFERROR(__xludf.DUMMYFUNCTION("""COMPUTED_VALUE"""),0.891992778892771)</f>
        <v>0.89199277889277095</v>
      </c>
      <c r="U576" s="17">
        <f ca="1">IFERROR(__xludf.DUMMYFUNCTION("""COMPUTED_VALUE"""),0.937959832203091)</f>
        <v>0.93795983220309098</v>
      </c>
      <c r="V576" s="17">
        <f ca="1">IFERROR(__xludf.DUMMYFUNCTION("""COMPUTED_VALUE"""),0.95129277316487)</f>
        <v>0.95129277316487004</v>
      </c>
      <c r="W576" s="17">
        <f ca="1">IFERROR(__xludf.DUMMYFUNCTION("""COMPUTED_VALUE"""),0.905722220615937)</f>
        <v>0.90572222061593699</v>
      </c>
      <c r="X576" s="17">
        <f ca="1">IFERROR(__xludf.DUMMYFUNCTION("""COMPUTED_VALUE"""),0.880581413178258)</f>
        <v>0.880581413178258</v>
      </c>
      <c r="Y576" s="17">
        <f ca="1">IFERROR(__xludf.DUMMYFUNCTION("""COMPUTED_VALUE"""),0.790474167039717)</f>
        <v>0.79047416703971696</v>
      </c>
      <c r="Z576" s="17">
        <f ca="1">IFERROR(__xludf.DUMMYFUNCTION("""COMPUTED_VALUE"""),0.875202230734272)</f>
        <v>0.87520223073427195</v>
      </c>
      <c r="AA576" s="17">
        <f ca="1">IFERROR(__xludf.DUMMYFUNCTION("""COMPUTED_VALUE"""),1.159872021666)</f>
        <v>1.1598720216659999</v>
      </c>
      <c r="AB576" s="17">
        <f ca="1">IFERROR(__xludf.DUMMYFUNCTION("""COMPUTED_VALUE"""),2.26195121808087)</f>
        <v>2.2619512180808701</v>
      </c>
      <c r="AC576" s="17">
        <f ca="1">IFERROR(__xludf.DUMMYFUNCTION("""COMPUTED_VALUE"""),0.862120133083736)</f>
        <v>0.86212013308373603</v>
      </c>
      <c r="AD576" s="17">
        <f ca="1">IFERROR(__xludf.DUMMYFUNCTION("""COMPUTED_VALUE"""),0.888168034042372)</f>
        <v>0.88816803404237199</v>
      </c>
      <c r="AE576" s="17">
        <f ca="1">IFERROR(__xludf.DUMMYFUNCTION("""COMPUTED_VALUE"""),1.1425435576596)</f>
        <v>1.1425435576595999</v>
      </c>
      <c r="AF576" s="17">
        <f ca="1">IFERROR(__xludf.DUMMYFUNCTION("""COMPUTED_VALUE"""),0.920495956284436)</f>
        <v>0.92049595628443603</v>
      </c>
      <c r="AG576" s="17">
        <f ca="1">IFERROR(__xludf.DUMMYFUNCTION("""COMPUTED_VALUE"""),1.04581380346839)</f>
        <v>1.0458138034683899</v>
      </c>
      <c r="AH576" s="17">
        <f ca="1">IFERROR(__xludf.DUMMYFUNCTION("""COMPUTED_VALUE"""),1.04413870245464)</f>
        <v>1.04413870245464</v>
      </c>
      <c r="AI576" s="17">
        <f ca="1">IFERROR(__xludf.DUMMYFUNCTION("""COMPUTED_VALUE"""),1.0526051246567)</f>
        <v>1.0526051246567001</v>
      </c>
      <c r="AJ576" s="17">
        <f ca="1">IFERROR(__xludf.DUMMYFUNCTION("""COMPUTED_VALUE"""),1.02527041107202)</f>
        <v>1.0252704110720201</v>
      </c>
    </row>
    <row r="577" spans="2:36" ht="15.75" customHeight="1" x14ac:dyDescent="0.45">
      <c r="B577" s="10" t="str">
        <f ca="1">IFERROR(__xludf.DUMMYFUNCTION("""COMPUTED_VALUE"""),"OSULeaf")</f>
        <v>OSULeaf</v>
      </c>
      <c r="C577" s="10" t="str">
        <f ca="1">IFERROR(__xludf.DUMMYFUNCTION("""COMPUTED_VALUE"""),"aligned_timestamps")</f>
        <v>aligned_timestamps</v>
      </c>
      <c r="D577" s="10">
        <f ca="1">IFERROR(__xludf.DUMMYFUNCTION("""COMPUTED_VALUE"""),0.1)</f>
        <v>0.1</v>
      </c>
      <c r="E577" s="17">
        <f ca="1">IFERROR(__xludf.DUMMYFUNCTION("""COMPUTED_VALUE"""),0.964961393955286)</f>
        <v>0.96496139395528602</v>
      </c>
      <c r="F577" s="17">
        <f ca="1">IFERROR(__xludf.DUMMYFUNCTION("""COMPUTED_VALUE"""),0.8434324004909)</f>
        <v>0.84343240049089996</v>
      </c>
      <c r="G577" s="17">
        <f ca="1">IFERROR(__xludf.DUMMYFUNCTION("""COMPUTED_VALUE"""),0.846898425684398)</f>
        <v>0.84689842568439799</v>
      </c>
      <c r="H577" s="17">
        <f ca="1">IFERROR(__xludf.DUMMYFUNCTION("""COMPUTED_VALUE"""),0.900506556188819)</f>
        <v>0.90050655618881903</v>
      </c>
      <c r="I577" s="17">
        <f ca="1">IFERROR(__xludf.DUMMYFUNCTION("""COMPUTED_VALUE"""),0.695344928360138)</f>
        <v>0.69534492836013795</v>
      </c>
      <c r="J577" s="17">
        <f ca="1">IFERROR(__xludf.DUMMYFUNCTION("""COMPUTED_VALUE"""),0.77165691517065)</f>
        <v>0.77165691517065005</v>
      </c>
      <c r="K577" s="17" t="str">
        <f ca="1">IFERROR(__xludf.DUMMYFUNCTION("""COMPUTED_VALUE"""),"nan")</f>
        <v>nan</v>
      </c>
      <c r="L577" s="17">
        <f ca="1">IFERROR(__xludf.DUMMYFUNCTION("""COMPUTED_VALUE"""),0.949358783357564)</f>
        <v>0.94935878335756396</v>
      </c>
      <c r="M577" s="17">
        <f ca="1">IFERROR(__xludf.DUMMYFUNCTION("""COMPUTED_VALUE"""),0.859058055460045)</f>
        <v>0.85905805546004499</v>
      </c>
      <c r="N577" s="17">
        <f ca="1">IFERROR(__xludf.DUMMYFUNCTION("""COMPUTED_VALUE"""),0.880545513817924)</f>
        <v>0.88054551381792401</v>
      </c>
      <c r="O577" s="17">
        <f ca="1">IFERROR(__xludf.DUMMYFUNCTION("""COMPUTED_VALUE"""),0.936845809940239)</f>
        <v>0.93684580994023903</v>
      </c>
      <c r="P577" s="17">
        <f ca="1">IFERROR(__xludf.DUMMYFUNCTION("""COMPUTED_VALUE"""),0.887382403598401)</f>
        <v>0.88738240359840104</v>
      </c>
      <c r="Q577" s="17">
        <f ca="1">IFERROR(__xludf.DUMMYFUNCTION("""COMPUTED_VALUE"""),1.07057973874126)</f>
        <v>1.0705797387412599</v>
      </c>
      <c r="R577" s="17">
        <f ca="1">IFERROR(__xludf.DUMMYFUNCTION("""COMPUTED_VALUE"""),0.949935143604501)</f>
        <v>0.94993514360450104</v>
      </c>
      <c r="S577" s="17">
        <f ca="1">IFERROR(__xludf.DUMMYFUNCTION("""COMPUTED_VALUE"""),0.886800297769029)</f>
        <v>0.88680029776902902</v>
      </c>
      <c r="T577" s="17">
        <f ca="1">IFERROR(__xludf.DUMMYFUNCTION("""COMPUTED_VALUE"""),0.685857660178419)</f>
        <v>0.68585766017841898</v>
      </c>
      <c r="U577" s="17">
        <f ca="1">IFERROR(__xludf.DUMMYFUNCTION("""COMPUTED_VALUE"""),0.776612076645907)</f>
        <v>0.77661207664590703</v>
      </c>
      <c r="V577" s="17">
        <f ca="1">IFERROR(__xludf.DUMMYFUNCTION("""COMPUTED_VALUE"""),0.724876249544914)</f>
        <v>0.72487624954491403</v>
      </c>
      <c r="W577" s="17">
        <f ca="1">IFERROR(__xludf.DUMMYFUNCTION("""COMPUTED_VALUE"""),0.887064381071853)</f>
        <v>0.88706438107185304</v>
      </c>
      <c r="X577" s="17">
        <f ca="1">IFERROR(__xludf.DUMMYFUNCTION("""COMPUTED_VALUE"""),0.750997805698551)</f>
        <v>0.75099780569855101</v>
      </c>
      <c r="Y577" s="17">
        <f ca="1">IFERROR(__xludf.DUMMYFUNCTION("""COMPUTED_VALUE"""),0.574491359655191)</f>
        <v>0.57449135965519105</v>
      </c>
      <c r="Z577" s="17">
        <f ca="1">IFERROR(__xludf.DUMMYFUNCTION("""COMPUTED_VALUE"""),0.737818467201616)</f>
        <v>0.73781846720161604</v>
      </c>
      <c r="AA577" s="17">
        <f ca="1">IFERROR(__xludf.DUMMYFUNCTION("""COMPUTED_VALUE"""),0.766928726921959)</f>
        <v>0.76692872692195901</v>
      </c>
      <c r="AB577" s="17">
        <f ca="1">IFERROR(__xludf.DUMMYFUNCTION("""COMPUTED_VALUE"""),1.07301450240895)</f>
        <v>1.0730145024089499</v>
      </c>
      <c r="AC577" s="17">
        <f ca="1">IFERROR(__xludf.DUMMYFUNCTION("""COMPUTED_VALUE"""),0.698157148678118)</f>
        <v>0.69815714867811796</v>
      </c>
      <c r="AD577" s="17">
        <f ca="1">IFERROR(__xludf.DUMMYFUNCTION("""COMPUTED_VALUE"""),0.832779573292173)</f>
        <v>0.832779573292173</v>
      </c>
      <c r="AE577" s="17">
        <f ca="1">IFERROR(__xludf.DUMMYFUNCTION("""COMPUTED_VALUE"""),1.01191843546315)</f>
        <v>1.0119184354631501</v>
      </c>
      <c r="AF577" s="17">
        <f ca="1">IFERROR(__xludf.DUMMYFUNCTION("""COMPUTED_VALUE"""),0.687345105416265)</f>
        <v>0.68734510541626503</v>
      </c>
      <c r="AG577" s="17">
        <f ca="1">IFERROR(__xludf.DUMMYFUNCTION("""COMPUTED_VALUE"""),1.03019756388171)</f>
        <v>1.03019756388171</v>
      </c>
      <c r="AH577" s="17">
        <f ca="1">IFERROR(__xludf.DUMMYFUNCTION("""COMPUTED_VALUE"""),0.847362166834008)</f>
        <v>0.847362166834008</v>
      </c>
      <c r="AI577" s="17">
        <f ca="1">IFERROR(__xludf.DUMMYFUNCTION("""COMPUTED_VALUE"""),0.831642676392977)</f>
        <v>0.83164267639297695</v>
      </c>
      <c r="AJ577" s="17">
        <f ca="1">IFERROR(__xludf.DUMMYFUNCTION("""COMPUTED_VALUE"""),0.889016865479085)</f>
        <v>0.88901686547908498</v>
      </c>
    </row>
    <row r="578" spans="2:36" ht="15.75" customHeight="1" x14ac:dyDescent="0.45">
      <c r="B578" s="10" t="str">
        <f ca="1">IFERROR(__xludf.DUMMYFUNCTION("""COMPUTED_VALUE"""),"OSULeaf")</f>
        <v>OSULeaf</v>
      </c>
      <c r="C578" s="10" t="str">
        <f ca="1">IFERROR(__xludf.DUMMYFUNCTION("""COMPUTED_VALUE"""),"aligned_timestamps")</f>
        <v>aligned_timestamps</v>
      </c>
      <c r="D578" s="10">
        <f ca="1">IFERROR(__xludf.DUMMYFUNCTION("""COMPUTED_VALUE"""),0.2)</f>
        <v>0.2</v>
      </c>
      <c r="E578" s="17">
        <f ca="1">IFERROR(__xludf.DUMMYFUNCTION("""COMPUTED_VALUE"""),0.977806675269612)</f>
        <v>0.97780667526961196</v>
      </c>
      <c r="F578" s="17">
        <f ca="1">IFERROR(__xludf.DUMMYFUNCTION("""COMPUTED_VALUE"""),0.856677103090219)</f>
        <v>0.85667710309021905</v>
      </c>
      <c r="G578" s="17">
        <f ca="1">IFERROR(__xludf.DUMMYFUNCTION("""COMPUTED_VALUE"""),0.866221767325884)</f>
        <v>0.86622176732588396</v>
      </c>
      <c r="H578" s="17">
        <f ca="1">IFERROR(__xludf.DUMMYFUNCTION("""COMPUTED_VALUE"""),0.87493597425766)</f>
        <v>0.87493597425766001</v>
      </c>
      <c r="I578" s="17">
        <f ca="1">IFERROR(__xludf.DUMMYFUNCTION("""COMPUTED_VALUE"""),0.754632080478954)</f>
        <v>0.75463208047895403</v>
      </c>
      <c r="J578" s="17">
        <f ca="1">IFERROR(__xludf.DUMMYFUNCTION("""COMPUTED_VALUE"""),0.841374930057369)</f>
        <v>0.84137493005736896</v>
      </c>
      <c r="K578" s="17" t="str">
        <f ca="1">IFERROR(__xludf.DUMMYFUNCTION("""COMPUTED_VALUE"""),"nan")</f>
        <v>nan</v>
      </c>
      <c r="L578" s="17">
        <f ca="1">IFERROR(__xludf.DUMMYFUNCTION("""COMPUTED_VALUE"""),1.09766473000131)</f>
        <v>1.09766473000131</v>
      </c>
      <c r="M578" s="17">
        <f ca="1">IFERROR(__xludf.DUMMYFUNCTION("""COMPUTED_VALUE"""),0.84525852471461)</f>
        <v>0.84525852471461005</v>
      </c>
      <c r="N578" s="17">
        <f ca="1">IFERROR(__xludf.DUMMYFUNCTION("""COMPUTED_VALUE"""),0.995211914965386)</f>
        <v>0.99521191496538597</v>
      </c>
      <c r="O578" s="17">
        <f ca="1">IFERROR(__xludf.DUMMYFUNCTION("""COMPUTED_VALUE"""),1.22910013334591)</f>
        <v>1.22910013334591</v>
      </c>
      <c r="P578" s="17">
        <f ca="1">IFERROR(__xludf.DUMMYFUNCTION("""COMPUTED_VALUE"""),0.902684764344612)</f>
        <v>0.90268476434461198</v>
      </c>
      <c r="Q578" s="17">
        <f ca="1">IFERROR(__xludf.DUMMYFUNCTION("""COMPUTED_VALUE"""),1.20585290526565)</f>
        <v>1.2058529052656499</v>
      </c>
      <c r="R578" s="17">
        <f ca="1">IFERROR(__xludf.DUMMYFUNCTION("""COMPUTED_VALUE"""),1.06800384127857)</f>
        <v>1.06800384127857</v>
      </c>
      <c r="S578" s="17">
        <f ca="1">IFERROR(__xludf.DUMMYFUNCTION("""COMPUTED_VALUE"""),0.928249829757564)</f>
        <v>0.92824982975756398</v>
      </c>
      <c r="T578" s="17">
        <f ca="1">IFERROR(__xludf.DUMMYFUNCTION("""COMPUTED_VALUE"""),0.865542184517786)</f>
        <v>0.86554218451778597</v>
      </c>
      <c r="U578" s="17">
        <f ca="1">IFERROR(__xludf.DUMMYFUNCTION("""COMPUTED_VALUE"""),0.883104823292254)</f>
        <v>0.88310482329225404</v>
      </c>
      <c r="V578" s="17">
        <f ca="1">IFERROR(__xludf.DUMMYFUNCTION("""COMPUTED_VALUE"""),0.870795244078995)</f>
        <v>0.870795244078995</v>
      </c>
      <c r="W578" s="17">
        <f ca="1">IFERROR(__xludf.DUMMYFUNCTION("""COMPUTED_VALUE"""),0.930642236955697)</f>
        <v>0.93064223695569703</v>
      </c>
      <c r="X578" s="17">
        <f ca="1">IFERROR(__xludf.DUMMYFUNCTION("""COMPUTED_VALUE"""),0.795645285076401)</f>
        <v>0.79564528507640098</v>
      </c>
      <c r="Y578" s="17">
        <f ca="1">IFERROR(__xludf.DUMMYFUNCTION("""COMPUTED_VALUE"""),0.721754064397949)</f>
        <v>0.72175406439794898</v>
      </c>
      <c r="Z578" s="17">
        <f ca="1">IFERROR(__xludf.DUMMYFUNCTION("""COMPUTED_VALUE"""),0.786123955819718)</f>
        <v>0.78612395581971795</v>
      </c>
      <c r="AA578" s="17">
        <f ca="1">IFERROR(__xludf.DUMMYFUNCTION("""COMPUTED_VALUE"""),1.47281906432873)</f>
        <v>1.47281906432873</v>
      </c>
      <c r="AB578" s="17">
        <f ca="1">IFERROR(__xludf.DUMMYFUNCTION("""COMPUTED_VALUE"""),0.991805206199112)</f>
        <v>0.99180520619911205</v>
      </c>
      <c r="AC578" s="17">
        <f ca="1">IFERROR(__xludf.DUMMYFUNCTION("""COMPUTED_VALUE"""),0.866734348388452)</f>
        <v>0.86673434838845198</v>
      </c>
      <c r="AD578" s="17">
        <f ca="1">IFERROR(__xludf.DUMMYFUNCTION("""COMPUTED_VALUE"""),0.899028038075124)</f>
        <v>0.89902803807512399</v>
      </c>
      <c r="AE578" s="17">
        <f ca="1">IFERROR(__xludf.DUMMYFUNCTION("""COMPUTED_VALUE"""),1.11635696903149)</f>
        <v>1.1163569690314901</v>
      </c>
      <c r="AF578" s="17">
        <f ca="1">IFERROR(__xludf.DUMMYFUNCTION("""COMPUTED_VALUE"""),0.862880152592322)</f>
        <v>0.86288015259232198</v>
      </c>
      <c r="AG578" s="17">
        <f ca="1">IFERROR(__xludf.DUMMYFUNCTION("""COMPUTED_VALUE"""),1.02581931843204)</f>
        <v>1.0258193184320401</v>
      </c>
      <c r="AH578" s="17">
        <f ca="1">IFERROR(__xludf.DUMMYFUNCTION("""COMPUTED_VALUE"""),1.03599703875744)</f>
        <v>1.03599703875744</v>
      </c>
      <c r="AI578" s="17">
        <f ca="1">IFERROR(__xludf.DUMMYFUNCTION("""COMPUTED_VALUE"""),1.04647248665438)</f>
        <v>1.04647248665438</v>
      </c>
      <c r="AJ578" s="17">
        <f ca="1">IFERROR(__xludf.DUMMYFUNCTION("""COMPUTED_VALUE"""),0.979629644604984)</f>
        <v>0.97962964460498403</v>
      </c>
    </row>
    <row r="579" spans="2:36" ht="15.75" customHeight="1" x14ac:dyDescent="0.45">
      <c r="B579" s="10" t="str">
        <f ca="1">IFERROR(__xludf.DUMMYFUNCTION("""COMPUTED_VALUE"""),"OSULeaf")</f>
        <v>OSULeaf</v>
      </c>
      <c r="C579" s="10" t="str">
        <f ca="1">IFERROR(__xludf.DUMMYFUNCTION("""COMPUTED_VALUE"""),"aligned_timestamps")</f>
        <v>aligned_timestamps</v>
      </c>
      <c r="D579" s="10">
        <f ca="1">IFERROR(__xludf.DUMMYFUNCTION("""COMPUTED_VALUE"""),0.4)</f>
        <v>0.4</v>
      </c>
      <c r="E579" s="17">
        <f ca="1">IFERROR(__xludf.DUMMYFUNCTION("""COMPUTED_VALUE"""),0.969428803465303)</f>
        <v>0.96942880346530302</v>
      </c>
      <c r="F579" s="17">
        <f ca="1">IFERROR(__xludf.DUMMYFUNCTION("""COMPUTED_VALUE"""),0.993895981389812)</f>
        <v>0.99389598138981206</v>
      </c>
      <c r="G579" s="17">
        <f ca="1">IFERROR(__xludf.DUMMYFUNCTION("""COMPUTED_VALUE"""),1.10296390427372)</f>
        <v>1.10296390427372</v>
      </c>
      <c r="H579" s="17">
        <f ca="1">IFERROR(__xludf.DUMMYFUNCTION("""COMPUTED_VALUE"""),0.958165596028209)</f>
        <v>0.95816559602820905</v>
      </c>
      <c r="I579" s="17">
        <f ca="1">IFERROR(__xludf.DUMMYFUNCTION("""COMPUTED_VALUE"""),0.806104576525708)</f>
        <v>0.80610457652570799</v>
      </c>
      <c r="J579" s="17">
        <f ca="1">IFERROR(__xludf.DUMMYFUNCTION("""COMPUTED_VALUE"""),0.885167457112348)</f>
        <v>0.88516745711234801</v>
      </c>
      <c r="K579" s="17" t="str">
        <f ca="1">IFERROR(__xludf.DUMMYFUNCTION("""COMPUTED_VALUE"""),"nan")</f>
        <v>nan</v>
      </c>
      <c r="L579" s="17">
        <f ca="1">IFERROR(__xludf.DUMMYFUNCTION("""COMPUTED_VALUE"""),1.20040621741982)</f>
        <v>1.20040621741982</v>
      </c>
      <c r="M579" s="17">
        <f ca="1">IFERROR(__xludf.DUMMYFUNCTION("""COMPUTED_VALUE"""),1.04853586470598)</f>
        <v>1.0485358647059799</v>
      </c>
      <c r="N579" s="17">
        <f ca="1">IFERROR(__xludf.DUMMYFUNCTION("""COMPUTED_VALUE"""),1.00697387773293)</f>
        <v>1.00697387773293</v>
      </c>
      <c r="O579" s="17">
        <f ca="1">IFERROR(__xludf.DUMMYFUNCTION("""COMPUTED_VALUE"""),1.27025596851193)</f>
        <v>1.2702559685119299</v>
      </c>
      <c r="P579" s="17">
        <f ca="1">IFERROR(__xludf.DUMMYFUNCTION("""COMPUTED_VALUE"""),0.974500676534748)</f>
        <v>0.97450067653474803</v>
      </c>
      <c r="Q579" s="17">
        <f ca="1">IFERROR(__xludf.DUMMYFUNCTION("""COMPUTED_VALUE"""),1.26460869889845)</f>
        <v>1.26460869889845</v>
      </c>
      <c r="R579" s="17">
        <f ca="1">IFERROR(__xludf.DUMMYFUNCTION("""COMPUTED_VALUE"""),1.16305229762865)</f>
        <v>1.1630522976286499</v>
      </c>
      <c r="S579" s="17">
        <f ca="1">IFERROR(__xludf.DUMMYFUNCTION("""COMPUTED_VALUE"""),0.967965109265346)</f>
        <v>0.96796510926534596</v>
      </c>
      <c r="T579" s="17">
        <f ca="1">IFERROR(__xludf.DUMMYFUNCTION("""COMPUTED_VALUE"""),0.89548536889579)</f>
        <v>0.89548536889579</v>
      </c>
      <c r="U579" s="17">
        <f ca="1">IFERROR(__xludf.DUMMYFUNCTION("""COMPUTED_VALUE"""),0.944836608764605)</f>
        <v>0.94483660876460496</v>
      </c>
      <c r="V579" s="17">
        <f ca="1">IFERROR(__xludf.DUMMYFUNCTION("""COMPUTED_VALUE"""),0.988947250530396)</f>
        <v>0.988947250530396</v>
      </c>
      <c r="W579" s="17">
        <f ca="1">IFERROR(__xludf.DUMMYFUNCTION("""COMPUTED_VALUE"""),0.950502613140787)</f>
        <v>0.95050261314078699</v>
      </c>
      <c r="X579" s="17">
        <f ca="1">IFERROR(__xludf.DUMMYFUNCTION("""COMPUTED_VALUE"""),0.971914371268588)</f>
        <v>0.97191437126858804</v>
      </c>
      <c r="Y579" s="17">
        <f ca="1">IFERROR(__xludf.DUMMYFUNCTION("""COMPUTED_VALUE"""),0.859392175973951)</f>
        <v>0.85939217597395101</v>
      </c>
      <c r="Z579" s="17">
        <f ca="1">IFERROR(__xludf.DUMMYFUNCTION("""COMPUTED_VALUE"""),0.918891191790537)</f>
        <v>0.91889119179053702</v>
      </c>
      <c r="AA579" s="17">
        <f ca="1">IFERROR(__xludf.DUMMYFUNCTION("""COMPUTED_VALUE"""),1.79211208197941)</f>
        <v>1.7921120819794101</v>
      </c>
      <c r="AB579" s="17">
        <f ca="1">IFERROR(__xludf.DUMMYFUNCTION("""COMPUTED_VALUE"""),1.27144566183649)</f>
        <v>1.27144566183649</v>
      </c>
      <c r="AC579" s="17">
        <f ca="1">IFERROR(__xludf.DUMMYFUNCTION("""COMPUTED_VALUE"""),0.943524218835181)</f>
        <v>0.94352421883518101</v>
      </c>
      <c r="AD579" s="17">
        <f ca="1">IFERROR(__xludf.DUMMYFUNCTION("""COMPUTED_VALUE"""),0.976474020149376)</f>
        <v>0.97647402014937601</v>
      </c>
      <c r="AE579" s="17">
        <f ca="1">IFERROR(__xludf.DUMMYFUNCTION("""COMPUTED_VALUE"""),1.13221225975152)</f>
        <v>1.1322122597515201</v>
      </c>
      <c r="AF579" s="17">
        <f ca="1">IFERROR(__xludf.DUMMYFUNCTION("""COMPUTED_VALUE"""),0.927391114497828)</f>
        <v>0.92739111449782796</v>
      </c>
      <c r="AG579" s="17">
        <f ca="1">IFERROR(__xludf.DUMMYFUNCTION("""COMPUTED_VALUE"""),1.16329029038747)</f>
        <v>1.16329029038747</v>
      </c>
      <c r="AH579" s="17">
        <f ca="1">IFERROR(__xludf.DUMMYFUNCTION("""COMPUTED_VALUE"""),1.18072691878439)</f>
        <v>1.1807269187843901</v>
      </c>
      <c r="AI579" s="17" t="str">
        <f ca="1">IFERROR(__xludf.DUMMYFUNCTION("""COMPUTED_VALUE"""),"nan")</f>
        <v>nan</v>
      </c>
      <c r="AJ579" s="17">
        <f ca="1">IFERROR(__xludf.DUMMYFUNCTION("""COMPUTED_VALUE"""),1.20386476053861)</f>
        <v>1.2038647605386099</v>
      </c>
    </row>
    <row r="580" spans="2:36" ht="15.75" customHeight="1" x14ac:dyDescent="0.45">
      <c r="B580" s="10" t="str">
        <f ca="1">IFERROR(__xludf.DUMMYFUNCTION("""COMPUTED_VALUE"""),"OSULeaf")</f>
        <v>OSULeaf</v>
      </c>
      <c r="C580" s="10" t="str">
        <f ca="1">IFERROR(__xludf.DUMMYFUNCTION("""COMPUTED_VALUE"""),"aligned_timestamps")</f>
        <v>aligned_timestamps</v>
      </c>
      <c r="D580" s="10">
        <f ca="1">IFERROR(__xludf.DUMMYFUNCTION("""COMPUTED_VALUE"""),0.6)</f>
        <v>0.6</v>
      </c>
      <c r="E580" s="17">
        <f ca="1">IFERROR(__xludf.DUMMYFUNCTION("""COMPUTED_VALUE"""),0.975326476809822)</f>
        <v>0.97532647680982199</v>
      </c>
      <c r="F580" s="17">
        <f ca="1">IFERROR(__xludf.DUMMYFUNCTION("""COMPUTED_VALUE"""),1.00252684691278)</f>
        <v>1.0025268469127799</v>
      </c>
      <c r="G580" s="17">
        <f ca="1">IFERROR(__xludf.DUMMYFUNCTION("""COMPUTED_VALUE"""),1.20370645649649)</f>
        <v>1.2037064564964901</v>
      </c>
      <c r="H580" s="17">
        <f ca="1">IFERROR(__xludf.DUMMYFUNCTION("""COMPUTED_VALUE"""),0.978200668516829)</f>
        <v>0.97820066851682896</v>
      </c>
      <c r="I580" s="17">
        <f ca="1">IFERROR(__xludf.DUMMYFUNCTION("""COMPUTED_VALUE"""),0.841792142328729)</f>
        <v>0.84179214232872901</v>
      </c>
      <c r="J580" s="17">
        <f ca="1">IFERROR(__xludf.DUMMYFUNCTION("""COMPUTED_VALUE"""),0.873454032730407)</f>
        <v>0.873454032730407</v>
      </c>
      <c r="K580" s="17" t="str">
        <f ca="1">IFERROR(__xludf.DUMMYFUNCTION("""COMPUTED_VALUE"""),"nan")</f>
        <v>nan</v>
      </c>
      <c r="L580" s="17">
        <f ca="1">IFERROR(__xludf.DUMMYFUNCTION("""COMPUTED_VALUE"""),1.16264760406243)</f>
        <v>1.1626476040624301</v>
      </c>
      <c r="M580" s="17">
        <f ca="1">IFERROR(__xludf.DUMMYFUNCTION("""COMPUTED_VALUE"""),1.04769555561114)</f>
        <v>1.04769555561114</v>
      </c>
      <c r="N580" s="17">
        <f ca="1">IFERROR(__xludf.DUMMYFUNCTION("""COMPUTED_VALUE"""),1.02642405196308)</f>
        <v>1.0264240519630801</v>
      </c>
      <c r="O580" s="17">
        <f ca="1">IFERROR(__xludf.DUMMYFUNCTION("""COMPUTED_VALUE"""),1.52422845554943)</f>
        <v>1.5242284555494301</v>
      </c>
      <c r="P580" s="17">
        <f ca="1">IFERROR(__xludf.DUMMYFUNCTION("""COMPUTED_VALUE"""),1.01107126730261)</f>
        <v>1.0110712673026101</v>
      </c>
      <c r="Q580" s="17">
        <f ca="1">IFERROR(__xludf.DUMMYFUNCTION("""COMPUTED_VALUE"""),1.31106534743416)</f>
        <v>1.31106534743416</v>
      </c>
      <c r="R580" s="17">
        <f ca="1">IFERROR(__xludf.DUMMYFUNCTION("""COMPUTED_VALUE"""),1.31544511279267)</f>
        <v>1.3154451127926701</v>
      </c>
      <c r="S580" s="17">
        <f ca="1">IFERROR(__xludf.DUMMYFUNCTION("""COMPUTED_VALUE"""),0.981506100646006)</f>
        <v>0.98150610064600596</v>
      </c>
      <c r="T580" s="17">
        <f ca="1">IFERROR(__xludf.DUMMYFUNCTION("""COMPUTED_VALUE"""),0.890629947337905)</f>
        <v>0.89062994733790501</v>
      </c>
      <c r="U580" s="17">
        <f ca="1">IFERROR(__xludf.DUMMYFUNCTION("""COMPUTED_VALUE"""),1.00828508090273)</f>
        <v>1.0082850809027299</v>
      </c>
      <c r="V580" s="17">
        <f ca="1">IFERROR(__xludf.DUMMYFUNCTION("""COMPUTED_VALUE"""),0.983173510525456)</f>
        <v>0.98317351052545598</v>
      </c>
      <c r="W580" s="17">
        <f ca="1">IFERROR(__xludf.DUMMYFUNCTION("""COMPUTED_VALUE"""),0.963415362050263)</f>
        <v>0.96341536205026301</v>
      </c>
      <c r="X580" s="17">
        <f ca="1">IFERROR(__xludf.DUMMYFUNCTION("""COMPUTED_VALUE"""),0.93807959323836)</f>
        <v>0.93807959323835999</v>
      </c>
      <c r="Y580" s="17">
        <f ca="1">IFERROR(__xludf.DUMMYFUNCTION("""COMPUTED_VALUE"""),0.853867848956316)</f>
        <v>0.85386784895631596</v>
      </c>
      <c r="Z580" s="17">
        <f ca="1">IFERROR(__xludf.DUMMYFUNCTION("""COMPUTED_VALUE"""),0.937288240463162)</f>
        <v>0.93728824046316195</v>
      </c>
      <c r="AA580" s="17">
        <f ca="1">IFERROR(__xludf.DUMMYFUNCTION("""COMPUTED_VALUE"""),1.76105159053068)</f>
        <v>1.7610515905306801</v>
      </c>
      <c r="AB580" s="17">
        <f ca="1">IFERROR(__xludf.DUMMYFUNCTION("""COMPUTED_VALUE"""),1.2207662535623)</f>
        <v>1.2207662535623001</v>
      </c>
      <c r="AC580" s="17">
        <f ca="1">IFERROR(__xludf.DUMMYFUNCTION("""COMPUTED_VALUE"""),0.96321568865318)</f>
        <v>0.96321568865317997</v>
      </c>
      <c r="AD580" s="17">
        <f ca="1">IFERROR(__xludf.DUMMYFUNCTION("""COMPUTED_VALUE"""),0.974580971817737)</f>
        <v>0.97458097181773695</v>
      </c>
      <c r="AE580" s="17" t="str">
        <f ca="1">IFERROR(__xludf.DUMMYFUNCTION("""COMPUTED_VALUE"""),"nan")</f>
        <v>nan</v>
      </c>
      <c r="AF580" s="17">
        <f ca="1">IFERROR(__xludf.DUMMYFUNCTION("""COMPUTED_VALUE"""),0.984409606421109)</f>
        <v>0.98440960642110897</v>
      </c>
      <c r="AG580" s="17">
        <f ca="1">IFERROR(__xludf.DUMMYFUNCTION("""COMPUTED_VALUE"""),1.09276894170355)</f>
        <v>1.09276894170355</v>
      </c>
      <c r="AH580" s="17">
        <f ca="1">IFERROR(__xludf.DUMMYFUNCTION("""COMPUTED_VALUE"""),1.02949691217973)</f>
        <v>1.0294969121797299</v>
      </c>
      <c r="AI580" s="17" t="str">
        <f ca="1">IFERROR(__xludf.DUMMYFUNCTION("""COMPUTED_VALUE"""),"nan")</f>
        <v>nan</v>
      </c>
      <c r="AJ580" s="17">
        <f ca="1">IFERROR(__xludf.DUMMYFUNCTION("""COMPUTED_VALUE"""),1.12612170973529)</f>
        <v>1.12612170973529</v>
      </c>
    </row>
    <row r="581" spans="2:36" ht="15.75" customHeight="1" x14ac:dyDescent="0.45">
      <c r="B581" s="10" t="str">
        <f ca="1">IFERROR(__xludf.DUMMYFUNCTION("""COMPUTED_VALUE"""),"OSULeaf")</f>
        <v>OSULeaf</v>
      </c>
      <c r="C581" s="10" t="str">
        <f ca="1">IFERROR(__xludf.DUMMYFUNCTION("""COMPUTED_VALUE"""),"aligned_timestamps")</f>
        <v>aligned_timestamps</v>
      </c>
      <c r="D581" s="10">
        <f ca="1">IFERROR(__xludf.DUMMYFUNCTION("""COMPUTED_VALUE"""),0.8)</f>
        <v>0.8</v>
      </c>
      <c r="E581" s="17">
        <f ca="1">IFERROR(__xludf.DUMMYFUNCTION("""COMPUTED_VALUE"""),0.987831745777748)</f>
        <v>0.98783174577774802</v>
      </c>
      <c r="F581" s="17">
        <f ca="1">IFERROR(__xludf.DUMMYFUNCTION("""COMPUTED_VALUE"""),0.942940233903167)</f>
        <v>0.94294023390316695</v>
      </c>
      <c r="G581" s="17">
        <f ca="1">IFERROR(__xludf.DUMMYFUNCTION("""COMPUTED_VALUE"""),1.12481739534846)</f>
        <v>1.1248173953484599</v>
      </c>
      <c r="H581" s="17">
        <f ca="1">IFERROR(__xludf.DUMMYFUNCTION("""COMPUTED_VALUE"""),0.991226370407832)</f>
        <v>0.99122637040783201</v>
      </c>
      <c r="I581" s="17">
        <f ca="1">IFERROR(__xludf.DUMMYFUNCTION("""COMPUTED_VALUE"""),0.88058723200707)</f>
        <v>0.88058723200707001</v>
      </c>
      <c r="J581" s="17">
        <f ca="1">IFERROR(__xludf.DUMMYFUNCTION("""COMPUTED_VALUE"""),0.96264772020626)</f>
        <v>0.96264772020625999</v>
      </c>
      <c r="K581" s="17" t="str">
        <f ca="1">IFERROR(__xludf.DUMMYFUNCTION("""COMPUTED_VALUE"""),"nan")</f>
        <v>nan</v>
      </c>
      <c r="L581" s="17">
        <f ca="1">IFERROR(__xludf.DUMMYFUNCTION("""COMPUTED_VALUE"""),1.03727302192802)</f>
        <v>1.03727302192802</v>
      </c>
      <c r="M581" s="17">
        <f ca="1">IFERROR(__xludf.DUMMYFUNCTION("""COMPUTED_VALUE"""),1.11382281716736)</f>
        <v>1.1138228171673601</v>
      </c>
      <c r="N581" s="17">
        <f ca="1">IFERROR(__xludf.DUMMYFUNCTION("""COMPUTED_VALUE"""),1.03223261284561)</f>
        <v>1.0322326128456101</v>
      </c>
      <c r="O581" s="17">
        <f ca="1">IFERROR(__xludf.DUMMYFUNCTION("""COMPUTED_VALUE"""),1.10139940865526)</f>
        <v>1.1013994086552601</v>
      </c>
      <c r="P581" s="17">
        <f ca="1">IFERROR(__xludf.DUMMYFUNCTION("""COMPUTED_VALUE"""),1.22007364331597)</f>
        <v>1.22007364331597</v>
      </c>
      <c r="Q581" s="17">
        <f ca="1">IFERROR(__xludf.DUMMYFUNCTION("""COMPUTED_VALUE"""),1.30784257776264)</f>
        <v>1.3078425777626399</v>
      </c>
      <c r="R581" s="17">
        <f ca="1">IFERROR(__xludf.DUMMYFUNCTION("""COMPUTED_VALUE"""),1.32322957193307)</f>
        <v>1.32322957193307</v>
      </c>
      <c r="S581" s="17">
        <f ca="1">IFERROR(__xludf.DUMMYFUNCTION("""COMPUTED_VALUE"""),1.03129846979747)</f>
        <v>1.0312984697974701</v>
      </c>
      <c r="T581" s="17">
        <f ca="1">IFERROR(__xludf.DUMMYFUNCTION("""COMPUTED_VALUE"""),0.936479547512185)</f>
        <v>0.93647954751218498</v>
      </c>
      <c r="U581" s="17">
        <f ca="1">IFERROR(__xludf.DUMMYFUNCTION("""COMPUTED_VALUE"""),1.02088111927106)</f>
        <v>1.0208811192710601</v>
      </c>
      <c r="V581" s="17">
        <f ca="1">IFERROR(__xludf.DUMMYFUNCTION("""COMPUTED_VALUE"""),1.20635209459934)</f>
        <v>1.20635209459934</v>
      </c>
      <c r="W581" s="17">
        <f ca="1">IFERROR(__xludf.DUMMYFUNCTION("""COMPUTED_VALUE"""),0.981618754032954)</f>
        <v>0.98161875403295396</v>
      </c>
      <c r="X581" s="17">
        <f ca="1">IFERROR(__xludf.DUMMYFUNCTION("""COMPUTED_VALUE"""),1.02784468033617)</f>
        <v>1.02784468033617</v>
      </c>
      <c r="Y581" s="17">
        <f ca="1">IFERROR(__xludf.DUMMYFUNCTION("""COMPUTED_VALUE"""),0.996869928407204)</f>
        <v>0.99686992840720401</v>
      </c>
      <c r="Z581" s="17">
        <f ca="1">IFERROR(__xludf.DUMMYFUNCTION("""COMPUTED_VALUE"""),0.962743194719368)</f>
        <v>0.96274319471936798</v>
      </c>
      <c r="AA581" s="17">
        <f ca="1">IFERROR(__xludf.DUMMYFUNCTION("""COMPUTED_VALUE"""),1.29353629173408)</f>
        <v>1.29353629173408</v>
      </c>
      <c r="AB581" s="17">
        <f ca="1">IFERROR(__xludf.DUMMYFUNCTION("""COMPUTED_VALUE"""),1.26441642935197)</f>
        <v>1.26441642935197</v>
      </c>
      <c r="AC581" s="17">
        <f ca="1">IFERROR(__xludf.DUMMYFUNCTION("""COMPUTED_VALUE"""),0.965101960083145)</f>
        <v>0.96510196008314497</v>
      </c>
      <c r="AD581" s="17">
        <f ca="1">IFERROR(__xludf.DUMMYFUNCTION("""COMPUTED_VALUE"""),1.00458197608114)</f>
        <v>1.0045819760811401</v>
      </c>
      <c r="AE581" s="17" t="str">
        <f ca="1">IFERROR(__xludf.DUMMYFUNCTION("""COMPUTED_VALUE"""),"nan")</f>
        <v>nan</v>
      </c>
      <c r="AF581" s="17">
        <f ca="1">IFERROR(__xludf.DUMMYFUNCTION("""COMPUTED_VALUE"""),1.24837466340137)</f>
        <v>1.2483746634013699</v>
      </c>
      <c r="AG581" s="17">
        <f ca="1">IFERROR(__xludf.DUMMYFUNCTION("""COMPUTED_VALUE"""),1.15442947345639)</f>
        <v>1.15442947345639</v>
      </c>
      <c r="AH581" s="17">
        <f ca="1">IFERROR(__xludf.DUMMYFUNCTION("""COMPUTED_VALUE"""),1.05163419991807)</f>
        <v>1.0516341999180701</v>
      </c>
      <c r="AI581" s="17" t="str">
        <f ca="1">IFERROR(__xludf.DUMMYFUNCTION("""COMPUTED_VALUE"""),"nan")</f>
        <v>nan</v>
      </c>
      <c r="AJ581" s="17">
        <f ca="1">IFERROR(__xludf.DUMMYFUNCTION("""COMPUTED_VALUE"""),1.1903686256574)</f>
        <v>1.1903686256574</v>
      </c>
    </row>
    <row r="582" spans="2:36" ht="15.75" customHeight="1" x14ac:dyDescent="0.45">
      <c r="B582" s="10" t="str">
        <f ca="1">IFERROR(__xludf.DUMMYFUNCTION("""COMPUTED_VALUE"""),"OSULeaf")</f>
        <v>OSULeaf</v>
      </c>
      <c r="C582" s="10" t="str">
        <f ca="1">IFERROR(__xludf.DUMMYFUNCTION("""COMPUTED_VALUE"""),"mcar")</f>
        <v>mcar</v>
      </c>
      <c r="D582" s="10">
        <f ca="1">IFERROR(__xludf.DUMMYFUNCTION("""COMPUTED_VALUE"""),0.1)</f>
        <v>0.1</v>
      </c>
      <c r="E582" s="17">
        <f ca="1">IFERROR(__xludf.DUMMYFUNCTION("""COMPUTED_VALUE"""),0.949133482969947)</f>
        <v>0.94913348296994704</v>
      </c>
      <c r="F582" s="17">
        <f ca="1">IFERROR(__xludf.DUMMYFUNCTION("""COMPUTED_VALUE"""),0.745423737016392)</f>
        <v>0.74542373701639197</v>
      </c>
      <c r="G582" s="17">
        <f ca="1">IFERROR(__xludf.DUMMYFUNCTION("""COMPUTED_VALUE"""),0.748212244941114)</f>
        <v>0.74821224494111405</v>
      </c>
      <c r="H582" s="17">
        <f ca="1">IFERROR(__xludf.DUMMYFUNCTION("""COMPUTED_VALUE"""),0.753134278882154)</f>
        <v>0.75313427888215401</v>
      </c>
      <c r="I582" s="17">
        <f ca="1">IFERROR(__xludf.DUMMYFUNCTION("""COMPUTED_VALUE"""),0.453178714208559)</f>
        <v>0.45317871420855899</v>
      </c>
      <c r="J582" s="17">
        <f ca="1">IFERROR(__xludf.DUMMYFUNCTION("""COMPUTED_VALUE"""),0.760591316566215)</f>
        <v>0.76059131656621504</v>
      </c>
      <c r="K582" s="17" t="str">
        <f ca="1">IFERROR(__xludf.DUMMYFUNCTION("""COMPUTED_VALUE"""),"nan")</f>
        <v>nan</v>
      </c>
      <c r="L582" s="17">
        <f ca="1">IFERROR(__xludf.DUMMYFUNCTION("""COMPUTED_VALUE"""),0.739763012587349)</f>
        <v>0.739763012587349</v>
      </c>
      <c r="M582" s="17">
        <f ca="1">IFERROR(__xludf.DUMMYFUNCTION("""COMPUTED_VALUE"""),0.755547606311867)</f>
        <v>0.75554760631186701</v>
      </c>
      <c r="N582" s="17">
        <f ca="1">IFERROR(__xludf.DUMMYFUNCTION("""COMPUTED_VALUE"""),0.559657455792735)</f>
        <v>0.55965745579273496</v>
      </c>
      <c r="O582" s="17">
        <f ca="1">IFERROR(__xludf.DUMMYFUNCTION("""COMPUTED_VALUE"""),0.729315662917911)</f>
        <v>0.72931566291791095</v>
      </c>
      <c r="P582" s="17">
        <f ca="1">IFERROR(__xludf.DUMMYFUNCTION("""COMPUTED_VALUE"""),0.681707735531725)</f>
        <v>0.68170773553172503</v>
      </c>
      <c r="Q582" s="17">
        <f ca="1">IFERROR(__xludf.DUMMYFUNCTION("""COMPUTED_VALUE"""),1.29286877575988)</f>
        <v>1.29286877575988</v>
      </c>
      <c r="R582" s="17">
        <f ca="1">IFERROR(__xludf.DUMMYFUNCTION("""COMPUTED_VALUE"""),0.428682592441707)</f>
        <v>0.42868259244170698</v>
      </c>
      <c r="S582" s="17">
        <f ca="1">IFERROR(__xludf.DUMMYFUNCTION("""COMPUTED_VALUE"""),0.532739596154323)</f>
        <v>0.53273959615432298</v>
      </c>
      <c r="T582" s="17">
        <f ca="1">IFERROR(__xludf.DUMMYFUNCTION("""COMPUTED_VALUE"""),0.341121310707445)</f>
        <v>0.341121310707445</v>
      </c>
      <c r="U582" s="17">
        <f ca="1">IFERROR(__xludf.DUMMYFUNCTION("""COMPUTED_VALUE"""),0.409532171033484)</f>
        <v>0.40953217103348399</v>
      </c>
      <c r="V582" s="17">
        <f ca="1">IFERROR(__xludf.DUMMYFUNCTION("""COMPUTED_VALUE"""),0.482160509941334)</f>
        <v>0.48216050994133403</v>
      </c>
      <c r="W582" s="17">
        <f ca="1">IFERROR(__xludf.DUMMYFUNCTION("""COMPUTED_VALUE"""),0.503383592922509)</f>
        <v>0.503383592922509</v>
      </c>
      <c r="X582" s="17">
        <f ca="1">IFERROR(__xludf.DUMMYFUNCTION("""COMPUTED_VALUE"""),0.591438333920348)</f>
        <v>0.59143833392034795</v>
      </c>
      <c r="Y582" s="17">
        <f ca="1">IFERROR(__xludf.DUMMYFUNCTION("""COMPUTED_VALUE"""),0.259803257756638)</f>
        <v>0.25980325775663798</v>
      </c>
      <c r="Z582" s="17">
        <f ca="1">IFERROR(__xludf.DUMMYFUNCTION("""COMPUTED_VALUE"""),0.453601773063464)</f>
        <v>0.453601773063464</v>
      </c>
      <c r="AA582" s="17">
        <f ca="1">IFERROR(__xludf.DUMMYFUNCTION("""COMPUTED_VALUE"""),0.350675550965806)</f>
        <v>0.35067555096580599</v>
      </c>
      <c r="AB582" s="17">
        <f ca="1">IFERROR(__xludf.DUMMYFUNCTION("""COMPUTED_VALUE"""),0.498092772898912)</f>
        <v>0.49809277289891202</v>
      </c>
      <c r="AC582" s="17">
        <f ca="1">IFERROR(__xludf.DUMMYFUNCTION("""COMPUTED_VALUE"""),0.284217269289506)</f>
        <v>0.28421726928950602</v>
      </c>
      <c r="AD582" s="17">
        <f ca="1">IFERROR(__xludf.DUMMYFUNCTION("""COMPUTED_VALUE"""),0.310585570623926)</f>
        <v>0.310585570623926</v>
      </c>
      <c r="AE582" s="17">
        <f ca="1">IFERROR(__xludf.DUMMYFUNCTION("""COMPUTED_VALUE"""),0.667276460694669)</f>
        <v>0.66727646069466895</v>
      </c>
      <c r="AF582" s="17">
        <f ca="1">IFERROR(__xludf.DUMMYFUNCTION("""COMPUTED_VALUE"""),0.56647346540839)</f>
        <v>0.56647346540839005</v>
      </c>
      <c r="AG582" s="17">
        <f ca="1">IFERROR(__xludf.DUMMYFUNCTION("""COMPUTED_VALUE"""),0.818009448266692)</f>
        <v>0.81800944826669197</v>
      </c>
      <c r="AH582" s="17">
        <f ca="1">IFERROR(__xludf.DUMMYFUNCTION("""COMPUTED_VALUE"""),0.502956958401593)</f>
        <v>0.50295695840159305</v>
      </c>
      <c r="AI582" s="17">
        <f ca="1">IFERROR(__xludf.DUMMYFUNCTION("""COMPUTED_VALUE"""),0.668953657222586)</f>
        <v>0.66895365722258604</v>
      </c>
      <c r="AJ582" s="17">
        <f ca="1">IFERROR(__xludf.DUMMYFUNCTION("""COMPUTED_VALUE"""),0.589506416398713)</f>
        <v>0.58950641639871304</v>
      </c>
    </row>
    <row r="583" spans="2:36" ht="15.75" customHeight="1" x14ac:dyDescent="0.45">
      <c r="B583" s="10" t="str">
        <f ca="1">IFERROR(__xludf.DUMMYFUNCTION("""COMPUTED_VALUE"""),"OSULeaf")</f>
        <v>OSULeaf</v>
      </c>
      <c r="C583" s="10" t="str">
        <f ca="1">IFERROR(__xludf.DUMMYFUNCTION("""COMPUTED_VALUE"""),"mcar")</f>
        <v>mcar</v>
      </c>
      <c r="D583" s="10">
        <f ca="1">IFERROR(__xludf.DUMMYFUNCTION("""COMPUTED_VALUE"""),0.2)</f>
        <v>0.2</v>
      </c>
      <c r="E583" s="17">
        <f ca="1">IFERROR(__xludf.DUMMYFUNCTION("""COMPUTED_VALUE"""),0.993341299205947)</f>
        <v>0.99334129920594705</v>
      </c>
      <c r="F583" s="17">
        <f ca="1">IFERROR(__xludf.DUMMYFUNCTION("""COMPUTED_VALUE"""),0.769814148074103)</f>
        <v>0.76981414807410298</v>
      </c>
      <c r="G583" s="17">
        <f ca="1">IFERROR(__xludf.DUMMYFUNCTION("""COMPUTED_VALUE"""),0.773569971912987)</f>
        <v>0.77356997191298704</v>
      </c>
      <c r="H583" s="17">
        <f ca="1">IFERROR(__xludf.DUMMYFUNCTION("""COMPUTED_VALUE"""),0.802276522282106)</f>
        <v>0.802276522282106</v>
      </c>
      <c r="I583" s="17">
        <f ca="1">IFERROR(__xludf.DUMMYFUNCTION("""COMPUTED_VALUE"""),0.507220590768703)</f>
        <v>0.50722059076870296</v>
      </c>
      <c r="J583" s="17">
        <f ca="1">IFERROR(__xludf.DUMMYFUNCTION("""COMPUTED_VALUE"""),0.770053570978735)</f>
        <v>0.77005357097873495</v>
      </c>
      <c r="K583" s="17" t="str">
        <f ca="1">IFERROR(__xludf.DUMMYFUNCTION("""COMPUTED_VALUE"""),"nan")</f>
        <v>nan</v>
      </c>
      <c r="L583" s="17">
        <f ca="1">IFERROR(__xludf.DUMMYFUNCTION("""COMPUTED_VALUE"""),0.75186420541768)</f>
        <v>0.75186420541767995</v>
      </c>
      <c r="M583" s="17">
        <f ca="1">IFERROR(__xludf.DUMMYFUNCTION("""COMPUTED_VALUE"""),0.781286921022479)</f>
        <v>0.78128692102247899</v>
      </c>
      <c r="N583" s="17">
        <f ca="1">IFERROR(__xludf.DUMMYFUNCTION("""COMPUTED_VALUE"""),0.605795638762276)</f>
        <v>0.60579563876227605</v>
      </c>
      <c r="O583" s="17">
        <f ca="1">IFERROR(__xludf.DUMMYFUNCTION("""COMPUTED_VALUE"""),0.752015699405914)</f>
        <v>0.75201569940591395</v>
      </c>
      <c r="P583" s="17">
        <f ca="1">IFERROR(__xludf.DUMMYFUNCTION("""COMPUTED_VALUE"""),0.737495463430232)</f>
        <v>0.73749546343023198</v>
      </c>
      <c r="Q583" s="17">
        <f ca="1">IFERROR(__xludf.DUMMYFUNCTION("""COMPUTED_VALUE"""),1.32555116008004)</f>
        <v>1.32555116008004</v>
      </c>
      <c r="R583" s="17">
        <f ca="1">IFERROR(__xludf.DUMMYFUNCTION("""COMPUTED_VALUE"""),0.465118991145364)</f>
        <v>0.46511899114536398</v>
      </c>
      <c r="S583" s="17">
        <f ca="1">IFERROR(__xludf.DUMMYFUNCTION("""COMPUTED_VALUE"""),0.721782242022223)</f>
        <v>0.72178224202222296</v>
      </c>
      <c r="T583" s="17">
        <f ca="1">IFERROR(__xludf.DUMMYFUNCTION("""COMPUTED_VALUE"""),0.370193157706091)</f>
        <v>0.37019315770609101</v>
      </c>
      <c r="U583" s="17">
        <f ca="1">IFERROR(__xludf.DUMMYFUNCTION("""COMPUTED_VALUE"""),0.494984799332344)</f>
        <v>0.49498479933234402</v>
      </c>
      <c r="V583" s="17">
        <f ca="1">IFERROR(__xludf.DUMMYFUNCTION("""COMPUTED_VALUE"""),0.544734317566075)</f>
        <v>0.54473431756607504</v>
      </c>
      <c r="W583" s="17">
        <f ca="1">IFERROR(__xludf.DUMMYFUNCTION("""COMPUTED_VALUE"""),0.553518636400256)</f>
        <v>0.553518636400256</v>
      </c>
      <c r="X583" s="17">
        <f ca="1">IFERROR(__xludf.DUMMYFUNCTION("""COMPUTED_VALUE"""),1.34230277408235)</f>
        <v>1.3423027740823501</v>
      </c>
      <c r="Y583" s="17">
        <f ca="1">IFERROR(__xludf.DUMMYFUNCTION("""COMPUTED_VALUE"""),0.318854817561663)</f>
        <v>0.31885481756166301</v>
      </c>
      <c r="Z583" s="17">
        <f ca="1">IFERROR(__xludf.DUMMYFUNCTION("""COMPUTED_VALUE"""),0.506743916572473)</f>
        <v>0.50674391657247297</v>
      </c>
      <c r="AA583" s="17">
        <f ca="1">IFERROR(__xludf.DUMMYFUNCTION("""COMPUTED_VALUE"""),0.397065105530033)</f>
        <v>0.39706510553003299</v>
      </c>
      <c r="AB583" s="17">
        <f ca="1">IFERROR(__xludf.DUMMYFUNCTION("""COMPUTED_VALUE"""),0.554096432815633)</f>
        <v>0.55409643281563303</v>
      </c>
      <c r="AC583" s="17">
        <f ca="1">IFERROR(__xludf.DUMMYFUNCTION("""COMPUTED_VALUE"""),0.315165769396404)</f>
        <v>0.31516576939640401</v>
      </c>
      <c r="AD583" s="17">
        <f ca="1">IFERROR(__xludf.DUMMYFUNCTION("""COMPUTED_VALUE"""),0.406641262495933)</f>
        <v>0.40664126249593302</v>
      </c>
      <c r="AE583" s="17">
        <f ca="1">IFERROR(__xludf.DUMMYFUNCTION("""COMPUTED_VALUE"""),0.672338915454989)</f>
        <v>0.67233891545498903</v>
      </c>
      <c r="AF583" s="17">
        <f ca="1">IFERROR(__xludf.DUMMYFUNCTION("""COMPUTED_VALUE"""),0.650748761930148)</f>
        <v>0.65074876193014797</v>
      </c>
      <c r="AG583" s="17">
        <f ca="1">IFERROR(__xludf.DUMMYFUNCTION("""COMPUTED_VALUE"""),0.889399578653876)</f>
        <v>0.88939957865387598</v>
      </c>
      <c r="AH583" s="17">
        <f ca="1">IFERROR(__xludf.DUMMYFUNCTION("""COMPUTED_VALUE"""),0.604025643257066)</f>
        <v>0.60402564325706598</v>
      </c>
      <c r="AI583" s="17">
        <f ca="1">IFERROR(__xludf.DUMMYFUNCTION("""COMPUTED_VALUE"""),0.887133403779352)</f>
        <v>0.88713340377935201</v>
      </c>
      <c r="AJ583" s="17">
        <f ca="1">IFERROR(__xludf.DUMMYFUNCTION("""COMPUTED_VALUE"""),0.642759120222388)</f>
        <v>0.64275912022238801</v>
      </c>
    </row>
    <row r="584" spans="2:36" ht="15.75" customHeight="1" x14ac:dyDescent="0.45">
      <c r="B584" s="10" t="str">
        <f ca="1">IFERROR(__xludf.DUMMYFUNCTION("""COMPUTED_VALUE"""),"OSULeaf")</f>
        <v>OSULeaf</v>
      </c>
      <c r="C584" s="10" t="str">
        <f ca="1">IFERROR(__xludf.DUMMYFUNCTION("""COMPUTED_VALUE"""),"mcar")</f>
        <v>mcar</v>
      </c>
      <c r="D584" s="10">
        <f ca="1">IFERROR(__xludf.DUMMYFUNCTION("""COMPUTED_VALUE"""),0.4)</f>
        <v>0.4</v>
      </c>
      <c r="E584" s="17">
        <f ca="1">IFERROR(__xludf.DUMMYFUNCTION("""COMPUTED_VALUE"""),0.987061305703905)</f>
        <v>0.98706130570390505</v>
      </c>
      <c r="F584" s="17">
        <f ca="1">IFERROR(__xludf.DUMMYFUNCTION("""COMPUTED_VALUE"""),0.768235320139757)</f>
        <v>0.76823532013975704</v>
      </c>
      <c r="G584" s="17">
        <f ca="1">IFERROR(__xludf.DUMMYFUNCTION("""COMPUTED_VALUE"""),0.774707586802316)</f>
        <v>0.774707586802316</v>
      </c>
      <c r="H584" s="17">
        <f ca="1">IFERROR(__xludf.DUMMYFUNCTION("""COMPUTED_VALUE"""),0.827021767787962)</f>
        <v>0.82702176778796199</v>
      </c>
      <c r="I584" s="17">
        <f ca="1">IFERROR(__xludf.DUMMYFUNCTION("""COMPUTED_VALUE"""),0.54020238029498)</f>
        <v>0.54020238029498002</v>
      </c>
      <c r="J584" s="17">
        <f ca="1">IFERROR(__xludf.DUMMYFUNCTION("""COMPUTED_VALUE"""),0.757753486868809)</f>
        <v>0.75775348686880895</v>
      </c>
      <c r="K584" s="17" t="str">
        <f ca="1">IFERROR(__xludf.DUMMYFUNCTION("""COMPUTED_VALUE"""),"nan")</f>
        <v>nan</v>
      </c>
      <c r="L584" s="17">
        <f ca="1">IFERROR(__xludf.DUMMYFUNCTION("""COMPUTED_VALUE"""),0.739818080423408)</f>
        <v>0.73981808042340802</v>
      </c>
      <c r="M584" s="17">
        <f ca="1">IFERROR(__xludf.DUMMYFUNCTION("""COMPUTED_VALUE"""),0.776873853301627)</f>
        <v>0.77687385330162695</v>
      </c>
      <c r="N584" s="17">
        <f ca="1">IFERROR(__xludf.DUMMYFUNCTION("""COMPUTED_VALUE"""),0.702732216811558)</f>
        <v>0.70273221681155795</v>
      </c>
      <c r="O584" s="17">
        <f ca="1">IFERROR(__xludf.DUMMYFUNCTION("""COMPUTED_VALUE"""),0.742693563254259)</f>
        <v>0.74269356325425895</v>
      </c>
      <c r="P584" s="17">
        <f ca="1">IFERROR(__xludf.DUMMYFUNCTION("""COMPUTED_VALUE"""),0.766609479104132)</f>
        <v>0.76660947910413202</v>
      </c>
      <c r="Q584" s="17">
        <f ca="1">IFERROR(__xludf.DUMMYFUNCTION("""COMPUTED_VALUE"""),1.31948611975135)</f>
        <v>1.3194861197513501</v>
      </c>
      <c r="R584" s="17">
        <f ca="1">IFERROR(__xludf.DUMMYFUNCTION("""COMPUTED_VALUE"""),0.594031390490028)</f>
        <v>0.59403139049002796</v>
      </c>
      <c r="S584" s="17">
        <f ca="1">IFERROR(__xludf.DUMMYFUNCTION("""COMPUTED_VALUE"""),1.1689750360131)</f>
        <v>1.1689750360130999</v>
      </c>
      <c r="T584" s="17">
        <f ca="1">IFERROR(__xludf.DUMMYFUNCTION("""COMPUTED_VALUE"""),0.465122223739462)</f>
        <v>0.46512222373946199</v>
      </c>
      <c r="U584" s="17">
        <f ca="1">IFERROR(__xludf.DUMMYFUNCTION("""COMPUTED_VALUE"""),0.571445658991576)</f>
        <v>0.57144565899157596</v>
      </c>
      <c r="V584" s="17">
        <f ca="1">IFERROR(__xludf.DUMMYFUNCTION("""COMPUTED_VALUE"""),0.595521137091273)</f>
        <v>0.59552113709127297</v>
      </c>
      <c r="W584" s="17">
        <f ca="1">IFERROR(__xludf.DUMMYFUNCTION("""COMPUTED_VALUE"""),0.616990306597212)</f>
        <v>0.61699030659721199</v>
      </c>
      <c r="X584" s="17">
        <f ca="1">IFERROR(__xludf.DUMMYFUNCTION("""COMPUTED_VALUE"""),0.622698165738897)</f>
        <v>0.62269816573889702</v>
      </c>
      <c r="Y584" s="17">
        <f ca="1">IFERROR(__xludf.DUMMYFUNCTION("""COMPUTED_VALUE"""),0.425110837422253)</f>
        <v>0.42511083742225297</v>
      </c>
      <c r="Z584" s="17">
        <f ca="1">IFERROR(__xludf.DUMMYFUNCTION("""COMPUTED_VALUE"""),0.567305801787583)</f>
        <v>0.56730580178758305</v>
      </c>
      <c r="AA584" s="17">
        <f ca="1">IFERROR(__xludf.DUMMYFUNCTION("""COMPUTED_VALUE"""),0.615845988605379)</f>
        <v>0.61584598860537898</v>
      </c>
      <c r="AB584" s="17">
        <f ca="1">IFERROR(__xludf.DUMMYFUNCTION("""COMPUTED_VALUE"""),0.707377653179407)</f>
        <v>0.70737765317940704</v>
      </c>
      <c r="AC584" s="17">
        <f ca="1">IFERROR(__xludf.DUMMYFUNCTION("""COMPUTED_VALUE"""),0.517205452005565)</f>
        <v>0.517205452005565</v>
      </c>
      <c r="AD584" s="17">
        <f ca="1">IFERROR(__xludf.DUMMYFUNCTION("""COMPUTED_VALUE"""),0.518480555197735)</f>
        <v>0.51848055519773495</v>
      </c>
      <c r="AE584" s="17">
        <f ca="1">IFERROR(__xludf.DUMMYFUNCTION("""COMPUTED_VALUE"""),0.789827332159041)</f>
        <v>0.789827332159041</v>
      </c>
      <c r="AF584" s="17">
        <f ca="1">IFERROR(__xludf.DUMMYFUNCTION("""COMPUTED_VALUE"""),0.837015983490792)</f>
        <v>0.83701598349079198</v>
      </c>
      <c r="AG584" s="17">
        <f ca="1">IFERROR(__xludf.DUMMYFUNCTION("""COMPUTED_VALUE"""),1.00391835239173)</f>
        <v>1.0039183523917301</v>
      </c>
      <c r="AH584" s="17">
        <f ca="1">IFERROR(__xludf.DUMMYFUNCTION("""COMPUTED_VALUE"""),0.799000033445586)</f>
        <v>0.79900003344558601</v>
      </c>
      <c r="AI584" s="17" t="str">
        <f ca="1">IFERROR(__xludf.DUMMYFUNCTION("""COMPUTED_VALUE"""),"nan")</f>
        <v>nan</v>
      </c>
      <c r="AJ584" s="17">
        <f ca="1">IFERROR(__xludf.DUMMYFUNCTION("""COMPUTED_VALUE"""),0.816268002449319)</f>
        <v>0.81626800244931896</v>
      </c>
    </row>
    <row r="585" spans="2:36" ht="15.75" customHeight="1" x14ac:dyDescent="0.45">
      <c r="B585" s="10" t="str">
        <f ca="1">IFERROR(__xludf.DUMMYFUNCTION("""COMPUTED_VALUE"""),"OSULeaf")</f>
        <v>OSULeaf</v>
      </c>
      <c r="C585" s="10" t="str">
        <f ca="1">IFERROR(__xludf.DUMMYFUNCTION("""COMPUTED_VALUE"""),"mcar")</f>
        <v>mcar</v>
      </c>
      <c r="D585" s="10">
        <f ca="1">IFERROR(__xludf.DUMMYFUNCTION("""COMPUTED_VALUE"""),0.6)</f>
        <v>0.6</v>
      </c>
      <c r="E585" s="17">
        <f ca="1">IFERROR(__xludf.DUMMYFUNCTION("""COMPUTED_VALUE"""),0.975241894587053)</f>
        <v>0.97524189458705302</v>
      </c>
      <c r="F585" s="17">
        <f ca="1">IFERROR(__xludf.DUMMYFUNCTION("""COMPUTED_VALUE"""),0.765687970473582)</f>
        <v>0.76568797047358195</v>
      </c>
      <c r="G585" s="17">
        <f ca="1">IFERROR(__xludf.DUMMYFUNCTION("""COMPUTED_VALUE"""),0.777155808797776)</f>
        <v>0.77715580879777602</v>
      </c>
      <c r="H585" s="17">
        <f ca="1">IFERROR(__xludf.DUMMYFUNCTION("""COMPUTED_VALUE"""),0.825254480862571)</f>
        <v>0.82525448086257103</v>
      </c>
      <c r="I585" s="17">
        <f ca="1">IFERROR(__xludf.DUMMYFUNCTION("""COMPUTED_VALUE"""),0.587808510748154)</f>
        <v>0.58780851074815399</v>
      </c>
      <c r="J585" s="17">
        <f ca="1">IFERROR(__xludf.DUMMYFUNCTION("""COMPUTED_VALUE"""),0.797246049747667)</f>
        <v>0.797246049747667</v>
      </c>
      <c r="K585" s="17" t="str">
        <f ca="1">IFERROR(__xludf.DUMMYFUNCTION("""COMPUTED_VALUE"""),"nan")</f>
        <v>nan</v>
      </c>
      <c r="L585" s="17">
        <f ca="1">IFERROR(__xludf.DUMMYFUNCTION("""COMPUTED_VALUE"""),0.751355039616312)</f>
        <v>0.751355039616312</v>
      </c>
      <c r="M585" s="17">
        <f ca="1">IFERROR(__xludf.DUMMYFUNCTION("""COMPUTED_VALUE"""),0.78085999290656)</f>
        <v>0.78085999290656005</v>
      </c>
      <c r="N585" s="17">
        <f ca="1">IFERROR(__xludf.DUMMYFUNCTION("""COMPUTED_VALUE"""),0.798848249290353)</f>
        <v>0.79884824929035303</v>
      </c>
      <c r="O585" s="17">
        <f ca="1">IFERROR(__xludf.DUMMYFUNCTION("""COMPUTED_VALUE"""),0.751294814334333)</f>
        <v>0.75129481433433298</v>
      </c>
      <c r="P585" s="17">
        <f ca="1">IFERROR(__xludf.DUMMYFUNCTION("""COMPUTED_VALUE"""),0.788085576989898)</f>
        <v>0.78808557698989801</v>
      </c>
      <c r="Q585" s="17">
        <f ca="1">IFERROR(__xludf.DUMMYFUNCTION("""COMPUTED_VALUE"""),1.30138631590467)</f>
        <v>1.3013863159046699</v>
      </c>
      <c r="R585" s="17">
        <f ca="1">IFERROR(__xludf.DUMMYFUNCTION("""COMPUTED_VALUE"""),0.766555575619374)</f>
        <v>0.76655557561937404</v>
      </c>
      <c r="S585" s="17">
        <f ca="1">IFERROR(__xludf.DUMMYFUNCTION("""COMPUTED_VALUE"""),1.18258059678031)</f>
        <v>1.18258059678031</v>
      </c>
      <c r="T585" s="17">
        <f ca="1">IFERROR(__xludf.DUMMYFUNCTION("""COMPUTED_VALUE"""),0.532138650841906)</f>
        <v>0.53213865084190604</v>
      </c>
      <c r="U585" s="17">
        <f ca="1">IFERROR(__xludf.DUMMYFUNCTION("""COMPUTED_VALUE"""),0.701327231241558)</f>
        <v>0.70132723124155805</v>
      </c>
      <c r="V585" s="17">
        <f ca="1">IFERROR(__xludf.DUMMYFUNCTION("""COMPUTED_VALUE"""),0.649546860146118)</f>
        <v>0.64954686014611795</v>
      </c>
      <c r="W585" s="17">
        <f ca="1">IFERROR(__xludf.DUMMYFUNCTION("""COMPUTED_VALUE"""),0.715247871491348)</f>
        <v>0.71524787149134805</v>
      </c>
      <c r="X585" s="17">
        <f ca="1">IFERROR(__xludf.DUMMYFUNCTION("""COMPUTED_VALUE"""),0.64943235469624)</f>
        <v>0.64943235469624006</v>
      </c>
      <c r="Y585" s="17">
        <f ca="1">IFERROR(__xludf.DUMMYFUNCTION("""COMPUTED_VALUE"""),0.546465993100547)</f>
        <v>0.546465993100547</v>
      </c>
      <c r="Z585" s="17">
        <f ca="1">IFERROR(__xludf.DUMMYFUNCTION("""COMPUTED_VALUE"""),0.658889422896385)</f>
        <v>0.65888942289638497</v>
      </c>
      <c r="AA585" s="17">
        <f ca="1">IFERROR(__xludf.DUMMYFUNCTION("""COMPUTED_VALUE"""),0.847054767086733)</f>
        <v>0.847054767086733</v>
      </c>
      <c r="AB585" s="17">
        <f ca="1">IFERROR(__xludf.DUMMYFUNCTION("""COMPUTED_VALUE"""),0.865011657616355)</f>
        <v>0.86501165761635501</v>
      </c>
      <c r="AC585" s="17">
        <f ca="1">IFERROR(__xludf.DUMMYFUNCTION("""COMPUTED_VALUE"""),0.671589588728829)</f>
        <v>0.67158958872882901</v>
      </c>
      <c r="AD585" s="17">
        <f ca="1">IFERROR(__xludf.DUMMYFUNCTION("""COMPUTED_VALUE"""),0.663621470826955)</f>
        <v>0.663621470826955</v>
      </c>
      <c r="AE585" s="17">
        <f ca="1">IFERROR(__xludf.DUMMYFUNCTION("""COMPUTED_VALUE"""),0.987549763616991)</f>
        <v>0.98754976361699098</v>
      </c>
      <c r="AF585" s="17">
        <f ca="1">IFERROR(__xludf.DUMMYFUNCTION("""COMPUTED_VALUE"""),0.746860375983739)</f>
        <v>0.746860375983739</v>
      </c>
      <c r="AG585" s="17">
        <f ca="1">IFERROR(__xludf.DUMMYFUNCTION("""COMPUTED_VALUE"""),1.05286754531704)</f>
        <v>1.05286754531704</v>
      </c>
      <c r="AH585" s="17">
        <f ca="1">IFERROR(__xludf.DUMMYFUNCTION("""COMPUTED_VALUE"""),0.933201836284531)</f>
        <v>0.93320183628453102</v>
      </c>
      <c r="AI585" s="17" t="str">
        <f ca="1">IFERROR(__xludf.DUMMYFUNCTION("""COMPUTED_VALUE"""),"nan")</f>
        <v>nan</v>
      </c>
      <c r="AJ585" s="17">
        <f ca="1">IFERROR(__xludf.DUMMYFUNCTION("""COMPUTED_VALUE"""),0.941040927480636)</f>
        <v>0.94104092748063595</v>
      </c>
    </row>
    <row r="586" spans="2:36" ht="15.75" customHeight="1" x14ac:dyDescent="0.45">
      <c r="B586" s="10" t="str">
        <f ca="1">IFERROR(__xludf.DUMMYFUNCTION("""COMPUTED_VALUE"""),"OSULeaf")</f>
        <v>OSULeaf</v>
      </c>
      <c r="C586" s="10" t="str">
        <f ca="1">IFERROR(__xludf.DUMMYFUNCTION("""COMPUTED_VALUE"""),"mcar")</f>
        <v>mcar</v>
      </c>
      <c r="D586" s="10">
        <f ca="1">IFERROR(__xludf.DUMMYFUNCTION("""COMPUTED_VALUE"""),0.8)</f>
        <v>0.8</v>
      </c>
      <c r="E586" s="17">
        <f ca="1">IFERROR(__xludf.DUMMYFUNCTION("""COMPUTED_VALUE"""),0.983207277628603)</f>
        <v>0.98320727762860305</v>
      </c>
      <c r="F586" s="17">
        <f ca="1">IFERROR(__xludf.DUMMYFUNCTION("""COMPUTED_VALUE"""),0.803743522579231)</f>
        <v>0.80374352257923098</v>
      </c>
      <c r="G586" s="17">
        <f ca="1">IFERROR(__xludf.DUMMYFUNCTION("""COMPUTED_VALUE"""),0.849251364258531)</f>
        <v>0.84925136425853098</v>
      </c>
      <c r="H586" s="17">
        <f ca="1">IFERROR(__xludf.DUMMYFUNCTION("""COMPUTED_VALUE"""),0.886850694468837)</f>
        <v>0.88685069446883702</v>
      </c>
      <c r="I586" s="17">
        <f ca="1">IFERROR(__xludf.DUMMYFUNCTION("""COMPUTED_VALUE"""),0.703153408450281)</f>
        <v>0.70315340845028096</v>
      </c>
      <c r="J586" s="17">
        <f ca="1">IFERROR(__xludf.DUMMYFUNCTION("""COMPUTED_VALUE"""),0.918686056991996)</f>
        <v>0.91868605699199601</v>
      </c>
      <c r="K586" s="17" t="str">
        <f ca="1">IFERROR(__xludf.DUMMYFUNCTION("""COMPUTED_VALUE"""),"nan")</f>
        <v>nan</v>
      </c>
      <c r="L586" s="17">
        <f ca="1">IFERROR(__xludf.DUMMYFUNCTION("""COMPUTED_VALUE"""),0.819175432747703)</f>
        <v>0.81917543274770299</v>
      </c>
      <c r="M586" s="17">
        <f ca="1">IFERROR(__xludf.DUMMYFUNCTION("""COMPUTED_VALUE"""),0.86282867141537)</f>
        <v>0.86282867141537001</v>
      </c>
      <c r="N586" s="17">
        <f ca="1">IFERROR(__xludf.DUMMYFUNCTION("""COMPUTED_VALUE"""),0.922827940451165)</f>
        <v>0.92282794045116501</v>
      </c>
      <c r="O586" s="17">
        <f ca="1">IFERROR(__xludf.DUMMYFUNCTION("""COMPUTED_VALUE"""),0.80645857745429)</f>
        <v>0.80645857745428995</v>
      </c>
      <c r="P586" s="17">
        <f ca="1">IFERROR(__xludf.DUMMYFUNCTION("""COMPUTED_VALUE"""),0.88601952064501)</f>
        <v>0.88601952064500999</v>
      </c>
      <c r="Q586" s="17">
        <f ca="1">IFERROR(__xludf.DUMMYFUNCTION("""COMPUTED_VALUE"""),1.29052657201337)</f>
        <v>1.2905265720133701</v>
      </c>
      <c r="R586" s="17">
        <f ca="1">IFERROR(__xludf.DUMMYFUNCTION("""COMPUTED_VALUE"""),1.04142023909024)</f>
        <v>1.0414202390902401</v>
      </c>
      <c r="S586" s="17">
        <f ca="1">IFERROR(__xludf.DUMMYFUNCTION("""COMPUTED_VALUE"""),1.21620112383415)</f>
        <v>1.2162011238341499</v>
      </c>
      <c r="T586" s="17">
        <f ca="1">IFERROR(__xludf.DUMMYFUNCTION("""COMPUTED_VALUE"""),0.718944152596733)</f>
        <v>0.71894415259673305</v>
      </c>
      <c r="U586" s="17">
        <f ca="1">IFERROR(__xludf.DUMMYFUNCTION("""COMPUTED_VALUE"""),0.838048011328482)</f>
        <v>0.83804801132848195</v>
      </c>
      <c r="V586" s="17">
        <f ca="1">IFERROR(__xludf.DUMMYFUNCTION("""COMPUTED_VALUE"""),0.840141095632655)</f>
        <v>0.84014109563265504</v>
      </c>
      <c r="W586" s="17">
        <f ca="1">IFERROR(__xludf.DUMMYFUNCTION("""COMPUTED_VALUE"""),0.879911740103916)</f>
        <v>0.87991174010391604</v>
      </c>
      <c r="X586" s="17">
        <f ca="1">IFERROR(__xludf.DUMMYFUNCTION("""COMPUTED_VALUE"""),0.749695131907965)</f>
        <v>0.749695131907965</v>
      </c>
      <c r="Y586" s="17">
        <f ca="1">IFERROR(__xludf.DUMMYFUNCTION("""COMPUTED_VALUE"""),0.736910880186535)</f>
        <v>0.73691088018653494</v>
      </c>
      <c r="Z586" s="17">
        <f ca="1">IFERROR(__xludf.DUMMYFUNCTION("""COMPUTED_VALUE"""),0.801626177153886)</f>
        <v>0.80162617715388595</v>
      </c>
      <c r="AA586" s="17">
        <f ca="1">IFERROR(__xludf.DUMMYFUNCTION("""COMPUTED_VALUE"""),0.986631337161141)</f>
        <v>0.98663133716114104</v>
      </c>
      <c r="AB586" s="17">
        <f ca="1">IFERROR(__xludf.DUMMYFUNCTION("""COMPUTED_VALUE"""),1.17332946585716)</f>
        <v>1.17332946585716</v>
      </c>
      <c r="AC586" s="17">
        <f ca="1">IFERROR(__xludf.DUMMYFUNCTION("""COMPUTED_VALUE"""),0.873885134457761)</f>
        <v>0.87388513445776095</v>
      </c>
      <c r="AD586" s="17">
        <f ca="1">IFERROR(__xludf.DUMMYFUNCTION("""COMPUTED_VALUE"""),0.910776932738067)</f>
        <v>0.91077693273806704</v>
      </c>
      <c r="AE586" s="17" t="str">
        <f ca="1">IFERROR(__xludf.DUMMYFUNCTION("""COMPUTED_VALUE"""),"nan")</f>
        <v>nan</v>
      </c>
      <c r="AF586" s="17">
        <f ca="1">IFERROR(__xludf.DUMMYFUNCTION("""COMPUTED_VALUE"""),0.941750049519399)</f>
        <v>0.941750049519399</v>
      </c>
      <c r="AG586" s="17">
        <f ca="1">IFERROR(__xludf.DUMMYFUNCTION("""COMPUTED_VALUE"""),1.14652801969013)</f>
        <v>1.14652801969013</v>
      </c>
      <c r="AH586" s="17">
        <f ca="1">IFERROR(__xludf.DUMMYFUNCTION("""COMPUTED_VALUE"""),1.03570515502986)</f>
        <v>1.0357051550298599</v>
      </c>
      <c r="AI586" s="17" t="str">
        <f ca="1">IFERROR(__xludf.DUMMYFUNCTION("""COMPUTED_VALUE"""),"nan")</f>
        <v>nan</v>
      </c>
      <c r="AJ586" s="17">
        <f ca="1">IFERROR(__xludf.DUMMYFUNCTION("""COMPUTED_VALUE"""),1.03983818407463)</f>
        <v>1.03983818407463</v>
      </c>
    </row>
    <row r="587" spans="2:36" ht="15.75" customHeight="1" x14ac:dyDescent="0.45">
      <c r="B587" s="10" t="str">
        <f ca="1">IFERROR(__xludf.DUMMYFUNCTION("""COMPUTED_VALUE"""),"OliveOil")</f>
        <v>OliveOil</v>
      </c>
      <c r="C587" s="10" t="str">
        <f ca="1">IFERROR(__xludf.DUMMYFUNCTION("""COMPUTED_VALUE"""),"aligned_series")</f>
        <v>aligned_series</v>
      </c>
      <c r="D587" s="10">
        <f ca="1">IFERROR(__xludf.DUMMYFUNCTION("""COMPUTED_VALUE"""),0.1)</f>
        <v>0.1</v>
      </c>
      <c r="E587" s="17">
        <f ca="1">IFERROR(__xludf.DUMMYFUNCTION("""COMPUTED_VALUE"""),0.298889789698449)</f>
        <v>0.29888978969844898</v>
      </c>
      <c r="F587" s="17">
        <f ca="1">IFERROR(__xludf.DUMMYFUNCTION("""COMPUTED_VALUE"""),0.0105625886849217)</f>
        <v>1.05625886849217E-2</v>
      </c>
      <c r="G587" s="17">
        <f ca="1">IFERROR(__xludf.DUMMYFUNCTION("""COMPUTED_VALUE"""),0.0392269200619306)</f>
        <v>3.9226920061930598E-2</v>
      </c>
      <c r="H587" s="17">
        <f ca="1">IFERROR(__xludf.DUMMYFUNCTION("""COMPUTED_VALUE"""),0.0838370668493784)</f>
        <v>8.3837066849378403E-2</v>
      </c>
      <c r="I587" s="17">
        <f ca="1">IFERROR(__xludf.DUMMYFUNCTION("""COMPUTED_VALUE"""),0.00558221846462561)</f>
        <v>5.5822184646256096E-3</v>
      </c>
      <c r="J587" s="17">
        <f ca="1">IFERROR(__xludf.DUMMYFUNCTION("""COMPUTED_VALUE"""),0.291978626574155)</f>
        <v>0.29197862657415502</v>
      </c>
      <c r="K587" s="17" t="str">
        <f ca="1">IFERROR(__xludf.DUMMYFUNCTION("""COMPUTED_VALUE"""),"nan")</f>
        <v>nan</v>
      </c>
      <c r="L587" s="17">
        <f ca="1">IFERROR(__xludf.DUMMYFUNCTION("""COMPUTED_VALUE"""),0.00792798529950503)</f>
        <v>7.9279852995050304E-3</v>
      </c>
      <c r="M587" s="17">
        <f ca="1">IFERROR(__xludf.DUMMYFUNCTION("""COMPUTED_VALUE"""),0.262082445471562)</f>
        <v>0.26208244547156201</v>
      </c>
      <c r="N587" s="17">
        <f ca="1">IFERROR(__xludf.DUMMYFUNCTION("""COMPUTED_VALUE"""),0.0132082425497456)</f>
        <v>1.32082425497456E-2</v>
      </c>
      <c r="O587" s="17">
        <f ca="1">IFERROR(__xludf.DUMMYFUNCTION("""COMPUTED_VALUE"""),0.00569160781270165)</f>
        <v>5.6916078127016503E-3</v>
      </c>
      <c r="P587" s="17">
        <f ca="1">IFERROR(__xludf.DUMMYFUNCTION("""COMPUTED_VALUE"""),0.562391431347005)</f>
        <v>0.56239143134700498</v>
      </c>
      <c r="Q587" s="17">
        <f ca="1">IFERROR(__xludf.DUMMYFUNCTION("""COMPUTED_VALUE"""),0.00444318335068808)</f>
        <v>4.44318335068808E-3</v>
      </c>
      <c r="R587" s="17">
        <f ca="1">IFERROR(__xludf.DUMMYFUNCTION("""COMPUTED_VALUE"""),0.160575731770593)</f>
        <v>0.16057573177059301</v>
      </c>
      <c r="S587" s="17">
        <f ca="1">IFERROR(__xludf.DUMMYFUNCTION("""COMPUTED_VALUE"""),0.0611829491097895)</f>
        <v>6.1182949109789497E-2</v>
      </c>
      <c r="T587" s="17">
        <f ca="1">IFERROR(__xludf.DUMMYFUNCTION("""COMPUTED_VALUE"""),0.289134681907127)</f>
        <v>0.28913468190712699</v>
      </c>
      <c r="U587" s="17">
        <f ca="1">IFERROR(__xludf.DUMMYFUNCTION("""COMPUTED_VALUE"""),0.0938450756018007)</f>
        <v>9.3845075601800707E-2</v>
      </c>
      <c r="V587" s="17">
        <f ca="1">IFERROR(__xludf.DUMMYFUNCTION("""COMPUTED_VALUE"""),0.0559070259190038)</f>
        <v>5.5907025919003803E-2</v>
      </c>
      <c r="W587" s="17">
        <f ca="1">IFERROR(__xludf.DUMMYFUNCTION("""COMPUTED_VALUE"""),0.0943680142070516)</f>
        <v>9.4368014207051598E-2</v>
      </c>
      <c r="X587" s="17">
        <f ca="1">IFERROR(__xludf.DUMMYFUNCTION("""COMPUTED_VALUE"""),0.085156734516983)</f>
        <v>8.5156734516982996E-2</v>
      </c>
      <c r="Y587" s="17">
        <f ca="1">IFERROR(__xludf.DUMMYFUNCTION("""COMPUTED_VALUE"""),0.008070589409177)</f>
        <v>8.0705894091770009E-3</v>
      </c>
      <c r="Z587" s="17">
        <f ca="1">IFERROR(__xludf.DUMMYFUNCTION("""COMPUTED_VALUE"""),0.0863580184297906)</f>
        <v>8.6358018429790601E-2</v>
      </c>
      <c r="AA587" s="17">
        <f ca="1">IFERROR(__xludf.DUMMYFUNCTION("""COMPUTED_VALUE"""),0.00720809515869611)</f>
        <v>7.2080951586961104E-3</v>
      </c>
      <c r="AB587" s="17">
        <f ca="1">IFERROR(__xludf.DUMMYFUNCTION("""COMPUTED_VALUE"""),0.0702123490701878)</f>
        <v>7.0212349070187793E-2</v>
      </c>
      <c r="AC587" s="17">
        <f ca="1">IFERROR(__xludf.DUMMYFUNCTION("""COMPUTED_VALUE"""),0.175859646517864)</f>
        <v>0.17585964651786401</v>
      </c>
      <c r="AD587" s="17">
        <f ca="1">IFERROR(__xludf.DUMMYFUNCTION("""COMPUTED_VALUE"""),0.0198962169789736)</f>
        <v>1.9896216978973601E-2</v>
      </c>
      <c r="AE587" s="17">
        <f ca="1">IFERROR(__xludf.DUMMYFUNCTION("""COMPUTED_VALUE"""),0.430875719039862)</f>
        <v>0.43087571903986199</v>
      </c>
      <c r="AF587" s="17">
        <f ca="1">IFERROR(__xludf.DUMMYFUNCTION("""COMPUTED_VALUE"""),0.0321495554264395)</f>
        <v>3.2149555426439498E-2</v>
      </c>
      <c r="AG587" s="17">
        <f ca="1">IFERROR(__xludf.DUMMYFUNCTION("""COMPUTED_VALUE"""),0.71913807564128)</f>
        <v>0.71913807564127996</v>
      </c>
      <c r="AH587" s="17">
        <f ca="1">IFERROR(__xludf.DUMMYFUNCTION("""COMPUTED_VALUE"""),0.860573235887783)</f>
        <v>0.86057323588778301</v>
      </c>
      <c r="AI587" s="17">
        <f ca="1">IFERROR(__xludf.DUMMYFUNCTION("""COMPUTED_VALUE"""),0.905503405303683)</f>
        <v>0.90550340530368301</v>
      </c>
      <c r="AJ587" s="17">
        <f ca="1">IFERROR(__xludf.DUMMYFUNCTION("""COMPUTED_VALUE"""),0.693840153361661)</f>
        <v>0.69384015336166105</v>
      </c>
    </row>
    <row r="588" spans="2:36" ht="15.75" customHeight="1" x14ac:dyDescent="0.45">
      <c r="B588" s="10" t="str">
        <f ca="1">IFERROR(__xludf.DUMMYFUNCTION("""COMPUTED_VALUE"""),"OliveOil")</f>
        <v>OliveOil</v>
      </c>
      <c r="C588" s="10" t="str">
        <f ca="1">IFERROR(__xludf.DUMMYFUNCTION("""COMPUTED_VALUE"""),"aligned_series")</f>
        <v>aligned_series</v>
      </c>
      <c r="D588" s="10">
        <f ca="1">IFERROR(__xludf.DUMMYFUNCTION("""COMPUTED_VALUE"""),0.2)</f>
        <v>0.2</v>
      </c>
      <c r="E588" s="17">
        <f ca="1">IFERROR(__xludf.DUMMYFUNCTION("""COMPUTED_VALUE"""),0.299800329351254)</f>
        <v>0.299800329351254</v>
      </c>
      <c r="F588" s="17">
        <f ca="1">IFERROR(__xludf.DUMMYFUNCTION("""COMPUTED_VALUE"""),0.0101332198518951)</f>
        <v>1.01332198518951E-2</v>
      </c>
      <c r="G588" s="17">
        <f ca="1">IFERROR(__xludf.DUMMYFUNCTION("""COMPUTED_VALUE"""),0.0646112948728014)</f>
        <v>6.46112948728014E-2</v>
      </c>
      <c r="H588" s="17">
        <f ca="1">IFERROR(__xludf.DUMMYFUNCTION("""COMPUTED_VALUE"""),0.0708683819450116)</f>
        <v>7.0868381945011605E-2</v>
      </c>
      <c r="I588" s="17">
        <f ca="1">IFERROR(__xludf.DUMMYFUNCTION("""COMPUTED_VALUE"""),0.00478871014969693)</f>
        <v>4.78871014969693E-3</v>
      </c>
      <c r="J588" s="17">
        <f ca="1">IFERROR(__xludf.DUMMYFUNCTION("""COMPUTED_VALUE"""),0.292095718102641)</f>
        <v>0.29209571810264101</v>
      </c>
      <c r="K588" s="17" t="str">
        <f ca="1">IFERROR(__xludf.DUMMYFUNCTION("""COMPUTED_VALUE"""),"nan")</f>
        <v>nan</v>
      </c>
      <c r="L588" s="17">
        <f ca="1">IFERROR(__xludf.DUMMYFUNCTION("""COMPUTED_VALUE"""),0.0071569137776069)</f>
        <v>7.1569137776068999E-3</v>
      </c>
      <c r="M588" s="17">
        <f ca="1">IFERROR(__xludf.DUMMYFUNCTION("""COMPUTED_VALUE"""),0.263979139326299)</f>
        <v>0.26397913932629902</v>
      </c>
      <c r="N588" s="17">
        <f ca="1">IFERROR(__xludf.DUMMYFUNCTION("""COMPUTED_VALUE"""),0.0155463869801841)</f>
        <v>1.5546386980184099E-2</v>
      </c>
      <c r="O588" s="17">
        <f ca="1">IFERROR(__xludf.DUMMYFUNCTION("""COMPUTED_VALUE"""),0.00498868474502458)</f>
        <v>4.9886847450245804E-3</v>
      </c>
      <c r="P588" s="17">
        <f ca="1">IFERROR(__xludf.DUMMYFUNCTION("""COMPUTED_VALUE"""),0.925853123299732)</f>
        <v>0.92585312329973202</v>
      </c>
      <c r="Q588" s="17">
        <f ca="1">IFERROR(__xludf.DUMMYFUNCTION("""COMPUTED_VALUE"""),0.00416686567812137)</f>
        <v>4.1668656781213703E-3</v>
      </c>
      <c r="R588" s="17">
        <f ca="1">IFERROR(__xludf.DUMMYFUNCTION("""COMPUTED_VALUE"""),0.156781720809415)</f>
        <v>0.15678172080941499</v>
      </c>
      <c r="S588" s="17">
        <f ca="1">IFERROR(__xludf.DUMMYFUNCTION("""COMPUTED_VALUE"""),0.0727428684283405)</f>
        <v>7.2742868428340504E-2</v>
      </c>
      <c r="T588" s="17">
        <f ca="1">IFERROR(__xludf.DUMMYFUNCTION("""COMPUTED_VALUE"""),0.27279861953858)</f>
        <v>0.27279861953857998</v>
      </c>
      <c r="U588" s="17">
        <f ca="1">IFERROR(__xludf.DUMMYFUNCTION("""COMPUTED_VALUE"""),0.0555863611978175)</f>
        <v>5.5586361197817499E-2</v>
      </c>
      <c r="V588" s="17">
        <f ca="1">IFERROR(__xludf.DUMMYFUNCTION("""COMPUTED_VALUE"""),0.0664242005688174)</f>
        <v>6.6424200568817399E-2</v>
      </c>
      <c r="W588" s="17">
        <f ca="1">IFERROR(__xludf.DUMMYFUNCTION("""COMPUTED_VALUE"""),0.137852090347689)</f>
        <v>0.137852090347689</v>
      </c>
      <c r="X588" s="17">
        <f ca="1">IFERROR(__xludf.DUMMYFUNCTION("""COMPUTED_VALUE"""),0.0778982612273537)</f>
        <v>7.7898261227353702E-2</v>
      </c>
      <c r="Y588" s="17">
        <f ca="1">IFERROR(__xludf.DUMMYFUNCTION("""COMPUTED_VALUE"""),0.00728453887125335)</f>
        <v>7.28453887125335E-3</v>
      </c>
      <c r="Z588" s="17">
        <f ca="1">IFERROR(__xludf.DUMMYFUNCTION("""COMPUTED_VALUE"""),0.0809833665446622)</f>
        <v>8.0983366544662205E-2</v>
      </c>
      <c r="AA588" s="17">
        <f ca="1">IFERROR(__xludf.DUMMYFUNCTION("""COMPUTED_VALUE"""),0.00609061930357204)</f>
        <v>6.0906193035720401E-3</v>
      </c>
      <c r="AB588" s="17">
        <f ca="1">IFERROR(__xludf.DUMMYFUNCTION("""COMPUTED_VALUE"""),0.0517911194407132)</f>
        <v>5.1791119440713199E-2</v>
      </c>
      <c r="AC588" s="17">
        <f ca="1">IFERROR(__xludf.DUMMYFUNCTION("""COMPUTED_VALUE"""),0.189766868816099)</f>
        <v>0.189766868816099</v>
      </c>
      <c r="AD588" s="17">
        <f ca="1">IFERROR(__xludf.DUMMYFUNCTION("""COMPUTED_VALUE"""),0.0241848763087779)</f>
        <v>2.41848763087779E-2</v>
      </c>
      <c r="AE588" s="17">
        <f ca="1">IFERROR(__xludf.DUMMYFUNCTION("""COMPUTED_VALUE"""),0.478767393270879)</f>
        <v>0.47876739327087903</v>
      </c>
      <c r="AF588" s="17">
        <f ca="1">IFERROR(__xludf.DUMMYFUNCTION("""COMPUTED_VALUE"""),0.034957787294876)</f>
        <v>3.4957787294876003E-2</v>
      </c>
      <c r="AG588" s="17">
        <f ca="1">IFERROR(__xludf.DUMMYFUNCTION("""COMPUTED_VALUE"""),0.706488179984408)</f>
        <v>0.70648817998440805</v>
      </c>
      <c r="AH588" s="17">
        <f ca="1">IFERROR(__xludf.DUMMYFUNCTION("""COMPUTED_VALUE"""),0.860990769103333)</f>
        <v>0.86099076910333305</v>
      </c>
      <c r="AI588" s="17">
        <f ca="1">IFERROR(__xludf.DUMMYFUNCTION("""COMPUTED_VALUE"""),0.903767102220121)</f>
        <v>0.90376710222012102</v>
      </c>
      <c r="AJ588" s="17">
        <f ca="1">IFERROR(__xludf.DUMMYFUNCTION("""COMPUTED_VALUE"""),0.712798192775265)</f>
        <v>0.71279819277526502</v>
      </c>
    </row>
    <row r="589" spans="2:36" ht="15.75" customHeight="1" x14ac:dyDescent="0.45">
      <c r="B589" s="10" t="str">
        <f ca="1">IFERROR(__xludf.DUMMYFUNCTION("""COMPUTED_VALUE"""),"OliveOil")</f>
        <v>OliveOil</v>
      </c>
      <c r="C589" s="10" t="str">
        <f ca="1">IFERROR(__xludf.DUMMYFUNCTION("""COMPUTED_VALUE"""),"aligned_series")</f>
        <v>aligned_series</v>
      </c>
      <c r="D589" s="10">
        <f ca="1">IFERROR(__xludf.DUMMYFUNCTION("""COMPUTED_VALUE"""),0.4)</f>
        <v>0.4</v>
      </c>
      <c r="E589" s="17">
        <f ca="1">IFERROR(__xludf.DUMMYFUNCTION("""COMPUTED_VALUE"""),0.306037732417786)</f>
        <v>0.30603773241778598</v>
      </c>
      <c r="F589" s="17">
        <f ca="1">IFERROR(__xludf.DUMMYFUNCTION("""COMPUTED_VALUE"""),0.0135744935345289)</f>
        <v>1.35744935345289E-2</v>
      </c>
      <c r="G589" s="17">
        <f ca="1">IFERROR(__xludf.DUMMYFUNCTION("""COMPUTED_VALUE"""),0.13887548472515)</f>
        <v>0.13887548472514999</v>
      </c>
      <c r="H589" s="17">
        <f ca="1">IFERROR(__xludf.DUMMYFUNCTION("""COMPUTED_VALUE"""),0.171158853013832)</f>
        <v>0.17115885301383199</v>
      </c>
      <c r="I589" s="17">
        <f ca="1">IFERROR(__xludf.DUMMYFUNCTION("""COMPUTED_VALUE"""),0.0102270576065548)</f>
        <v>1.0227057606554801E-2</v>
      </c>
      <c r="J589" s="17">
        <f ca="1">IFERROR(__xludf.DUMMYFUNCTION("""COMPUTED_VALUE"""),0.292273427957578)</f>
        <v>0.29227342795757799</v>
      </c>
      <c r="K589" s="17" t="str">
        <f ca="1">IFERROR(__xludf.DUMMYFUNCTION("""COMPUTED_VALUE"""),"nan")</f>
        <v>nan</v>
      </c>
      <c r="L589" s="17">
        <f ca="1">IFERROR(__xludf.DUMMYFUNCTION("""COMPUTED_VALUE"""),0.00980308360844446)</f>
        <v>9.8030836084444604E-3</v>
      </c>
      <c r="M589" s="17">
        <f ca="1">IFERROR(__xludf.DUMMYFUNCTION("""COMPUTED_VALUE"""),0.266262736674668)</f>
        <v>0.26626273667466799</v>
      </c>
      <c r="N589" s="17">
        <f ca="1">IFERROR(__xludf.DUMMYFUNCTION("""COMPUTED_VALUE"""),0.0194900422725091)</f>
        <v>1.9490042272509101E-2</v>
      </c>
      <c r="O589" s="17">
        <f ca="1">IFERROR(__xludf.DUMMYFUNCTION("""COMPUTED_VALUE"""),0.00781886412159655)</f>
        <v>7.8188641215965506E-3</v>
      </c>
      <c r="P589" s="17">
        <f ca="1">IFERROR(__xludf.DUMMYFUNCTION("""COMPUTED_VALUE"""),1.19719567991562)</f>
        <v>1.19719567991562</v>
      </c>
      <c r="Q589" s="17">
        <f ca="1">IFERROR(__xludf.DUMMYFUNCTION("""COMPUTED_VALUE"""),0.00582315877584435)</f>
        <v>5.8231587758443499E-3</v>
      </c>
      <c r="R589" s="17">
        <f ca="1">IFERROR(__xludf.DUMMYFUNCTION("""COMPUTED_VALUE"""),0.241745933637177)</f>
        <v>0.241745933637177</v>
      </c>
      <c r="S589" s="17">
        <f ca="1">IFERROR(__xludf.DUMMYFUNCTION("""COMPUTED_VALUE"""),0.142365318649985)</f>
        <v>0.142365318649985</v>
      </c>
      <c r="T589" s="17">
        <f ca="1">IFERROR(__xludf.DUMMYFUNCTION("""COMPUTED_VALUE"""),0.337529111927946)</f>
        <v>0.33752911192794599</v>
      </c>
      <c r="U589" s="17">
        <f ca="1">IFERROR(__xludf.DUMMYFUNCTION("""COMPUTED_VALUE"""),0.113977883653048)</f>
        <v>0.11397788365304801</v>
      </c>
      <c r="V589" s="17">
        <f ca="1">IFERROR(__xludf.DUMMYFUNCTION("""COMPUTED_VALUE"""),0.100619048000804)</f>
        <v>0.100619048000804</v>
      </c>
      <c r="W589" s="17">
        <f ca="1">IFERROR(__xludf.DUMMYFUNCTION("""COMPUTED_VALUE"""),0.179280778103118)</f>
        <v>0.17928077810311799</v>
      </c>
      <c r="X589" s="17">
        <f ca="1">IFERROR(__xludf.DUMMYFUNCTION("""COMPUTED_VALUE"""),0.083978935489499)</f>
        <v>8.3978935489499001E-2</v>
      </c>
      <c r="Y589" s="17">
        <f ca="1">IFERROR(__xludf.DUMMYFUNCTION("""COMPUTED_VALUE"""),0.0078394973085945)</f>
        <v>7.8394973085944997E-3</v>
      </c>
      <c r="Z589" s="17">
        <f ca="1">IFERROR(__xludf.DUMMYFUNCTION("""COMPUTED_VALUE"""),0.0827746655570014)</f>
        <v>8.2774665557001401E-2</v>
      </c>
      <c r="AA589" s="17">
        <f ca="1">IFERROR(__xludf.DUMMYFUNCTION("""COMPUTED_VALUE"""),0.0054132807241912)</f>
        <v>5.4132807241912004E-3</v>
      </c>
      <c r="AB589" s="17">
        <f ca="1">IFERROR(__xludf.DUMMYFUNCTION("""COMPUTED_VALUE"""),0.0851391370887362)</f>
        <v>8.5139137088736203E-2</v>
      </c>
      <c r="AC589" s="17">
        <f ca="1">IFERROR(__xludf.DUMMYFUNCTION("""COMPUTED_VALUE"""),0.20172781262883)</f>
        <v>0.20172781262882999</v>
      </c>
      <c r="AD589" s="17">
        <f ca="1">IFERROR(__xludf.DUMMYFUNCTION("""COMPUTED_VALUE"""),0.0311614985336481)</f>
        <v>3.1161498533648101E-2</v>
      </c>
      <c r="AE589" s="17">
        <f ca="1">IFERROR(__xludf.DUMMYFUNCTION("""COMPUTED_VALUE"""),0.471888462298672)</f>
        <v>0.47188846229867198</v>
      </c>
      <c r="AF589" s="17">
        <f ca="1">IFERROR(__xludf.DUMMYFUNCTION("""COMPUTED_VALUE"""),0.0393004417057811)</f>
        <v>3.9300441705781099E-2</v>
      </c>
      <c r="AG589" s="17">
        <f ca="1">IFERROR(__xludf.DUMMYFUNCTION("""COMPUTED_VALUE"""),0.802983702619071)</f>
        <v>0.80298370261907104</v>
      </c>
      <c r="AH589" s="17">
        <f ca="1">IFERROR(__xludf.DUMMYFUNCTION("""COMPUTED_VALUE"""),0.859222813296009)</f>
        <v>0.85922281329600902</v>
      </c>
      <c r="AI589" s="17">
        <f ca="1">IFERROR(__xludf.DUMMYFUNCTION("""COMPUTED_VALUE"""),0.903689900315547)</f>
        <v>0.90368990031554697</v>
      </c>
      <c r="AJ589" s="17">
        <f ca="1">IFERROR(__xludf.DUMMYFUNCTION("""COMPUTED_VALUE"""),0.756061231567829)</f>
        <v>0.75606123156782901</v>
      </c>
    </row>
    <row r="590" spans="2:36" ht="15.75" customHeight="1" x14ac:dyDescent="0.45">
      <c r="B590" s="10" t="str">
        <f ca="1">IFERROR(__xludf.DUMMYFUNCTION("""COMPUTED_VALUE"""),"OliveOil")</f>
        <v>OliveOil</v>
      </c>
      <c r="C590" s="10" t="str">
        <f ca="1">IFERROR(__xludf.DUMMYFUNCTION("""COMPUTED_VALUE"""),"aligned_series")</f>
        <v>aligned_series</v>
      </c>
      <c r="D590" s="10">
        <f ca="1">IFERROR(__xludf.DUMMYFUNCTION("""COMPUTED_VALUE"""),0.6)</f>
        <v>0.6</v>
      </c>
      <c r="E590" s="17">
        <f ca="1">IFERROR(__xludf.DUMMYFUNCTION("""COMPUTED_VALUE"""),0.310909751008903)</f>
        <v>0.310909751008903</v>
      </c>
      <c r="F590" s="17">
        <f ca="1">IFERROR(__xludf.DUMMYFUNCTION("""COMPUTED_VALUE"""),0.0188281869006507)</f>
        <v>1.88281869006507E-2</v>
      </c>
      <c r="G590" s="17">
        <f ca="1">IFERROR(__xludf.DUMMYFUNCTION("""COMPUTED_VALUE"""),0.187516061496959)</f>
        <v>0.18751606149695901</v>
      </c>
      <c r="H590" s="17">
        <f ca="1">IFERROR(__xludf.DUMMYFUNCTION("""COMPUTED_VALUE"""),0.11906297767435)</f>
        <v>0.11906297767435001</v>
      </c>
      <c r="I590" s="17">
        <f ca="1">IFERROR(__xludf.DUMMYFUNCTION("""COMPUTED_VALUE"""),0.0110714788605918)</f>
        <v>1.10714788605918E-2</v>
      </c>
      <c r="J590" s="17">
        <f ca="1">IFERROR(__xludf.DUMMYFUNCTION("""COMPUTED_VALUE"""),0.292389389837164)</f>
        <v>0.292389389837164</v>
      </c>
      <c r="K590" s="17" t="str">
        <f ca="1">IFERROR(__xludf.DUMMYFUNCTION("""COMPUTED_VALUE"""),"nan")</f>
        <v>nan</v>
      </c>
      <c r="L590" s="17">
        <f ca="1">IFERROR(__xludf.DUMMYFUNCTION("""COMPUTED_VALUE"""),0.041423976576084)</f>
        <v>4.1423976576084001E-2</v>
      </c>
      <c r="M590" s="17">
        <f ca="1">IFERROR(__xludf.DUMMYFUNCTION("""COMPUTED_VALUE"""),0.26232879981701)</f>
        <v>0.26232879981701002</v>
      </c>
      <c r="N590" s="17">
        <f ca="1">IFERROR(__xludf.DUMMYFUNCTION("""COMPUTED_VALUE"""),0.0186614277540057)</f>
        <v>1.8661427754005699E-2</v>
      </c>
      <c r="O590" s="17">
        <f ca="1">IFERROR(__xludf.DUMMYFUNCTION("""COMPUTED_VALUE"""),0.021495881242236)</f>
        <v>2.1495881242236E-2</v>
      </c>
      <c r="P590" s="17">
        <f ca="1">IFERROR(__xludf.DUMMYFUNCTION("""COMPUTED_VALUE"""),1.11280179851063)</f>
        <v>1.11280179851063</v>
      </c>
      <c r="Q590" s="17">
        <f ca="1">IFERROR(__xludf.DUMMYFUNCTION("""COMPUTED_VALUE"""),0.185430664160321)</f>
        <v>0.185430664160321</v>
      </c>
      <c r="R590" s="17">
        <f ca="1">IFERROR(__xludf.DUMMYFUNCTION("""COMPUTED_VALUE"""),0.251088189691564)</f>
        <v>0.25108818969156399</v>
      </c>
      <c r="S590" s="17">
        <f ca="1">IFERROR(__xludf.DUMMYFUNCTION("""COMPUTED_VALUE"""),0.188770055205147)</f>
        <v>0.188770055205147</v>
      </c>
      <c r="T590" s="17">
        <f ca="1">IFERROR(__xludf.DUMMYFUNCTION("""COMPUTED_VALUE"""),0.34423361890048)</f>
        <v>0.34423361890047999</v>
      </c>
      <c r="U590" s="17">
        <f ca="1">IFERROR(__xludf.DUMMYFUNCTION("""COMPUTED_VALUE"""),0.077981810179465)</f>
        <v>7.7981810179464997E-2</v>
      </c>
      <c r="V590" s="17">
        <f ca="1">IFERROR(__xludf.DUMMYFUNCTION("""COMPUTED_VALUE"""),0.117661524660001)</f>
        <v>0.117661524660001</v>
      </c>
      <c r="W590" s="17">
        <f ca="1">IFERROR(__xludf.DUMMYFUNCTION("""COMPUTED_VALUE"""),0.176344563222097)</f>
        <v>0.17634456322209699</v>
      </c>
      <c r="X590" s="17">
        <f ca="1">IFERROR(__xludf.DUMMYFUNCTION("""COMPUTED_VALUE"""),0.0880164043411361)</f>
        <v>8.8016404341136098E-2</v>
      </c>
      <c r="Y590" s="17">
        <f ca="1">IFERROR(__xludf.DUMMYFUNCTION("""COMPUTED_VALUE"""),0.00930009203824817)</f>
        <v>9.3000920382481696E-3</v>
      </c>
      <c r="Z590" s="17">
        <f ca="1">IFERROR(__xludf.DUMMYFUNCTION("""COMPUTED_VALUE"""),0.106130792653671)</f>
        <v>0.10613079265367099</v>
      </c>
      <c r="AA590" s="17">
        <f ca="1">IFERROR(__xludf.DUMMYFUNCTION("""COMPUTED_VALUE"""),0.0055417023652648)</f>
        <v>5.5417023652648001E-3</v>
      </c>
      <c r="AB590" s="17">
        <f ca="1">IFERROR(__xludf.DUMMYFUNCTION("""COMPUTED_VALUE"""),1.62381374191806)</f>
        <v>1.62381374191806</v>
      </c>
      <c r="AC590" s="17">
        <f ca="1">IFERROR(__xludf.DUMMYFUNCTION("""COMPUTED_VALUE"""),0.253089254892331)</f>
        <v>0.25308925489233097</v>
      </c>
      <c r="AD590" s="17">
        <f ca="1">IFERROR(__xludf.DUMMYFUNCTION("""COMPUTED_VALUE"""),0.0361715673238905)</f>
        <v>3.6171567323890499E-2</v>
      </c>
      <c r="AE590" s="17">
        <f ca="1">IFERROR(__xludf.DUMMYFUNCTION("""COMPUTED_VALUE"""),0.470199890928712)</f>
        <v>0.47019989092871201</v>
      </c>
      <c r="AF590" s="17">
        <f ca="1">IFERROR(__xludf.DUMMYFUNCTION("""COMPUTED_VALUE"""),0.0429600232237968)</f>
        <v>4.29600232237968E-2</v>
      </c>
      <c r="AG590" s="17">
        <f ca="1">IFERROR(__xludf.DUMMYFUNCTION("""COMPUTED_VALUE"""),0.808248558480586)</f>
        <v>0.80824855848058597</v>
      </c>
      <c r="AH590" s="17">
        <f ca="1">IFERROR(__xludf.DUMMYFUNCTION("""COMPUTED_VALUE"""),0.860429348232441)</f>
        <v>0.86042934823244099</v>
      </c>
      <c r="AI590" s="17">
        <f ca="1">IFERROR(__xludf.DUMMYFUNCTION("""COMPUTED_VALUE"""),0.902416826427895)</f>
        <v>0.902416826427895</v>
      </c>
      <c r="AJ590" s="17">
        <f ca="1">IFERROR(__xludf.DUMMYFUNCTION("""COMPUTED_VALUE"""),0.809306961550691)</f>
        <v>0.80930696155069104</v>
      </c>
    </row>
    <row r="591" spans="2:36" ht="15.75" customHeight="1" x14ac:dyDescent="0.45">
      <c r="B591" s="10" t="str">
        <f ca="1">IFERROR(__xludf.DUMMYFUNCTION("""COMPUTED_VALUE"""),"OliveOil")</f>
        <v>OliveOil</v>
      </c>
      <c r="C591" s="10" t="str">
        <f ca="1">IFERROR(__xludf.DUMMYFUNCTION("""COMPUTED_VALUE"""),"aligned_series")</f>
        <v>aligned_series</v>
      </c>
      <c r="D591" s="10">
        <f ca="1">IFERROR(__xludf.DUMMYFUNCTION("""COMPUTED_VALUE"""),0.8)</f>
        <v>0.8</v>
      </c>
      <c r="E591" s="17">
        <f ca="1">IFERROR(__xludf.DUMMYFUNCTION("""COMPUTED_VALUE"""),0.319403183322242)</f>
        <v>0.31940318332224199</v>
      </c>
      <c r="F591" s="17">
        <f ca="1">IFERROR(__xludf.DUMMYFUNCTION("""COMPUTED_VALUE"""),0.122086846058206)</f>
        <v>0.12208684605820599</v>
      </c>
      <c r="G591" s="17">
        <f ca="1">IFERROR(__xludf.DUMMYFUNCTION("""COMPUTED_VALUE"""),0.256516076516373)</f>
        <v>0.25651607651637298</v>
      </c>
      <c r="H591" s="17">
        <f ca="1">IFERROR(__xludf.DUMMYFUNCTION("""COMPUTED_VALUE"""),100)</f>
        <v>100</v>
      </c>
      <c r="I591" s="17">
        <f ca="1">IFERROR(__xludf.DUMMYFUNCTION("""COMPUTED_VALUE"""),0.1160582034135)</f>
        <v>0.1160582034135</v>
      </c>
      <c r="J591" s="17">
        <f ca="1">IFERROR(__xludf.DUMMYFUNCTION("""COMPUTED_VALUE"""),0.292826110347392)</f>
        <v>0.29282611034739198</v>
      </c>
      <c r="K591" s="17" t="str">
        <f ca="1">IFERROR(__xludf.DUMMYFUNCTION("""COMPUTED_VALUE"""),"nan")</f>
        <v>nan</v>
      </c>
      <c r="L591" s="17">
        <f ca="1">IFERROR(__xludf.DUMMYFUNCTION("""COMPUTED_VALUE"""),0.38526646462686)</f>
        <v>0.38526646462685998</v>
      </c>
      <c r="M591" s="17">
        <f ca="1">IFERROR(__xludf.DUMMYFUNCTION("""COMPUTED_VALUE"""),0.266523689011726)</f>
        <v>0.26652368901172602</v>
      </c>
      <c r="N591" s="17">
        <f ca="1">IFERROR(__xludf.DUMMYFUNCTION("""COMPUTED_VALUE"""),0.108995884174936)</f>
        <v>0.108995884174936</v>
      </c>
      <c r="O591" s="17">
        <f ca="1">IFERROR(__xludf.DUMMYFUNCTION("""COMPUTED_VALUE"""),0.12779695420969)</f>
        <v>0.12779695420969001</v>
      </c>
      <c r="P591" s="17">
        <f ca="1">IFERROR(__xludf.DUMMYFUNCTION("""COMPUTED_VALUE"""),1.05867309669882)</f>
        <v>1.05867309669882</v>
      </c>
      <c r="Q591" s="17">
        <f ca="1">IFERROR(__xludf.DUMMYFUNCTION("""COMPUTED_VALUE"""),0.263564843678035)</f>
        <v>0.26356484367803501</v>
      </c>
      <c r="R591" s="17">
        <f ca="1">IFERROR(__xludf.DUMMYFUNCTION("""COMPUTED_VALUE"""),0.301232830035128)</f>
        <v>0.30123283003512802</v>
      </c>
      <c r="S591" s="17">
        <f ca="1">IFERROR(__xludf.DUMMYFUNCTION("""COMPUTED_VALUE"""),0.258325168875752)</f>
        <v>0.25832516887575202</v>
      </c>
      <c r="T591" s="17">
        <f ca="1">IFERROR(__xludf.DUMMYFUNCTION("""COMPUTED_VALUE"""),0.293074629428594)</f>
        <v>0.29307462942859402</v>
      </c>
      <c r="U591" s="17">
        <f ca="1">IFERROR(__xludf.DUMMYFUNCTION("""COMPUTED_VALUE"""),0.184726686512981)</f>
        <v>0.18472668651298099</v>
      </c>
      <c r="V591" s="17">
        <f ca="1">IFERROR(__xludf.DUMMYFUNCTION("""COMPUTED_VALUE"""),0.356525660187326)</f>
        <v>0.35652566018732601</v>
      </c>
      <c r="W591" s="17">
        <f ca="1">IFERROR(__xludf.DUMMYFUNCTION("""COMPUTED_VALUE"""),0.258582585480536)</f>
        <v>0.25858258548053598</v>
      </c>
      <c r="X591" s="17">
        <f ca="1">IFERROR(__xludf.DUMMYFUNCTION("""COMPUTED_VALUE"""),0.16688690489352)</f>
        <v>0.16688690489352001</v>
      </c>
      <c r="Y591" s="17">
        <f ca="1">IFERROR(__xludf.DUMMYFUNCTION("""COMPUTED_VALUE"""),0.1243380195175)</f>
        <v>0.1243380195175</v>
      </c>
      <c r="Z591" s="17">
        <f ca="1">IFERROR(__xludf.DUMMYFUNCTION("""COMPUTED_VALUE"""),0.158280073048375)</f>
        <v>0.15828007304837499</v>
      </c>
      <c r="AA591" s="17">
        <f ca="1">IFERROR(__xludf.DUMMYFUNCTION("""COMPUTED_VALUE"""),0.268613523344784)</f>
        <v>0.268613523344784</v>
      </c>
      <c r="AB591" s="17">
        <f ca="1">IFERROR(__xludf.DUMMYFUNCTION("""COMPUTED_VALUE"""),1.64374175582694)</f>
        <v>1.64374175582694</v>
      </c>
      <c r="AC591" s="17">
        <f ca="1">IFERROR(__xludf.DUMMYFUNCTION("""COMPUTED_VALUE"""),0.293866644129739)</f>
        <v>0.29386664412973901</v>
      </c>
      <c r="AD591" s="17">
        <f ca="1">IFERROR(__xludf.DUMMYFUNCTION("""COMPUTED_VALUE"""),0.174658370491796)</f>
        <v>0.174658370491796</v>
      </c>
      <c r="AE591" s="17">
        <f ca="1">IFERROR(__xludf.DUMMYFUNCTION("""COMPUTED_VALUE"""),0.464531087680574)</f>
        <v>0.464531087680574</v>
      </c>
      <c r="AF591" s="17">
        <f ca="1">IFERROR(__xludf.DUMMYFUNCTION("""COMPUTED_VALUE"""),0.324980838630028)</f>
        <v>0.32498083863002802</v>
      </c>
      <c r="AG591" s="17">
        <f ca="1">IFERROR(__xludf.DUMMYFUNCTION("""COMPUTED_VALUE"""),0.92138169138967)</f>
        <v>0.92138169138966997</v>
      </c>
      <c r="AH591" s="17">
        <f ca="1">IFERROR(__xludf.DUMMYFUNCTION("""COMPUTED_VALUE"""),0.85901464159134)</f>
        <v>0.85901464159134</v>
      </c>
      <c r="AI591" s="17">
        <f ca="1">IFERROR(__xludf.DUMMYFUNCTION("""COMPUTED_VALUE"""),0.902683436347532)</f>
        <v>0.90268343634753201</v>
      </c>
      <c r="AJ591" s="17">
        <f ca="1">IFERROR(__xludf.DUMMYFUNCTION("""COMPUTED_VALUE"""),0.904966093620273)</f>
        <v>0.90496609362027303</v>
      </c>
    </row>
    <row r="592" spans="2:36" ht="15.75" customHeight="1" x14ac:dyDescent="0.45">
      <c r="B592" s="10" t="str">
        <f ca="1">IFERROR(__xludf.DUMMYFUNCTION("""COMPUTED_VALUE"""),"OliveOil")</f>
        <v>OliveOil</v>
      </c>
      <c r="C592" s="10" t="str">
        <f ca="1">IFERROR(__xludf.DUMMYFUNCTION("""COMPUTED_VALUE"""),"aligned_timestamps")</f>
        <v>aligned_timestamps</v>
      </c>
      <c r="D592" s="10">
        <f ca="1">IFERROR(__xludf.DUMMYFUNCTION("""COMPUTED_VALUE"""),0.1)</f>
        <v>0.1</v>
      </c>
      <c r="E592" s="17">
        <f ca="1">IFERROR(__xludf.DUMMYFUNCTION("""COMPUTED_VALUE"""),0.388114929062714)</f>
        <v>0.388114929062714</v>
      </c>
      <c r="F592" s="17">
        <f ca="1">IFERROR(__xludf.DUMMYFUNCTION("""COMPUTED_VALUE"""),0.0125907518313914)</f>
        <v>1.2590751831391399E-2</v>
      </c>
      <c r="G592" s="17">
        <f ca="1">IFERROR(__xludf.DUMMYFUNCTION("""COMPUTED_VALUE"""),0.0831765292877257)</f>
        <v>8.3176529287725703E-2</v>
      </c>
      <c r="H592" s="17">
        <f ca="1">IFERROR(__xludf.DUMMYFUNCTION("""COMPUTED_VALUE"""),0.091588140079754)</f>
        <v>9.1588140079753994E-2</v>
      </c>
      <c r="I592" s="17">
        <f ca="1">IFERROR(__xludf.DUMMYFUNCTION("""COMPUTED_VALUE"""),0.0054555083461879)</f>
        <v>5.4555083461878999E-3</v>
      </c>
      <c r="J592" s="17">
        <f ca="1">IFERROR(__xludf.DUMMYFUNCTION("""COMPUTED_VALUE"""),0.0458637998423462)</f>
        <v>4.5863799842346203E-2</v>
      </c>
      <c r="K592" s="17" t="str">
        <f ca="1">IFERROR(__xludf.DUMMYFUNCTION("""COMPUTED_VALUE"""),"nan")</f>
        <v>nan</v>
      </c>
      <c r="L592" s="17">
        <f ca="1">IFERROR(__xludf.DUMMYFUNCTION("""COMPUTED_VALUE"""),0.00803707713271836)</f>
        <v>8.0370771327183607E-3</v>
      </c>
      <c r="M592" s="17">
        <f ca="1">IFERROR(__xludf.DUMMYFUNCTION("""COMPUTED_VALUE"""),0.0869093533018948)</f>
        <v>8.6909353301894796E-2</v>
      </c>
      <c r="N592" s="17">
        <f ca="1">IFERROR(__xludf.DUMMYFUNCTION("""COMPUTED_VALUE"""),0.00659303199418672)</f>
        <v>6.59303199418672E-3</v>
      </c>
      <c r="O592" s="17">
        <f ca="1">IFERROR(__xludf.DUMMYFUNCTION("""COMPUTED_VALUE"""),0.00431552360111385)</f>
        <v>4.3155236011138496E-3</v>
      </c>
      <c r="P592" s="17">
        <f ca="1">IFERROR(__xludf.DUMMYFUNCTION("""COMPUTED_VALUE"""),1.20745718052125)</f>
        <v>1.20745718052125</v>
      </c>
      <c r="Q592" s="17">
        <f ca="1">IFERROR(__xludf.DUMMYFUNCTION("""COMPUTED_VALUE"""),0.00453497865015884)</f>
        <v>4.5349786501588402E-3</v>
      </c>
      <c r="R592" s="17">
        <f ca="1">IFERROR(__xludf.DUMMYFUNCTION("""COMPUTED_VALUE"""),0.175834031273555)</f>
        <v>0.17583403127355501</v>
      </c>
      <c r="S592" s="17">
        <f ca="1">IFERROR(__xludf.DUMMYFUNCTION("""COMPUTED_VALUE"""),0.0939403704108011)</f>
        <v>9.3940370410801097E-2</v>
      </c>
      <c r="T592" s="17">
        <f ca="1">IFERROR(__xludf.DUMMYFUNCTION("""COMPUTED_VALUE"""),0.286936964485386)</f>
        <v>0.28693696448538603</v>
      </c>
      <c r="U592" s="17">
        <f ca="1">IFERROR(__xludf.DUMMYFUNCTION("""COMPUTED_VALUE"""),0.075712170229752)</f>
        <v>7.5712170229752004E-2</v>
      </c>
      <c r="V592" s="17">
        <f ca="1">IFERROR(__xludf.DUMMYFUNCTION("""COMPUTED_VALUE"""),0.0630343267202303)</f>
        <v>6.3034326720230294E-2</v>
      </c>
      <c r="W592" s="17">
        <f ca="1">IFERROR(__xludf.DUMMYFUNCTION("""COMPUTED_VALUE"""),0.140111696718361)</f>
        <v>0.14011169671836099</v>
      </c>
      <c r="X592" s="17">
        <f ca="1">IFERROR(__xludf.DUMMYFUNCTION("""COMPUTED_VALUE"""),0.101587906160643)</f>
        <v>0.101587906160643</v>
      </c>
      <c r="Y592" s="17">
        <f ca="1">IFERROR(__xludf.DUMMYFUNCTION("""COMPUTED_VALUE"""),0.00454229301315981)</f>
        <v>4.5422930131598102E-3</v>
      </c>
      <c r="Z592" s="17">
        <f ca="1">IFERROR(__xludf.DUMMYFUNCTION("""COMPUTED_VALUE"""),0.0858303018081072)</f>
        <v>8.5830301808107204E-2</v>
      </c>
      <c r="AA592" s="17">
        <f ca="1">IFERROR(__xludf.DUMMYFUNCTION("""COMPUTED_VALUE"""),0.00421355615845277)</f>
        <v>4.2135561584527702E-3</v>
      </c>
      <c r="AB592" s="17">
        <f ca="1">IFERROR(__xludf.DUMMYFUNCTION("""COMPUTED_VALUE"""),0.0639840286580567)</f>
        <v>6.3984028658056705E-2</v>
      </c>
      <c r="AC592" s="17">
        <f ca="1">IFERROR(__xludf.DUMMYFUNCTION("""COMPUTED_VALUE"""),0.210013124337978)</f>
        <v>0.210013124337978</v>
      </c>
      <c r="AD592" s="17">
        <f ca="1">IFERROR(__xludf.DUMMYFUNCTION("""COMPUTED_VALUE"""),0.0212973574880666)</f>
        <v>2.12973574880666E-2</v>
      </c>
      <c r="AE592" s="17">
        <f ca="1">IFERROR(__xludf.DUMMYFUNCTION("""COMPUTED_VALUE"""),0.64143023284922)</f>
        <v>0.64143023284921996</v>
      </c>
      <c r="AF592" s="17">
        <f ca="1">IFERROR(__xludf.DUMMYFUNCTION("""COMPUTED_VALUE"""),0.0220849775919483)</f>
        <v>2.2084977591948302E-2</v>
      </c>
      <c r="AG592" s="17">
        <f ca="1">IFERROR(__xludf.DUMMYFUNCTION("""COMPUTED_VALUE"""),0.12774814049056)</f>
        <v>0.12774814049055999</v>
      </c>
      <c r="AH592" s="17">
        <f ca="1">IFERROR(__xludf.DUMMYFUNCTION("""COMPUTED_VALUE"""),0.0958728427468951)</f>
        <v>9.5872842746895101E-2</v>
      </c>
      <c r="AI592" s="17">
        <f ca="1">IFERROR(__xludf.DUMMYFUNCTION("""COMPUTED_VALUE"""),0.1218980421379)</f>
        <v>0.1218980421379</v>
      </c>
      <c r="AJ592" s="17">
        <f ca="1">IFERROR(__xludf.DUMMYFUNCTION("""COMPUTED_VALUE"""),0.115282410266118)</f>
        <v>0.115282410266118</v>
      </c>
    </row>
    <row r="593" spans="2:36" ht="15.75" customHeight="1" x14ac:dyDescent="0.45">
      <c r="B593" s="10" t="str">
        <f ca="1">IFERROR(__xludf.DUMMYFUNCTION("""COMPUTED_VALUE"""),"OliveOil")</f>
        <v>OliveOil</v>
      </c>
      <c r="C593" s="10" t="str">
        <f ca="1">IFERROR(__xludf.DUMMYFUNCTION("""COMPUTED_VALUE"""),"aligned_timestamps")</f>
        <v>aligned_timestamps</v>
      </c>
      <c r="D593" s="10">
        <f ca="1">IFERROR(__xludf.DUMMYFUNCTION("""COMPUTED_VALUE"""),0.2)</f>
        <v>0.2</v>
      </c>
      <c r="E593" s="17">
        <f ca="1">IFERROR(__xludf.DUMMYFUNCTION("""COMPUTED_VALUE"""),0.299800329351254)</f>
        <v>0.299800329351254</v>
      </c>
      <c r="F593" s="17">
        <f ca="1">IFERROR(__xludf.DUMMYFUNCTION("""COMPUTED_VALUE"""),0.0101332198518951)</f>
        <v>1.01332198518951E-2</v>
      </c>
      <c r="G593" s="17">
        <f ca="1">IFERROR(__xludf.DUMMYFUNCTION("""COMPUTED_VALUE"""),0.0646112948728014)</f>
        <v>6.46112948728014E-2</v>
      </c>
      <c r="H593" s="17">
        <f ca="1">IFERROR(__xludf.DUMMYFUNCTION("""COMPUTED_VALUE"""),0.0708683819450116)</f>
        <v>7.0868381945011605E-2</v>
      </c>
      <c r="I593" s="17">
        <f ca="1">IFERROR(__xludf.DUMMYFUNCTION("""COMPUTED_VALUE"""),0.00478871014969693)</f>
        <v>4.78871014969693E-3</v>
      </c>
      <c r="J593" s="17">
        <f ca="1">IFERROR(__xludf.DUMMYFUNCTION("""COMPUTED_VALUE"""),0.292095718102641)</f>
        <v>0.29209571810264101</v>
      </c>
      <c r="K593" s="17" t="str">
        <f ca="1">IFERROR(__xludf.DUMMYFUNCTION("""COMPUTED_VALUE"""),"nan")</f>
        <v>nan</v>
      </c>
      <c r="L593" s="17">
        <f ca="1">IFERROR(__xludf.DUMMYFUNCTION("""COMPUTED_VALUE"""),0.0071569137776069)</f>
        <v>7.1569137776068999E-3</v>
      </c>
      <c r="M593" s="17">
        <f ca="1">IFERROR(__xludf.DUMMYFUNCTION("""COMPUTED_VALUE"""),0.263979139326299)</f>
        <v>0.26397913932629902</v>
      </c>
      <c r="N593" s="17">
        <f ca="1">IFERROR(__xludf.DUMMYFUNCTION("""COMPUTED_VALUE"""),0.0155463869801841)</f>
        <v>1.5546386980184099E-2</v>
      </c>
      <c r="O593" s="17">
        <f ca="1">IFERROR(__xludf.DUMMYFUNCTION("""COMPUTED_VALUE"""),0.00498868474502458)</f>
        <v>4.9886847450245804E-3</v>
      </c>
      <c r="P593" s="17">
        <f ca="1">IFERROR(__xludf.DUMMYFUNCTION("""COMPUTED_VALUE"""),0.925853123299732)</f>
        <v>0.92585312329973202</v>
      </c>
      <c r="Q593" s="17">
        <f ca="1">IFERROR(__xludf.DUMMYFUNCTION("""COMPUTED_VALUE"""),0.00416686567812137)</f>
        <v>4.1668656781213703E-3</v>
      </c>
      <c r="R593" s="17">
        <f ca="1">IFERROR(__xludf.DUMMYFUNCTION("""COMPUTED_VALUE"""),0.156781720809415)</f>
        <v>0.15678172080941499</v>
      </c>
      <c r="S593" s="17">
        <f ca="1">IFERROR(__xludf.DUMMYFUNCTION("""COMPUTED_VALUE"""),0.0727428684283405)</f>
        <v>7.2742868428340504E-2</v>
      </c>
      <c r="T593" s="17">
        <f ca="1">IFERROR(__xludf.DUMMYFUNCTION("""COMPUTED_VALUE"""),0.27279861953858)</f>
        <v>0.27279861953857998</v>
      </c>
      <c r="U593" s="17">
        <f ca="1">IFERROR(__xludf.DUMMYFUNCTION("""COMPUTED_VALUE"""),0.0555863611978175)</f>
        <v>5.5586361197817499E-2</v>
      </c>
      <c r="V593" s="17">
        <f ca="1">IFERROR(__xludf.DUMMYFUNCTION("""COMPUTED_VALUE"""),0.0664242005688174)</f>
        <v>6.6424200568817399E-2</v>
      </c>
      <c r="W593" s="17">
        <f ca="1">IFERROR(__xludf.DUMMYFUNCTION("""COMPUTED_VALUE"""),0.122879379136964)</f>
        <v>0.12287937913696401</v>
      </c>
      <c r="X593" s="17">
        <f ca="1">IFERROR(__xludf.DUMMYFUNCTION("""COMPUTED_VALUE"""),0.0748427319438004)</f>
        <v>7.4842731943800395E-2</v>
      </c>
      <c r="Y593" s="17">
        <f ca="1">IFERROR(__xludf.DUMMYFUNCTION("""COMPUTED_VALUE"""),0.00728453887125335)</f>
        <v>7.28453887125335E-3</v>
      </c>
      <c r="Z593" s="17">
        <f ca="1">IFERROR(__xludf.DUMMYFUNCTION("""COMPUTED_VALUE"""),0.0809833665446622)</f>
        <v>8.0983366544662205E-2</v>
      </c>
      <c r="AA593" s="17">
        <f ca="1">IFERROR(__xludf.DUMMYFUNCTION("""COMPUTED_VALUE"""),0.00609061930357204)</f>
        <v>6.0906193035720401E-3</v>
      </c>
      <c r="AB593" s="17">
        <f ca="1">IFERROR(__xludf.DUMMYFUNCTION("""COMPUTED_VALUE"""),0.0740376647315328)</f>
        <v>7.4037664731532796E-2</v>
      </c>
      <c r="AC593" s="17">
        <f ca="1">IFERROR(__xludf.DUMMYFUNCTION("""COMPUTED_VALUE"""),0.189766868816099)</f>
        <v>0.189766868816099</v>
      </c>
      <c r="AD593" s="17">
        <f ca="1">IFERROR(__xludf.DUMMYFUNCTION("""COMPUTED_VALUE"""),0.0257561928170673)</f>
        <v>2.57561928170673E-2</v>
      </c>
      <c r="AE593" s="17">
        <f ca="1">IFERROR(__xludf.DUMMYFUNCTION("""COMPUTED_VALUE"""),0.45615085700747)</f>
        <v>0.45615085700746999</v>
      </c>
      <c r="AF593" s="17">
        <f ca="1">IFERROR(__xludf.DUMMYFUNCTION("""COMPUTED_VALUE"""),0.034957787294876)</f>
        <v>3.4957787294876003E-2</v>
      </c>
      <c r="AG593" s="17">
        <f ca="1">IFERROR(__xludf.DUMMYFUNCTION("""COMPUTED_VALUE"""),0.716023734284839)</f>
        <v>0.71602373428483901</v>
      </c>
      <c r="AH593" s="17">
        <f ca="1">IFERROR(__xludf.DUMMYFUNCTION("""COMPUTED_VALUE"""),0.860990769103333)</f>
        <v>0.86099076910333305</v>
      </c>
      <c r="AI593" s="17">
        <f ca="1">IFERROR(__xludf.DUMMYFUNCTION("""COMPUTED_VALUE"""),0.903767102220121)</f>
        <v>0.90376710222012102</v>
      </c>
      <c r="AJ593" s="17">
        <f ca="1">IFERROR(__xludf.DUMMYFUNCTION("""COMPUTED_VALUE"""),0.708919287181173)</f>
        <v>0.70891928718117303</v>
      </c>
    </row>
    <row r="594" spans="2:36" ht="15.75" customHeight="1" x14ac:dyDescent="0.45">
      <c r="B594" s="10" t="str">
        <f ca="1">IFERROR(__xludf.DUMMYFUNCTION("""COMPUTED_VALUE"""),"OliveOil")</f>
        <v>OliveOil</v>
      </c>
      <c r="C594" s="10" t="str">
        <f ca="1">IFERROR(__xludf.DUMMYFUNCTION("""COMPUTED_VALUE"""),"aligned_timestamps")</f>
        <v>aligned_timestamps</v>
      </c>
      <c r="D594" s="10">
        <f ca="1">IFERROR(__xludf.DUMMYFUNCTION("""COMPUTED_VALUE"""),0.4)</f>
        <v>0.4</v>
      </c>
      <c r="E594" s="17">
        <f ca="1">IFERROR(__xludf.DUMMYFUNCTION("""COMPUTED_VALUE"""),1.17856310189732)</f>
        <v>1.1785631018973199</v>
      </c>
      <c r="F594" s="17">
        <f ca="1">IFERROR(__xludf.DUMMYFUNCTION("""COMPUTED_VALUE"""),0.0607125099071764)</f>
        <v>6.0712509907176401E-2</v>
      </c>
      <c r="G594" s="17">
        <f ca="1">IFERROR(__xludf.DUMMYFUNCTION("""COMPUTED_VALUE"""),0.604212202833634)</f>
        <v>0.60421220283363397</v>
      </c>
      <c r="H594" s="17">
        <f ca="1">IFERROR(__xludf.DUMMYFUNCTION("""COMPUTED_VALUE"""),0.470252723104253)</f>
        <v>0.47025272310425298</v>
      </c>
      <c r="I594" s="17">
        <f ca="1">IFERROR(__xludf.DUMMYFUNCTION("""COMPUTED_VALUE"""),0.179548829898288)</f>
        <v>0.17954882989828799</v>
      </c>
      <c r="J594" s="17">
        <f ca="1">IFERROR(__xludf.DUMMYFUNCTION("""COMPUTED_VALUE"""),1.36872482039756)</f>
        <v>1.3687248203975599</v>
      </c>
      <c r="K594" s="17" t="str">
        <f ca="1">IFERROR(__xludf.DUMMYFUNCTION("""COMPUTED_VALUE"""),"nan")</f>
        <v>nan</v>
      </c>
      <c r="L594" s="17">
        <f ca="1">IFERROR(__xludf.DUMMYFUNCTION("""COMPUTED_VALUE"""),0.0309352537528496)</f>
        <v>3.0935253752849601E-2</v>
      </c>
      <c r="M594" s="17">
        <f ca="1">IFERROR(__xludf.DUMMYFUNCTION("""COMPUTED_VALUE"""),1.14955666997504)</f>
        <v>1.1495566699750399</v>
      </c>
      <c r="N594" s="17">
        <f ca="1">IFERROR(__xludf.DUMMYFUNCTION("""COMPUTED_VALUE"""),0.00841093716358912)</f>
        <v>8.41093716358912E-3</v>
      </c>
      <c r="O594" s="17">
        <f ca="1">IFERROR(__xludf.DUMMYFUNCTION("""COMPUTED_VALUE"""),0.613460933825532)</f>
        <v>0.61346093382553202</v>
      </c>
      <c r="P594" s="17">
        <f ca="1">IFERROR(__xludf.DUMMYFUNCTION("""COMPUTED_VALUE"""),1.01516703064132)</f>
        <v>1.0151670306413201</v>
      </c>
      <c r="Q594" s="17">
        <f ca="1">IFERROR(__xludf.DUMMYFUNCTION("""COMPUTED_VALUE"""),0.00516424834317333)</f>
        <v>5.1642483431733298E-3</v>
      </c>
      <c r="R594" s="17">
        <f ca="1">IFERROR(__xludf.DUMMYFUNCTION("""COMPUTED_VALUE"""),0.738336866912717)</f>
        <v>0.73833686691271705</v>
      </c>
      <c r="S594" s="17">
        <f ca="1">IFERROR(__xludf.DUMMYFUNCTION("""COMPUTED_VALUE"""),0.271630913914937)</f>
        <v>0.27163091391493699</v>
      </c>
      <c r="T594" s="17">
        <f ca="1">IFERROR(__xludf.DUMMYFUNCTION("""COMPUTED_VALUE"""),0.387958202107868)</f>
        <v>0.38795820210786802</v>
      </c>
      <c r="U594" s="17">
        <f ca="1">IFERROR(__xludf.DUMMYFUNCTION("""COMPUTED_VALUE"""),0.259593536360079)</f>
        <v>0.25959353636007898</v>
      </c>
      <c r="V594" s="17">
        <f ca="1">IFERROR(__xludf.DUMMYFUNCTION("""COMPUTED_VALUE"""),0.266107430682828)</f>
        <v>0.26610743068282799</v>
      </c>
      <c r="W594" s="17">
        <f ca="1">IFERROR(__xludf.DUMMYFUNCTION("""COMPUTED_VALUE"""),0.547168026176778)</f>
        <v>0.54716802617677796</v>
      </c>
      <c r="X594" s="17">
        <f ca="1">IFERROR(__xludf.DUMMYFUNCTION("""COMPUTED_VALUE"""),0.1242782277197)</f>
        <v>0.1242782277197</v>
      </c>
      <c r="Y594" s="17">
        <f ca="1">IFERROR(__xludf.DUMMYFUNCTION("""COMPUTED_VALUE"""),0.0104713710309809)</f>
        <v>1.04713710309809E-2</v>
      </c>
      <c r="Z594" s="17">
        <f ca="1">IFERROR(__xludf.DUMMYFUNCTION("""COMPUTED_VALUE"""),1.02053283184918)</f>
        <v>1.02053283184918</v>
      </c>
      <c r="AA594" s="17">
        <f ca="1">IFERROR(__xludf.DUMMYFUNCTION("""COMPUTED_VALUE"""),0.00734053952261804)</f>
        <v>7.3405395226180401E-3</v>
      </c>
      <c r="AB594" s="17">
        <f ca="1">IFERROR(__xludf.DUMMYFUNCTION("""COMPUTED_VALUE"""),0.199327184422545)</f>
        <v>0.19932718442254499</v>
      </c>
      <c r="AC594" s="17">
        <f ca="1">IFERROR(__xludf.DUMMYFUNCTION("""COMPUTED_VALUE"""),1.0644972505109)</f>
        <v>1.0644972505109001</v>
      </c>
      <c r="AD594" s="17">
        <f ca="1">IFERROR(__xludf.DUMMYFUNCTION("""COMPUTED_VALUE"""),0.133495859625607)</f>
        <v>0.13349585962560701</v>
      </c>
      <c r="AE594" s="17">
        <f ca="1">IFERROR(__xludf.DUMMYFUNCTION("""COMPUTED_VALUE"""),1.17955118380428)</f>
        <v>1.17955118380428</v>
      </c>
      <c r="AF594" s="17">
        <f ca="1">IFERROR(__xludf.DUMMYFUNCTION("""COMPUTED_VALUE"""),0.436833914121451)</f>
        <v>0.43683391412145101</v>
      </c>
      <c r="AG594" s="17">
        <f ca="1">IFERROR(__xludf.DUMMYFUNCTION("""COMPUTED_VALUE"""),1.04726394645454)</f>
        <v>1.0472639464545399</v>
      </c>
      <c r="AH594" s="17">
        <f ca="1">IFERROR(__xludf.DUMMYFUNCTION("""COMPUTED_VALUE"""),0.991730240793032)</f>
        <v>0.99173024079303196</v>
      </c>
      <c r="AI594" s="17">
        <f ca="1">IFERROR(__xludf.DUMMYFUNCTION("""COMPUTED_VALUE"""),1.01928443581515)</f>
        <v>1.01928443581515</v>
      </c>
      <c r="AJ594" s="17">
        <f ca="1">IFERROR(__xludf.DUMMYFUNCTION("""COMPUTED_VALUE"""),0.684033608440509)</f>
        <v>0.68403360844050898</v>
      </c>
    </row>
    <row r="595" spans="2:36" ht="15.75" customHeight="1" x14ac:dyDescent="0.45">
      <c r="B595" s="10" t="str">
        <f ca="1">IFERROR(__xludf.DUMMYFUNCTION("""COMPUTED_VALUE"""),"OliveOil")</f>
        <v>OliveOil</v>
      </c>
      <c r="C595" s="10" t="str">
        <f ca="1">IFERROR(__xludf.DUMMYFUNCTION("""COMPUTED_VALUE"""),"aligned_timestamps")</f>
        <v>aligned_timestamps</v>
      </c>
      <c r="D595" s="10">
        <f ca="1">IFERROR(__xludf.DUMMYFUNCTION("""COMPUTED_VALUE"""),0.6)</f>
        <v>0.6</v>
      </c>
      <c r="E595" s="17">
        <f ca="1">IFERROR(__xludf.DUMMYFUNCTION("""COMPUTED_VALUE"""),0.997831527063988)</f>
        <v>0.99783152706398803</v>
      </c>
      <c r="F595" s="17">
        <f ca="1">IFERROR(__xludf.DUMMYFUNCTION("""COMPUTED_VALUE"""),0.056166091337768)</f>
        <v>5.6166091337768002E-2</v>
      </c>
      <c r="G595" s="17">
        <f ca="1">IFERROR(__xludf.DUMMYFUNCTION("""COMPUTED_VALUE"""),0.549548521049644)</f>
        <v>0.54954852104964402</v>
      </c>
      <c r="H595" s="17">
        <f ca="1">IFERROR(__xludf.DUMMYFUNCTION("""COMPUTED_VALUE"""),0.422507521482323)</f>
        <v>0.42250752148232301</v>
      </c>
      <c r="I595" s="17">
        <f ca="1">IFERROR(__xludf.DUMMYFUNCTION("""COMPUTED_VALUE"""),0.218760848562183)</f>
        <v>0.218760848562183</v>
      </c>
      <c r="J595" s="17">
        <f ca="1">IFERROR(__xludf.DUMMYFUNCTION("""COMPUTED_VALUE"""),1.16087622009442)</f>
        <v>1.16087622009442</v>
      </c>
      <c r="K595" s="17" t="str">
        <f ca="1">IFERROR(__xludf.DUMMYFUNCTION("""COMPUTED_VALUE"""),"nan")</f>
        <v>nan</v>
      </c>
      <c r="L595" s="17">
        <f ca="1">IFERROR(__xludf.DUMMYFUNCTION("""COMPUTED_VALUE"""),0.0287074176667114)</f>
        <v>2.87074176667114E-2</v>
      </c>
      <c r="M595" s="17">
        <f ca="1">IFERROR(__xludf.DUMMYFUNCTION("""COMPUTED_VALUE"""),1.3487859553796)</f>
        <v>1.3487859553796</v>
      </c>
      <c r="N595" s="17">
        <f ca="1">IFERROR(__xludf.DUMMYFUNCTION("""COMPUTED_VALUE"""),0.0062450852063112)</f>
        <v>6.2450852063111999E-3</v>
      </c>
      <c r="O595" s="17">
        <f ca="1">IFERROR(__xludf.DUMMYFUNCTION("""COMPUTED_VALUE"""),0.55352731343299)</f>
        <v>0.55352731343299</v>
      </c>
      <c r="P595" s="17">
        <f ca="1">IFERROR(__xludf.DUMMYFUNCTION("""COMPUTED_VALUE"""),0.96226439907816)</f>
        <v>0.96226439907815997</v>
      </c>
      <c r="Q595" s="17">
        <f ca="1">IFERROR(__xludf.DUMMYFUNCTION("""COMPUTED_VALUE"""),0.00459383365639076)</f>
        <v>4.5938336563907597E-3</v>
      </c>
      <c r="R595" s="17">
        <f ca="1">IFERROR(__xludf.DUMMYFUNCTION("""COMPUTED_VALUE"""),0.886416158200656)</f>
        <v>0.886416158200656</v>
      </c>
      <c r="S595" s="17">
        <f ca="1">IFERROR(__xludf.DUMMYFUNCTION("""COMPUTED_VALUE"""),0.231689327597912)</f>
        <v>0.231689327597912</v>
      </c>
      <c r="T595" s="17">
        <f ca="1">IFERROR(__xludf.DUMMYFUNCTION("""COMPUTED_VALUE"""),0.381999143444739)</f>
        <v>0.38199914344473901</v>
      </c>
      <c r="U595" s="17">
        <f ca="1">IFERROR(__xludf.DUMMYFUNCTION("""COMPUTED_VALUE"""),0.30299212608603)</f>
        <v>0.30299212608602999</v>
      </c>
      <c r="V595" s="17">
        <f ca="1">IFERROR(__xludf.DUMMYFUNCTION("""COMPUTED_VALUE"""),0.93757948193016)</f>
        <v>0.93757948193016005</v>
      </c>
      <c r="W595" s="17">
        <f ca="1">IFERROR(__xludf.DUMMYFUNCTION("""COMPUTED_VALUE"""),0.711583404973907)</f>
        <v>0.71158340497390704</v>
      </c>
      <c r="X595" s="17">
        <f ca="1">IFERROR(__xludf.DUMMYFUNCTION("""COMPUTED_VALUE"""),0.122963615675606)</f>
        <v>0.122963615675606</v>
      </c>
      <c r="Y595" s="17">
        <f ca="1">IFERROR(__xludf.DUMMYFUNCTION("""COMPUTED_VALUE"""),0.0226043722359232)</f>
        <v>2.2604372235923199E-2</v>
      </c>
      <c r="Z595" s="17">
        <f ca="1">IFERROR(__xludf.DUMMYFUNCTION("""COMPUTED_VALUE"""),0.916596024558973)</f>
        <v>0.91659602455897304</v>
      </c>
      <c r="AA595" s="17">
        <f ca="1">IFERROR(__xludf.DUMMYFUNCTION("""COMPUTED_VALUE"""),0.00716229863431818)</f>
        <v>7.1622986343181797E-3</v>
      </c>
      <c r="AB595" s="17">
        <f ca="1">IFERROR(__xludf.DUMMYFUNCTION("""COMPUTED_VALUE"""),0.236388927121002)</f>
        <v>0.23638892712100201</v>
      </c>
      <c r="AC595" s="17">
        <f ca="1">IFERROR(__xludf.DUMMYFUNCTION("""COMPUTED_VALUE"""),0.902578725213452)</f>
        <v>0.90257872521345195</v>
      </c>
      <c r="AD595" s="17">
        <f ca="1">IFERROR(__xludf.DUMMYFUNCTION("""COMPUTED_VALUE"""),0.269610859929573)</f>
        <v>0.26961085992957301</v>
      </c>
      <c r="AE595" s="17" t="str">
        <f ca="1">IFERROR(__xludf.DUMMYFUNCTION("""COMPUTED_VALUE"""),"nan")</f>
        <v>nan</v>
      </c>
      <c r="AF595" s="17">
        <f ca="1">IFERROR(__xludf.DUMMYFUNCTION("""COMPUTED_VALUE"""),0.550996332374185)</f>
        <v>0.55099633237418499</v>
      </c>
      <c r="AG595" s="17">
        <f ca="1">IFERROR(__xludf.DUMMYFUNCTION("""COMPUTED_VALUE"""),1.00221015910245)</f>
        <v>1.0022101591024499</v>
      </c>
      <c r="AH595" s="17">
        <f ca="1">IFERROR(__xludf.DUMMYFUNCTION("""COMPUTED_VALUE"""),1.07343824493571)</f>
        <v>1.0734382449357101</v>
      </c>
      <c r="AI595" s="17">
        <f ca="1">IFERROR(__xludf.DUMMYFUNCTION("""COMPUTED_VALUE"""),1.06878360164995)</f>
        <v>1.0687836016499499</v>
      </c>
      <c r="AJ595" s="17">
        <f ca="1">IFERROR(__xludf.DUMMYFUNCTION("""COMPUTED_VALUE"""),1.15916389507279)</f>
        <v>1.1591638950727901</v>
      </c>
    </row>
    <row r="596" spans="2:36" ht="15.75" customHeight="1" x14ac:dyDescent="0.45">
      <c r="B596" s="10" t="str">
        <f ca="1">IFERROR(__xludf.DUMMYFUNCTION("""COMPUTED_VALUE"""),"OliveOil")</f>
        <v>OliveOil</v>
      </c>
      <c r="C596" s="10" t="str">
        <f ca="1">IFERROR(__xludf.DUMMYFUNCTION("""COMPUTED_VALUE"""),"aligned_timestamps")</f>
        <v>aligned_timestamps</v>
      </c>
      <c r="D596" s="10">
        <f ca="1">IFERROR(__xludf.DUMMYFUNCTION("""COMPUTED_VALUE"""),0.8)</f>
        <v>0.8</v>
      </c>
      <c r="E596" s="17">
        <f ca="1">IFERROR(__xludf.DUMMYFUNCTION("""COMPUTED_VALUE"""),0.942713049227494)</f>
        <v>0.94271304922749399</v>
      </c>
      <c r="F596" s="17">
        <f ca="1">IFERROR(__xludf.DUMMYFUNCTION("""COMPUTED_VALUE"""),0.0779086347844524)</f>
        <v>7.7908634784452396E-2</v>
      </c>
      <c r="G596" s="17">
        <f ca="1">IFERROR(__xludf.DUMMYFUNCTION("""COMPUTED_VALUE"""),0.656415342234825)</f>
        <v>0.65641534223482501</v>
      </c>
      <c r="H596" s="17">
        <f ca="1">IFERROR(__xludf.DUMMYFUNCTION("""COMPUTED_VALUE"""),0.487080499938079)</f>
        <v>0.487080499938079</v>
      </c>
      <c r="I596" s="17">
        <f ca="1">IFERROR(__xludf.DUMMYFUNCTION("""COMPUTED_VALUE"""),0.40178646132265)</f>
        <v>0.40178646132265</v>
      </c>
      <c r="J596" s="17">
        <f ca="1">IFERROR(__xludf.DUMMYFUNCTION("""COMPUTED_VALUE"""),1.03883115294285)</f>
        <v>1.03883115294285</v>
      </c>
      <c r="K596" s="17" t="str">
        <f ca="1">IFERROR(__xludf.DUMMYFUNCTION("""COMPUTED_VALUE"""),"nan")</f>
        <v>nan</v>
      </c>
      <c r="L596" s="17">
        <f ca="1">IFERROR(__xludf.DUMMYFUNCTION("""COMPUTED_VALUE"""),0.0484365510295459)</f>
        <v>4.8436551029545902E-2</v>
      </c>
      <c r="M596" s="17">
        <f ca="1">IFERROR(__xludf.DUMMYFUNCTION("""COMPUTED_VALUE"""),1.36215861234153)</f>
        <v>1.3621586123415299</v>
      </c>
      <c r="N596" s="17">
        <f ca="1">IFERROR(__xludf.DUMMYFUNCTION("""COMPUTED_VALUE"""),0.0580852473624122)</f>
        <v>5.8085247362412197E-2</v>
      </c>
      <c r="O596" s="17">
        <f ca="1">IFERROR(__xludf.DUMMYFUNCTION("""COMPUTED_VALUE"""),0.595306610722787)</f>
        <v>0.59530661072278701</v>
      </c>
      <c r="P596" s="17">
        <f ca="1">IFERROR(__xludf.DUMMYFUNCTION("""COMPUTED_VALUE"""),1.06247895159828)</f>
        <v>1.06247895159828</v>
      </c>
      <c r="Q596" s="17">
        <f ca="1">IFERROR(__xludf.DUMMYFUNCTION("""COMPUTED_VALUE"""),0.00601655656741207)</f>
        <v>6.0165565674120697E-3</v>
      </c>
      <c r="R596" s="17">
        <f ca="1">IFERROR(__xludf.DUMMYFUNCTION("""COMPUTED_VALUE"""),0.528673483008019)</f>
        <v>0.52867348300801897</v>
      </c>
      <c r="S596" s="17">
        <f ca="1">IFERROR(__xludf.DUMMYFUNCTION("""COMPUTED_VALUE"""),0.239018355155624)</f>
        <v>0.239018355155624</v>
      </c>
      <c r="T596" s="17">
        <f ca="1">IFERROR(__xludf.DUMMYFUNCTION("""COMPUTED_VALUE"""),0.164427552789091)</f>
        <v>0.16442755278909099</v>
      </c>
      <c r="U596" s="17">
        <f ca="1">IFERROR(__xludf.DUMMYFUNCTION("""COMPUTED_VALUE"""),0.27241113012439)</f>
        <v>0.27241113012439</v>
      </c>
      <c r="V596" s="17">
        <f ca="1">IFERROR(__xludf.DUMMYFUNCTION("""COMPUTED_VALUE"""),0.88074456960926)</f>
        <v>0.88074456960925995</v>
      </c>
      <c r="W596" s="17">
        <f ca="1">IFERROR(__xludf.DUMMYFUNCTION("""COMPUTED_VALUE"""),0.545289394806181)</f>
        <v>0.54528939480618099</v>
      </c>
      <c r="X596" s="17">
        <f ca="1">IFERROR(__xludf.DUMMYFUNCTION("""COMPUTED_VALUE"""),0.247091446493115)</f>
        <v>0.24709144649311501</v>
      </c>
      <c r="Y596" s="17">
        <f ca="1">IFERROR(__xludf.DUMMYFUNCTION("""COMPUTED_VALUE"""),0.0202066496598804)</f>
        <v>2.02066496598804E-2</v>
      </c>
      <c r="Z596" s="17">
        <f ca="1">IFERROR(__xludf.DUMMYFUNCTION("""COMPUTED_VALUE"""),0.911959285689742)</f>
        <v>0.91195928568974205</v>
      </c>
      <c r="AA596" s="17">
        <f ca="1">IFERROR(__xludf.DUMMYFUNCTION("""COMPUTED_VALUE"""),0.00804672843930541)</f>
        <v>8.0467284393054093E-3</v>
      </c>
      <c r="AB596" s="17">
        <f ca="1">IFERROR(__xludf.DUMMYFUNCTION("""COMPUTED_VALUE"""),0.178082373688664)</f>
        <v>0.178082373688664</v>
      </c>
      <c r="AC596" s="17">
        <f ca="1">IFERROR(__xludf.DUMMYFUNCTION("""COMPUTED_VALUE"""),0.916852777317422)</f>
        <v>0.91685277731742199</v>
      </c>
      <c r="AD596" s="17">
        <f ca="1">IFERROR(__xludf.DUMMYFUNCTION("""COMPUTED_VALUE"""),0.167152694685665)</f>
        <v>0.16715269468566499</v>
      </c>
      <c r="AE596" s="17" t="str">
        <f ca="1">IFERROR(__xludf.DUMMYFUNCTION("""COMPUTED_VALUE"""),"nan")</f>
        <v>nan</v>
      </c>
      <c r="AF596" s="17">
        <f ca="1">IFERROR(__xludf.DUMMYFUNCTION("""COMPUTED_VALUE"""),0.356087545562486)</f>
        <v>0.35608754556248601</v>
      </c>
      <c r="AG596" s="17">
        <f ca="1">IFERROR(__xludf.DUMMYFUNCTION("""COMPUTED_VALUE"""),1.26443483523671)</f>
        <v>1.2644348352367101</v>
      </c>
      <c r="AH596" s="17">
        <f ca="1">IFERROR(__xludf.DUMMYFUNCTION("""COMPUTED_VALUE"""),1.16526203970088)</f>
        <v>1.1652620397008799</v>
      </c>
      <c r="AI596" s="17">
        <f ca="1">IFERROR(__xludf.DUMMYFUNCTION("""COMPUTED_VALUE"""),1.12163077501783)</f>
        <v>1.12163077501783</v>
      </c>
      <c r="AJ596" s="17">
        <f ca="1">IFERROR(__xludf.DUMMYFUNCTION("""COMPUTED_VALUE"""),1.46911000205579)</f>
        <v>1.4691100020557899</v>
      </c>
    </row>
    <row r="597" spans="2:36" ht="15.75" customHeight="1" x14ac:dyDescent="0.45">
      <c r="B597" s="10" t="str">
        <f ca="1">IFERROR(__xludf.DUMMYFUNCTION("""COMPUTED_VALUE"""),"OliveOil")</f>
        <v>OliveOil</v>
      </c>
      <c r="C597" s="10" t="str">
        <f ca="1">IFERROR(__xludf.DUMMYFUNCTION("""COMPUTED_VALUE"""),"mcar")</f>
        <v>mcar</v>
      </c>
      <c r="D597" s="10">
        <f ca="1">IFERROR(__xludf.DUMMYFUNCTION("""COMPUTED_VALUE"""),0.1)</f>
        <v>0.1</v>
      </c>
      <c r="E597" s="17">
        <f ca="1">IFERROR(__xludf.DUMMYFUNCTION("""COMPUTED_VALUE"""),1.04135196132078)</f>
        <v>1.04135196132078</v>
      </c>
      <c r="F597" s="17">
        <f ca="1">IFERROR(__xludf.DUMMYFUNCTION("""COMPUTED_VALUE"""),0.0325465960368235)</f>
        <v>3.25465960368235E-2</v>
      </c>
      <c r="G597" s="17">
        <f ca="1">IFERROR(__xludf.DUMMYFUNCTION("""COMPUTED_VALUE"""),0.251920242018665)</f>
        <v>0.25192024201866497</v>
      </c>
      <c r="H597" s="17">
        <f ca="1">IFERROR(__xludf.DUMMYFUNCTION("""COMPUTED_VALUE"""),0.127272871811912)</f>
        <v>0.12727287181191199</v>
      </c>
      <c r="I597" s="17">
        <f ca="1">IFERROR(__xludf.DUMMYFUNCTION("""COMPUTED_VALUE"""),0.00655104070454352)</f>
        <v>6.55104070454352E-3</v>
      </c>
      <c r="J597" s="17">
        <f ca="1">IFERROR(__xludf.DUMMYFUNCTION("""COMPUTED_VALUE"""),0.487227201048541)</f>
        <v>0.487227201048541</v>
      </c>
      <c r="K597" s="17" t="str">
        <f ca="1">IFERROR(__xludf.DUMMYFUNCTION("""COMPUTED_VALUE"""),"nan")</f>
        <v>nan</v>
      </c>
      <c r="L597" s="17">
        <f ca="1">IFERROR(__xludf.DUMMYFUNCTION("""COMPUTED_VALUE"""),0.0216851816312166)</f>
        <v>2.1685181631216601E-2</v>
      </c>
      <c r="M597" s="17">
        <f ca="1">IFERROR(__xludf.DUMMYFUNCTION("""COMPUTED_VALUE"""),0.00411693287407221)</f>
        <v>4.1169328740722098E-3</v>
      </c>
      <c r="N597" s="17">
        <f ca="1">IFERROR(__xludf.DUMMYFUNCTION("""COMPUTED_VALUE"""),0.0222466941944088)</f>
        <v>2.2246694194408799E-2</v>
      </c>
      <c r="O597" s="17">
        <f ca="1">IFERROR(__xludf.DUMMYFUNCTION("""COMPUTED_VALUE"""),0.00424296088425637)</f>
        <v>4.24296088425637E-3</v>
      </c>
      <c r="P597" s="17">
        <f ca="1">IFERROR(__xludf.DUMMYFUNCTION("""COMPUTED_VALUE"""),0.564950080917585)</f>
        <v>0.56495008091758503</v>
      </c>
      <c r="Q597" s="17">
        <f ca="1">IFERROR(__xludf.DUMMYFUNCTION("""COMPUTED_VALUE"""),0.0170947413598441)</f>
        <v>1.7094741359844099E-2</v>
      </c>
      <c r="R597" s="17">
        <f ca="1">IFERROR(__xludf.DUMMYFUNCTION("""COMPUTED_VALUE"""),0.00371052826373299)</f>
        <v>3.7105282637329901E-3</v>
      </c>
      <c r="S597" s="17">
        <f ca="1">IFERROR(__xludf.DUMMYFUNCTION("""COMPUTED_VALUE"""),0.180203134887942)</f>
        <v>0.18020313488794201</v>
      </c>
      <c r="T597" s="17">
        <f ca="1">IFERROR(__xludf.DUMMYFUNCTION("""COMPUTED_VALUE"""),0.355781884559095)</f>
        <v>0.35578188455909499</v>
      </c>
      <c r="U597" s="17">
        <f ca="1">IFERROR(__xludf.DUMMYFUNCTION("""COMPUTED_VALUE"""),0.10346923789819)</f>
        <v>0.10346923789819</v>
      </c>
      <c r="V597" s="17">
        <f ca="1">IFERROR(__xludf.DUMMYFUNCTION("""COMPUTED_VALUE"""),0.0637110075373662)</f>
        <v>6.3711007537366193E-2</v>
      </c>
      <c r="W597" s="17">
        <f ca="1">IFERROR(__xludf.DUMMYFUNCTION("""COMPUTED_VALUE"""),0.485341149059371)</f>
        <v>0.48534114905937098</v>
      </c>
      <c r="X597" s="17">
        <f ca="1">IFERROR(__xludf.DUMMYFUNCTION("""COMPUTED_VALUE"""),0.203438946157016)</f>
        <v>0.20343894615701599</v>
      </c>
      <c r="Y597" s="17">
        <f ca="1">IFERROR(__xludf.DUMMYFUNCTION("""COMPUTED_VALUE"""),0.0214274574457912)</f>
        <v>2.14274574457912E-2</v>
      </c>
      <c r="Z597" s="17">
        <f ca="1">IFERROR(__xludf.DUMMYFUNCTION("""COMPUTED_VALUE"""),0.144569258791074)</f>
        <v>0.14456925879107399</v>
      </c>
      <c r="AA597" s="17">
        <f ca="1">IFERROR(__xludf.DUMMYFUNCTION("""COMPUTED_VALUE"""),0.00371213325390904)</f>
        <v>3.7121332539090399E-3</v>
      </c>
      <c r="AB597" s="17">
        <f ca="1">IFERROR(__xludf.DUMMYFUNCTION("""COMPUTED_VALUE"""),0.150960171058613)</f>
        <v>0.15096017105861301</v>
      </c>
      <c r="AC597" s="17">
        <f ca="1">IFERROR(__xludf.DUMMYFUNCTION("""COMPUTED_VALUE"""),0.376039245343083)</f>
        <v>0.37603924534308297</v>
      </c>
      <c r="AD597" s="17">
        <f ca="1">IFERROR(__xludf.DUMMYFUNCTION("""COMPUTED_VALUE"""),0.145178344562404)</f>
        <v>0.145178344562404</v>
      </c>
      <c r="AE597" s="17">
        <f ca="1">IFERROR(__xludf.DUMMYFUNCTION("""COMPUTED_VALUE"""),0.991154894842283)</f>
        <v>0.99115489484228303</v>
      </c>
      <c r="AF597" s="17">
        <f ca="1">IFERROR(__xludf.DUMMYFUNCTION("""COMPUTED_VALUE"""),0.0526772874683716)</f>
        <v>5.2677287468371602E-2</v>
      </c>
      <c r="AG597" s="17">
        <f ca="1">IFERROR(__xludf.DUMMYFUNCTION("""COMPUTED_VALUE"""),0.553953273234567)</f>
        <v>0.553953273234567</v>
      </c>
      <c r="AH597" s="17">
        <f ca="1">IFERROR(__xludf.DUMMYFUNCTION("""COMPUTED_VALUE"""),0.508877467937189)</f>
        <v>0.50887746793718902</v>
      </c>
      <c r="AI597" s="17">
        <f ca="1">IFERROR(__xludf.DUMMYFUNCTION("""COMPUTED_VALUE"""),0.703922521246398)</f>
        <v>0.70392252124639798</v>
      </c>
      <c r="AJ597" s="17">
        <f ca="1">IFERROR(__xludf.DUMMYFUNCTION("""COMPUTED_VALUE"""),0.411169135069496)</f>
        <v>0.41116913506949598</v>
      </c>
    </row>
    <row r="598" spans="2:36" ht="15.75" customHeight="1" x14ac:dyDescent="0.45">
      <c r="B598" s="10" t="str">
        <f ca="1">IFERROR(__xludf.DUMMYFUNCTION("""COMPUTED_VALUE"""),"OliveOil")</f>
        <v>OliveOil</v>
      </c>
      <c r="C598" s="10" t="str">
        <f ca="1">IFERROR(__xludf.DUMMYFUNCTION("""COMPUTED_VALUE"""),"mcar")</f>
        <v>mcar</v>
      </c>
      <c r="D598" s="10">
        <f ca="1">IFERROR(__xludf.DUMMYFUNCTION("""COMPUTED_VALUE"""),0.2)</f>
        <v>0.2</v>
      </c>
      <c r="E598" s="17">
        <f ca="1">IFERROR(__xludf.DUMMYFUNCTION("""COMPUTED_VALUE"""),0.972144414694342)</f>
        <v>0.97214441469434199</v>
      </c>
      <c r="F598" s="17">
        <f ca="1">IFERROR(__xludf.DUMMYFUNCTION("""COMPUTED_VALUE"""),0.0309911256938867)</f>
        <v>3.0991125693886699E-2</v>
      </c>
      <c r="G598" s="17">
        <f ca="1">IFERROR(__xludf.DUMMYFUNCTION("""COMPUTED_VALUE"""),0.261980886497843)</f>
        <v>0.26198088649784301</v>
      </c>
      <c r="H598" s="17">
        <f ca="1">IFERROR(__xludf.DUMMYFUNCTION("""COMPUTED_VALUE"""),0.084976806613099)</f>
        <v>8.4976806613099004E-2</v>
      </c>
      <c r="I598" s="17">
        <f ca="1">IFERROR(__xludf.DUMMYFUNCTION("""COMPUTED_VALUE"""),0.00731963588863104)</f>
        <v>7.31963588863104E-3</v>
      </c>
      <c r="J598" s="17">
        <f ca="1">IFERROR(__xludf.DUMMYFUNCTION("""COMPUTED_VALUE"""),0.492334014358728)</f>
        <v>0.49233401435872798</v>
      </c>
      <c r="K598" s="17" t="str">
        <f ca="1">IFERROR(__xludf.DUMMYFUNCTION("""COMPUTED_VALUE"""),"nan")</f>
        <v>nan</v>
      </c>
      <c r="L598" s="17">
        <f ca="1">IFERROR(__xludf.DUMMYFUNCTION("""COMPUTED_VALUE"""),0.0193575053087103)</f>
        <v>1.9357505308710301E-2</v>
      </c>
      <c r="M598" s="17">
        <f ca="1">IFERROR(__xludf.DUMMYFUNCTION("""COMPUTED_VALUE"""),0.00770098722244423)</f>
        <v>7.70098722244423E-3</v>
      </c>
      <c r="N598" s="17">
        <f ca="1">IFERROR(__xludf.DUMMYFUNCTION("""COMPUTED_VALUE"""),0.020251335467695)</f>
        <v>2.0251335467695E-2</v>
      </c>
      <c r="O598" s="17">
        <f ca="1">IFERROR(__xludf.DUMMYFUNCTION("""COMPUTED_VALUE"""),0.00456128555722657)</f>
        <v>4.5612855572265704E-3</v>
      </c>
      <c r="P598" s="17">
        <f ca="1">IFERROR(__xludf.DUMMYFUNCTION("""COMPUTED_VALUE"""),0.524859820520848)</f>
        <v>0.52485982052084801</v>
      </c>
      <c r="Q598" s="17">
        <f ca="1">IFERROR(__xludf.DUMMYFUNCTION("""COMPUTED_VALUE"""),0.0963433675938678)</f>
        <v>9.6343367593867801E-2</v>
      </c>
      <c r="R598" s="17">
        <f ca="1">IFERROR(__xludf.DUMMYFUNCTION("""COMPUTED_VALUE"""),0.00501238159236401)</f>
        <v>5.0123815923640101E-3</v>
      </c>
      <c r="S598" s="17">
        <f ca="1">IFERROR(__xludf.DUMMYFUNCTION("""COMPUTED_VALUE"""),0.159480871741479)</f>
        <v>0.15948087174147901</v>
      </c>
      <c r="T598" s="17">
        <f ca="1">IFERROR(__xludf.DUMMYFUNCTION("""COMPUTED_VALUE"""),0.190441583572581)</f>
        <v>0.19044158357258101</v>
      </c>
      <c r="U598" s="17">
        <f ca="1">IFERROR(__xludf.DUMMYFUNCTION("""COMPUTED_VALUE"""),0.10531225569654)</f>
        <v>0.10531225569654</v>
      </c>
      <c r="V598" s="17">
        <f ca="1">IFERROR(__xludf.DUMMYFUNCTION("""COMPUTED_VALUE"""),0.0711851309249869)</f>
        <v>7.1185130924986906E-2</v>
      </c>
      <c r="W598" s="17">
        <f ca="1">IFERROR(__xludf.DUMMYFUNCTION("""COMPUTED_VALUE"""),0.431087827967571)</f>
        <v>0.431087827967571</v>
      </c>
      <c r="X598" s="17">
        <f ca="1">IFERROR(__xludf.DUMMYFUNCTION("""COMPUTED_VALUE"""),0.162544270424014)</f>
        <v>0.16254427042401401</v>
      </c>
      <c r="Y598" s="17">
        <f ca="1">IFERROR(__xludf.DUMMYFUNCTION("""COMPUTED_VALUE"""),0.0181884906324394)</f>
        <v>1.8188490632439401E-2</v>
      </c>
      <c r="Z598" s="17">
        <f ca="1">IFERROR(__xludf.DUMMYFUNCTION("""COMPUTED_VALUE"""),0.144548759478611)</f>
        <v>0.14454875947861101</v>
      </c>
      <c r="AA598" s="17">
        <f ca="1">IFERROR(__xludf.DUMMYFUNCTION("""COMPUTED_VALUE"""),0.0047507920529042)</f>
        <v>4.7507920529042003E-3</v>
      </c>
      <c r="AB598" s="17">
        <f ca="1">IFERROR(__xludf.DUMMYFUNCTION("""COMPUTED_VALUE"""),0.223535950345852)</f>
        <v>0.223535950345852</v>
      </c>
      <c r="AC598" s="17">
        <f ca="1">IFERROR(__xludf.DUMMYFUNCTION("""COMPUTED_VALUE"""),0.361276592929546)</f>
        <v>0.361276592929546</v>
      </c>
      <c r="AD598" s="17">
        <f ca="1">IFERROR(__xludf.DUMMYFUNCTION("""COMPUTED_VALUE"""),0.121459130831154)</f>
        <v>0.12145913083115401</v>
      </c>
      <c r="AE598" s="17">
        <f ca="1">IFERROR(__xludf.DUMMYFUNCTION("""COMPUTED_VALUE"""),0.905330603931061)</f>
        <v>0.90533060393106102</v>
      </c>
      <c r="AF598" s="17">
        <f ca="1">IFERROR(__xludf.DUMMYFUNCTION("""COMPUTED_VALUE"""),0.0745360455475722)</f>
        <v>7.4536045547572205E-2</v>
      </c>
      <c r="AG598" s="17">
        <f ca="1">IFERROR(__xludf.DUMMYFUNCTION("""COMPUTED_VALUE"""),0.462015026376158)</f>
        <v>0.46201502637615799</v>
      </c>
      <c r="AH598" s="17">
        <f ca="1">IFERROR(__xludf.DUMMYFUNCTION("""COMPUTED_VALUE"""),0.458650429881195)</f>
        <v>0.45865042988119498</v>
      </c>
      <c r="AI598" s="17">
        <f ca="1">IFERROR(__xludf.DUMMYFUNCTION("""COMPUTED_VALUE"""),0.756097537742977)</f>
        <v>0.75609753774297705</v>
      </c>
      <c r="AJ598" s="17">
        <f ca="1">IFERROR(__xludf.DUMMYFUNCTION("""COMPUTED_VALUE"""),0.331421449925229)</f>
        <v>0.33142144992522898</v>
      </c>
    </row>
    <row r="599" spans="2:36" ht="15.75" customHeight="1" x14ac:dyDescent="0.45">
      <c r="B599" s="10" t="str">
        <f ca="1">IFERROR(__xludf.DUMMYFUNCTION("""COMPUTED_VALUE"""),"OliveOil")</f>
        <v>OliveOil</v>
      </c>
      <c r="C599" s="10" t="str">
        <f ca="1">IFERROR(__xludf.DUMMYFUNCTION("""COMPUTED_VALUE"""),"mcar")</f>
        <v>mcar</v>
      </c>
      <c r="D599" s="10">
        <f ca="1">IFERROR(__xludf.DUMMYFUNCTION("""COMPUTED_VALUE"""),0.4)</f>
        <v>0.4</v>
      </c>
      <c r="E599" s="17">
        <f ca="1">IFERROR(__xludf.DUMMYFUNCTION("""COMPUTED_VALUE"""),0.921435326831701)</f>
        <v>0.92143532683170104</v>
      </c>
      <c r="F599" s="17">
        <f ca="1">IFERROR(__xludf.DUMMYFUNCTION("""COMPUTED_VALUE"""),0.0351828166922327)</f>
        <v>3.51828166922327E-2</v>
      </c>
      <c r="G599" s="17">
        <f ca="1">IFERROR(__xludf.DUMMYFUNCTION("""COMPUTED_VALUE"""),0.323616163742909)</f>
        <v>0.32361616374290902</v>
      </c>
      <c r="H599" s="17">
        <f ca="1">IFERROR(__xludf.DUMMYFUNCTION("""COMPUTED_VALUE"""),0.248832176287977)</f>
        <v>0.24883217628797699</v>
      </c>
      <c r="I599" s="17">
        <f ca="1">IFERROR(__xludf.DUMMYFUNCTION("""COMPUTED_VALUE"""),0.00873775495329894)</f>
        <v>8.7377549532989401E-3</v>
      </c>
      <c r="J599" s="17">
        <f ca="1">IFERROR(__xludf.DUMMYFUNCTION("""COMPUTED_VALUE"""),0.675058863877351)</f>
        <v>0.67505886387735103</v>
      </c>
      <c r="K599" s="17" t="str">
        <f ca="1">IFERROR(__xludf.DUMMYFUNCTION("""COMPUTED_VALUE"""),"nan")</f>
        <v>nan</v>
      </c>
      <c r="L599" s="17">
        <f ca="1">IFERROR(__xludf.DUMMYFUNCTION("""COMPUTED_VALUE"""),0.0217365986004441)</f>
        <v>2.17365986004441E-2</v>
      </c>
      <c r="M599" s="17">
        <f ca="1">IFERROR(__xludf.DUMMYFUNCTION("""COMPUTED_VALUE"""),0.38725635471285)</f>
        <v>0.38725635471285003</v>
      </c>
      <c r="N599" s="17">
        <f ca="1">IFERROR(__xludf.DUMMYFUNCTION("""COMPUTED_VALUE"""),0.0156780292389693)</f>
        <v>1.5678029238969299E-2</v>
      </c>
      <c r="O599" s="17">
        <f ca="1">IFERROR(__xludf.DUMMYFUNCTION("""COMPUTED_VALUE"""),0.00517843160792741)</f>
        <v>5.1784316079274096E-3</v>
      </c>
      <c r="P599" s="17">
        <f ca="1">IFERROR(__xludf.DUMMYFUNCTION("""COMPUTED_VALUE"""),0.498458804901494)</f>
        <v>0.49845880490149402</v>
      </c>
      <c r="Q599" s="17">
        <f ca="1">IFERROR(__xludf.DUMMYFUNCTION("""COMPUTED_VALUE"""),0.183961719217655)</f>
        <v>0.183961719217655</v>
      </c>
      <c r="R599" s="17">
        <f ca="1">IFERROR(__xludf.DUMMYFUNCTION("""COMPUTED_VALUE"""),0.00488102235458832)</f>
        <v>4.8810223545883201E-3</v>
      </c>
      <c r="S599" s="17">
        <f ca="1">IFERROR(__xludf.DUMMYFUNCTION("""COMPUTED_VALUE"""),0.159438918167391)</f>
        <v>0.159438918167391</v>
      </c>
      <c r="T599" s="17">
        <f ca="1">IFERROR(__xludf.DUMMYFUNCTION("""COMPUTED_VALUE"""),0.238104354285349)</f>
        <v>0.23810435428534901</v>
      </c>
      <c r="U599" s="17">
        <f ca="1">IFERROR(__xludf.DUMMYFUNCTION("""COMPUTED_VALUE"""),0.138658847406936)</f>
        <v>0.13865884740693599</v>
      </c>
      <c r="V599" s="17">
        <f ca="1">IFERROR(__xludf.DUMMYFUNCTION("""COMPUTED_VALUE"""),0.0697785262857012)</f>
        <v>6.9778526285701206E-2</v>
      </c>
      <c r="W599" s="17">
        <f ca="1">IFERROR(__xludf.DUMMYFUNCTION("""COMPUTED_VALUE"""),0.40714926091175)</f>
        <v>0.40714926091175002</v>
      </c>
      <c r="X599" s="17">
        <f ca="1">IFERROR(__xludf.DUMMYFUNCTION("""COMPUTED_VALUE"""),0.124813349683461)</f>
        <v>0.124813349683461</v>
      </c>
      <c r="Y599" s="17">
        <f ca="1">IFERROR(__xludf.DUMMYFUNCTION("""COMPUTED_VALUE"""),0.0165180735740188)</f>
        <v>1.6518073574018799E-2</v>
      </c>
      <c r="Z599" s="17">
        <f ca="1">IFERROR(__xludf.DUMMYFUNCTION("""COMPUTED_VALUE"""),0.264812803320935)</f>
        <v>0.26481280332093499</v>
      </c>
      <c r="AA599" s="17">
        <f ca="1">IFERROR(__xludf.DUMMYFUNCTION("""COMPUTED_VALUE"""),0.00498462777049228)</f>
        <v>4.9846277704922804E-3</v>
      </c>
      <c r="AB599" s="17">
        <f ca="1">IFERROR(__xludf.DUMMYFUNCTION("""COMPUTED_VALUE"""),0.079525450693236)</f>
        <v>7.9525450693235994E-2</v>
      </c>
      <c r="AC599" s="17">
        <f ca="1">IFERROR(__xludf.DUMMYFUNCTION("""COMPUTED_VALUE"""),0.398077369527177)</f>
        <v>0.39807736952717698</v>
      </c>
      <c r="AD599" s="17">
        <f ca="1">IFERROR(__xludf.DUMMYFUNCTION("""COMPUTED_VALUE"""),0.128956139799529)</f>
        <v>0.128956139799529</v>
      </c>
      <c r="AE599" s="17">
        <f ca="1">IFERROR(__xludf.DUMMYFUNCTION("""COMPUTED_VALUE"""),0.85549220864395)</f>
        <v>0.85549220864395004</v>
      </c>
      <c r="AF599" s="17">
        <f ca="1">IFERROR(__xludf.DUMMYFUNCTION("""COMPUTED_VALUE"""),0.108842959402532)</f>
        <v>0.108842959402532</v>
      </c>
      <c r="AG599" s="17">
        <f ca="1">IFERROR(__xludf.DUMMYFUNCTION("""COMPUTED_VALUE"""),0.452878919553398)</f>
        <v>0.45287891955339798</v>
      </c>
      <c r="AH599" s="17">
        <f ca="1">IFERROR(__xludf.DUMMYFUNCTION("""COMPUTED_VALUE"""),0.703592460699151)</f>
        <v>0.70359246069915105</v>
      </c>
      <c r="AI599" s="17">
        <f ca="1">IFERROR(__xludf.DUMMYFUNCTION("""COMPUTED_VALUE"""),0.826854572632621)</f>
        <v>0.82685457263262097</v>
      </c>
      <c r="AJ599" s="17">
        <f ca="1">IFERROR(__xludf.DUMMYFUNCTION("""COMPUTED_VALUE"""),0.336820211861977)</f>
        <v>0.33682021186197703</v>
      </c>
    </row>
    <row r="600" spans="2:36" ht="15.75" customHeight="1" x14ac:dyDescent="0.45">
      <c r="B600" s="10" t="str">
        <f ca="1">IFERROR(__xludf.DUMMYFUNCTION("""COMPUTED_VALUE"""),"OliveOil")</f>
        <v>OliveOil</v>
      </c>
      <c r="C600" s="10" t="str">
        <f ca="1">IFERROR(__xludf.DUMMYFUNCTION("""COMPUTED_VALUE"""),"mcar")</f>
        <v>mcar</v>
      </c>
      <c r="D600" s="10">
        <f ca="1">IFERROR(__xludf.DUMMYFUNCTION("""COMPUTED_VALUE"""),0.6)</f>
        <v>0.6</v>
      </c>
      <c r="E600" s="17">
        <f ca="1">IFERROR(__xludf.DUMMYFUNCTION("""COMPUTED_VALUE"""),0.963780486348842)</f>
        <v>0.96378048634884195</v>
      </c>
      <c r="F600" s="17">
        <f ca="1">IFERROR(__xludf.DUMMYFUNCTION("""COMPUTED_VALUE"""),0.138185464748777)</f>
        <v>0.13818546474877699</v>
      </c>
      <c r="G600" s="17">
        <f ca="1">IFERROR(__xludf.DUMMYFUNCTION("""COMPUTED_VALUE"""),0.524435816655912)</f>
        <v>0.52443581665591199</v>
      </c>
      <c r="H600" s="17">
        <f ca="1">IFERROR(__xludf.DUMMYFUNCTION("""COMPUTED_VALUE"""),1.4720903335409)</f>
        <v>1.4720903335408999</v>
      </c>
      <c r="I600" s="17">
        <f ca="1">IFERROR(__xludf.DUMMYFUNCTION("""COMPUTED_VALUE"""),0.252542351309075)</f>
        <v>0.25254235130907499</v>
      </c>
      <c r="J600" s="17">
        <f ca="1">IFERROR(__xludf.DUMMYFUNCTION("""COMPUTED_VALUE"""),0.788860249800114)</f>
        <v>0.78886024980011404</v>
      </c>
      <c r="K600" s="17" t="str">
        <f ca="1">IFERROR(__xludf.DUMMYFUNCTION("""COMPUTED_VALUE"""),"nan")</f>
        <v>nan</v>
      </c>
      <c r="L600" s="17">
        <f ca="1">IFERROR(__xludf.DUMMYFUNCTION("""COMPUTED_VALUE"""),0.0465260298286336)</f>
        <v>4.6526029828633603E-2</v>
      </c>
      <c r="M600" s="17">
        <f ca="1">IFERROR(__xludf.DUMMYFUNCTION("""COMPUTED_VALUE"""),0.480064903178186)</f>
        <v>0.48006490317818601</v>
      </c>
      <c r="N600" s="17">
        <f ca="1">IFERROR(__xludf.DUMMYFUNCTION("""COMPUTED_VALUE"""),0.0134611331205968)</f>
        <v>1.34611331205968E-2</v>
      </c>
      <c r="O600" s="17">
        <f ca="1">IFERROR(__xludf.DUMMYFUNCTION("""COMPUTED_VALUE"""),0.322717868651289)</f>
        <v>0.32271786865128899</v>
      </c>
      <c r="P600" s="17">
        <f ca="1">IFERROR(__xludf.DUMMYFUNCTION("""COMPUTED_VALUE"""),0.564549536855766)</f>
        <v>0.56454953685576603</v>
      </c>
      <c r="Q600" s="17">
        <f ca="1">IFERROR(__xludf.DUMMYFUNCTION("""COMPUTED_VALUE"""),0.325700545196291)</f>
        <v>0.32570054519629099</v>
      </c>
      <c r="R600" s="17">
        <f ca="1">IFERROR(__xludf.DUMMYFUNCTION("""COMPUTED_VALUE"""),0.00703989327577922)</f>
        <v>7.03989327577922E-3</v>
      </c>
      <c r="S600" s="17">
        <f ca="1">IFERROR(__xludf.DUMMYFUNCTION("""COMPUTED_VALUE"""),0.26125968976239)</f>
        <v>0.26125968976239</v>
      </c>
      <c r="T600" s="17">
        <f ca="1">IFERROR(__xludf.DUMMYFUNCTION("""COMPUTED_VALUE"""),0.230909637355211)</f>
        <v>0.230909637355211</v>
      </c>
      <c r="U600" s="17">
        <f ca="1">IFERROR(__xludf.DUMMYFUNCTION("""COMPUTED_VALUE"""),0.319566220298834)</f>
        <v>0.31956622029883403</v>
      </c>
      <c r="V600" s="17">
        <f ca="1">IFERROR(__xludf.DUMMYFUNCTION("""COMPUTED_VALUE"""),0.131139056663234)</f>
        <v>0.131139056663234</v>
      </c>
      <c r="W600" s="17">
        <f ca="1">IFERROR(__xludf.DUMMYFUNCTION("""COMPUTED_VALUE"""),0.313524439665793)</f>
        <v>0.31352443966579302</v>
      </c>
      <c r="X600" s="17">
        <f ca="1">IFERROR(__xludf.DUMMYFUNCTION("""COMPUTED_VALUE"""),0.138094102486821)</f>
        <v>0.138094102486821</v>
      </c>
      <c r="Y600" s="17">
        <f ca="1">IFERROR(__xludf.DUMMYFUNCTION("""COMPUTED_VALUE"""),0.0172164239475942)</f>
        <v>1.7216423947594199E-2</v>
      </c>
      <c r="Z600" s="17">
        <f ca="1">IFERROR(__xludf.DUMMYFUNCTION("""COMPUTED_VALUE"""),0.441338719727445)</f>
        <v>0.44133871972744498</v>
      </c>
      <c r="AA600" s="17">
        <f ca="1">IFERROR(__xludf.DUMMYFUNCTION("""COMPUTED_VALUE"""),0.00598048428214109)</f>
        <v>5.9804842821410903E-3</v>
      </c>
      <c r="AB600" s="17">
        <f ca="1">IFERROR(__xludf.DUMMYFUNCTION("""COMPUTED_VALUE"""),0.166016161449382)</f>
        <v>0.166016161449382</v>
      </c>
      <c r="AC600" s="17">
        <f ca="1">IFERROR(__xludf.DUMMYFUNCTION("""COMPUTED_VALUE"""),0.48201174131871)</f>
        <v>0.48201174131871</v>
      </c>
      <c r="AD600" s="17">
        <f ca="1">IFERROR(__xludf.DUMMYFUNCTION("""COMPUTED_VALUE"""),0.138416014634061)</f>
        <v>0.138416014634061</v>
      </c>
      <c r="AE600" s="17">
        <f ca="1">IFERROR(__xludf.DUMMYFUNCTION("""COMPUTED_VALUE"""),1.04512042446892)</f>
        <v>1.0451204244689201</v>
      </c>
      <c r="AF600" s="17">
        <f ca="1">IFERROR(__xludf.DUMMYFUNCTION("""COMPUTED_VALUE"""),0.262583524539568)</f>
        <v>0.26258352453956801</v>
      </c>
      <c r="AG600" s="17">
        <f ca="1">IFERROR(__xludf.DUMMYFUNCTION("""COMPUTED_VALUE"""),1.01001221226387)</f>
        <v>1.0100122122638699</v>
      </c>
      <c r="AH600" s="17">
        <f ca="1">IFERROR(__xludf.DUMMYFUNCTION("""COMPUTED_VALUE"""),0.784040438425264)</f>
        <v>0.78404043842526405</v>
      </c>
      <c r="AI600" s="17">
        <f ca="1">IFERROR(__xludf.DUMMYFUNCTION("""COMPUTED_VALUE"""),0.977337830764919)</f>
        <v>0.97733783076491898</v>
      </c>
      <c r="AJ600" s="17">
        <f ca="1">IFERROR(__xludf.DUMMYFUNCTION("""COMPUTED_VALUE"""),0.477495941530716)</f>
        <v>0.47749594153071601</v>
      </c>
    </row>
    <row r="601" spans="2:36" ht="15.75" customHeight="1" x14ac:dyDescent="0.45">
      <c r="B601" s="10" t="str">
        <f ca="1">IFERROR(__xludf.DUMMYFUNCTION("""COMPUTED_VALUE"""),"OliveOil")</f>
        <v>OliveOil</v>
      </c>
      <c r="C601" s="10" t="str">
        <f ca="1">IFERROR(__xludf.DUMMYFUNCTION("""COMPUTED_VALUE"""),"mcar")</f>
        <v>mcar</v>
      </c>
      <c r="D601" s="10">
        <f ca="1">IFERROR(__xludf.DUMMYFUNCTION("""COMPUTED_VALUE"""),0.8)</f>
        <v>0.8</v>
      </c>
      <c r="E601" s="17">
        <f ca="1">IFERROR(__xludf.DUMMYFUNCTION("""COMPUTED_VALUE"""),1.01269773969403)</f>
        <v>1.01269773969403</v>
      </c>
      <c r="F601" s="17">
        <f ca="1">IFERROR(__xludf.DUMMYFUNCTION("""COMPUTED_VALUE"""),0.328102297353514)</f>
        <v>0.32810229735351398</v>
      </c>
      <c r="G601" s="17">
        <f ca="1">IFERROR(__xludf.DUMMYFUNCTION("""COMPUTED_VALUE"""),0.750618139302993)</f>
        <v>0.75061813930299304</v>
      </c>
      <c r="H601" s="17">
        <f ca="1">IFERROR(__xludf.DUMMYFUNCTION("""COMPUTED_VALUE"""),1.41956798748345)</f>
        <v>1.4195679874834499</v>
      </c>
      <c r="I601" s="17">
        <f ca="1">IFERROR(__xludf.DUMMYFUNCTION("""COMPUTED_VALUE"""),0.488338361938928)</f>
        <v>0.48833836193892799</v>
      </c>
      <c r="J601" s="17">
        <f ca="1">IFERROR(__xludf.DUMMYFUNCTION("""COMPUTED_VALUE"""),1.13285923083821)</f>
        <v>1.1328592308382099</v>
      </c>
      <c r="K601" s="17" t="str">
        <f ca="1">IFERROR(__xludf.DUMMYFUNCTION("""COMPUTED_VALUE"""),"nan")</f>
        <v>nan</v>
      </c>
      <c r="L601" s="17">
        <f ca="1">IFERROR(__xludf.DUMMYFUNCTION("""COMPUTED_VALUE"""),0.111684543117858)</f>
        <v>0.111684543117858</v>
      </c>
      <c r="M601" s="17">
        <f ca="1">IFERROR(__xludf.DUMMYFUNCTION("""COMPUTED_VALUE"""),0.829898790017203)</f>
        <v>0.82989879001720301</v>
      </c>
      <c r="N601" s="17">
        <f ca="1">IFERROR(__xludf.DUMMYFUNCTION("""COMPUTED_VALUE"""),0.0122316968015302)</f>
        <v>1.22316968015302E-2</v>
      </c>
      <c r="O601" s="17">
        <f ca="1">IFERROR(__xludf.DUMMYFUNCTION("""COMPUTED_VALUE"""),0.58902500129572)</f>
        <v>0.58902500129572</v>
      </c>
      <c r="P601" s="17">
        <f ca="1">IFERROR(__xludf.DUMMYFUNCTION("""COMPUTED_VALUE"""),0.699480305241751)</f>
        <v>0.69948030524175098</v>
      </c>
      <c r="Q601" s="17">
        <f ca="1">IFERROR(__xludf.DUMMYFUNCTION("""COMPUTED_VALUE"""),0.386810836522167)</f>
        <v>0.38681083652216702</v>
      </c>
      <c r="R601" s="17">
        <f ca="1">IFERROR(__xludf.DUMMYFUNCTION("""COMPUTED_VALUE"""),0.00709870543303531)</f>
        <v>7.0987054330353102E-3</v>
      </c>
      <c r="S601" s="17">
        <f ca="1">IFERROR(__xludf.DUMMYFUNCTION("""COMPUTED_VALUE"""),0.786755740241843)</f>
        <v>0.78675574024184303</v>
      </c>
      <c r="T601" s="17">
        <f ca="1">IFERROR(__xludf.DUMMYFUNCTION("""COMPUTED_VALUE"""),0.433059433627048)</f>
        <v>0.43305943362704802</v>
      </c>
      <c r="U601" s="17">
        <f ca="1">IFERROR(__xludf.DUMMYFUNCTION("""COMPUTED_VALUE"""),0.502925455926265)</f>
        <v>0.50292545592626503</v>
      </c>
      <c r="V601" s="17">
        <f ca="1">IFERROR(__xludf.DUMMYFUNCTION("""COMPUTED_VALUE"""),0.223353644348735)</f>
        <v>0.223353644348735</v>
      </c>
      <c r="W601" s="17">
        <f ca="1">IFERROR(__xludf.DUMMYFUNCTION("""COMPUTED_VALUE"""),0.461178982849087)</f>
        <v>0.46117898284908698</v>
      </c>
      <c r="X601" s="17">
        <f ca="1">IFERROR(__xludf.DUMMYFUNCTION("""COMPUTED_VALUE"""),0.128864365364326)</f>
        <v>0.12886436536432599</v>
      </c>
      <c r="Y601" s="17">
        <f ca="1">IFERROR(__xludf.DUMMYFUNCTION("""COMPUTED_VALUE"""),0.0162114914323748)</f>
        <v>1.6211491432374801E-2</v>
      </c>
      <c r="Z601" s="17">
        <f ca="1">IFERROR(__xludf.DUMMYFUNCTION("""COMPUTED_VALUE"""),0.744529724387878)</f>
        <v>0.74452972438787801</v>
      </c>
      <c r="AA601" s="17">
        <f ca="1">IFERROR(__xludf.DUMMYFUNCTION("""COMPUTED_VALUE"""),0.00590967356505938)</f>
        <v>5.9096735650593802E-3</v>
      </c>
      <c r="AB601" s="17">
        <f ca="1">IFERROR(__xludf.DUMMYFUNCTION("""COMPUTED_VALUE"""),0.61278007415235)</f>
        <v>0.61278007415235003</v>
      </c>
      <c r="AC601" s="17">
        <f ca="1">IFERROR(__xludf.DUMMYFUNCTION("""COMPUTED_VALUE"""),0.584192590443516)</f>
        <v>0.58419259044351601</v>
      </c>
      <c r="AD601" s="17">
        <f ca="1">IFERROR(__xludf.DUMMYFUNCTION("""COMPUTED_VALUE"""),0.155723063224252)</f>
        <v>0.155723063224252</v>
      </c>
      <c r="AE601" s="17" t="str">
        <f ca="1">IFERROR(__xludf.DUMMYFUNCTION("""COMPUTED_VALUE"""),"nan")</f>
        <v>nan</v>
      </c>
      <c r="AF601" s="17">
        <f ca="1">IFERROR(__xludf.DUMMYFUNCTION("""COMPUTED_VALUE"""),0.459762223293225)</f>
        <v>0.45976222329322503</v>
      </c>
      <c r="AG601" s="17">
        <f ca="1">IFERROR(__xludf.DUMMYFUNCTION("""COMPUTED_VALUE"""),0.802777795706595)</f>
        <v>0.80277779570659502</v>
      </c>
      <c r="AH601" s="17">
        <f ca="1">IFERROR(__xludf.DUMMYFUNCTION("""COMPUTED_VALUE"""),0.978569219243838)</f>
        <v>0.978569219243838</v>
      </c>
      <c r="AI601" s="17">
        <f ca="1">IFERROR(__xludf.DUMMYFUNCTION("""COMPUTED_VALUE"""),1.05431567841667)</f>
        <v>1.0543156784166701</v>
      </c>
      <c r="AJ601" s="17">
        <f ca="1">IFERROR(__xludf.DUMMYFUNCTION("""COMPUTED_VALUE"""),0.721928869755266)</f>
        <v>0.72192886975526604</v>
      </c>
    </row>
    <row r="602" spans="2:36" ht="15.75" customHeight="1" x14ac:dyDescent="0.45">
      <c r="B602" s="10" t="str">
        <f ca="1">IFERROR(__xludf.DUMMYFUNCTION("""COMPUTED_VALUE"""),"PhalangesOutlinesCorrect")</f>
        <v>PhalangesOutlinesCorrect</v>
      </c>
      <c r="C602" s="10" t="str">
        <f ca="1">IFERROR(__xludf.DUMMYFUNCTION("""COMPUTED_VALUE"""),"aligned_series")</f>
        <v>aligned_series</v>
      </c>
      <c r="D602" s="10">
        <f ca="1">IFERROR(__xludf.DUMMYFUNCTION("""COMPUTED_VALUE"""),0.1)</f>
        <v>0.1</v>
      </c>
      <c r="E602" s="17">
        <f ca="1">IFERROR(__xludf.DUMMYFUNCTION("""COMPUTED_VALUE"""),0.989315049504197)</f>
        <v>0.98931504950419702</v>
      </c>
      <c r="F602" s="17">
        <f ca="1">IFERROR(__xludf.DUMMYFUNCTION("""COMPUTED_VALUE"""),0.266908325725224)</f>
        <v>0.26690832572522399</v>
      </c>
      <c r="G602" s="17">
        <f ca="1">IFERROR(__xludf.DUMMYFUNCTION("""COMPUTED_VALUE"""),0.283797831758111)</f>
        <v>0.28379783175811102</v>
      </c>
      <c r="H602" s="17">
        <f ca="1">IFERROR(__xludf.DUMMYFUNCTION("""COMPUTED_VALUE"""),0.306539426608322)</f>
        <v>0.30653942660832201</v>
      </c>
      <c r="I602" s="17">
        <f ca="1">IFERROR(__xludf.DUMMYFUNCTION("""COMPUTED_VALUE"""),0.147832799682749)</f>
        <v>0.14783279968274901</v>
      </c>
      <c r="J602" s="17">
        <f ca="1">IFERROR(__xludf.DUMMYFUNCTION("""COMPUTED_VALUE"""),0.246477124293518)</f>
        <v>0.24647712429351801</v>
      </c>
      <c r="K602" s="17" t="str">
        <f ca="1">IFERROR(__xludf.DUMMYFUNCTION("""COMPUTED_VALUE"""),"nan")</f>
        <v>nan</v>
      </c>
      <c r="L602" s="17">
        <f ca="1">IFERROR(__xludf.DUMMYFUNCTION("""COMPUTED_VALUE"""),0.251799001558474)</f>
        <v>0.25179900155847401</v>
      </c>
      <c r="M602" s="17">
        <f ca="1">IFERROR(__xludf.DUMMYFUNCTION("""COMPUTED_VALUE"""),0.284424971356292)</f>
        <v>0.28442497135629202</v>
      </c>
      <c r="N602" s="17">
        <f ca="1">IFERROR(__xludf.DUMMYFUNCTION("""COMPUTED_VALUE"""),0.383103952608732)</f>
        <v>0.38310395260873198</v>
      </c>
      <c r="O602" s="17">
        <f ca="1">IFERROR(__xludf.DUMMYFUNCTION("""COMPUTED_VALUE"""),0.229680702398406)</f>
        <v>0.22968070239840599</v>
      </c>
      <c r="P602" s="17">
        <f ca="1">IFERROR(__xludf.DUMMYFUNCTION("""COMPUTED_VALUE"""),0.908496119652919)</f>
        <v>0.90849611965291899</v>
      </c>
      <c r="Q602" s="17">
        <f ca="1">IFERROR(__xludf.DUMMYFUNCTION("""COMPUTED_VALUE"""),0.322617592806488)</f>
        <v>0.322617592806488</v>
      </c>
      <c r="R602" s="17">
        <f ca="1">IFERROR(__xludf.DUMMYFUNCTION("""COMPUTED_VALUE"""),0.543812216222215)</f>
        <v>0.54381221622221498</v>
      </c>
      <c r="S602" s="17">
        <f ca="1">IFERROR(__xludf.DUMMYFUNCTION("""COMPUTED_VALUE"""),0.304647722310315)</f>
        <v>0.30464772231031501</v>
      </c>
      <c r="T602" s="17">
        <f ca="1">IFERROR(__xludf.DUMMYFUNCTION("""COMPUTED_VALUE"""),0.308839584136249)</f>
        <v>0.30883958413624901</v>
      </c>
      <c r="U602" s="17">
        <f ca="1">IFERROR(__xludf.DUMMYFUNCTION("""COMPUTED_VALUE"""),0.216482388063618)</f>
        <v>0.216482388063618</v>
      </c>
      <c r="V602" s="17">
        <f ca="1">IFERROR(__xludf.DUMMYFUNCTION("""COMPUTED_VALUE"""),0.285687267460981)</f>
        <v>0.285687267460981</v>
      </c>
      <c r="W602" s="17">
        <f ca="1">IFERROR(__xludf.DUMMYFUNCTION("""COMPUTED_VALUE"""),0.256776849942661)</f>
        <v>0.25677684994266098</v>
      </c>
      <c r="X602" s="17">
        <f ca="1">IFERROR(__xludf.DUMMYFUNCTION("""COMPUTED_VALUE"""),0.28516164132637)</f>
        <v>0.28516164132637001</v>
      </c>
      <c r="Y602" s="17">
        <f ca="1">IFERROR(__xludf.DUMMYFUNCTION("""COMPUTED_VALUE"""),0.264181683202495)</f>
        <v>0.26418168320249502</v>
      </c>
      <c r="Z602" s="17">
        <f ca="1">IFERROR(__xludf.DUMMYFUNCTION("""COMPUTED_VALUE"""),0.454537652555322)</f>
        <v>0.45453765255532202</v>
      </c>
      <c r="AA602" s="17">
        <f ca="1">IFERROR(__xludf.DUMMYFUNCTION("""COMPUTED_VALUE"""),0.168149465511429)</f>
        <v>0.16814946551142901</v>
      </c>
      <c r="AB602" s="17">
        <f ca="1">IFERROR(__xludf.DUMMYFUNCTION("""COMPUTED_VALUE"""),0.323805426474666)</f>
        <v>0.32380542647466598</v>
      </c>
      <c r="AC602" s="17">
        <f ca="1">IFERROR(__xludf.DUMMYFUNCTION("""COMPUTED_VALUE"""),0.655692022031916)</f>
        <v>0.65569202203191601</v>
      </c>
      <c r="AD602" s="17">
        <f ca="1">IFERROR(__xludf.DUMMYFUNCTION("""COMPUTED_VALUE"""),0.256942566520982)</f>
        <v>0.25694256652098202</v>
      </c>
      <c r="AE602" s="17">
        <f ca="1">IFERROR(__xludf.DUMMYFUNCTION("""COMPUTED_VALUE"""),1.11313185451714)</f>
        <v>1.11313185451714</v>
      </c>
      <c r="AF602" s="17">
        <f ca="1">IFERROR(__xludf.DUMMYFUNCTION("""COMPUTED_VALUE"""),0.36169734445882)</f>
        <v>0.36169734445882001</v>
      </c>
      <c r="AG602" s="17">
        <f ca="1">IFERROR(__xludf.DUMMYFUNCTION("""COMPUTED_VALUE"""),0.668542472241314)</f>
        <v>0.66854247224131402</v>
      </c>
      <c r="AH602" s="17">
        <f ca="1">IFERROR(__xludf.DUMMYFUNCTION("""COMPUTED_VALUE"""),0.984864542267179)</f>
        <v>0.98486454226717901</v>
      </c>
      <c r="AI602" s="17" t="str">
        <f ca="1">IFERROR(__xludf.DUMMYFUNCTION("""COMPUTED_VALUE"""),"nan")</f>
        <v>nan</v>
      </c>
      <c r="AJ602" s="17">
        <f ca="1">IFERROR(__xludf.DUMMYFUNCTION("""COMPUTED_VALUE"""),0.706445087801974)</f>
        <v>0.70644508780197401</v>
      </c>
    </row>
    <row r="603" spans="2:36" ht="15.75" customHeight="1" x14ac:dyDescent="0.45">
      <c r="B603" s="10" t="str">
        <f ca="1">IFERROR(__xludf.DUMMYFUNCTION("""COMPUTED_VALUE"""),"PhalangesOutlinesCorrect")</f>
        <v>PhalangesOutlinesCorrect</v>
      </c>
      <c r="C603" s="10" t="str">
        <f ca="1">IFERROR(__xludf.DUMMYFUNCTION("""COMPUTED_VALUE"""),"aligned_series")</f>
        <v>aligned_series</v>
      </c>
      <c r="D603" s="10">
        <f ca="1">IFERROR(__xludf.DUMMYFUNCTION("""COMPUTED_VALUE"""),0.2)</f>
        <v>0.2</v>
      </c>
      <c r="E603" s="17">
        <f ca="1">IFERROR(__xludf.DUMMYFUNCTION("""COMPUTED_VALUE"""),1.00609822194915)</f>
        <v>1.0060982219491501</v>
      </c>
      <c r="F603" s="17">
        <f ca="1">IFERROR(__xludf.DUMMYFUNCTION("""COMPUTED_VALUE"""),0.268395820431797)</f>
        <v>0.26839582043179699</v>
      </c>
      <c r="G603" s="17">
        <f ca="1">IFERROR(__xludf.DUMMYFUNCTION("""COMPUTED_VALUE"""),0.292726385599581)</f>
        <v>0.29272638559958097</v>
      </c>
      <c r="H603" s="17">
        <f ca="1">IFERROR(__xludf.DUMMYFUNCTION("""COMPUTED_VALUE"""),0.294615172165631)</f>
        <v>0.29461517216563099</v>
      </c>
      <c r="I603" s="17">
        <f ca="1">IFERROR(__xludf.DUMMYFUNCTION("""COMPUTED_VALUE"""),0.160047412682478)</f>
        <v>0.16004741268247799</v>
      </c>
      <c r="J603" s="17">
        <f ca="1">IFERROR(__xludf.DUMMYFUNCTION("""COMPUTED_VALUE"""),0.889206773807144)</f>
        <v>0.88920677380714397</v>
      </c>
      <c r="K603" s="17" t="str">
        <f ca="1">IFERROR(__xludf.DUMMYFUNCTION("""COMPUTED_VALUE"""),"nan")</f>
        <v>nan</v>
      </c>
      <c r="L603" s="17">
        <f ca="1">IFERROR(__xludf.DUMMYFUNCTION("""COMPUTED_VALUE"""),0.286243482894843)</f>
        <v>0.28624348289484303</v>
      </c>
      <c r="M603" s="17">
        <f ca="1">IFERROR(__xludf.DUMMYFUNCTION("""COMPUTED_VALUE"""),0.290944010289871)</f>
        <v>0.29094401028987099</v>
      </c>
      <c r="N603" s="17">
        <f ca="1">IFERROR(__xludf.DUMMYFUNCTION("""COMPUTED_VALUE"""),0.341490554588133)</f>
        <v>0.34149055458813299</v>
      </c>
      <c r="O603" s="17">
        <f ca="1">IFERROR(__xludf.DUMMYFUNCTION("""COMPUTED_VALUE"""),0.233234474156102)</f>
        <v>0.23323447415610199</v>
      </c>
      <c r="P603" s="17">
        <f ca="1">IFERROR(__xludf.DUMMYFUNCTION("""COMPUTED_VALUE"""),0.917508323800101)</f>
        <v>0.91750832380010094</v>
      </c>
      <c r="Q603" s="17">
        <f ca="1">IFERROR(__xludf.DUMMYFUNCTION("""COMPUTED_VALUE"""),0.311086665507251)</f>
        <v>0.311086665507251</v>
      </c>
      <c r="R603" s="17">
        <f ca="1">IFERROR(__xludf.DUMMYFUNCTION("""COMPUTED_VALUE"""),0.717436825267889)</f>
        <v>0.71743682526788899</v>
      </c>
      <c r="S603" s="17">
        <f ca="1">IFERROR(__xludf.DUMMYFUNCTION("""COMPUTED_VALUE"""),0.296587974464024)</f>
        <v>0.29658797446402402</v>
      </c>
      <c r="T603" s="17">
        <f ca="1">IFERROR(__xludf.DUMMYFUNCTION("""COMPUTED_VALUE"""),0.31764989331821)</f>
        <v>0.31764989331820997</v>
      </c>
      <c r="U603" s="17">
        <f ca="1">IFERROR(__xludf.DUMMYFUNCTION("""COMPUTED_VALUE"""),0.234545088281912)</f>
        <v>0.23454508828191201</v>
      </c>
      <c r="V603" s="17">
        <f ca="1">IFERROR(__xludf.DUMMYFUNCTION("""COMPUTED_VALUE"""),0.273675275417274)</f>
        <v>0.27367527541727399</v>
      </c>
      <c r="W603" s="17">
        <f ca="1">IFERROR(__xludf.DUMMYFUNCTION("""COMPUTED_VALUE"""),0.26005537922989)</f>
        <v>0.26005537922989003</v>
      </c>
      <c r="X603" s="17">
        <f ca="1">IFERROR(__xludf.DUMMYFUNCTION("""COMPUTED_VALUE"""),0.276907587855396)</f>
        <v>0.27690758785539599</v>
      </c>
      <c r="Y603" s="17">
        <f ca="1">IFERROR(__xludf.DUMMYFUNCTION("""COMPUTED_VALUE"""),0.257426734483886)</f>
        <v>0.25742673448388598</v>
      </c>
      <c r="Z603" s="17">
        <f ca="1">IFERROR(__xludf.DUMMYFUNCTION("""COMPUTED_VALUE"""),0.460167002446145)</f>
        <v>0.460167002446145</v>
      </c>
      <c r="AA603" s="17">
        <f ca="1">IFERROR(__xludf.DUMMYFUNCTION("""COMPUTED_VALUE"""),0.173614471923751)</f>
        <v>0.17361447192375101</v>
      </c>
      <c r="AB603" s="17">
        <f ca="1">IFERROR(__xludf.DUMMYFUNCTION("""COMPUTED_VALUE"""),0.330791426056977)</f>
        <v>0.33079142605697698</v>
      </c>
      <c r="AC603" s="17">
        <f ca="1">IFERROR(__xludf.DUMMYFUNCTION("""COMPUTED_VALUE"""),0.703864120459061)</f>
        <v>0.70386412045906099</v>
      </c>
      <c r="AD603" s="17">
        <f ca="1">IFERROR(__xludf.DUMMYFUNCTION("""COMPUTED_VALUE"""),0.256869192117051)</f>
        <v>0.256869192117051</v>
      </c>
      <c r="AE603" s="17">
        <f ca="1">IFERROR(__xludf.DUMMYFUNCTION("""COMPUTED_VALUE"""),1.13897280364671)</f>
        <v>1.1389728036467099</v>
      </c>
      <c r="AF603" s="17">
        <f ca="1">IFERROR(__xludf.DUMMYFUNCTION("""COMPUTED_VALUE"""),0.373037594294372)</f>
        <v>0.373037594294372</v>
      </c>
      <c r="AG603" s="17">
        <f ca="1">IFERROR(__xludf.DUMMYFUNCTION("""COMPUTED_VALUE"""),0.63761215988925)</f>
        <v>0.63761215988925002</v>
      </c>
      <c r="AH603" s="17">
        <f ca="1">IFERROR(__xludf.DUMMYFUNCTION("""COMPUTED_VALUE"""),0.933804799085589)</f>
        <v>0.933804799085589</v>
      </c>
      <c r="AI603" s="17" t="str">
        <f ca="1">IFERROR(__xludf.DUMMYFUNCTION("""COMPUTED_VALUE"""),"nan")</f>
        <v>nan</v>
      </c>
      <c r="AJ603" s="17">
        <f ca="1">IFERROR(__xludf.DUMMYFUNCTION("""COMPUTED_VALUE"""),0.665591433118706)</f>
        <v>0.66559143311870606</v>
      </c>
    </row>
    <row r="604" spans="2:36" ht="15.75" customHeight="1" x14ac:dyDescent="0.45">
      <c r="B604" s="10" t="str">
        <f ca="1">IFERROR(__xludf.DUMMYFUNCTION("""COMPUTED_VALUE"""),"PhalangesOutlinesCorrect")</f>
        <v>PhalangesOutlinesCorrect</v>
      </c>
      <c r="C604" s="10" t="str">
        <f ca="1">IFERROR(__xludf.DUMMYFUNCTION("""COMPUTED_VALUE"""),"aligned_series")</f>
        <v>aligned_series</v>
      </c>
      <c r="D604" s="10">
        <f ca="1">IFERROR(__xludf.DUMMYFUNCTION("""COMPUTED_VALUE"""),0.4)</f>
        <v>0.4</v>
      </c>
      <c r="E604" s="17">
        <f ca="1">IFERROR(__xludf.DUMMYFUNCTION("""COMPUTED_VALUE"""),1.05600938046407)</f>
        <v>1.05600938046407</v>
      </c>
      <c r="F604" s="17">
        <f ca="1">IFERROR(__xludf.DUMMYFUNCTION("""COMPUTED_VALUE"""),0.242531861406703)</f>
        <v>0.24253186140670299</v>
      </c>
      <c r="G604" s="17">
        <f ca="1">IFERROR(__xludf.DUMMYFUNCTION("""COMPUTED_VALUE"""),0.266210839962807)</f>
        <v>0.26621083996280698</v>
      </c>
      <c r="H604" s="17">
        <f ca="1">IFERROR(__xludf.DUMMYFUNCTION("""COMPUTED_VALUE"""),0.277190547162611)</f>
        <v>0.27719054716261099</v>
      </c>
      <c r="I604" s="17">
        <f ca="1">IFERROR(__xludf.DUMMYFUNCTION("""COMPUTED_VALUE"""),0.178887775227608)</f>
        <v>0.17888777522760799</v>
      </c>
      <c r="J604" s="17">
        <f ca="1">IFERROR(__xludf.DUMMYFUNCTION("""COMPUTED_VALUE"""),1.09975061966882)</f>
        <v>1.09975061966882</v>
      </c>
      <c r="K604" s="17" t="str">
        <f ca="1">IFERROR(__xludf.DUMMYFUNCTION("""COMPUTED_VALUE"""),"nan")</f>
        <v>nan</v>
      </c>
      <c r="L604" s="17">
        <f ca="1">IFERROR(__xludf.DUMMYFUNCTION("""COMPUTED_VALUE"""),0.246522166411947)</f>
        <v>0.24652216641194699</v>
      </c>
      <c r="M604" s="17">
        <f ca="1">IFERROR(__xludf.DUMMYFUNCTION("""COMPUTED_VALUE"""),0.269608691946911)</f>
        <v>0.26960869194691101</v>
      </c>
      <c r="N604" s="17">
        <f ca="1">IFERROR(__xludf.DUMMYFUNCTION("""COMPUTED_VALUE"""),0.31172745441707)</f>
        <v>0.31172745441707</v>
      </c>
      <c r="O604" s="17">
        <f ca="1">IFERROR(__xludf.DUMMYFUNCTION("""COMPUTED_VALUE"""),0.19207132649295)</f>
        <v>0.19207132649295</v>
      </c>
      <c r="P604" s="17">
        <f ca="1">IFERROR(__xludf.DUMMYFUNCTION("""COMPUTED_VALUE"""),0.931246749143636)</f>
        <v>0.93124674914363603</v>
      </c>
      <c r="Q604" s="17">
        <f ca="1">IFERROR(__xludf.DUMMYFUNCTION("""COMPUTED_VALUE"""),0.278367643865033)</f>
        <v>0.27836764386503299</v>
      </c>
      <c r="R604" s="17">
        <f ca="1">IFERROR(__xludf.DUMMYFUNCTION("""COMPUTED_VALUE"""),0.890150166444761)</f>
        <v>0.89015016644476097</v>
      </c>
      <c r="S604" s="17">
        <f ca="1">IFERROR(__xludf.DUMMYFUNCTION("""COMPUTED_VALUE"""),0.455956443786095)</f>
        <v>0.45595644378609501</v>
      </c>
      <c r="T604" s="17">
        <f ca="1">IFERROR(__xludf.DUMMYFUNCTION("""COMPUTED_VALUE"""),0.270702192595269)</f>
        <v>0.27070219259526901</v>
      </c>
      <c r="U604" s="17">
        <f ca="1">IFERROR(__xludf.DUMMYFUNCTION("""COMPUTED_VALUE"""),0.232038010560787)</f>
        <v>0.23203801056078699</v>
      </c>
      <c r="V604" s="17">
        <f ca="1">IFERROR(__xludf.DUMMYFUNCTION("""COMPUTED_VALUE"""),0.267983291110806)</f>
        <v>0.26798329111080599</v>
      </c>
      <c r="W604" s="17">
        <f ca="1">IFERROR(__xludf.DUMMYFUNCTION("""COMPUTED_VALUE"""),0.297020896267963)</f>
        <v>0.29702089626796302</v>
      </c>
      <c r="X604" s="17">
        <f ca="1">IFERROR(__xludf.DUMMYFUNCTION("""COMPUTED_VALUE"""),0.254993417615553)</f>
        <v>0.254993417615553</v>
      </c>
      <c r="Y604" s="17">
        <f ca="1">IFERROR(__xludf.DUMMYFUNCTION("""COMPUTED_VALUE"""),0.227056072324077)</f>
        <v>0.22705607232407701</v>
      </c>
      <c r="Z604" s="17">
        <f ca="1">IFERROR(__xludf.DUMMYFUNCTION("""COMPUTED_VALUE"""),0.48875065324855)</f>
        <v>0.48875065324854999</v>
      </c>
      <c r="AA604" s="17">
        <f ca="1">IFERROR(__xludf.DUMMYFUNCTION("""COMPUTED_VALUE"""),0.160753179159553)</f>
        <v>0.16075317915955301</v>
      </c>
      <c r="AB604" s="17">
        <f ca="1">IFERROR(__xludf.DUMMYFUNCTION("""COMPUTED_VALUE"""),1.16700263942616)</f>
        <v>1.1670026394261599</v>
      </c>
      <c r="AC604" s="17">
        <f ca="1">IFERROR(__xludf.DUMMYFUNCTION("""COMPUTED_VALUE"""),0.66666156745186)</f>
        <v>0.66666156745186</v>
      </c>
      <c r="AD604" s="17">
        <f ca="1">IFERROR(__xludf.DUMMYFUNCTION("""COMPUTED_VALUE"""),0.244148831682017)</f>
        <v>0.24414883168201701</v>
      </c>
      <c r="AE604" s="17">
        <f ca="1">IFERROR(__xludf.DUMMYFUNCTION("""COMPUTED_VALUE"""),1.18461320729251)</f>
        <v>1.18461320729251</v>
      </c>
      <c r="AF604" s="17">
        <f ca="1">IFERROR(__xludf.DUMMYFUNCTION("""COMPUTED_VALUE"""),0.388938624298699)</f>
        <v>0.38893862429869902</v>
      </c>
      <c r="AG604" s="17">
        <f ca="1">IFERROR(__xludf.DUMMYFUNCTION("""COMPUTED_VALUE"""),0.60941369035859)</f>
        <v>0.60941369035859005</v>
      </c>
      <c r="AH604" s="17">
        <f ca="1">IFERROR(__xludf.DUMMYFUNCTION("""COMPUTED_VALUE"""),0.879617508349115)</f>
        <v>0.87961750834911501</v>
      </c>
      <c r="AI604" s="17" t="str">
        <f ca="1">IFERROR(__xludf.DUMMYFUNCTION("""COMPUTED_VALUE"""),"nan")</f>
        <v>nan</v>
      </c>
      <c r="AJ604" s="17">
        <f ca="1">IFERROR(__xludf.DUMMYFUNCTION("""COMPUTED_VALUE"""),0.610939374560743)</f>
        <v>0.61093937456074299</v>
      </c>
    </row>
    <row r="605" spans="2:36" ht="15.75" customHeight="1" x14ac:dyDescent="0.45">
      <c r="B605" s="10" t="str">
        <f ca="1">IFERROR(__xludf.DUMMYFUNCTION("""COMPUTED_VALUE"""),"PhalangesOutlinesCorrect")</f>
        <v>PhalangesOutlinesCorrect</v>
      </c>
      <c r="C605" s="10" t="str">
        <f ca="1">IFERROR(__xludf.DUMMYFUNCTION("""COMPUTED_VALUE"""),"aligned_series")</f>
        <v>aligned_series</v>
      </c>
      <c r="D605" s="10">
        <f ca="1">IFERROR(__xludf.DUMMYFUNCTION("""COMPUTED_VALUE"""),0.6)</f>
        <v>0.6</v>
      </c>
      <c r="E605" s="17">
        <f ca="1">IFERROR(__xludf.DUMMYFUNCTION("""COMPUTED_VALUE"""),1.12950669075865)</f>
        <v>1.12950669075865</v>
      </c>
      <c r="F605" s="17">
        <f ca="1">IFERROR(__xludf.DUMMYFUNCTION("""COMPUTED_VALUE"""),0.213887051024257)</f>
        <v>0.21388705102425701</v>
      </c>
      <c r="G605" s="17">
        <f ca="1">IFERROR(__xludf.DUMMYFUNCTION("""COMPUTED_VALUE"""),0.228086446895772)</f>
        <v>0.22808644689577201</v>
      </c>
      <c r="H605" s="17">
        <f ca="1">IFERROR(__xludf.DUMMYFUNCTION("""COMPUTED_VALUE"""),0.252621948019602)</f>
        <v>0.25262194801960203</v>
      </c>
      <c r="I605" s="17">
        <f ca="1">IFERROR(__xludf.DUMMYFUNCTION("""COMPUTED_VALUE"""),0.337598513500542)</f>
        <v>0.33759851350054199</v>
      </c>
      <c r="J605" s="17">
        <f ca="1">IFERROR(__xludf.DUMMYFUNCTION("""COMPUTED_VALUE"""),1.1442239062473)</f>
        <v>1.1442239062473001</v>
      </c>
      <c r="K605" s="17" t="str">
        <f ca="1">IFERROR(__xludf.DUMMYFUNCTION("""COMPUTED_VALUE"""),"nan")</f>
        <v>nan</v>
      </c>
      <c r="L605" s="17">
        <f ca="1">IFERROR(__xludf.DUMMYFUNCTION("""COMPUTED_VALUE"""),0.216803185518755)</f>
        <v>0.21680318551875499</v>
      </c>
      <c r="M605" s="17">
        <f ca="1">IFERROR(__xludf.DUMMYFUNCTION("""COMPUTED_VALUE"""),0.227016801463916)</f>
        <v>0.22701680146391601</v>
      </c>
      <c r="N605" s="17">
        <f ca="1">IFERROR(__xludf.DUMMYFUNCTION("""COMPUTED_VALUE"""),0.325111723870784)</f>
        <v>0.32511172387078402</v>
      </c>
      <c r="O605" s="17">
        <f ca="1">IFERROR(__xludf.DUMMYFUNCTION("""COMPUTED_VALUE"""),0.657710462963428)</f>
        <v>0.65771046296342806</v>
      </c>
      <c r="P605" s="17">
        <f ca="1">IFERROR(__xludf.DUMMYFUNCTION("""COMPUTED_VALUE"""),0.973835735411977)</f>
        <v>0.97383573541197699</v>
      </c>
      <c r="Q605" s="17">
        <f ca="1">IFERROR(__xludf.DUMMYFUNCTION("""COMPUTED_VALUE"""),0.912229037217117)</f>
        <v>0.91222903721711701</v>
      </c>
      <c r="R605" s="17">
        <f ca="1">IFERROR(__xludf.DUMMYFUNCTION("""COMPUTED_VALUE"""),1.08283342130755)</f>
        <v>1.0828334213075499</v>
      </c>
      <c r="S605" s="17">
        <f ca="1">IFERROR(__xludf.DUMMYFUNCTION("""COMPUTED_VALUE"""),0.606649285041612)</f>
        <v>0.60664928504161197</v>
      </c>
      <c r="T605" s="17">
        <f ca="1">IFERROR(__xludf.DUMMYFUNCTION("""COMPUTED_VALUE"""),0.262473439061593)</f>
        <v>0.26247343906159298</v>
      </c>
      <c r="U605" s="17">
        <f ca="1">IFERROR(__xludf.DUMMYFUNCTION("""COMPUTED_VALUE"""),0.21725544736082)</f>
        <v>0.21725544736082</v>
      </c>
      <c r="V605" s="17">
        <f ca="1">IFERROR(__xludf.DUMMYFUNCTION("""COMPUTED_VALUE"""),0.225135307967347)</f>
        <v>0.22513530796734699</v>
      </c>
      <c r="W605" s="17">
        <f ca="1">IFERROR(__xludf.DUMMYFUNCTION("""COMPUTED_VALUE"""),0.329283072466949)</f>
        <v>0.32928307246694899</v>
      </c>
      <c r="X605" s="17">
        <f ca="1">IFERROR(__xludf.DUMMYFUNCTION("""COMPUTED_VALUE"""),0.260695405865497)</f>
        <v>0.260695405865497</v>
      </c>
      <c r="Y605" s="17">
        <f ca="1">IFERROR(__xludf.DUMMYFUNCTION("""COMPUTED_VALUE"""),0.209907185221126)</f>
        <v>0.209907185221126</v>
      </c>
      <c r="Z605" s="17">
        <f ca="1">IFERROR(__xludf.DUMMYFUNCTION("""COMPUTED_VALUE"""),0.499950943479958)</f>
        <v>0.499950943479958</v>
      </c>
      <c r="AA605" s="17">
        <f ca="1">IFERROR(__xludf.DUMMYFUNCTION("""COMPUTED_VALUE"""),0.150570851699677)</f>
        <v>0.15057085169967699</v>
      </c>
      <c r="AB605" s="17">
        <f ca="1">IFERROR(__xludf.DUMMYFUNCTION("""COMPUTED_VALUE"""),1.69861516051425)</f>
        <v>1.6986151605142501</v>
      </c>
      <c r="AC605" s="17">
        <f ca="1">IFERROR(__xludf.DUMMYFUNCTION("""COMPUTED_VALUE"""),0.707660612853529)</f>
        <v>0.70766061285352899</v>
      </c>
      <c r="AD605" s="17">
        <f ca="1">IFERROR(__xludf.DUMMYFUNCTION("""COMPUTED_VALUE"""),0.269402525954599)</f>
        <v>0.26940252595459901</v>
      </c>
      <c r="AE605" s="17">
        <f ca="1">IFERROR(__xludf.DUMMYFUNCTION("""COMPUTED_VALUE"""),1.22418641465716)</f>
        <v>1.2241864146571599</v>
      </c>
      <c r="AF605" s="17">
        <f ca="1">IFERROR(__xludf.DUMMYFUNCTION("""COMPUTED_VALUE"""),0.530080275199255)</f>
        <v>0.53008027519925505</v>
      </c>
      <c r="AG605" s="17">
        <f ca="1">IFERROR(__xludf.DUMMYFUNCTION("""COMPUTED_VALUE"""),0.583576364529667)</f>
        <v>0.58357636452966699</v>
      </c>
      <c r="AH605" s="17">
        <f ca="1">IFERROR(__xludf.DUMMYFUNCTION("""COMPUTED_VALUE"""),0.885564191942772)</f>
        <v>0.88556419194277203</v>
      </c>
      <c r="AI605" s="17" t="str">
        <f ca="1">IFERROR(__xludf.DUMMYFUNCTION("""COMPUTED_VALUE"""),"nan")</f>
        <v>nan</v>
      </c>
      <c r="AJ605" s="17">
        <f ca="1">IFERROR(__xludf.DUMMYFUNCTION("""COMPUTED_VALUE"""),0.609679280630011)</f>
        <v>0.60967928063001098</v>
      </c>
    </row>
    <row r="606" spans="2:36" ht="15.75" customHeight="1" x14ac:dyDescent="0.45">
      <c r="B606" s="10" t="str">
        <f ca="1">IFERROR(__xludf.DUMMYFUNCTION("""COMPUTED_VALUE"""),"PhalangesOutlinesCorrect")</f>
        <v>PhalangesOutlinesCorrect</v>
      </c>
      <c r="C606" s="10" t="str">
        <f ca="1">IFERROR(__xludf.DUMMYFUNCTION("""COMPUTED_VALUE"""),"aligned_series")</f>
        <v>aligned_series</v>
      </c>
      <c r="D606" s="10">
        <f ca="1">IFERROR(__xludf.DUMMYFUNCTION("""COMPUTED_VALUE"""),0.8)</f>
        <v>0.8</v>
      </c>
      <c r="E606" s="17">
        <f ca="1">IFERROR(__xludf.DUMMYFUNCTION("""COMPUTED_VALUE"""),1.19067843391595)</f>
        <v>1.19067843391595</v>
      </c>
      <c r="F606" s="17">
        <f ca="1">IFERROR(__xludf.DUMMYFUNCTION("""COMPUTED_VALUE"""),0.245196120751152)</f>
        <v>0.24519612075115199</v>
      </c>
      <c r="G606" s="17">
        <f ca="1">IFERROR(__xludf.DUMMYFUNCTION("""COMPUTED_VALUE"""),0.588464528096883)</f>
        <v>0.58846452809688299</v>
      </c>
      <c r="H606" s="17">
        <f ca="1">IFERROR(__xludf.DUMMYFUNCTION("""COMPUTED_VALUE"""),0.227333168378473)</f>
        <v>0.22733316837847301</v>
      </c>
      <c r="I606" s="17">
        <f ca="1">IFERROR(__xludf.DUMMYFUNCTION("""COMPUTED_VALUE"""),0.567130926190748)</f>
        <v>0.56713092619074801</v>
      </c>
      <c r="J606" s="17">
        <f ca="1">IFERROR(__xludf.DUMMYFUNCTION("""COMPUTED_VALUE"""),1.17792668386541)</f>
        <v>1.1779266838654101</v>
      </c>
      <c r="K606" s="17" t="str">
        <f ca="1">IFERROR(__xludf.DUMMYFUNCTION("""COMPUTED_VALUE"""),"nan")</f>
        <v>nan</v>
      </c>
      <c r="L606" s="17">
        <f ca="1">IFERROR(__xludf.DUMMYFUNCTION("""COMPUTED_VALUE"""),0.200429092060259)</f>
        <v>0.200429092060259</v>
      </c>
      <c r="M606" s="17">
        <f ca="1">IFERROR(__xludf.DUMMYFUNCTION("""COMPUTED_VALUE"""),0.70549589882305)</f>
        <v>0.70549589882304997</v>
      </c>
      <c r="N606" s="17">
        <f ca="1">IFERROR(__xludf.DUMMYFUNCTION("""COMPUTED_VALUE"""),0.338756964222289)</f>
        <v>0.33875696422228901</v>
      </c>
      <c r="O606" s="17">
        <f ca="1">IFERROR(__xludf.DUMMYFUNCTION("""COMPUTED_VALUE"""),0.827495890189548)</f>
        <v>0.82749589018954794</v>
      </c>
      <c r="P606" s="17">
        <f ca="1">IFERROR(__xludf.DUMMYFUNCTION("""COMPUTED_VALUE"""),1.00336042572184)</f>
        <v>1.00336042572184</v>
      </c>
      <c r="Q606" s="17">
        <f ca="1">IFERROR(__xludf.DUMMYFUNCTION("""COMPUTED_VALUE"""),1.32118532671747)</f>
        <v>1.32118532671747</v>
      </c>
      <c r="R606" s="17">
        <f ca="1">IFERROR(__xludf.DUMMYFUNCTION("""COMPUTED_VALUE"""),1.14927334543269)</f>
        <v>1.14927334543269</v>
      </c>
      <c r="S606" s="17">
        <f ca="1">IFERROR(__xludf.DUMMYFUNCTION("""COMPUTED_VALUE"""),0.861028431386159)</f>
        <v>0.86102843138615903</v>
      </c>
      <c r="T606" s="17">
        <f ca="1">IFERROR(__xludf.DUMMYFUNCTION("""COMPUTED_VALUE"""),0.295428172086681)</f>
        <v>0.29542817208668098</v>
      </c>
      <c r="U606" s="17">
        <f ca="1">IFERROR(__xludf.DUMMYFUNCTION("""COMPUTED_VALUE"""),0.313414039753015)</f>
        <v>0.31341403975301502</v>
      </c>
      <c r="V606" s="17">
        <f ca="1">IFERROR(__xludf.DUMMYFUNCTION("""COMPUTED_VALUE"""),0.245649782293774)</f>
        <v>0.24564978229377399</v>
      </c>
      <c r="W606" s="17">
        <f ca="1">IFERROR(__xludf.DUMMYFUNCTION("""COMPUTED_VALUE"""),0.316445728054298)</f>
        <v>0.31644572805429799</v>
      </c>
      <c r="X606" s="17">
        <f ca="1">IFERROR(__xludf.DUMMYFUNCTION("""COMPUTED_VALUE"""),0.260471322711636)</f>
        <v>0.26047132271163598</v>
      </c>
      <c r="Y606" s="17">
        <f ca="1">IFERROR(__xludf.DUMMYFUNCTION("""COMPUTED_VALUE"""),0.260760235252228)</f>
        <v>0.26076023525222802</v>
      </c>
      <c r="Z606" s="17">
        <f ca="1">IFERROR(__xludf.DUMMYFUNCTION("""COMPUTED_VALUE"""),0.533267488298953)</f>
        <v>0.53326748829895299</v>
      </c>
      <c r="AA606" s="17">
        <f ca="1">IFERROR(__xludf.DUMMYFUNCTION("""COMPUTED_VALUE"""),0.145564749360326)</f>
        <v>0.14556474936032601</v>
      </c>
      <c r="AB606" s="17">
        <f ca="1">IFERROR(__xludf.DUMMYFUNCTION("""COMPUTED_VALUE"""),2.05212951137897)</f>
        <v>2.0521295113789702</v>
      </c>
      <c r="AC606" s="17">
        <f ca="1">IFERROR(__xludf.DUMMYFUNCTION("""COMPUTED_VALUE"""),0.673491779694948)</f>
        <v>0.673491779694948</v>
      </c>
      <c r="AD606" s="17">
        <f ca="1">IFERROR(__xludf.DUMMYFUNCTION("""COMPUTED_VALUE"""),0.276378622507611)</f>
        <v>0.27637862250761103</v>
      </c>
      <c r="AE606" s="17">
        <f ca="1">IFERROR(__xludf.DUMMYFUNCTION("""COMPUTED_VALUE"""),1.24451252320244)</f>
        <v>1.2445125232024401</v>
      </c>
      <c r="AF606" s="17">
        <f ca="1">IFERROR(__xludf.DUMMYFUNCTION("""COMPUTED_VALUE"""),0.875014100398874)</f>
        <v>0.87501410039887395</v>
      </c>
      <c r="AG606" s="17">
        <f ca="1">IFERROR(__xludf.DUMMYFUNCTION("""COMPUTED_VALUE"""),0.593325842689523)</f>
        <v>0.59332584268952304</v>
      </c>
      <c r="AH606" s="17">
        <f ca="1">IFERROR(__xludf.DUMMYFUNCTION("""COMPUTED_VALUE"""),0.914483090346893)</f>
        <v>0.91448309034689301</v>
      </c>
      <c r="AI606" s="17" t="str">
        <f ca="1">IFERROR(__xludf.DUMMYFUNCTION("""COMPUTED_VALUE"""),"nan")</f>
        <v>nan</v>
      </c>
      <c r="AJ606" s="17">
        <f ca="1">IFERROR(__xludf.DUMMYFUNCTION("""COMPUTED_VALUE"""),0.651284527853318)</f>
        <v>0.65128452785331803</v>
      </c>
    </row>
    <row r="607" spans="2:36" ht="15.75" customHeight="1" x14ac:dyDescent="0.45">
      <c r="B607" s="10" t="str">
        <f ca="1">IFERROR(__xludf.DUMMYFUNCTION("""COMPUTED_VALUE"""),"PhalangesOutlinesCorrect")</f>
        <v>PhalangesOutlinesCorrect</v>
      </c>
      <c r="C607" s="10" t="str">
        <f ca="1">IFERROR(__xludf.DUMMYFUNCTION("""COMPUTED_VALUE"""),"aligned_timestamps")</f>
        <v>aligned_timestamps</v>
      </c>
      <c r="D607" s="10">
        <f ca="1">IFERROR(__xludf.DUMMYFUNCTION("""COMPUTED_VALUE"""),0.1)</f>
        <v>0.1</v>
      </c>
      <c r="E607" s="17">
        <f ca="1">IFERROR(__xludf.DUMMYFUNCTION("""COMPUTED_VALUE"""),0.989358121100923)</f>
        <v>0.98935812110092303</v>
      </c>
      <c r="F607" s="17">
        <f ca="1">IFERROR(__xludf.DUMMYFUNCTION("""COMPUTED_VALUE"""),0.183734990117729)</f>
        <v>0.18373499011772901</v>
      </c>
      <c r="G607" s="17">
        <f ca="1">IFERROR(__xludf.DUMMYFUNCTION("""COMPUTED_VALUE"""),0.195983191668983)</f>
        <v>0.19598319166898301</v>
      </c>
      <c r="H607" s="17">
        <f ca="1">IFERROR(__xludf.DUMMYFUNCTION("""COMPUTED_VALUE"""),0.226894551939465)</f>
        <v>0.22689455193946501</v>
      </c>
      <c r="I607" s="17">
        <f ca="1">IFERROR(__xludf.DUMMYFUNCTION("""COMPUTED_VALUE"""),0.1443022841903)</f>
        <v>0.1443022841903</v>
      </c>
      <c r="J607" s="17">
        <f ca="1">IFERROR(__xludf.DUMMYFUNCTION("""COMPUTED_VALUE"""),0.20716034064877)</f>
        <v>0.20716034064877001</v>
      </c>
      <c r="K607" s="17" t="str">
        <f ca="1">IFERROR(__xludf.DUMMYFUNCTION("""COMPUTED_VALUE"""),"nan")</f>
        <v>nan</v>
      </c>
      <c r="L607" s="17">
        <f ca="1">IFERROR(__xludf.DUMMYFUNCTION("""COMPUTED_VALUE"""),0.187696371056696)</f>
        <v>0.18769637105669601</v>
      </c>
      <c r="M607" s="17">
        <f ca="1">IFERROR(__xludf.DUMMYFUNCTION("""COMPUTED_VALUE"""),0.196161133432327)</f>
        <v>0.196161133432327</v>
      </c>
      <c r="N607" s="17">
        <f ca="1">IFERROR(__xludf.DUMMYFUNCTION("""COMPUTED_VALUE"""),0.228632233701586)</f>
        <v>0.228632233701586</v>
      </c>
      <c r="O607" s="17">
        <f ca="1">IFERROR(__xludf.DUMMYFUNCTION("""COMPUTED_VALUE"""),0.195202113786156)</f>
        <v>0.19520211378615601</v>
      </c>
      <c r="P607" s="17">
        <f ca="1">IFERROR(__xludf.DUMMYFUNCTION("""COMPUTED_VALUE"""),0.823535663854719)</f>
        <v>0.82353566385471899</v>
      </c>
      <c r="Q607" s="17">
        <f ca="1">IFERROR(__xludf.DUMMYFUNCTION("""COMPUTED_VALUE"""),0.23229074309818)</f>
        <v>0.23229074309818001</v>
      </c>
      <c r="R607" s="17">
        <f ca="1">IFERROR(__xludf.DUMMYFUNCTION("""COMPUTED_VALUE"""),0.732946137473553)</f>
        <v>0.73294613747355297</v>
      </c>
      <c r="S607" s="17">
        <f ca="1">IFERROR(__xludf.DUMMYFUNCTION("""COMPUTED_VALUE"""),0.314865790779645)</f>
        <v>0.31486579077964499</v>
      </c>
      <c r="T607" s="17">
        <f ca="1">IFERROR(__xludf.DUMMYFUNCTION("""COMPUTED_VALUE"""),0.256183253322164)</f>
        <v>0.25618325332216402</v>
      </c>
      <c r="U607" s="17">
        <f ca="1">IFERROR(__xludf.DUMMYFUNCTION("""COMPUTED_VALUE"""),0.185704386569471)</f>
        <v>0.185704386569471</v>
      </c>
      <c r="V607" s="17">
        <f ca="1">IFERROR(__xludf.DUMMYFUNCTION("""COMPUTED_VALUE"""),0.252214546597865)</f>
        <v>0.25221454659786502</v>
      </c>
      <c r="W607" s="17">
        <f ca="1">IFERROR(__xludf.DUMMYFUNCTION("""COMPUTED_VALUE"""),0.306551219203912)</f>
        <v>0.30655121920391198</v>
      </c>
      <c r="X607" s="17">
        <f ca="1">IFERROR(__xludf.DUMMYFUNCTION("""COMPUTED_VALUE"""),0.235651890826097)</f>
        <v>0.235651890826097</v>
      </c>
      <c r="Y607" s="17">
        <f ca="1">IFERROR(__xludf.DUMMYFUNCTION("""COMPUTED_VALUE"""),0.201831886317475)</f>
        <v>0.20183188631747501</v>
      </c>
      <c r="Z607" s="17">
        <f ca="1">IFERROR(__xludf.DUMMYFUNCTION("""COMPUTED_VALUE"""),0.320733141893548)</f>
        <v>0.32073314189354801</v>
      </c>
      <c r="AA607" s="17">
        <f ca="1">IFERROR(__xludf.DUMMYFUNCTION("""COMPUTED_VALUE"""),0.160677839743209)</f>
        <v>0.16067783974320901</v>
      </c>
      <c r="AB607" s="17">
        <f ca="1">IFERROR(__xludf.DUMMYFUNCTION("""COMPUTED_VALUE"""),0.208476239887126)</f>
        <v>0.20847623988712599</v>
      </c>
      <c r="AC607" s="17">
        <f ca="1">IFERROR(__xludf.DUMMYFUNCTION("""COMPUTED_VALUE"""),0.392734087058616)</f>
        <v>0.39273408705861601</v>
      </c>
      <c r="AD607" s="17">
        <f ca="1">IFERROR(__xludf.DUMMYFUNCTION("""COMPUTED_VALUE"""),0.217245579311003)</f>
        <v>0.217245579311003</v>
      </c>
      <c r="AE607" s="17">
        <f ca="1">IFERROR(__xludf.DUMMYFUNCTION("""COMPUTED_VALUE"""),0.894511641800708)</f>
        <v>0.89451164180070797</v>
      </c>
      <c r="AF607" s="17">
        <f ca="1">IFERROR(__xludf.DUMMYFUNCTION("""COMPUTED_VALUE"""),0.174129385858966)</f>
        <v>0.17412938585896601</v>
      </c>
      <c r="AG607" s="17">
        <f ca="1">IFERROR(__xludf.DUMMYFUNCTION("""COMPUTED_VALUE"""),0.595085097747793)</f>
        <v>0.59508509774779295</v>
      </c>
      <c r="AH607" s="17">
        <f ca="1">IFERROR(__xludf.DUMMYFUNCTION("""COMPUTED_VALUE"""),0.587429833526138)</f>
        <v>0.58742983352613798</v>
      </c>
      <c r="AI607" s="17">
        <f ca="1">IFERROR(__xludf.DUMMYFUNCTION("""COMPUTED_VALUE"""),0.497946015688403)</f>
        <v>0.49794601568840302</v>
      </c>
      <c r="AJ607" s="17">
        <f ca="1">IFERROR(__xludf.DUMMYFUNCTION("""COMPUTED_VALUE"""),0.321342735575284)</f>
        <v>0.32134273557528398</v>
      </c>
    </row>
    <row r="608" spans="2:36" ht="15.75" customHeight="1" x14ac:dyDescent="0.45">
      <c r="B608" s="10" t="str">
        <f ca="1">IFERROR(__xludf.DUMMYFUNCTION("""COMPUTED_VALUE"""),"PhalangesOutlinesCorrect")</f>
        <v>PhalangesOutlinesCorrect</v>
      </c>
      <c r="C608" s="10" t="str">
        <f ca="1">IFERROR(__xludf.DUMMYFUNCTION("""COMPUTED_VALUE"""),"aligned_timestamps")</f>
        <v>aligned_timestamps</v>
      </c>
      <c r="D608" s="10">
        <f ca="1">IFERROR(__xludf.DUMMYFUNCTION("""COMPUTED_VALUE"""),0.2)</f>
        <v>0.2</v>
      </c>
      <c r="E608" s="17">
        <f ca="1">IFERROR(__xludf.DUMMYFUNCTION("""COMPUTED_VALUE"""),1.00609822194915)</f>
        <v>1.0060982219491501</v>
      </c>
      <c r="F608" s="17">
        <f ca="1">IFERROR(__xludf.DUMMYFUNCTION("""COMPUTED_VALUE"""),0.268395820431797)</f>
        <v>0.26839582043179699</v>
      </c>
      <c r="G608" s="17">
        <f ca="1">IFERROR(__xludf.DUMMYFUNCTION("""COMPUTED_VALUE"""),0.292726385599581)</f>
        <v>0.29272638559958097</v>
      </c>
      <c r="H608" s="17">
        <f ca="1">IFERROR(__xludf.DUMMYFUNCTION("""COMPUTED_VALUE"""),0.294615172165631)</f>
        <v>0.29461517216563099</v>
      </c>
      <c r="I608" s="17">
        <f ca="1">IFERROR(__xludf.DUMMYFUNCTION("""COMPUTED_VALUE"""),0.160047412682478)</f>
        <v>0.16004741268247799</v>
      </c>
      <c r="J608" s="17">
        <f ca="1">IFERROR(__xludf.DUMMYFUNCTION("""COMPUTED_VALUE"""),0.889206773807144)</f>
        <v>0.88920677380714397</v>
      </c>
      <c r="K608" s="17" t="str">
        <f ca="1">IFERROR(__xludf.DUMMYFUNCTION("""COMPUTED_VALUE"""),"nan")</f>
        <v>nan</v>
      </c>
      <c r="L608" s="17">
        <f ca="1">IFERROR(__xludf.DUMMYFUNCTION("""COMPUTED_VALUE"""),0.286243482894843)</f>
        <v>0.28624348289484303</v>
      </c>
      <c r="M608" s="17">
        <f ca="1">IFERROR(__xludf.DUMMYFUNCTION("""COMPUTED_VALUE"""),0.290944010289871)</f>
        <v>0.29094401028987099</v>
      </c>
      <c r="N608" s="17">
        <f ca="1">IFERROR(__xludf.DUMMYFUNCTION("""COMPUTED_VALUE"""),0.341490554588133)</f>
        <v>0.34149055458813299</v>
      </c>
      <c r="O608" s="17">
        <f ca="1">IFERROR(__xludf.DUMMYFUNCTION("""COMPUTED_VALUE"""),0.233234474156102)</f>
        <v>0.23323447415610199</v>
      </c>
      <c r="P608" s="17">
        <f ca="1">IFERROR(__xludf.DUMMYFUNCTION("""COMPUTED_VALUE"""),0.917508323800101)</f>
        <v>0.91750832380010094</v>
      </c>
      <c r="Q608" s="17">
        <f ca="1">IFERROR(__xludf.DUMMYFUNCTION("""COMPUTED_VALUE"""),0.311086665507251)</f>
        <v>0.311086665507251</v>
      </c>
      <c r="R608" s="17">
        <f ca="1">IFERROR(__xludf.DUMMYFUNCTION("""COMPUTED_VALUE"""),0.717436825267889)</f>
        <v>0.71743682526788899</v>
      </c>
      <c r="S608" s="17">
        <f ca="1">IFERROR(__xludf.DUMMYFUNCTION("""COMPUTED_VALUE"""),0.296587974464024)</f>
        <v>0.29658797446402402</v>
      </c>
      <c r="T608" s="17">
        <f ca="1">IFERROR(__xludf.DUMMYFUNCTION("""COMPUTED_VALUE"""),0.31764989331821)</f>
        <v>0.31764989331820997</v>
      </c>
      <c r="U608" s="17">
        <f ca="1">IFERROR(__xludf.DUMMYFUNCTION("""COMPUTED_VALUE"""),0.234545088281912)</f>
        <v>0.23454508828191201</v>
      </c>
      <c r="V608" s="17">
        <f ca="1">IFERROR(__xludf.DUMMYFUNCTION("""COMPUTED_VALUE"""),0.273675275417274)</f>
        <v>0.27367527541727399</v>
      </c>
      <c r="W608" s="17">
        <f ca="1">IFERROR(__xludf.DUMMYFUNCTION("""COMPUTED_VALUE"""),0.265416750374005)</f>
        <v>0.26541675037400497</v>
      </c>
      <c r="X608" s="17">
        <f ca="1">IFERROR(__xludf.DUMMYFUNCTION("""COMPUTED_VALUE"""),0.277573341912953)</f>
        <v>0.27757334191295302</v>
      </c>
      <c r="Y608" s="17">
        <f ca="1">IFERROR(__xludf.DUMMYFUNCTION("""COMPUTED_VALUE"""),0.257426734483886)</f>
        <v>0.25742673448388598</v>
      </c>
      <c r="Z608" s="17">
        <f ca="1">IFERROR(__xludf.DUMMYFUNCTION("""COMPUTED_VALUE"""),0.460167002446145)</f>
        <v>0.460167002446145</v>
      </c>
      <c r="AA608" s="17">
        <f ca="1">IFERROR(__xludf.DUMMYFUNCTION("""COMPUTED_VALUE"""),0.173614471923751)</f>
        <v>0.17361447192375101</v>
      </c>
      <c r="AB608" s="17">
        <f ca="1">IFERROR(__xludf.DUMMYFUNCTION("""COMPUTED_VALUE"""),0.34084103516763)</f>
        <v>0.34084103516762998</v>
      </c>
      <c r="AC608" s="17">
        <f ca="1">IFERROR(__xludf.DUMMYFUNCTION("""COMPUTED_VALUE"""),0.703864120459061)</f>
        <v>0.70386412045906099</v>
      </c>
      <c r="AD608" s="17">
        <f ca="1">IFERROR(__xludf.DUMMYFUNCTION("""COMPUTED_VALUE"""),0.281935819949066)</f>
        <v>0.28193581994906602</v>
      </c>
      <c r="AE608" s="17">
        <f ca="1">IFERROR(__xludf.DUMMYFUNCTION("""COMPUTED_VALUE"""),1.1434496238971)</f>
        <v>1.1434496238970999</v>
      </c>
      <c r="AF608" s="17">
        <f ca="1">IFERROR(__xludf.DUMMYFUNCTION("""COMPUTED_VALUE"""),0.373037594294372)</f>
        <v>0.373037594294372</v>
      </c>
      <c r="AG608" s="17">
        <f ca="1">IFERROR(__xludf.DUMMYFUNCTION("""COMPUTED_VALUE"""),0.623994545705707)</f>
        <v>0.623994545705707</v>
      </c>
      <c r="AH608" s="17">
        <f ca="1">IFERROR(__xludf.DUMMYFUNCTION("""COMPUTED_VALUE"""),0.934354779408063)</f>
        <v>0.934354779408063</v>
      </c>
      <c r="AI608" s="17" t="str">
        <f ca="1">IFERROR(__xludf.DUMMYFUNCTION("""COMPUTED_VALUE"""),"nan")</f>
        <v>nan</v>
      </c>
      <c r="AJ608" s="17">
        <f ca="1">IFERROR(__xludf.DUMMYFUNCTION("""COMPUTED_VALUE"""),0.67499088255651)</f>
        <v>0.67499088255650996</v>
      </c>
    </row>
    <row r="609" spans="2:36" ht="15.75" customHeight="1" x14ac:dyDescent="0.45">
      <c r="B609" s="10" t="str">
        <f ca="1">IFERROR(__xludf.DUMMYFUNCTION("""COMPUTED_VALUE"""),"PhalangesOutlinesCorrect")</f>
        <v>PhalangesOutlinesCorrect</v>
      </c>
      <c r="C609" s="10" t="str">
        <f ca="1">IFERROR(__xludf.DUMMYFUNCTION("""COMPUTED_VALUE"""),"aligned_timestamps")</f>
        <v>aligned_timestamps</v>
      </c>
      <c r="D609" s="10">
        <f ca="1">IFERROR(__xludf.DUMMYFUNCTION("""COMPUTED_VALUE"""),0.4)</f>
        <v>0.4</v>
      </c>
      <c r="E609" s="17">
        <f ca="1">IFERROR(__xludf.DUMMYFUNCTION("""COMPUTED_VALUE"""),0.976305231600268)</f>
        <v>0.97630523160026805</v>
      </c>
      <c r="F609" s="17">
        <f ca="1">IFERROR(__xludf.DUMMYFUNCTION("""COMPUTED_VALUE"""),0.302228059395286)</f>
        <v>0.30222805939528602</v>
      </c>
      <c r="G609" s="17">
        <f ca="1">IFERROR(__xludf.DUMMYFUNCTION("""COMPUTED_VALUE"""),0.355803725100195)</f>
        <v>0.35580372510019498</v>
      </c>
      <c r="H609" s="17">
        <f ca="1">IFERROR(__xludf.DUMMYFUNCTION("""COMPUTED_VALUE"""),0.334536274082428)</f>
        <v>0.33453627408242798</v>
      </c>
      <c r="I609" s="17">
        <f ca="1">IFERROR(__xludf.DUMMYFUNCTION("""COMPUTED_VALUE"""),0.297599837427227)</f>
        <v>0.29759983742722701</v>
      </c>
      <c r="J609" s="17">
        <f ca="1">IFERROR(__xludf.DUMMYFUNCTION("""COMPUTED_VALUE"""),0.67666953640036)</f>
        <v>0.67666953640035998</v>
      </c>
      <c r="K609" s="17" t="str">
        <f ca="1">IFERROR(__xludf.DUMMYFUNCTION("""COMPUTED_VALUE"""),"nan")</f>
        <v>nan</v>
      </c>
      <c r="L609" s="17">
        <f ca="1">IFERROR(__xludf.DUMMYFUNCTION("""COMPUTED_VALUE"""),0.317352651242126)</f>
        <v>0.31735265124212603</v>
      </c>
      <c r="M609" s="17">
        <f ca="1">IFERROR(__xludf.DUMMYFUNCTION("""COMPUTED_VALUE"""),0.336433003231134)</f>
        <v>0.33643300323113401</v>
      </c>
      <c r="N609" s="17">
        <f ca="1">IFERROR(__xludf.DUMMYFUNCTION("""COMPUTED_VALUE"""),0.343364922550311)</f>
        <v>0.34336492255031098</v>
      </c>
      <c r="O609" s="17">
        <f ca="1">IFERROR(__xludf.DUMMYFUNCTION("""COMPUTED_VALUE"""),0.845983086006169)</f>
        <v>0.845983086006169</v>
      </c>
      <c r="P609" s="17">
        <f ca="1">IFERROR(__xludf.DUMMYFUNCTION("""COMPUTED_VALUE"""),1.03460943189638)</f>
        <v>1.0346094318963801</v>
      </c>
      <c r="Q609" s="17">
        <f ca="1">IFERROR(__xludf.DUMMYFUNCTION("""COMPUTED_VALUE"""),0.344548977711205)</f>
        <v>0.34454897771120502</v>
      </c>
      <c r="R609" s="17">
        <f ca="1">IFERROR(__xludf.DUMMYFUNCTION("""COMPUTED_VALUE"""),0.768104935137608)</f>
        <v>0.76810493513760802</v>
      </c>
      <c r="S609" s="17">
        <f ca="1">IFERROR(__xludf.DUMMYFUNCTION("""COMPUTED_VALUE"""),0.323091328055501)</f>
        <v>0.323091328055501</v>
      </c>
      <c r="T609" s="17">
        <f ca="1">IFERROR(__xludf.DUMMYFUNCTION("""COMPUTED_VALUE"""),0.344645613289933)</f>
        <v>0.34464561328993298</v>
      </c>
      <c r="U609" s="17">
        <f ca="1">IFERROR(__xludf.DUMMYFUNCTION("""COMPUTED_VALUE"""),0.321775217736484)</f>
        <v>0.32177521773648399</v>
      </c>
      <c r="V609" s="17">
        <f ca="1">IFERROR(__xludf.DUMMYFUNCTION("""COMPUTED_VALUE"""),0.323858566452076)</f>
        <v>0.323858566452076</v>
      </c>
      <c r="W609" s="17">
        <f ca="1">IFERROR(__xludf.DUMMYFUNCTION("""COMPUTED_VALUE"""),0.432252468084492)</f>
        <v>0.43225246808449203</v>
      </c>
      <c r="X609" s="17">
        <f ca="1">IFERROR(__xludf.DUMMYFUNCTION("""COMPUTED_VALUE"""),0.312882338652525)</f>
        <v>0.31288233865252502</v>
      </c>
      <c r="Y609" s="17">
        <f ca="1">IFERROR(__xludf.DUMMYFUNCTION("""COMPUTED_VALUE"""),0.302891882422705)</f>
        <v>0.30289188242270498</v>
      </c>
      <c r="Z609" s="17">
        <f ca="1">IFERROR(__xludf.DUMMYFUNCTION("""COMPUTED_VALUE"""),0.60192605873413)</f>
        <v>0.60192605873412997</v>
      </c>
      <c r="AA609" s="17">
        <f ca="1">IFERROR(__xludf.DUMMYFUNCTION("""COMPUTED_VALUE"""),0.323201407575585)</f>
        <v>0.32320140757558502</v>
      </c>
      <c r="AB609" s="17">
        <f ca="1">IFERROR(__xludf.DUMMYFUNCTION("""COMPUTED_VALUE"""),0.378415693370248)</f>
        <v>0.378415693370248</v>
      </c>
      <c r="AC609" s="17">
        <f ca="1">IFERROR(__xludf.DUMMYFUNCTION("""COMPUTED_VALUE"""),0.582157848190673)</f>
        <v>0.58215784819067296</v>
      </c>
      <c r="AD609" s="17">
        <f ca="1">IFERROR(__xludf.DUMMYFUNCTION("""COMPUTED_VALUE"""),0.3137806889611)</f>
        <v>0.31378068896110001</v>
      </c>
      <c r="AE609" s="17">
        <f ca="1">IFERROR(__xludf.DUMMYFUNCTION("""COMPUTED_VALUE"""),0.956683180789507)</f>
        <v>0.95668318078950698</v>
      </c>
      <c r="AF609" s="17">
        <f ca="1">IFERROR(__xludf.DUMMYFUNCTION("""COMPUTED_VALUE"""),0.579221813248673)</f>
        <v>0.57922181324867295</v>
      </c>
      <c r="AG609" s="17">
        <f ca="1">IFERROR(__xludf.DUMMYFUNCTION("""COMPUTED_VALUE"""),1.02563961928461)</f>
        <v>1.02563961928461</v>
      </c>
      <c r="AH609" s="17">
        <f ca="1">IFERROR(__xludf.DUMMYFUNCTION("""COMPUTED_VALUE"""),0.953930520582049)</f>
        <v>0.95393052058204897</v>
      </c>
      <c r="AI609" s="17" t="str">
        <f ca="1">IFERROR(__xludf.DUMMYFUNCTION("""COMPUTED_VALUE"""),"nan")</f>
        <v>nan</v>
      </c>
      <c r="AJ609" s="17">
        <f ca="1">IFERROR(__xludf.DUMMYFUNCTION("""COMPUTED_VALUE"""),1.16018026260461)</f>
        <v>1.16018026260461</v>
      </c>
    </row>
    <row r="610" spans="2:36" ht="15.75" customHeight="1" x14ac:dyDescent="0.45">
      <c r="B610" s="10" t="str">
        <f ca="1">IFERROR(__xludf.DUMMYFUNCTION("""COMPUTED_VALUE"""),"PhalangesOutlinesCorrect")</f>
        <v>PhalangesOutlinesCorrect</v>
      </c>
      <c r="C610" s="10" t="str">
        <f ca="1">IFERROR(__xludf.DUMMYFUNCTION("""COMPUTED_VALUE"""),"aligned_timestamps")</f>
        <v>aligned_timestamps</v>
      </c>
      <c r="D610" s="10">
        <f ca="1">IFERROR(__xludf.DUMMYFUNCTION("""COMPUTED_VALUE"""),0.6)</f>
        <v>0.6</v>
      </c>
      <c r="E610" s="17">
        <f ca="1">IFERROR(__xludf.DUMMYFUNCTION("""COMPUTED_VALUE"""),1.04526528893982)</f>
        <v>1.04526528893982</v>
      </c>
      <c r="F610" s="17">
        <f ca="1">IFERROR(__xludf.DUMMYFUNCTION("""COMPUTED_VALUE"""),0.278098418104425)</f>
        <v>0.27809841810442498</v>
      </c>
      <c r="G610" s="17">
        <f ca="1">IFERROR(__xludf.DUMMYFUNCTION("""COMPUTED_VALUE"""),0.689871828647419)</f>
        <v>0.68987182864741903</v>
      </c>
      <c r="H610" s="17">
        <f ca="1">IFERROR(__xludf.DUMMYFUNCTION("""COMPUTED_VALUE"""),0.33960766049085)</f>
        <v>0.33960766049085001</v>
      </c>
      <c r="I610" s="17">
        <f ca="1">IFERROR(__xludf.DUMMYFUNCTION("""COMPUTED_VALUE"""),0.369375250116492)</f>
        <v>0.36937525011649203</v>
      </c>
      <c r="J610" s="17">
        <f ca="1">IFERROR(__xludf.DUMMYFUNCTION("""COMPUTED_VALUE"""),1.13135969846316)</f>
        <v>1.13135969846316</v>
      </c>
      <c r="K610" s="17" t="str">
        <f ca="1">IFERROR(__xludf.DUMMYFUNCTION("""COMPUTED_VALUE"""),"nan")</f>
        <v>nan</v>
      </c>
      <c r="L610" s="17">
        <f ca="1">IFERROR(__xludf.DUMMYFUNCTION("""COMPUTED_VALUE"""),0.292710941909724)</f>
        <v>0.29271094190972402</v>
      </c>
      <c r="M610" s="17">
        <f ca="1">IFERROR(__xludf.DUMMYFUNCTION("""COMPUTED_VALUE"""),1.29402528869002)</f>
        <v>1.2940252886900201</v>
      </c>
      <c r="N610" s="17">
        <f ca="1">IFERROR(__xludf.DUMMYFUNCTION("""COMPUTED_VALUE"""),0.350385232051506)</f>
        <v>0.35038523205150601</v>
      </c>
      <c r="O610" s="17">
        <f ca="1">IFERROR(__xludf.DUMMYFUNCTION("""COMPUTED_VALUE"""),0.82005197748905)</f>
        <v>0.82005197748905001</v>
      </c>
      <c r="P610" s="17">
        <f ca="1">IFERROR(__xludf.DUMMYFUNCTION("""COMPUTED_VALUE"""),1.64752020805851)</f>
        <v>1.6475202080585101</v>
      </c>
      <c r="Q610" s="17">
        <f ca="1">IFERROR(__xludf.DUMMYFUNCTION("""COMPUTED_VALUE"""),0.333136550620936)</f>
        <v>0.333136550620936</v>
      </c>
      <c r="R610" s="17">
        <f ca="1">IFERROR(__xludf.DUMMYFUNCTION("""COMPUTED_VALUE"""),0.914622682750067)</f>
        <v>0.91462268275006697</v>
      </c>
      <c r="S610" s="17">
        <f ca="1">IFERROR(__xludf.DUMMYFUNCTION("""COMPUTED_VALUE"""),1.22681980951465)</f>
        <v>1.2268198095146501</v>
      </c>
      <c r="T610" s="17">
        <f ca="1">IFERROR(__xludf.DUMMYFUNCTION("""COMPUTED_VALUE"""),0.686466314559279)</f>
        <v>0.68646631455927898</v>
      </c>
      <c r="U610" s="17">
        <f ca="1">IFERROR(__xludf.DUMMYFUNCTION("""COMPUTED_VALUE"""),0.768111038395978)</f>
        <v>0.76811103839597805</v>
      </c>
      <c r="V610" s="17">
        <f ca="1">IFERROR(__xludf.DUMMYFUNCTION("""COMPUTED_VALUE"""),1.06350943476658)</f>
        <v>1.0635094347665801</v>
      </c>
      <c r="W610" s="17">
        <f ca="1">IFERROR(__xludf.DUMMYFUNCTION("""COMPUTED_VALUE"""),0.49385538004316)</f>
        <v>0.49385538004315999</v>
      </c>
      <c r="X610" s="17">
        <f ca="1">IFERROR(__xludf.DUMMYFUNCTION("""COMPUTED_VALUE"""),0.311767206355796)</f>
        <v>0.31176720635579602</v>
      </c>
      <c r="Y610" s="17">
        <f ca="1">IFERROR(__xludf.DUMMYFUNCTION("""COMPUTED_VALUE"""),0.291881894951059)</f>
        <v>0.29188189495105898</v>
      </c>
      <c r="Z610" s="17">
        <f ca="1">IFERROR(__xludf.DUMMYFUNCTION("""COMPUTED_VALUE"""),0.873629895791686)</f>
        <v>0.87362989579168604</v>
      </c>
      <c r="AA610" s="17">
        <f ca="1">IFERROR(__xludf.DUMMYFUNCTION("""COMPUTED_VALUE"""),1.21375869569732)</f>
        <v>1.2137586956973201</v>
      </c>
      <c r="AB610" s="17">
        <f ca="1">IFERROR(__xludf.DUMMYFUNCTION("""COMPUTED_VALUE"""),1.75386817767898)</f>
        <v>1.75386817767898</v>
      </c>
      <c r="AC610" s="17">
        <f ca="1">IFERROR(__xludf.DUMMYFUNCTION("""COMPUTED_VALUE"""),0.5774202973465)</f>
        <v>0.57742029734650002</v>
      </c>
      <c r="AD610" s="17">
        <f ca="1">IFERROR(__xludf.DUMMYFUNCTION("""COMPUTED_VALUE"""),0.36466824214247)</f>
        <v>0.36466824214247001</v>
      </c>
      <c r="AE610" s="17">
        <f ca="1">IFERROR(__xludf.DUMMYFUNCTION("""COMPUTED_VALUE"""),0.8698245344337)</f>
        <v>0.8698245344337</v>
      </c>
      <c r="AF610" s="17">
        <f ca="1">IFERROR(__xludf.DUMMYFUNCTION("""COMPUTED_VALUE"""),1.4251406012393)</f>
        <v>1.4251406012393</v>
      </c>
      <c r="AG610" s="17">
        <f ca="1">IFERROR(__xludf.DUMMYFUNCTION("""COMPUTED_VALUE"""),1.08111424359851)</f>
        <v>1.0811142435985099</v>
      </c>
      <c r="AH610" s="17">
        <f ca="1">IFERROR(__xludf.DUMMYFUNCTION("""COMPUTED_VALUE"""),1.09213744770727)</f>
        <v>1.0921374477072701</v>
      </c>
      <c r="AI610" s="17" t="str">
        <f ca="1">IFERROR(__xludf.DUMMYFUNCTION("""COMPUTED_VALUE"""),"nan")</f>
        <v>nan</v>
      </c>
      <c r="AJ610" s="17">
        <f ca="1">IFERROR(__xludf.DUMMYFUNCTION("""COMPUTED_VALUE"""),1.13671671489805)</f>
        <v>1.1367167148980499</v>
      </c>
    </row>
    <row r="611" spans="2:36" ht="15.75" customHeight="1" x14ac:dyDescent="0.45">
      <c r="B611" s="10" t="str">
        <f ca="1">IFERROR(__xludf.DUMMYFUNCTION("""COMPUTED_VALUE"""),"PhalangesOutlinesCorrect")</f>
        <v>PhalangesOutlinesCorrect</v>
      </c>
      <c r="C611" s="10" t="str">
        <f ca="1">IFERROR(__xludf.DUMMYFUNCTION("""COMPUTED_VALUE"""),"aligned_timestamps")</f>
        <v>aligned_timestamps</v>
      </c>
      <c r="D611" s="10">
        <f ca="1">IFERROR(__xludf.DUMMYFUNCTION("""COMPUTED_VALUE"""),0.8)</f>
        <v>0.8</v>
      </c>
      <c r="E611" s="17">
        <f ca="1">IFERROR(__xludf.DUMMYFUNCTION("""COMPUTED_VALUE"""),1.00987430544318)</f>
        <v>1.00987430544318</v>
      </c>
      <c r="F611" s="17">
        <f ca="1">IFERROR(__xludf.DUMMYFUNCTION("""COMPUTED_VALUE"""),0.279171504349019)</f>
        <v>0.279171504349019</v>
      </c>
      <c r="G611" s="17">
        <f ca="1">IFERROR(__xludf.DUMMYFUNCTION("""COMPUTED_VALUE"""),0.32348486231178)</f>
        <v>0.32348486231177997</v>
      </c>
      <c r="H611" s="17">
        <f ca="1">IFERROR(__xludf.DUMMYFUNCTION("""COMPUTED_VALUE"""),0.349519542145723)</f>
        <v>0.34951954214572301</v>
      </c>
      <c r="I611" s="17">
        <f ca="1">IFERROR(__xludf.DUMMYFUNCTION("""COMPUTED_VALUE"""),0.558674015589217)</f>
        <v>0.55867401558921703</v>
      </c>
      <c r="J611" s="17">
        <f ca="1">IFERROR(__xludf.DUMMYFUNCTION("""COMPUTED_VALUE"""),0.997321988492256)</f>
        <v>0.99732198849225595</v>
      </c>
      <c r="K611" s="17" t="str">
        <f ca="1">IFERROR(__xludf.DUMMYFUNCTION("""COMPUTED_VALUE"""),"nan")</f>
        <v>nan</v>
      </c>
      <c r="L611" s="17">
        <f ca="1">IFERROR(__xludf.DUMMYFUNCTION("""COMPUTED_VALUE"""),0.309761025158318)</f>
        <v>0.30976102515831799</v>
      </c>
      <c r="M611" s="17">
        <f ca="1">IFERROR(__xludf.DUMMYFUNCTION("""COMPUTED_VALUE"""),1.15750744929431)</f>
        <v>1.15750744929431</v>
      </c>
      <c r="N611" s="17">
        <f ca="1">IFERROR(__xludf.DUMMYFUNCTION("""COMPUTED_VALUE"""),0.400529345079986)</f>
        <v>0.400529345079986</v>
      </c>
      <c r="O611" s="17">
        <f ca="1">IFERROR(__xludf.DUMMYFUNCTION("""COMPUTED_VALUE"""),0.835522662670699)</f>
        <v>0.83552266267069897</v>
      </c>
      <c r="P611" s="17">
        <f ca="1">IFERROR(__xludf.DUMMYFUNCTION("""COMPUTED_VALUE"""),1.496027124328)</f>
        <v>1.4960271243279999</v>
      </c>
      <c r="Q611" s="17">
        <f ca="1">IFERROR(__xludf.DUMMYFUNCTION("""COMPUTED_VALUE"""),0.346611510667036)</f>
        <v>0.34661151066703599</v>
      </c>
      <c r="R611" s="17">
        <f ca="1">IFERROR(__xludf.DUMMYFUNCTION("""COMPUTED_VALUE"""),0.738568305559219)</f>
        <v>0.73856830555921904</v>
      </c>
      <c r="S611" s="17">
        <f ca="1">IFERROR(__xludf.DUMMYFUNCTION("""COMPUTED_VALUE"""),1.08591416298967)</f>
        <v>1.08591416298967</v>
      </c>
      <c r="T611" s="17">
        <f ca="1">IFERROR(__xludf.DUMMYFUNCTION("""COMPUTED_VALUE"""),0.670155313842858)</f>
        <v>0.67015531384285798</v>
      </c>
      <c r="U611" s="17">
        <f ca="1">IFERROR(__xludf.DUMMYFUNCTION("""COMPUTED_VALUE"""),1.11376254988608)</f>
        <v>1.1137625498860799</v>
      </c>
      <c r="V611" s="17">
        <f ca="1">IFERROR(__xludf.DUMMYFUNCTION("""COMPUTED_VALUE"""),1.22931676624883)</f>
        <v>1.22931676624883</v>
      </c>
      <c r="W611" s="17">
        <f ca="1">IFERROR(__xludf.DUMMYFUNCTION("""COMPUTED_VALUE"""),0.575631591941404)</f>
        <v>0.57563159194140401</v>
      </c>
      <c r="X611" s="17">
        <f ca="1">IFERROR(__xludf.DUMMYFUNCTION("""COMPUTED_VALUE"""),0.344223823168177)</f>
        <v>0.34422382316817701</v>
      </c>
      <c r="Y611" s="17">
        <f ca="1">IFERROR(__xludf.DUMMYFUNCTION("""COMPUTED_VALUE"""),0.325920327611179)</f>
        <v>0.32592032761117901</v>
      </c>
      <c r="Z611" s="17">
        <f ca="1">IFERROR(__xludf.DUMMYFUNCTION("""COMPUTED_VALUE"""),1.00882105457242)</f>
        <v>1.0088210545724201</v>
      </c>
      <c r="AA611" s="17">
        <f ca="1">IFERROR(__xludf.DUMMYFUNCTION("""COMPUTED_VALUE"""),1.20467432678864)</f>
        <v>1.2046743267886399</v>
      </c>
      <c r="AB611" s="17">
        <f ca="1">IFERROR(__xludf.DUMMYFUNCTION("""COMPUTED_VALUE"""),1.48343177010694)</f>
        <v>1.4834317701069399</v>
      </c>
      <c r="AC611" s="17">
        <f ca="1">IFERROR(__xludf.DUMMYFUNCTION("""COMPUTED_VALUE"""),0.686195862492624)</f>
        <v>0.68619586249262399</v>
      </c>
      <c r="AD611" s="17">
        <f ca="1">IFERROR(__xludf.DUMMYFUNCTION("""COMPUTED_VALUE"""),0.389564413740253)</f>
        <v>0.38956441374025302</v>
      </c>
      <c r="AE611" s="17" t="str">
        <f ca="1">IFERROR(__xludf.DUMMYFUNCTION("""COMPUTED_VALUE"""),"nan")</f>
        <v>nan</v>
      </c>
      <c r="AF611" s="17">
        <f ca="1">IFERROR(__xludf.DUMMYFUNCTION("""COMPUTED_VALUE"""),1.23798409288672)</f>
        <v>1.2379840928867201</v>
      </c>
      <c r="AG611" s="17">
        <f ca="1">IFERROR(__xludf.DUMMYFUNCTION("""COMPUTED_VALUE"""),1.16041023285806)</f>
        <v>1.1604102328580601</v>
      </c>
      <c r="AH611" s="17">
        <f ca="1">IFERROR(__xludf.DUMMYFUNCTION("""COMPUTED_VALUE"""),1.10551057299505)</f>
        <v>1.1055105729950501</v>
      </c>
      <c r="AI611" s="17" t="str">
        <f ca="1">IFERROR(__xludf.DUMMYFUNCTION("""COMPUTED_VALUE"""),"nan")</f>
        <v>nan</v>
      </c>
      <c r="AJ611" s="17">
        <f ca="1">IFERROR(__xludf.DUMMYFUNCTION("""COMPUTED_VALUE"""),1.05544361134921)</f>
        <v>1.0554436113492101</v>
      </c>
    </row>
    <row r="612" spans="2:36" ht="15.75" customHeight="1" x14ac:dyDescent="0.45">
      <c r="B612" s="10" t="str">
        <f ca="1">IFERROR(__xludf.DUMMYFUNCTION("""COMPUTED_VALUE"""),"PhalangesOutlinesCorrect")</f>
        <v>PhalangesOutlinesCorrect</v>
      </c>
      <c r="C612" s="10" t="str">
        <f ca="1">IFERROR(__xludf.DUMMYFUNCTION("""COMPUTED_VALUE"""),"mcar")</f>
        <v>mcar</v>
      </c>
      <c r="D612" s="10">
        <f ca="1">IFERROR(__xludf.DUMMYFUNCTION("""COMPUTED_VALUE"""),0.1)</f>
        <v>0.1</v>
      </c>
      <c r="E612" s="17">
        <f ca="1">IFERROR(__xludf.DUMMYFUNCTION("""COMPUTED_VALUE"""),1.02121943736014)</f>
        <v>1.02121943736014</v>
      </c>
      <c r="F612" s="17">
        <f ca="1">IFERROR(__xludf.DUMMYFUNCTION("""COMPUTED_VALUE"""),0.178053071232268)</f>
        <v>0.17805307123226799</v>
      </c>
      <c r="G612" s="17">
        <f ca="1">IFERROR(__xludf.DUMMYFUNCTION("""COMPUTED_VALUE"""),0.176628803684917)</f>
        <v>0.17662880368491701</v>
      </c>
      <c r="H612" s="17">
        <f ca="1">IFERROR(__xludf.DUMMYFUNCTION("""COMPUTED_VALUE"""),0.235373499637318)</f>
        <v>0.23537349963731799</v>
      </c>
      <c r="I612" s="17">
        <f ca="1">IFERROR(__xludf.DUMMYFUNCTION("""COMPUTED_VALUE"""),0.0832299103646233)</f>
        <v>8.3229910364623294E-2</v>
      </c>
      <c r="J612" s="17">
        <f ca="1">IFERROR(__xludf.DUMMYFUNCTION("""COMPUTED_VALUE"""),0.161177824827999)</f>
        <v>0.161177824827999</v>
      </c>
      <c r="K612" s="17" t="str">
        <f ca="1">IFERROR(__xludf.DUMMYFUNCTION("""COMPUTED_VALUE"""),"nan")</f>
        <v>nan</v>
      </c>
      <c r="L612" s="17">
        <f ca="1">IFERROR(__xludf.DUMMYFUNCTION("""COMPUTED_VALUE"""),0.17295423115042)</f>
        <v>0.17295423115042</v>
      </c>
      <c r="M612" s="17">
        <f ca="1">IFERROR(__xludf.DUMMYFUNCTION("""COMPUTED_VALUE"""),0.178434718995975)</f>
        <v>0.17843471899597499</v>
      </c>
      <c r="N612" s="17">
        <f ca="1">IFERROR(__xludf.DUMMYFUNCTION("""COMPUTED_VALUE"""),0.139401180500745)</f>
        <v>0.13940118050074499</v>
      </c>
      <c r="O612" s="17">
        <f ca="1">IFERROR(__xludf.DUMMYFUNCTION("""COMPUTED_VALUE"""),0.156927215196941)</f>
        <v>0.156927215196941</v>
      </c>
      <c r="P612" s="17">
        <f ca="1">IFERROR(__xludf.DUMMYFUNCTION("""COMPUTED_VALUE"""),0.613033658231204)</f>
        <v>0.61303365823120404</v>
      </c>
      <c r="Q612" s="17">
        <f ca="1">IFERROR(__xludf.DUMMYFUNCTION("""COMPUTED_VALUE"""),0.306499872962202)</f>
        <v>0.30649987296220199</v>
      </c>
      <c r="R612" s="17">
        <f ca="1">IFERROR(__xludf.DUMMYFUNCTION("""COMPUTED_VALUE"""),0.0711639023804475)</f>
        <v>7.1163902380447494E-2</v>
      </c>
      <c r="S612" s="17">
        <f ca="1">IFERROR(__xludf.DUMMYFUNCTION("""COMPUTED_VALUE"""),1.01733605605067)</f>
        <v>1.0173360560506699</v>
      </c>
      <c r="T612" s="17">
        <f ca="1">IFERROR(__xludf.DUMMYFUNCTION("""COMPUTED_VALUE"""),0.260918786147561)</f>
        <v>0.26091878614756098</v>
      </c>
      <c r="U612" s="17">
        <f ca="1">IFERROR(__xludf.DUMMYFUNCTION("""COMPUTED_VALUE"""),0.135525219028816)</f>
        <v>0.13552521902881601</v>
      </c>
      <c r="V612" s="17">
        <f ca="1">IFERROR(__xludf.DUMMYFUNCTION("""COMPUTED_VALUE"""),0.166776210299554)</f>
        <v>0.166776210299554</v>
      </c>
      <c r="W612" s="17">
        <f ca="1">IFERROR(__xludf.DUMMYFUNCTION("""COMPUTED_VALUE"""),0.354710223948213)</f>
        <v>0.354710223948213</v>
      </c>
      <c r="X612" s="17">
        <f ca="1">IFERROR(__xludf.DUMMYFUNCTION("""COMPUTED_VALUE"""),0.240095757164572)</f>
        <v>0.24009575716457199</v>
      </c>
      <c r="Y612" s="17">
        <f ca="1">IFERROR(__xludf.DUMMYFUNCTION("""COMPUTED_VALUE"""),0.237168825335859)</f>
        <v>0.23716882533585901</v>
      </c>
      <c r="Z612" s="17">
        <f ca="1">IFERROR(__xludf.DUMMYFUNCTION("""COMPUTED_VALUE"""),0.227943083298602)</f>
        <v>0.227943083298602</v>
      </c>
      <c r="AA612" s="17">
        <f ca="1">IFERROR(__xludf.DUMMYFUNCTION("""COMPUTED_VALUE"""),0.0888110023494518)</f>
        <v>8.8811002349451801E-2</v>
      </c>
      <c r="AB612" s="17">
        <f ca="1">IFERROR(__xludf.DUMMYFUNCTION("""COMPUTED_VALUE"""),0.180274637994455)</f>
        <v>0.18027463799445501</v>
      </c>
      <c r="AC612" s="17">
        <f ca="1">IFERROR(__xludf.DUMMYFUNCTION("""COMPUTED_VALUE"""),0.550516646791066)</f>
        <v>0.55051664679106604</v>
      </c>
      <c r="AD612" s="17">
        <f ca="1">IFERROR(__xludf.DUMMYFUNCTION("""COMPUTED_VALUE"""),0.295343869091844)</f>
        <v>0.29534386909184401</v>
      </c>
      <c r="AE612" s="17">
        <f ca="1">IFERROR(__xludf.DUMMYFUNCTION("""COMPUTED_VALUE"""),0.786741959833867)</f>
        <v>0.78674195983386697</v>
      </c>
      <c r="AF612" s="17">
        <f ca="1">IFERROR(__xludf.DUMMYFUNCTION("""COMPUTED_VALUE"""),0.621506133565074)</f>
        <v>0.621506133565074</v>
      </c>
      <c r="AG612" s="17">
        <f ca="1">IFERROR(__xludf.DUMMYFUNCTION("""COMPUTED_VALUE"""),0.875452068615946)</f>
        <v>0.87545206861594604</v>
      </c>
      <c r="AH612" s="17">
        <f ca="1">IFERROR(__xludf.DUMMYFUNCTION("""COMPUTED_VALUE"""),0.557547780895431)</f>
        <v>0.557547780895431</v>
      </c>
      <c r="AI612" s="17">
        <f ca="1">IFERROR(__xludf.DUMMYFUNCTION("""COMPUTED_VALUE"""),0.339346284823543)</f>
        <v>0.33934628482354301</v>
      </c>
      <c r="AJ612" s="17">
        <f ca="1">IFERROR(__xludf.DUMMYFUNCTION("""COMPUTED_VALUE"""),0.48293214686633)</f>
        <v>0.48293214686633001</v>
      </c>
    </row>
    <row r="613" spans="2:36" ht="15.75" customHeight="1" x14ac:dyDescent="0.45">
      <c r="B613" s="10" t="str">
        <f ca="1">IFERROR(__xludf.DUMMYFUNCTION("""COMPUTED_VALUE"""),"PhalangesOutlinesCorrect")</f>
        <v>PhalangesOutlinesCorrect</v>
      </c>
      <c r="C613" s="10" t="str">
        <f ca="1">IFERROR(__xludf.DUMMYFUNCTION("""COMPUTED_VALUE"""),"mcar")</f>
        <v>mcar</v>
      </c>
      <c r="D613" s="10">
        <f ca="1">IFERROR(__xludf.DUMMYFUNCTION("""COMPUTED_VALUE"""),0.2)</f>
        <v>0.2</v>
      </c>
      <c r="E613" s="17">
        <f ca="1">IFERROR(__xludf.DUMMYFUNCTION("""COMPUTED_VALUE"""),1.03615977249945)</f>
        <v>1.03615977249945</v>
      </c>
      <c r="F613" s="17">
        <f ca="1">IFERROR(__xludf.DUMMYFUNCTION("""COMPUTED_VALUE"""),0.17241378957923)</f>
        <v>0.17241378957923001</v>
      </c>
      <c r="G613" s="17">
        <f ca="1">IFERROR(__xludf.DUMMYFUNCTION("""COMPUTED_VALUE"""),0.170842136711216)</f>
        <v>0.17084213671121601</v>
      </c>
      <c r="H613" s="17">
        <f ca="1">IFERROR(__xludf.DUMMYFUNCTION("""COMPUTED_VALUE"""),0.246358246106892)</f>
        <v>0.246358246106892</v>
      </c>
      <c r="I613" s="17">
        <f ca="1">IFERROR(__xludf.DUMMYFUNCTION("""COMPUTED_VALUE"""),0.0932668203831322)</f>
        <v>9.3266820383132207E-2</v>
      </c>
      <c r="J613" s="17">
        <f ca="1">IFERROR(__xludf.DUMMYFUNCTION("""COMPUTED_VALUE"""),0.142035922116597)</f>
        <v>0.14203592211659699</v>
      </c>
      <c r="K613" s="17" t="str">
        <f ca="1">IFERROR(__xludf.DUMMYFUNCTION("""COMPUTED_VALUE"""),"nan")</f>
        <v>nan</v>
      </c>
      <c r="L613" s="17">
        <f ca="1">IFERROR(__xludf.DUMMYFUNCTION("""COMPUTED_VALUE"""),0.166017243336611)</f>
        <v>0.166017243336611</v>
      </c>
      <c r="M613" s="17">
        <f ca="1">IFERROR(__xludf.DUMMYFUNCTION("""COMPUTED_VALUE"""),0.177692430147485)</f>
        <v>0.17769243014748501</v>
      </c>
      <c r="N613" s="17">
        <f ca="1">IFERROR(__xludf.DUMMYFUNCTION("""COMPUTED_VALUE"""),0.209675789843015)</f>
        <v>0.20967578984301499</v>
      </c>
      <c r="O613" s="17">
        <f ca="1">IFERROR(__xludf.DUMMYFUNCTION("""COMPUTED_VALUE"""),0.143733737093233)</f>
        <v>0.143733737093233</v>
      </c>
      <c r="P613" s="17">
        <f ca="1">IFERROR(__xludf.DUMMYFUNCTION("""COMPUTED_VALUE"""),0.661659202739478)</f>
        <v>0.66165920273947798</v>
      </c>
      <c r="Q613" s="17">
        <f ca="1">IFERROR(__xludf.DUMMYFUNCTION("""COMPUTED_VALUE"""),0.304734614148237)</f>
        <v>0.30473461414823699</v>
      </c>
      <c r="R613" s="17">
        <f ca="1">IFERROR(__xludf.DUMMYFUNCTION("""COMPUTED_VALUE"""),0.113546675845451)</f>
        <v>0.113546675845451</v>
      </c>
      <c r="S613" s="17">
        <f ca="1">IFERROR(__xludf.DUMMYFUNCTION("""COMPUTED_VALUE"""),1.04208959026)</f>
        <v>1.04208959026</v>
      </c>
      <c r="T613" s="17">
        <f ca="1">IFERROR(__xludf.DUMMYFUNCTION("""COMPUTED_VALUE"""),0.239472345416779)</f>
        <v>0.239472345416779</v>
      </c>
      <c r="U613" s="17">
        <f ca="1">IFERROR(__xludf.DUMMYFUNCTION("""COMPUTED_VALUE"""),0.139911758101209)</f>
        <v>0.13991175810120901</v>
      </c>
      <c r="V613" s="17">
        <f ca="1">IFERROR(__xludf.DUMMYFUNCTION("""COMPUTED_VALUE"""),0.199227984136569)</f>
        <v>0.199227984136569</v>
      </c>
      <c r="W613" s="17">
        <f ca="1">IFERROR(__xludf.DUMMYFUNCTION("""COMPUTED_VALUE"""),0.367111838153845)</f>
        <v>0.36711183815384502</v>
      </c>
      <c r="X613" s="17">
        <f ca="1">IFERROR(__xludf.DUMMYFUNCTION("""COMPUTED_VALUE"""),0.236779404572983)</f>
        <v>0.23677940457298299</v>
      </c>
      <c r="Y613" s="17">
        <f ca="1">IFERROR(__xludf.DUMMYFUNCTION("""COMPUTED_VALUE"""),0.227647020006371)</f>
        <v>0.22764702000637099</v>
      </c>
      <c r="Z613" s="17">
        <f ca="1">IFERROR(__xludf.DUMMYFUNCTION("""COMPUTED_VALUE"""),0.36532691347613)</f>
        <v>0.36532691347613</v>
      </c>
      <c r="AA613" s="17">
        <f ca="1">IFERROR(__xludf.DUMMYFUNCTION("""COMPUTED_VALUE"""),0.0955156226383169)</f>
        <v>9.5515622638316894E-2</v>
      </c>
      <c r="AB613" s="17">
        <f ca="1">IFERROR(__xludf.DUMMYFUNCTION("""COMPUTED_VALUE"""),0.185377857999401)</f>
        <v>0.18537785799940101</v>
      </c>
      <c r="AC613" s="17">
        <f ca="1">IFERROR(__xludf.DUMMYFUNCTION("""COMPUTED_VALUE"""),0.5770598104979)</f>
        <v>0.57705981049790001</v>
      </c>
      <c r="AD613" s="17">
        <f ca="1">IFERROR(__xludf.DUMMYFUNCTION("""COMPUTED_VALUE"""),0.366429568149519)</f>
        <v>0.36642956814951899</v>
      </c>
      <c r="AE613" s="17">
        <f ca="1">IFERROR(__xludf.DUMMYFUNCTION("""COMPUTED_VALUE"""),0.995205669286865)</f>
        <v>0.99520566928686505</v>
      </c>
      <c r="AF613" s="17">
        <f ca="1">IFERROR(__xludf.DUMMYFUNCTION("""COMPUTED_VALUE"""),0.225441003294186)</f>
        <v>0.22544100329418601</v>
      </c>
      <c r="AG613" s="17">
        <f ca="1">IFERROR(__xludf.DUMMYFUNCTION("""COMPUTED_VALUE"""),0.905305213334155)</f>
        <v>0.90530521333415503</v>
      </c>
      <c r="AH613" s="17">
        <f ca="1">IFERROR(__xludf.DUMMYFUNCTION("""COMPUTED_VALUE"""),0.658987532138389)</f>
        <v>0.65898753213838901</v>
      </c>
      <c r="AI613" s="17">
        <f ca="1">IFERROR(__xludf.DUMMYFUNCTION("""COMPUTED_VALUE"""),0.629212683547912)</f>
        <v>0.62921268354791204</v>
      </c>
      <c r="AJ613" s="17">
        <f ca="1">IFERROR(__xludf.DUMMYFUNCTION("""COMPUTED_VALUE"""),0.539215198991851)</f>
        <v>0.539215198991851</v>
      </c>
    </row>
    <row r="614" spans="2:36" ht="15.75" customHeight="1" x14ac:dyDescent="0.45">
      <c r="B614" s="10" t="str">
        <f ca="1">IFERROR(__xludf.DUMMYFUNCTION("""COMPUTED_VALUE"""),"PhalangesOutlinesCorrect")</f>
        <v>PhalangesOutlinesCorrect</v>
      </c>
      <c r="C614" s="10" t="str">
        <f ca="1">IFERROR(__xludf.DUMMYFUNCTION("""COMPUTED_VALUE"""),"mcar")</f>
        <v>mcar</v>
      </c>
      <c r="D614" s="10">
        <f ca="1">IFERROR(__xludf.DUMMYFUNCTION("""COMPUTED_VALUE"""),0.4)</f>
        <v>0.4</v>
      </c>
      <c r="E614" s="17">
        <f ca="1">IFERROR(__xludf.DUMMYFUNCTION("""COMPUTED_VALUE"""),1.01602437788764)</f>
        <v>1.0160243778876401</v>
      </c>
      <c r="F614" s="17">
        <f ca="1">IFERROR(__xludf.DUMMYFUNCTION("""COMPUTED_VALUE"""),0.182646559716693)</f>
        <v>0.182646559716693</v>
      </c>
      <c r="G614" s="17">
        <f ca="1">IFERROR(__xludf.DUMMYFUNCTION("""COMPUTED_VALUE"""),0.180481382426195)</f>
        <v>0.18048138242619499</v>
      </c>
      <c r="H614" s="17">
        <f ca="1">IFERROR(__xludf.DUMMYFUNCTION("""COMPUTED_VALUE"""),0.255013660163032)</f>
        <v>0.25501366016303201</v>
      </c>
      <c r="I614" s="17">
        <f ca="1">IFERROR(__xludf.DUMMYFUNCTION("""COMPUTED_VALUE"""),0.126744969285039)</f>
        <v>0.12674496928503901</v>
      </c>
      <c r="J614" s="17">
        <f ca="1">IFERROR(__xludf.DUMMYFUNCTION("""COMPUTED_VALUE"""),0.191642467391374)</f>
        <v>0.191642467391374</v>
      </c>
      <c r="K614" s="17" t="str">
        <f ca="1">IFERROR(__xludf.DUMMYFUNCTION("""COMPUTED_VALUE"""),"nan")</f>
        <v>nan</v>
      </c>
      <c r="L614" s="17">
        <f ca="1">IFERROR(__xludf.DUMMYFUNCTION("""COMPUTED_VALUE"""),0.177017862346188)</f>
        <v>0.17701786234618799</v>
      </c>
      <c r="M614" s="17">
        <f ca="1">IFERROR(__xludf.DUMMYFUNCTION("""COMPUTED_VALUE"""),0.183757710696054)</f>
        <v>0.18375771069605401</v>
      </c>
      <c r="N614" s="17">
        <f ca="1">IFERROR(__xludf.DUMMYFUNCTION("""COMPUTED_VALUE"""),0.203408885526182)</f>
        <v>0.203408885526182</v>
      </c>
      <c r="O614" s="17">
        <f ca="1">IFERROR(__xludf.DUMMYFUNCTION("""COMPUTED_VALUE"""),0.152222954359101)</f>
        <v>0.15222295435910099</v>
      </c>
      <c r="P614" s="17">
        <f ca="1">IFERROR(__xludf.DUMMYFUNCTION("""COMPUTED_VALUE"""),0.703111207646804)</f>
        <v>0.70311120764680402</v>
      </c>
      <c r="Q614" s="17">
        <f ca="1">IFERROR(__xludf.DUMMYFUNCTION("""COMPUTED_VALUE"""),0.379248383709478)</f>
        <v>0.379248383709478</v>
      </c>
      <c r="R614" s="17">
        <f ca="1">IFERROR(__xludf.DUMMYFUNCTION("""COMPUTED_VALUE"""),0.134966202759738)</f>
        <v>0.134966202759738</v>
      </c>
      <c r="S614" s="17">
        <f ca="1">IFERROR(__xludf.DUMMYFUNCTION("""COMPUTED_VALUE"""),0.995036296834645)</f>
        <v>0.99503629683464501</v>
      </c>
      <c r="T614" s="17">
        <f ca="1">IFERROR(__xludf.DUMMYFUNCTION("""COMPUTED_VALUE"""),0.375681815979015)</f>
        <v>0.37568181597901501</v>
      </c>
      <c r="U614" s="17">
        <f ca="1">IFERROR(__xludf.DUMMYFUNCTION("""COMPUTED_VALUE"""),0.164921221030525)</f>
        <v>0.16492122103052501</v>
      </c>
      <c r="V614" s="17">
        <f ca="1">IFERROR(__xludf.DUMMYFUNCTION("""COMPUTED_VALUE"""),0.209329664381114)</f>
        <v>0.209329664381114</v>
      </c>
      <c r="W614" s="17">
        <f ca="1">IFERROR(__xludf.DUMMYFUNCTION("""COMPUTED_VALUE"""),0.421223220413473)</f>
        <v>0.42122322041347299</v>
      </c>
      <c r="X614" s="17">
        <f ca="1">IFERROR(__xludf.DUMMYFUNCTION("""COMPUTED_VALUE"""),0.240860671077491)</f>
        <v>0.24086067107749101</v>
      </c>
      <c r="Y614" s="17">
        <f ca="1">IFERROR(__xludf.DUMMYFUNCTION("""COMPUTED_VALUE"""),0.237077720436462)</f>
        <v>0.237077720436462</v>
      </c>
      <c r="Z614" s="17">
        <f ca="1">IFERROR(__xludf.DUMMYFUNCTION("""COMPUTED_VALUE"""),0.599967937368011)</f>
        <v>0.59996793736801102</v>
      </c>
      <c r="AA614" s="17">
        <f ca="1">IFERROR(__xludf.DUMMYFUNCTION("""COMPUTED_VALUE"""),0.129143198931327)</f>
        <v>0.129143198931327</v>
      </c>
      <c r="AB614" s="17">
        <f ca="1">IFERROR(__xludf.DUMMYFUNCTION("""COMPUTED_VALUE"""),0.223826245476766)</f>
        <v>0.22382624547676599</v>
      </c>
      <c r="AC614" s="17">
        <f ca="1">IFERROR(__xludf.DUMMYFUNCTION("""COMPUTED_VALUE"""),0.508838977025045)</f>
        <v>0.50883897702504499</v>
      </c>
      <c r="AD614" s="17">
        <f ca="1">IFERROR(__xludf.DUMMYFUNCTION("""COMPUTED_VALUE"""),0.379549492649137)</f>
        <v>0.37954949264913701</v>
      </c>
      <c r="AE614" s="17">
        <f ca="1">IFERROR(__xludf.DUMMYFUNCTION("""COMPUTED_VALUE"""),1.14841937470768)</f>
        <v>1.1484193747076801</v>
      </c>
      <c r="AF614" s="17">
        <f ca="1">IFERROR(__xludf.DUMMYFUNCTION("""COMPUTED_VALUE"""),0.377819902679282)</f>
        <v>0.377819902679282</v>
      </c>
      <c r="AG614" s="17">
        <f ca="1">IFERROR(__xludf.DUMMYFUNCTION("""COMPUTED_VALUE"""),0.972597226136098)</f>
        <v>0.972597226136098</v>
      </c>
      <c r="AH614" s="17">
        <f ca="1">IFERROR(__xludf.DUMMYFUNCTION("""COMPUTED_VALUE"""),0.822405977775098)</f>
        <v>0.82240597777509805</v>
      </c>
      <c r="AI614" s="17" t="str">
        <f ca="1">IFERROR(__xludf.DUMMYFUNCTION("""COMPUTED_VALUE"""),"nan")</f>
        <v>nan</v>
      </c>
      <c r="AJ614" s="17">
        <f ca="1">IFERROR(__xludf.DUMMYFUNCTION("""COMPUTED_VALUE"""),0.675845357111289)</f>
        <v>0.67584535711128901</v>
      </c>
    </row>
    <row r="615" spans="2:36" ht="15.75" customHeight="1" x14ac:dyDescent="0.45">
      <c r="B615" s="10" t="str">
        <f ca="1">IFERROR(__xludf.DUMMYFUNCTION("""COMPUTED_VALUE"""),"PhalangesOutlinesCorrect")</f>
        <v>PhalangesOutlinesCorrect</v>
      </c>
      <c r="C615" s="10" t="str">
        <f ca="1">IFERROR(__xludf.DUMMYFUNCTION("""COMPUTED_VALUE"""),"mcar")</f>
        <v>mcar</v>
      </c>
      <c r="D615" s="10">
        <f ca="1">IFERROR(__xludf.DUMMYFUNCTION("""COMPUTED_VALUE"""),0.6)</f>
        <v>0.6</v>
      </c>
      <c r="E615" s="17">
        <f ca="1">IFERROR(__xludf.DUMMYFUNCTION("""COMPUTED_VALUE"""),1.02398946287082)</f>
        <v>1.0239894628708199</v>
      </c>
      <c r="F615" s="17">
        <f ca="1">IFERROR(__xludf.DUMMYFUNCTION("""COMPUTED_VALUE"""),0.187643056271644)</f>
        <v>0.18764305627164399</v>
      </c>
      <c r="G615" s="17">
        <f ca="1">IFERROR(__xludf.DUMMYFUNCTION("""COMPUTED_VALUE"""),0.182710480268512)</f>
        <v>0.182710480268512</v>
      </c>
      <c r="H615" s="17">
        <f ca="1">IFERROR(__xludf.DUMMYFUNCTION("""COMPUTED_VALUE"""),0.243817649363088)</f>
        <v>0.243817649363088</v>
      </c>
      <c r="I615" s="17">
        <f ca="1">IFERROR(__xludf.DUMMYFUNCTION("""COMPUTED_VALUE"""),0.145121008701259)</f>
        <v>0.14512100870125899</v>
      </c>
      <c r="J615" s="17">
        <f ca="1">IFERROR(__xludf.DUMMYFUNCTION("""COMPUTED_VALUE"""),0.261819670618773)</f>
        <v>0.26181967061877298</v>
      </c>
      <c r="K615" s="17" t="str">
        <f ca="1">IFERROR(__xludf.DUMMYFUNCTION("""COMPUTED_VALUE"""),"nan")</f>
        <v>nan</v>
      </c>
      <c r="L615" s="17">
        <f ca="1">IFERROR(__xludf.DUMMYFUNCTION("""COMPUTED_VALUE"""),0.186404760686872)</f>
        <v>0.18640476068687201</v>
      </c>
      <c r="M615" s="17">
        <f ca="1">IFERROR(__xludf.DUMMYFUNCTION("""COMPUTED_VALUE"""),0.188810672851153)</f>
        <v>0.18881067285115299</v>
      </c>
      <c r="N615" s="17">
        <f ca="1">IFERROR(__xludf.DUMMYFUNCTION("""COMPUTED_VALUE"""),0.197707753911098)</f>
        <v>0.19770775391109799</v>
      </c>
      <c r="O615" s="17">
        <f ca="1">IFERROR(__xludf.DUMMYFUNCTION("""COMPUTED_VALUE"""),0.326134947548272)</f>
        <v>0.32613494754827199</v>
      </c>
      <c r="P615" s="17">
        <f ca="1">IFERROR(__xludf.DUMMYFUNCTION("""COMPUTED_VALUE"""),0.749155042215759)</f>
        <v>0.74915504221575902</v>
      </c>
      <c r="Q615" s="17">
        <f ca="1">IFERROR(__xludf.DUMMYFUNCTION("""COMPUTED_VALUE"""),0.436331529242908)</f>
        <v>0.43633152924290802</v>
      </c>
      <c r="R615" s="17">
        <f ca="1">IFERROR(__xludf.DUMMYFUNCTION("""COMPUTED_VALUE"""),0.147453422718514)</f>
        <v>0.147453422718514</v>
      </c>
      <c r="S615" s="17">
        <f ca="1">IFERROR(__xludf.DUMMYFUNCTION("""COMPUTED_VALUE"""),1.0013519101821)</f>
        <v>1.0013519101821</v>
      </c>
      <c r="T615" s="17">
        <f ca="1">IFERROR(__xludf.DUMMYFUNCTION("""COMPUTED_VALUE"""),0.519615169086693)</f>
        <v>0.51961516908669303</v>
      </c>
      <c r="U615" s="17">
        <f ca="1">IFERROR(__xludf.DUMMYFUNCTION("""COMPUTED_VALUE"""),0.186670517251191)</f>
        <v>0.18667051725119099</v>
      </c>
      <c r="V615" s="17">
        <f ca="1">IFERROR(__xludf.DUMMYFUNCTION("""COMPUTED_VALUE"""),0.274719718179491)</f>
        <v>0.27471971817949098</v>
      </c>
      <c r="W615" s="17">
        <f ca="1">IFERROR(__xludf.DUMMYFUNCTION("""COMPUTED_VALUE"""),0.378761545432058)</f>
        <v>0.37876154543205798</v>
      </c>
      <c r="X615" s="17">
        <f ca="1">IFERROR(__xludf.DUMMYFUNCTION("""COMPUTED_VALUE"""),0.241807258290192)</f>
        <v>0.24180725829019201</v>
      </c>
      <c r="Y615" s="17">
        <f ca="1">IFERROR(__xludf.DUMMYFUNCTION("""COMPUTED_VALUE"""),0.239060984804793)</f>
        <v>0.23906098480479299</v>
      </c>
      <c r="Z615" s="17">
        <f ca="1">IFERROR(__xludf.DUMMYFUNCTION("""COMPUTED_VALUE"""),0.680767957599585)</f>
        <v>0.68076795759958497</v>
      </c>
      <c r="AA615" s="17">
        <f ca="1">IFERROR(__xludf.DUMMYFUNCTION("""COMPUTED_VALUE"""),0.137267168119222)</f>
        <v>0.13726716811922199</v>
      </c>
      <c r="AB615" s="17">
        <f ca="1">IFERROR(__xludf.DUMMYFUNCTION("""COMPUTED_VALUE"""),0.287636770058081)</f>
        <v>0.28763677005808103</v>
      </c>
      <c r="AC615" s="17">
        <f ca="1">IFERROR(__xludf.DUMMYFUNCTION("""COMPUTED_VALUE"""),0.600308173175961)</f>
        <v>0.60030817317596097</v>
      </c>
      <c r="AD615" s="17">
        <f ca="1">IFERROR(__xludf.DUMMYFUNCTION("""COMPUTED_VALUE"""),0.452724344274981)</f>
        <v>0.45272434427498098</v>
      </c>
      <c r="AE615" s="17">
        <f ca="1">IFERROR(__xludf.DUMMYFUNCTION("""COMPUTED_VALUE"""),1.26615776758902)</f>
        <v>1.2661577675890201</v>
      </c>
      <c r="AF615" s="17">
        <f ca="1">IFERROR(__xludf.DUMMYFUNCTION("""COMPUTED_VALUE"""),0.440179566526371)</f>
        <v>0.44017956652637102</v>
      </c>
      <c r="AG615" s="17">
        <f ca="1">IFERROR(__xludf.DUMMYFUNCTION("""COMPUTED_VALUE"""),1.05332409673609)</f>
        <v>1.05332409673609</v>
      </c>
      <c r="AH615" s="17">
        <f ca="1">IFERROR(__xludf.DUMMYFUNCTION("""COMPUTED_VALUE"""),1.00468661537638)</f>
        <v>1.00468661537638</v>
      </c>
      <c r="AI615" s="17" t="str">
        <f ca="1">IFERROR(__xludf.DUMMYFUNCTION("""COMPUTED_VALUE"""),"nan")</f>
        <v>nan</v>
      </c>
      <c r="AJ615" s="17">
        <f ca="1">IFERROR(__xludf.DUMMYFUNCTION("""COMPUTED_VALUE"""),1.1236537087172)</f>
        <v>1.1236537087172001</v>
      </c>
    </row>
    <row r="616" spans="2:36" ht="15.75" customHeight="1" x14ac:dyDescent="0.45">
      <c r="B616" s="10" t="str">
        <f ca="1">IFERROR(__xludf.DUMMYFUNCTION("""COMPUTED_VALUE"""),"PhalangesOutlinesCorrect")</f>
        <v>PhalangesOutlinesCorrect</v>
      </c>
      <c r="C616" s="10" t="str">
        <f ca="1">IFERROR(__xludf.DUMMYFUNCTION("""COMPUTED_VALUE"""),"mcar")</f>
        <v>mcar</v>
      </c>
      <c r="D616" s="10">
        <f ca="1">IFERROR(__xludf.DUMMYFUNCTION("""COMPUTED_VALUE"""),0.8)</f>
        <v>0.8</v>
      </c>
      <c r="E616" s="17">
        <f ca="1">IFERROR(__xludf.DUMMYFUNCTION("""COMPUTED_VALUE"""),1.02032409601849)</f>
        <v>1.0203240960184901</v>
      </c>
      <c r="F616" s="17">
        <f ca="1">IFERROR(__xludf.DUMMYFUNCTION("""COMPUTED_VALUE"""),0.224736605241677)</f>
        <v>0.22473660524167699</v>
      </c>
      <c r="G616" s="17">
        <f ca="1">IFERROR(__xludf.DUMMYFUNCTION("""COMPUTED_VALUE"""),0.201440554897242)</f>
        <v>0.201440554897242</v>
      </c>
      <c r="H616" s="17">
        <f ca="1">IFERROR(__xludf.DUMMYFUNCTION("""COMPUTED_VALUE"""),0.260074386217773)</f>
        <v>0.26007438621777301</v>
      </c>
      <c r="I616" s="17">
        <f ca="1">IFERROR(__xludf.DUMMYFUNCTION("""COMPUTED_VALUE"""),0.232673836055885)</f>
        <v>0.23267383605588501</v>
      </c>
      <c r="J616" s="17">
        <f ca="1">IFERROR(__xludf.DUMMYFUNCTION("""COMPUTED_VALUE"""),0.818482879161447)</f>
        <v>0.81848287916144702</v>
      </c>
      <c r="K616" s="17" t="str">
        <f ca="1">IFERROR(__xludf.DUMMYFUNCTION("""COMPUTED_VALUE"""),"nan")</f>
        <v>nan</v>
      </c>
      <c r="L616" s="17">
        <f ca="1">IFERROR(__xludf.DUMMYFUNCTION("""COMPUTED_VALUE"""),0.223114904313655)</f>
        <v>0.22311490431365499</v>
      </c>
      <c r="M616" s="17">
        <f ca="1">IFERROR(__xludf.DUMMYFUNCTION("""COMPUTED_VALUE"""),0.27859890318738)</f>
        <v>0.27859890318738001</v>
      </c>
      <c r="N616" s="17">
        <f ca="1">IFERROR(__xludf.DUMMYFUNCTION("""COMPUTED_VALUE"""),0.207416459203885)</f>
        <v>0.20741645920388499</v>
      </c>
      <c r="O616" s="17">
        <f ca="1">IFERROR(__xludf.DUMMYFUNCTION("""COMPUTED_VALUE"""),0.228802551116393)</f>
        <v>0.228802551116393</v>
      </c>
      <c r="P616" s="17">
        <f ca="1">IFERROR(__xludf.DUMMYFUNCTION("""COMPUTED_VALUE"""),0.932837350266341)</f>
        <v>0.93283735026634096</v>
      </c>
      <c r="Q616" s="17">
        <f ca="1">IFERROR(__xludf.DUMMYFUNCTION("""COMPUTED_VALUE"""),0.53434947789272)</f>
        <v>0.53434947789272003</v>
      </c>
      <c r="R616" s="17">
        <f ca="1">IFERROR(__xludf.DUMMYFUNCTION("""COMPUTED_VALUE"""),0.214210932081389)</f>
        <v>0.214210932081389</v>
      </c>
      <c r="S616" s="17">
        <f ca="1">IFERROR(__xludf.DUMMYFUNCTION("""COMPUTED_VALUE"""),0.996268786493677)</f>
        <v>0.99626878649367701</v>
      </c>
      <c r="T616" s="17">
        <f ca="1">IFERROR(__xludf.DUMMYFUNCTION("""COMPUTED_VALUE"""),0.774236581833486)</f>
        <v>0.77423658183348598</v>
      </c>
      <c r="U616" s="17">
        <f ca="1">IFERROR(__xludf.DUMMYFUNCTION("""COMPUTED_VALUE"""),0.36885255353847)</f>
        <v>0.36885255353847002</v>
      </c>
      <c r="V616" s="17">
        <f ca="1">IFERROR(__xludf.DUMMYFUNCTION("""COMPUTED_VALUE"""),0.38060599061974)</f>
        <v>0.38060599061973999</v>
      </c>
      <c r="W616" s="17">
        <f ca="1">IFERROR(__xludf.DUMMYFUNCTION("""COMPUTED_VALUE"""),0.397199448456484)</f>
        <v>0.39719944845648403</v>
      </c>
      <c r="X616" s="17">
        <f ca="1">IFERROR(__xludf.DUMMYFUNCTION("""COMPUTED_VALUE"""),0.243511892287823)</f>
        <v>0.243511892287823</v>
      </c>
      <c r="Y616" s="17">
        <f ca="1">IFERROR(__xludf.DUMMYFUNCTION("""COMPUTED_VALUE"""),0.293309098417658)</f>
        <v>0.29330909841765801</v>
      </c>
      <c r="Z616" s="17">
        <f ca="1">IFERROR(__xludf.DUMMYFUNCTION("""COMPUTED_VALUE"""),0.811316757621929)</f>
        <v>0.81131675762192901</v>
      </c>
      <c r="AA616" s="17">
        <f ca="1">IFERROR(__xludf.DUMMYFUNCTION("""COMPUTED_VALUE"""),0.189074556078282)</f>
        <v>0.189074556078282</v>
      </c>
      <c r="AB616" s="17">
        <f ca="1">IFERROR(__xludf.DUMMYFUNCTION("""COMPUTED_VALUE"""),0.588900125834334)</f>
        <v>0.58890012583433404</v>
      </c>
      <c r="AC616" s="17">
        <f ca="1">IFERROR(__xludf.DUMMYFUNCTION("""COMPUTED_VALUE"""),0.661359517590016)</f>
        <v>0.66135951759001599</v>
      </c>
      <c r="AD616" s="17">
        <f ca="1">IFERROR(__xludf.DUMMYFUNCTION("""COMPUTED_VALUE"""),0.485474028410717)</f>
        <v>0.48547402841071702</v>
      </c>
      <c r="AE616" s="17" t="str">
        <f ca="1">IFERROR(__xludf.DUMMYFUNCTION("""COMPUTED_VALUE"""),"nan")</f>
        <v>nan</v>
      </c>
      <c r="AF616" s="17">
        <f ca="1">IFERROR(__xludf.DUMMYFUNCTION("""COMPUTED_VALUE"""),0.696563167154125)</f>
        <v>0.69656316715412503</v>
      </c>
      <c r="AG616" s="17">
        <f ca="1">IFERROR(__xludf.DUMMYFUNCTION("""COMPUTED_VALUE"""),1.15215431008536)</f>
        <v>1.15215431008536</v>
      </c>
      <c r="AH616" s="17">
        <f ca="1">IFERROR(__xludf.DUMMYFUNCTION("""COMPUTED_VALUE"""),1.0684896997744)</f>
        <v>1.0684896997744</v>
      </c>
      <c r="AI616" s="17" t="str">
        <f ca="1">IFERROR(__xludf.DUMMYFUNCTION("""COMPUTED_VALUE"""),"nan")</f>
        <v>nan</v>
      </c>
      <c r="AJ616" s="17">
        <f ca="1">IFERROR(__xludf.DUMMYFUNCTION("""COMPUTED_VALUE"""),1.16279428892666)</f>
        <v>1.16279428892666</v>
      </c>
    </row>
    <row r="617" spans="2:36" ht="15.75" customHeight="1" x14ac:dyDescent="0.45">
      <c r="B617" s="10" t="str">
        <f ca="1">IFERROR(__xludf.DUMMYFUNCTION("""COMPUTED_VALUE"""),"PowerCons")</f>
        <v>PowerCons</v>
      </c>
      <c r="C617" s="10" t="str">
        <f ca="1">IFERROR(__xludf.DUMMYFUNCTION("""COMPUTED_VALUE"""),"aligned_series")</f>
        <v>aligned_series</v>
      </c>
      <c r="D617" s="10">
        <f ca="1">IFERROR(__xludf.DUMMYFUNCTION("""COMPUTED_VALUE"""),0.1)</f>
        <v>0.1</v>
      </c>
      <c r="E617" s="17">
        <f ca="1">IFERROR(__xludf.DUMMYFUNCTION("""COMPUTED_VALUE"""),0.790705249365197)</f>
        <v>0.79070524936519704</v>
      </c>
      <c r="F617" s="17">
        <f ca="1">IFERROR(__xludf.DUMMYFUNCTION("""COMPUTED_VALUE"""),0.416975060193301)</f>
        <v>0.41697506019330099</v>
      </c>
      <c r="G617" s="17">
        <f ca="1">IFERROR(__xludf.DUMMYFUNCTION("""COMPUTED_VALUE"""),0.417690040778661)</f>
        <v>0.41769004077866101</v>
      </c>
      <c r="H617" s="17">
        <f ca="1">IFERROR(__xludf.DUMMYFUNCTION("""COMPUTED_VALUE"""),0.45171201995385)</f>
        <v>0.45171201995385002</v>
      </c>
      <c r="I617" s="17">
        <f ca="1">IFERROR(__xludf.DUMMYFUNCTION("""COMPUTED_VALUE"""),0.274596552767056)</f>
        <v>0.27459655276705602</v>
      </c>
      <c r="J617" s="17">
        <f ca="1">IFERROR(__xludf.DUMMYFUNCTION("""COMPUTED_VALUE"""),0.4212476686773)</f>
        <v>0.42124766867730001</v>
      </c>
      <c r="K617" s="17" t="str">
        <f ca="1">IFERROR(__xludf.DUMMYFUNCTION("""COMPUTED_VALUE"""),"nan")</f>
        <v>nan</v>
      </c>
      <c r="L617" s="17">
        <f ca="1">IFERROR(__xludf.DUMMYFUNCTION("""COMPUTED_VALUE"""),0.430738123688971)</f>
        <v>0.43073812368897102</v>
      </c>
      <c r="M617" s="17">
        <f ca="1">IFERROR(__xludf.DUMMYFUNCTION("""COMPUTED_VALUE"""),0.40696885225037)</f>
        <v>0.40696885225036999</v>
      </c>
      <c r="N617" s="17">
        <f ca="1">IFERROR(__xludf.DUMMYFUNCTION("""COMPUTED_VALUE"""),0.268714511783859)</f>
        <v>0.26871451178385902</v>
      </c>
      <c r="O617" s="17">
        <f ca="1">IFERROR(__xludf.DUMMYFUNCTION("""COMPUTED_VALUE"""),0.411361038485863)</f>
        <v>0.41136103848586297</v>
      </c>
      <c r="P617" s="17">
        <f ca="1">IFERROR(__xludf.DUMMYFUNCTION("""COMPUTED_VALUE"""),0.626730894961608)</f>
        <v>0.62673089496160805</v>
      </c>
      <c r="Q617" s="17">
        <f ca="1">IFERROR(__xludf.DUMMYFUNCTION("""COMPUTED_VALUE"""),0.488248678225445)</f>
        <v>0.48824867822544499</v>
      </c>
      <c r="R617" s="17">
        <f ca="1">IFERROR(__xludf.DUMMYFUNCTION("""COMPUTED_VALUE"""),0.506449634735898)</f>
        <v>0.50644963473589799</v>
      </c>
      <c r="S617" s="17">
        <f ca="1">IFERROR(__xludf.DUMMYFUNCTION("""COMPUTED_VALUE"""),0.410957099140643)</f>
        <v>0.41095709914064299</v>
      </c>
      <c r="T617" s="17">
        <f ca="1">IFERROR(__xludf.DUMMYFUNCTION("""COMPUTED_VALUE"""),0.463813452982107)</f>
        <v>0.46381345298210702</v>
      </c>
      <c r="U617" s="17">
        <f ca="1">IFERROR(__xludf.DUMMYFUNCTION("""COMPUTED_VALUE"""),0.390058144984945)</f>
        <v>0.39005814498494501</v>
      </c>
      <c r="V617" s="17">
        <f ca="1">IFERROR(__xludf.DUMMYFUNCTION("""COMPUTED_VALUE"""),0.44534858566004)</f>
        <v>0.44534858566003999</v>
      </c>
      <c r="W617" s="17">
        <f ca="1">IFERROR(__xludf.DUMMYFUNCTION("""COMPUTED_VALUE"""),0.46489666969634)</f>
        <v>0.46489666969634003</v>
      </c>
      <c r="X617" s="17">
        <f ca="1">IFERROR(__xludf.DUMMYFUNCTION("""COMPUTED_VALUE"""),0.482055729449678)</f>
        <v>0.48205572944967801</v>
      </c>
      <c r="Y617" s="17">
        <f ca="1">IFERROR(__xludf.DUMMYFUNCTION("""COMPUTED_VALUE"""),0.291020108930711)</f>
        <v>0.29102010893071101</v>
      </c>
      <c r="Z617" s="17">
        <f ca="1">IFERROR(__xludf.DUMMYFUNCTION("""COMPUTED_VALUE"""),0.560399068629663)</f>
        <v>0.56039906862966304</v>
      </c>
      <c r="AA617" s="17">
        <f ca="1">IFERROR(__xludf.DUMMYFUNCTION("""COMPUTED_VALUE"""),0.263117406706747)</f>
        <v>0.26311740670674699</v>
      </c>
      <c r="AB617" s="17">
        <f ca="1">IFERROR(__xludf.DUMMYFUNCTION("""COMPUTED_VALUE"""),0.392083630157406)</f>
        <v>0.39208363015740599</v>
      </c>
      <c r="AC617" s="17">
        <f ca="1">IFERROR(__xludf.DUMMYFUNCTION("""COMPUTED_VALUE"""),1.17728452121353)</f>
        <v>1.1772845212135301</v>
      </c>
      <c r="AD617" s="17">
        <f ca="1">IFERROR(__xludf.DUMMYFUNCTION("""COMPUTED_VALUE"""),0.567718611305878)</f>
        <v>0.56771861130587797</v>
      </c>
      <c r="AE617" s="17">
        <f ca="1">IFERROR(__xludf.DUMMYFUNCTION("""COMPUTED_VALUE"""),1.11936338043584)</f>
        <v>1.11936338043584</v>
      </c>
      <c r="AF617" s="17">
        <f ca="1">IFERROR(__xludf.DUMMYFUNCTION("""COMPUTED_VALUE"""),0.266819963497466)</f>
        <v>0.26681996349746601</v>
      </c>
      <c r="AG617" s="17">
        <f ca="1">IFERROR(__xludf.DUMMYFUNCTION("""COMPUTED_VALUE"""),0.667974288698757)</f>
        <v>0.66797428869875697</v>
      </c>
      <c r="AH617" s="17">
        <f ca="1">IFERROR(__xludf.DUMMYFUNCTION("""COMPUTED_VALUE"""),0.639464003967585)</f>
        <v>0.63946400396758496</v>
      </c>
      <c r="AI617" s="17">
        <f ca="1">IFERROR(__xludf.DUMMYFUNCTION("""COMPUTED_VALUE"""),0.810681118608853)</f>
        <v>0.81068111860885295</v>
      </c>
      <c r="AJ617" s="17">
        <f ca="1">IFERROR(__xludf.DUMMYFUNCTION("""COMPUTED_VALUE"""),0.610710373791459)</f>
        <v>0.61071037379145898</v>
      </c>
    </row>
    <row r="618" spans="2:36" ht="15.75" customHeight="1" x14ac:dyDescent="0.45">
      <c r="B618" s="10" t="str">
        <f ca="1">IFERROR(__xludf.DUMMYFUNCTION("""COMPUTED_VALUE"""),"PowerCons")</f>
        <v>PowerCons</v>
      </c>
      <c r="C618" s="10" t="str">
        <f ca="1">IFERROR(__xludf.DUMMYFUNCTION("""COMPUTED_VALUE"""),"aligned_series")</f>
        <v>aligned_series</v>
      </c>
      <c r="D618" s="10">
        <f ca="1">IFERROR(__xludf.DUMMYFUNCTION("""COMPUTED_VALUE"""),0.2)</f>
        <v>0.2</v>
      </c>
      <c r="E618" s="17">
        <f ca="1">IFERROR(__xludf.DUMMYFUNCTION("""COMPUTED_VALUE"""),0.803752957299977)</f>
        <v>0.80375295729997698</v>
      </c>
      <c r="F618" s="17">
        <f ca="1">IFERROR(__xludf.DUMMYFUNCTION("""COMPUTED_VALUE"""),0.460896502460348)</f>
        <v>0.46089650246034802</v>
      </c>
      <c r="G618" s="17">
        <f ca="1">IFERROR(__xludf.DUMMYFUNCTION("""COMPUTED_VALUE"""),0.463412353067117)</f>
        <v>0.46341235306711698</v>
      </c>
      <c r="H618" s="17">
        <f ca="1">IFERROR(__xludf.DUMMYFUNCTION("""COMPUTED_VALUE"""),0.472668722394529)</f>
        <v>0.47266872239452901</v>
      </c>
      <c r="I618" s="17">
        <f ca="1">IFERROR(__xludf.DUMMYFUNCTION("""COMPUTED_VALUE"""),0.31498170637336)</f>
        <v>0.31498170637335998</v>
      </c>
      <c r="J618" s="17">
        <f ca="1">IFERROR(__xludf.DUMMYFUNCTION("""COMPUTED_VALUE"""),0.369651340308653)</f>
        <v>0.36965134030865299</v>
      </c>
      <c r="K618" s="17" t="str">
        <f ca="1">IFERROR(__xludf.DUMMYFUNCTION("""COMPUTED_VALUE"""),"nan")</f>
        <v>nan</v>
      </c>
      <c r="L618" s="17">
        <f ca="1">IFERROR(__xludf.DUMMYFUNCTION("""COMPUTED_VALUE"""),0.404675313702366)</f>
        <v>0.40467531370236598</v>
      </c>
      <c r="M618" s="17">
        <f ca="1">IFERROR(__xludf.DUMMYFUNCTION("""COMPUTED_VALUE"""),0.457078113397289)</f>
        <v>0.45707811339728899</v>
      </c>
      <c r="N618" s="17">
        <f ca="1">IFERROR(__xludf.DUMMYFUNCTION("""COMPUTED_VALUE"""),0.293018389461006)</f>
        <v>0.293018389461006</v>
      </c>
      <c r="O618" s="17">
        <f ca="1">IFERROR(__xludf.DUMMYFUNCTION("""COMPUTED_VALUE"""),0.424557360444033)</f>
        <v>0.42455736044403303</v>
      </c>
      <c r="P618" s="17">
        <f ca="1">IFERROR(__xludf.DUMMYFUNCTION("""COMPUTED_VALUE"""),0.714478714716791)</f>
        <v>0.71447871471679103</v>
      </c>
      <c r="Q618" s="17">
        <f ca="1">IFERROR(__xludf.DUMMYFUNCTION("""COMPUTED_VALUE"""),0.575206960046723)</f>
        <v>0.575206960046723</v>
      </c>
      <c r="R618" s="17">
        <f ca="1">IFERROR(__xludf.DUMMYFUNCTION("""COMPUTED_VALUE"""),0.475055340771288)</f>
        <v>0.47505534077128803</v>
      </c>
      <c r="S618" s="17">
        <f ca="1">IFERROR(__xludf.DUMMYFUNCTION("""COMPUTED_VALUE"""),0.467077544102415)</f>
        <v>0.46707754410241498</v>
      </c>
      <c r="T618" s="17">
        <f ca="1">IFERROR(__xludf.DUMMYFUNCTION("""COMPUTED_VALUE"""),0.373138547842147)</f>
        <v>0.37313854784214701</v>
      </c>
      <c r="U618" s="17">
        <f ca="1">IFERROR(__xludf.DUMMYFUNCTION("""COMPUTED_VALUE"""),0.372292854315471)</f>
        <v>0.37229285431547099</v>
      </c>
      <c r="V618" s="17">
        <f ca="1">IFERROR(__xludf.DUMMYFUNCTION("""COMPUTED_VALUE"""),0.392280932476916)</f>
        <v>0.39228093247691598</v>
      </c>
      <c r="W618" s="17">
        <f ca="1">IFERROR(__xludf.DUMMYFUNCTION("""COMPUTED_VALUE"""),0.581012426944228)</f>
        <v>0.58101242694422806</v>
      </c>
      <c r="X618" s="17">
        <f ca="1">IFERROR(__xludf.DUMMYFUNCTION("""COMPUTED_VALUE"""),0.481597043220702)</f>
        <v>0.48159704322070201</v>
      </c>
      <c r="Y618" s="17">
        <f ca="1">IFERROR(__xludf.DUMMYFUNCTION("""COMPUTED_VALUE"""),0.28195303748853)</f>
        <v>0.28195303748853001</v>
      </c>
      <c r="Z618" s="17">
        <f ca="1">IFERROR(__xludf.DUMMYFUNCTION("""COMPUTED_VALUE"""),0.529907039148581)</f>
        <v>0.52990703914858095</v>
      </c>
      <c r="AA618" s="17">
        <f ca="1">IFERROR(__xludf.DUMMYFUNCTION("""COMPUTED_VALUE"""),0.319863402401735)</f>
        <v>0.319863402401735</v>
      </c>
      <c r="AB618" s="17">
        <f ca="1">IFERROR(__xludf.DUMMYFUNCTION("""COMPUTED_VALUE"""),0.465611914112522)</f>
        <v>0.46561191411252201</v>
      </c>
      <c r="AC618" s="17">
        <f ca="1">IFERROR(__xludf.DUMMYFUNCTION("""COMPUTED_VALUE"""),1.13865406535557)</f>
        <v>1.1386540653555699</v>
      </c>
      <c r="AD618" s="17">
        <f ca="1">IFERROR(__xludf.DUMMYFUNCTION("""COMPUTED_VALUE"""),0.564139489777481)</f>
        <v>0.56413948977748096</v>
      </c>
      <c r="AE618" s="17">
        <f ca="1">IFERROR(__xludf.DUMMYFUNCTION("""COMPUTED_VALUE"""),1.13673770129056)</f>
        <v>1.13673770129056</v>
      </c>
      <c r="AF618" s="17">
        <f ca="1">IFERROR(__xludf.DUMMYFUNCTION("""COMPUTED_VALUE"""),0.364163751467279)</f>
        <v>0.36416375146727897</v>
      </c>
      <c r="AG618" s="17">
        <f ca="1">IFERROR(__xludf.DUMMYFUNCTION("""COMPUTED_VALUE"""),0.773015246382577)</f>
        <v>0.77301524638257701</v>
      </c>
      <c r="AH618" s="17">
        <f ca="1">IFERROR(__xludf.DUMMYFUNCTION("""COMPUTED_VALUE"""),0.591031779413994)</f>
        <v>0.59103177941399399</v>
      </c>
      <c r="AI618" s="17">
        <f ca="1">IFERROR(__xludf.DUMMYFUNCTION("""COMPUTED_VALUE"""),0.809790361943312)</f>
        <v>0.809790361943312</v>
      </c>
      <c r="AJ618" s="17">
        <f ca="1">IFERROR(__xludf.DUMMYFUNCTION("""COMPUTED_VALUE"""),0.538907677138084)</f>
        <v>0.53890767713808396</v>
      </c>
    </row>
    <row r="619" spans="2:36" ht="15.75" customHeight="1" x14ac:dyDescent="0.45">
      <c r="B619" s="10" t="str">
        <f ca="1">IFERROR(__xludf.DUMMYFUNCTION("""COMPUTED_VALUE"""),"PowerCons")</f>
        <v>PowerCons</v>
      </c>
      <c r="C619" s="10" t="str">
        <f ca="1">IFERROR(__xludf.DUMMYFUNCTION("""COMPUTED_VALUE"""),"aligned_series")</f>
        <v>aligned_series</v>
      </c>
      <c r="D619" s="10">
        <f ca="1">IFERROR(__xludf.DUMMYFUNCTION("""COMPUTED_VALUE"""),0.4)</f>
        <v>0.4</v>
      </c>
      <c r="E619" s="17">
        <f ca="1">IFERROR(__xludf.DUMMYFUNCTION("""COMPUTED_VALUE"""),0.814086909043206)</f>
        <v>0.81408690904320602</v>
      </c>
      <c r="F619" s="17">
        <f ca="1">IFERROR(__xludf.DUMMYFUNCTION("""COMPUTED_VALUE"""),0.457564730427979)</f>
        <v>0.45756473042797902</v>
      </c>
      <c r="G619" s="17">
        <f ca="1">IFERROR(__xludf.DUMMYFUNCTION("""COMPUTED_VALUE"""),0.46134534151889)</f>
        <v>0.46134534151889001</v>
      </c>
      <c r="H619" s="17">
        <f ca="1">IFERROR(__xludf.DUMMYFUNCTION("""COMPUTED_VALUE"""),0.475012798389606)</f>
        <v>0.47501279838960597</v>
      </c>
      <c r="I619" s="17">
        <f ca="1">IFERROR(__xludf.DUMMYFUNCTION("""COMPUTED_VALUE"""),0.374394937500506)</f>
        <v>0.37439493750050601</v>
      </c>
      <c r="J619" s="17">
        <f ca="1">IFERROR(__xludf.DUMMYFUNCTION("""COMPUTED_VALUE"""),0.385779632505807)</f>
        <v>0.38577963250580699</v>
      </c>
      <c r="K619" s="17" t="str">
        <f ca="1">IFERROR(__xludf.DUMMYFUNCTION("""COMPUTED_VALUE"""),"nan")</f>
        <v>nan</v>
      </c>
      <c r="L619" s="17">
        <f ca="1">IFERROR(__xludf.DUMMYFUNCTION("""COMPUTED_VALUE"""),0.438558193952462)</f>
        <v>0.43855819395246198</v>
      </c>
      <c r="M619" s="17">
        <f ca="1">IFERROR(__xludf.DUMMYFUNCTION("""COMPUTED_VALUE"""),0.483817164111051)</f>
        <v>0.48381716411105102</v>
      </c>
      <c r="N619" s="17">
        <f ca="1">IFERROR(__xludf.DUMMYFUNCTION("""COMPUTED_VALUE"""),0.329829262365105)</f>
        <v>0.32982926236510501</v>
      </c>
      <c r="O619" s="17">
        <f ca="1">IFERROR(__xludf.DUMMYFUNCTION("""COMPUTED_VALUE"""),0.456900465412636)</f>
        <v>0.45690046541263601</v>
      </c>
      <c r="P619" s="17">
        <f ca="1">IFERROR(__xludf.DUMMYFUNCTION("""COMPUTED_VALUE"""),0.853193543547724)</f>
        <v>0.85319354354772403</v>
      </c>
      <c r="Q619" s="17">
        <f ca="1">IFERROR(__xludf.DUMMYFUNCTION("""COMPUTED_VALUE"""),0.57604908629284)</f>
        <v>0.57604908629284002</v>
      </c>
      <c r="R619" s="17">
        <f ca="1">IFERROR(__xludf.DUMMYFUNCTION("""COMPUTED_VALUE"""),0.549519609179185)</f>
        <v>0.54951960917918496</v>
      </c>
      <c r="S619" s="17">
        <f ca="1">IFERROR(__xludf.DUMMYFUNCTION("""COMPUTED_VALUE"""),0.520976409696515)</f>
        <v>0.52097640969651504</v>
      </c>
      <c r="T619" s="17">
        <f ca="1">IFERROR(__xludf.DUMMYFUNCTION("""COMPUTED_VALUE"""),0.374650187509747)</f>
        <v>0.37465018750974699</v>
      </c>
      <c r="U619" s="17">
        <f ca="1">IFERROR(__xludf.DUMMYFUNCTION("""COMPUTED_VALUE"""),0.402013867814408)</f>
        <v>0.40201386781440801</v>
      </c>
      <c r="V619" s="17">
        <f ca="1">IFERROR(__xludf.DUMMYFUNCTION("""COMPUTED_VALUE"""),0.505421664616383)</f>
        <v>0.50542166461638305</v>
      </c>
      <c r="W619" s="17">
        <f ca="1">IFERROR(__xludf.DUMMYFUNCTION("""COMPUTED_VALUE"""),0.535048225136259)</f>
        <v>0.53504822513625905</v>
      </c>
      <c r="X619" s="17">
        <f ca="1">IFERROR(__xludf.DUMMYFUNCTION("""COMPUTED_VALUE"""),0.476719991742295)</f>
        <v>0.47671999174229501</v>
      </c>
      <c r="Y619" s="17">
        <f ca="1">IFERROR(__xludf.DUMMYFUNCTION("""COMPUTED_VALUE"""),0.293003496842451)</f>
        <v>0.29300349684245097</v>
      </c>
      <c r="Z619" s="17">
        <f ca="1">IFERROR(__xludf.DUMMYFUNCTION("""COMPUTED_VALUE"""),0.491061124329285)</f>
        <v>0.491061124329285</v>
      </c>
      <c r="AA619" s="17">
        <f ca="1">IFERROR(__xludf.DUMMYFUNCTION("""COMPUTED_VALUE"""),0.342440925402914)</f>
        <v>0.34244092540291399</v>
      </c>
      <c r="AB619" s="17">
        <f ca="1">IFERROR(__xludf.DUMMYFUNCTION("""COMPUTED_VALUE"""),1.08150653393247)</f>
        <v>1.0815065339324701</v>
      </c>
      <c r="AC619" s="17">
        <f ca="1">IFERROR(__xludf.DUMMYFUNCTION("""COMPUTED_VALUE"""),0.897940296417887)</f>
        <v>0.89794029641788697</v>
      </c>
      <c r="AD619" s="17">
        <f ca="1">IFERROR(__xludf.DUMMYFUNCTION("""COMPUTED_VALUE"""),0.6425329606901)</f>
        <v>0.64253296069010002</v>
      </c>
      <c r="AE619" s="17">
        <f ca="1">IFERROR(__xludf.DUMMYFUNCTION("""COMPUTED_VALUE"""),1.10145382681415)</f>
        <v>1.10145382681415</v>
      </c>
      <c r="AF619" s="17">
        <f ca="1">IFERROR(__xludf.DUMMYFUNCTION("""COMPUTED_VALUE"""),0.43058462945347)</f>
        <v>0.43058462945346998</v>
      </c>
      <c r="AG619" s="17">
        <f ca="1">IFERROR(__xludf.DUMMYFUNCTION("""COMPUTED_VALUE"""),0.79547300037223)</f>
        <v>0.79547300037223001</v>
      </c>
      <c r="AH619" s="17">
        <f ca="1">IFERROR(__xludf.DUMMYFUNCTION("""COMPUTED_VALUE"""),0.590382173893571)</f>
        <v>0.59038217389357095</v>
      </c>
      <c r="AI619" s="17">
        <f ca="1">IFERROR(__xludf.DUMMYFUNCTION("""COMPUTED_VALUE"""),0.796179830660424)</f>
        <v>0.79617983066042397</v>
      </c>
      <c r="AJ619" s="17">
        <f ca="1">IFERROR(__xludf.DUMMYFUNCTION("""COMPUTED_VALUE"""),0.549055072941181)</f>
        <v>0.54905507294118105</v>
      </c>
    </row>
    <row r="620" spans="2:36" ht="15.75" customHeight="1" x14ac:dyDescent="0.45">
      <c r="B620" s="10" t="str">
        <f ca="1">IFERROR(__xludf.DUMMYFUNCTION("""COMPUTED_VALUE"""),"PowerCons")</f>
        <v>PowerCons</v>
      </c>
      <c r="C620" s="10" t="str">
        <f ca="1">IFERROR(__xludf.DUMMYFUNCTION("""COMPUTED_VALUE"""),"aligned_series")</f>
        <v>aligned_series</v>
      </c>
      <c r="D620" s="10">
        <f ca="1">IFERROR(__xludf.DUMMYFUNCTION("""COMPUTED_VALUE"""),0.6)</f>
        <v>0.6</v>
      </c>
      <c r="E620" s="17">
        <f ca="1">IFERROR(__xludf.DUMMYFUNCTION("""COMPUTED_VALUE"""),0.862670439101851)</f>
        <v>0.86267043910185104</v>
      </c>
      <c r="F620" s="17">
        <f ca="1">IFERROR(__xludf.DUMMYFUNCTION("""COMPUTED_VALUE"""),0.459185398462442)</f>
        <v>0.459185398462442</v>
      </c>
      <c r="G620" s="17">
        <f ca="1">IFERROR(__xludf.DUMMYFUNCTION("""COMPUTED_VALUE"""),0.463361442762402)</f>
        <v>0.46336144276240199</v>
      </c>
      <c r="H620" s="17">
        <f ca="1">IFERROR(__xludf.DUMMYFUNCTION("""COMPUTED_VALUE"""),0.466244181133685)</f>
        <v>0.46624418113368499</v>
      </c>
      <c r="I620" s="17">
        <f ca="1">IFERROR(__xludf.DUMMYFUNCTION("""COMPUTED_VALUE"""),0.468982928180932)</f>
        <v>0.46898292818093201</v>
      </c>
      <c r="J620" s="17">
        <f ca="1">IFERROR(__xludf.DUMMYFUNCTION("""COMPUTED_VALUE"""),0.39251182620765)</f>
        <v>0.39251182620765002</v>
      </c>
      <c r="K620" s="17" t="str">
        <f ca="1">IFERROR(__xludf.DUMMYFUNCTION("""COMPUTED_VALUE"""),"nan")</f>
        <v>nan</v>
      </c>
      <c r="L620" s="17">
        <f ca="1">IFERROR(__xludf.DUMMYFUNCTION("""COMPUTED_VALUE"""),0.431834910842385)</f>
        <v>0.43183491084238501</v>
      </c>
      <c r="M620" s="17">
        <f ca="1">IFERROR(__xludf.DUMMYFUNCTION("""COMPUTED_VALUE"""),0.485349810703666)</f>
        <v>0.48534981070366601</v>
      </c>
      <c r="N620" s="17">
        <f ca="1">IFERROR(__xludf.DUMMYFUNCTION("""COMPUTED_VALUE"""),0.351187420383183)</f>
        <v>0.35118742038318301</v>
      </c>
      <c r="O620" s="17">
        <f ca="1">IFERROR(__xludf.DUMMYFUNCTION("""COMPUTED_VALUE"""),0.439904426896489)</f>
        <v>0.43990442689648901</v>
      </c>
      <c r="P620" s="17">
        <f ca="1">IFERROR(__xludf.DUMMYFUNCTION("""COMPUTED_VALUE"""),1.18888727936981)</f>
        <v>1.18888727936981</v>
      </c>
      <c r="Q620" s="17">
        <f ca="1">IFERROR(__xludf.DUMMYFUNCTION("""COMPUTED_VALUE"""),0.638787188970309)</f>
        <v>0.63878718897030895</v>
      </c>
      <c r="R620" s="17">
        <f ca="1">IFERROR(__xludf.DUMMYFUNCTION("""COMPUTED_VALUE"""),0.732516337614915)</f>
        <v>0.73251633761491497</v>
      </c>
      <c r="S620" s="17">
        <f ca="1">IFERROR(__xludf.DUMMYFUNCTION("""COMPUTED_VALUE"""),0.557496440142569)</f>
        <v>0.55749644014256905</v>
      </c>
      <c r="T620" s="17">
        <f ca="1">IFERROR(__xludf.DUMMYFUNCTION("""COMPUTED_VALUE"""),0.40686671253758)</f>
        <v>0.40686671253758</v>
      </c>
      <c r="U620" s="17">
        <f ca="1">IFERROR(__xludf.DUMMYFUNCTION("""COMPUTED_VALUE"""),0.446645477102719)</f>
        <v>0.44664547710271901</v>
      </c>
      <c r="V620" s="17">
        <f ca="1">IFERROR(__xludf.DUMMYFUNCTION("""COMPUTED_VALUE"""),0.490174926593948)</f>
        <v>0.49017492659394801</v>
      </c>
      <c r="W620" s="17">
        <f ca="1">IFERROR(__xludf.DUMMYFUNCTION("""COMPUTED_VALUE"""),0.557466790411381)</f>
        <v>0.55746679041138103</v>
      </c>
      <c r="X620" s="17">
        <f ca="1">IFERROR(__xludf.DUMMYFUNCTION("""COMPUTED_VALUE"""),0.944767371547611)</f>
        <v>0.94476737154761103</v>
      </c>
      <c r="Y620" s="17">
        <f ca="1">IFERROR(__xludf.DUMMYFUNCTION("""COMPUTED_VALUE"""),0.333995893456516)</f>
        <v>0.33399589345651598</v>
      </c>
      <c r="Z620" s="17">
        <f ca="1">IFERROR(__xludf.DUMMYFUNCTION("""COMPUTED_VALUE"""),0.553489057049536)</f>
        <v>0.55348905704953599</v>
      </c>
      <c r="AA620" s="17">
        <f ca="1">IFERROR(__xludf.DUMMYFUNCTION("""COMPUTED_VALUE"""),0.39518507710757)</f>
        <v>0.39518507710757</v>
      </c>
      <c r="AB620" s="17">
        <f ca="1">IFERROR(__xludf.DUMMYFUNCTION("""COMPUTED_VALUE"""),0.729882913353794)</f>
        <v>0.72988291335379396</v>
      </c>
      <c r="AC620" s="17">
        <f ca="1">IFERROR(__xludf.DUMMYFUNCTION("""COMPUTED_VALUE"""),0.98718053944443)</f>
        <v>0.98718053944442996</v>
      </c>
      <c r="AD620" s="17">
        <f ca="1">IFERROR(__xludf.DUMMYFUNCTION("""COMPUTED_VALUE"""),0.651409153254114)</f>
        <v>0.65140915325411397</v>
      </c>
      <c r="AE620" s="17">
        <f ca="1">IFERROR(__xludf.DUMMYFUNCTION("""COMPUTED_VALUE"""),1.11939259609299)</f>
        <v>1.11939259609299</v>
      </c>
      <c r="AF620" s="17">
        <f ca="1">IFERROR(__xludf.DUMMYFUNCTION("""COMPUTED_VALUE"""),0.491027619983589)</f>
        <v>0.49102761998358901</v>
      </c>
      <c r="AG620" s="17">
        <f ca="1">IFERROR(__xludf.DUMMYFUNCTION("""COMPUTED_VALUE"""),0.794851312523817)</f>
        <v>0.79485131252381702</v>
      </c>
      <c r="AH620" s="17">
        <f ca="1">IFERROR(__xludf.DUMMYFUNCTION("""COMPUTED_VALUE"""),0.593823247568679)</f>
        <v>0.59382324756867899</v>
      </c>
      <c r="AI620" s="17">
        <f ca="1">IFERROR(__xludf.DUMMYFUNCTION("""COMPUTED_VALUE"""),0.800584112308229)</f>
        <v>0.80058411230822901</v>
      </c>
      <c r="AJ620" s="17">
        <f ca="1">IFERROR(__xludf.DUMMYFUNCTION("""COMPUTED_VALUE"""),0.574750891342175)</f>
        <v>0.57475089134217505</v>
      </c>
    </row>
    <row r="621" spans="2:36" ht="15.75" customHeight="1" x14ac:dyDescent="0.45">
      <c r="B621" s="10" t="str">
        <f ca="1">IFERROR(__xludf.DUMMYFUNCTION("""COMPUTED_VALUE"""),"PowerCons")</f>
        <v>PowerCons</v>
      </c>
      <c r="C621" s="10" t="str">
        <f ca="1">IFERROR(__xludf.DUMMYFUNCTION("""COMPUTED_VALUE"""),"aligned_series")</f>
        <v>aligned_series</v>
      </c>
      <c r="D621" s="10">
        <f ca="1">IFERROR(__xludf.DUMMYFUNCTION("""COMPUTED_VALUE"""),0.8)</f>
        <v>0.8</v>
      </c>
      <c r="E621" s="17">
        <f ca="1">IFERROR(__xludf.DUMMYFUNCTION("""COMPUTED_VALUE"""),0.913275130703795)</f>
        <v>0.91327513070379496</v>
      </c>
      <c r="F621" s="17">
        <f ca="1">IFERROR(__xludf.DUMMYFUNCTION("""COMPUTED_VALUE"""),0.502102929403317)</f>
        <v>0.50210292940331702</v>
      </c>
      <c r="G621" s="17">
        <f ca="1">IFERROR(__xludf.DUMMYFUNCTION("""COMPUTED_VALUE"""),0.509238632976513)</f>
        <v>0.50923863297651295</v>
      </c>
      <c r="H621" s="17">
        <f ca="1">IFERROR(__xludf.DUMMYFUNCTION("""COMPUTED_VALUE"""),0.517199662427479)</f>
        <v>0.51719966242747895</v>
      </c>
      <c r="I621" s="17">
        <f ca="1">IFERROR(__xludf.DUMMYFUNCTION("""COMPUTED_VALUE"""),0.592287258202847)</f>
        <v>0.592287258202847</v>
      </c>
      <c r="J621" s="17">
        <f ca="1">IFERROR(__xludf.DUMMYFUNCTION("""COMPUTED_VALUE"""),0.404755936961456)</f>
        <v>0.40475593696145601</v>
      </c>
      <c r="K621" s="17" t="str">
        <f ca="1">IFERROR(__xludf.DUMMYFUNCTION("""COMPUTED_VALUE"""),"nan")</f>
        <v>nan</v>
      </c>
      <c r="L621" s="17">
        <f ca="1">IFERROR(__xludf.DUMMYFUNCTION("""COMPUTED_VALUE"""),0.47262318938076)</f>
        <v>0.47262318938075998</v>
      </c>
      <c r="M621" s="17">
        <f ca="1">IFERROR(__xludf.DUMMYFUNCTION("""COMPUTED_VALUE"""),0.529560361363002)</f>
        <v>0.529560361363002</v>
      </c>
      <c r="N621" s="17">
        <f ca="1">IFERROR(__xludf.DUMMYFUNCTION("""COMPUTED_VALUE"""),0.369866071162803)</f>
        <v>0.36986607116280301</v>
      </c>
      <c r="O621" s="17">
        <f ca="1">IFERROR(__xludf.DUMMYFUNCTION("""COMPUTED_VALUE"""),0.480043285068367)</f>
        <v>0.48004328506836702</v>
      </c>
      <c r="P621" s="17">
        <f ca="1">IFERROR(__xludf.DUMMYFUNCTION("""COMPUTED_VALUE"""),1.41878246337505)</f>
        <v>1.4187824633750501</v>
      </c>
      <c r="Q621" s="17">
        <f ca="1">IFERROR(__xludf.DUMMYFUNCTION("""COMPUTED_VALUE"""),0.713563967473598)</f>
        <v>0.71356396747359796</v>
      </c>
      <c r="R621" s="17">
        <f ca="1">IFERROR(__xludf.DUMMYFUNCTION("""COMPUTED_VALUE"""),0.872235667331003)</f>
        <v>0.872235667331003</v>
      </c>
      <c r="S621" s="17">
        <f ca="1">IFERROR(__xludf.DUMMYFUNCTION("""COMPUTED_VALUE"""),0.860351409181075)</f>
        <v>0.860351409181075</v>
      </c>
      <c r="T621" s="17">
        <f ca="1">IFERROR(__xludf.DUMMYFUNCTION("""COMPUTED_VALUE"""),0.417339131105437)</f>
        <v>0.41733913110543702</v>
      </c>
      <c r="U621" s="17">
        <f ca="1">IFERROR(__xludf.DUMMYFUNCTION("""COMPUTED_VALUE"""),0.469532487633159)</f>
        <v>0.46953248763315902</v>
      </c>
      <c r="V621" s="17">
        <f ca="1">IFERROR(__xludf.DUMMYFUNCTION("""COMPUTED_VALUE"""),0.525419819206538)</f>
        <v>0.52541981920653802</v>
      </c>
      <c r="W621" s="17">
        <f ca="1">IFERROR(__xludf.DUMMYFUNCTION("""COMPUTED_VALUE"""),0.488363137401194)</f>
        <v>0.48836313740119403</v>
      </c>
      <c r="X621" s="17">
        <f ca="1">IFERROR(__xludf.DUMMYFUNCTION("""COMPUTED_VALUE"""),4.41973292654855)</f>
        <v>4.4197329265485497</v>
      </c>
      <c r="Y621" s="17">
        <f ca="1">IFERROR(__xludf.DUMMYFUNCTION("""COMPUTED_VALUE"""),0.347676539221744)</f>
        <v>0.34767653922174402</v>
      </c>
      <c r="Z621" s="17">
        <f ca="1">IFERROR(__xludf.DUMMYFUNCTION("""COMPUTED_VALUE"""),0.552592699760154)</f>
        <v>0.55259269976015402</v>
      </c>
      <c r="AA621" s="17">
        <f ca="1">IFERROR(__xludf.DUMMYFUNCTION("""COMPUTED_VALUE"""),0.436937316564606)</f>
        <v>0.43693731656460599</v>
      </c>
      <c r="AB621" s="17">
        <f ca="1">IFERROR(__xludf.DUMMYFUNCTION("""COMPUTED_VALUE"""),0.616673863335437)</f>
        <v>0.61667386333543694</v>
      </c>
      <c r="AC621" s="17">
        <f ca="1">IFERROR(__xludf.DUMMYFUNCTION("""COMPUTED_VALUE"""),1.11320656564631)</f>
        <v>1.1132065656463099</v>
      </c>
      <c r="AD621" s="17">
        <f ca="1">IFERROR(__xludf.DUMMYFUNCTION("""COMPUTED_VALUE"""),0.817190132485076)</f>
        <v>0.81719013248507599</v>
      </c>
      <c r="AE621" s="17">
        <f ca="1">IFERROR(__xludf.DUMMYFUNCTION("""COMPUTED_VALUE"""),1.14574320308019)</f>
        <v>1.14574320308019</v>
      </c>
      <c r="AF621" s="17">
        <f ca="1">IFERROR(__xludf.DUMMYFUNCTION("""COMPUTED_VALUE"""),0.589864427752532)</f>
        <v>0.58986442775253201</v>
      </c>
      <c r="AG621" s="17">
        <f ca="1">IFERROR(__xludf.DUMMYFUNCTION("""COMPUTED_VALUE"""),0.832703916889558)</f>
        <v>0.83270391688955803</v>
      </c>
      <c r="AH621" s="17">
        <f ca="1">IFERROR(__xludf.DUMMYFUNCTION("""COMPUTED_VALUE"""),0.596456732296939)</f>
        <v>0.59645673229693896</v>
      </c>
      <c r="AI621" s="17">
        <f ca="1">IFERROR(__xludf.DUMMYFUNCTION("""COMPUTED_VALUE"""),0.805109178914098)</f>
        <v>0.80510917891409794</v>
      </c>
      <c r="AJ621" s="17">
        <f ca="1">IFERROR(__xludf.DUMMYFUNCTION("""COMPUTED_VALUE"""),0.723246528029484)</f>
        <v>0.72324652802948397</v>
      </c>
    </row>
    <row r="622" spans="2:36" ht="15.75" customHeight="1" x14ac:dyDescent="0.45">
      <c r="B622" s="10" t="str">
        <f ca="1">IFERROR(__xludf.DUMMYFUNCTION("""COMPUTED_VALUE"""),"PowerCons")</f>
        <v>PowerCons</v>
      </c>
      <c r="C622" s="10" t="str">
        <f ca="1">IFERROR(__xludf.DUMMYFUNCTION("""COMPUTED_VALUE"""),"aligned_timestamps")</f>
        <v>aligned_timestamps</v>
      </c>
      <c r="D622" s="10">
        <f ca="1">IFERROR(__xludf.DUMMYFUNCTION("""COMPUTED_VALUE"""),0.1)</f>
        <v>0.1</v>
      </c>
      <c r="E622" s="17">
        <f ca="1">IFERROR(__xludf.DUMMYFUNCTION("""COMPUTED_VALUE"""),0.781206959682278)</f>
        <v>0.78120695968227805</v>
      </c>
      <c r="F622" s="17">
        <f ca="1">IFERROR(__xludf.DUMMYFUNCTION("""COMPUTED_VALUE"""),0.461147631966712)</f>
        <v>0.46114763196671199</v>
      </c>
      <c r="G622" s="17">
        <f ca="1">IFERROR(__xludf.DUMMYFUNCTION("""COMPUTED_VALUE"""),0.461611936063688)</f>
        <v>0.461611936063688</v>
      </c>
      <c r="H622" s="17">
        <f ca="1">IFERROR(__xludf.DUMMYFUNCTION("""COMPUTED_VALUE"""),0.485777162887809)</f>
        <v>0.48577716288780898</v>
      </c>
      <c r="I622" s="17">
        <f ca="1">IFERROR(__xludf.DUMMYFUNCTION("""COMPUTED_VALUE"""),0.275729389693241)</f>
        <v>0.27572938969324101</v>
      </c>
      <c r="J622" s="17">
        <f ca="1">IFERROR(__xludf.DUMMYFUNCTION("""COMPUTED_VALUE"""),0.407906699989858)</f>
        <v>0.40790669998985801</v>
      </c>
      <c r="K622" s="17" t="str">
        <f ca="1">IFERROR(__xludf.DUMMYFUNCTION("""COMPUTED_VALUE"""),"nan")</f>
        <v>nan</v>
      </c>
      <c r="L622" s="17">
        <f ca="1">IFERROR(__xludf.DUMMYFUNCTION("""COMPUTED_VALUE"""),0.406906728111522)</f>
        <v>0.40690672811152201</v>
      </c>
      <c r="M622" s="17">
        <f ca="1">IFERROR(__xludf.DUMMYFUNCTION("""COMPUTED_VALUE"""),0.435711190693751)</f>
        <v>0.43571119069375103</v>
      </c>
      <c r="N622" s="17">
        <f ca="1">IFERROR(__xludf.DUMMYFUNCTION("""COMPUTED_VALUE"""),0.305769885625348)</f>
        <v>0.30576988562534801</v>
      </c>
      <c r="O622" s="17">
        <f ca="1">IFERROR(__xludf.DUMMYFUNCTION("""COMPUTED_VALUE"""),0.433260547814885)</f>
        <v>0.43326054781488499</v>
      </c>
      <c r="P622" s="17">
        <f ca="1">IFERROR(__xludf.DUMMYFUNCTION("""COMPUTED_VALUE"""),0.674698978657948)</f>
        <v>0.67469897865794803</v>
      </c>
      <c r="Q622" s="17">
        <f ca="1">IFERROR(__xludf.DUMMYFUNCTION("""COMPUTED_VALUE"""),0.647839223430102)</f>
        <v>0.64783922343010203</v>
      </c>
      <c r="R622" s="17">
        <f ca="1">IFERROR(__xludf.DUMMYFUNCTION("""COMPUTED_VALUE"""),0.375638695149251)</f>
        <v>0.37563869514925102</v>
      </c>
      <c r="S622" s="17">
        <f ca="1">IFERROR(__xludf.DUMMYFUNCTION("""COMPUTED_VALUE"""),0.344217690229144)</f>
        <v>0.344217690229144</v>
      </c>
      <c r="T622" s="17">
        <f ca="1">IFERROR(__xludf.DUMMYFUNCTION("""COMPUTED_VALUE"""),0.375782429793596)</f>
        <v>0.375782429793596</v>
      </c>
      <c r="U622" s="17">
        <f ca="1">IFERROR(__xludf.DUMMYFUNCTION("""COMPUTED_VALUE"""),0.284576637954555)</f>
        <v>0.28457663795455501</v>
      </c>
      <c r="V622" s="17">
        <f ca="1">IFERROR(__xludf.DUMMYFUNCTION("""COMPUTED_VALUE"""),0.315398808377735)</f>
        <v>0.31539880837773498</v>
      </c>
      <c r="W622" s="17">
        <f ca="1">IFERROR(__xludf.DUMMYFUNCTION("""COMPUTED_VALUE"""),0.341521707067592)</f>
        <v>0.341521707067592</v>
      </c>
      <c r="X622" s="17">
        <f ca="1">IFERROR(__xludf.DUMMYFUNCTION("""COMPUTED_VALUE"""),0.466998254178767)</f>
        <v>0.466998254178767</v>
      </c>
      <c r="Y622" s="17">
        <f ca="1">IFERROR(__xludf.DUMMYFUNCTION("""COMPUTED_VALUE"""),0.271151279122497)</f>
        <v>0.27115127912249698</v>
      </c>
      <c r="Z622" s="17">
        <f ca="1">IFERROR(__xludf.DUMMYFUNCTION("""COMPUTED_VALUE"""),0.448057634433268)</f>
        <v>0.44805763443326801</v>
      </c>
      <c r="AA622" s="17">
        <f ca="1">IFERROR(__xludf.DUMMYFUNCTION("""COMPUTED_VALUE"""),0.335773282997083)</f>
        <v>0.33577328299708298</v>
      </c>
      <c r="AB622" s="17">
        <f ca="1">IFERROR(__xludf.DUMMYFUNCTION("""COMPUTED_VALUE"""),0.39952262103397)</f>
        <v>0.39952262103397002</v>
      </c>
      <c r="AC622" s="17">
        <f ca="1">IFERROR(__xludf.DUMMYFUNCTION("""COMPUTED_VALUE"""),1.16894154454181)</f>
        <v>1.1689415445418101</v>
      </c>
      <c r="AD622" s="17">
        <f ca="1">IFERROR(__xludf.DUMMYFUNCTION("""COMPUTED_VALUE"""),0.669563459422205)</f>
        <v>0.66956345942220497</v>
      </c>
      <c r="AE622" s="17">
        <f ca="1">IFERROR(__xludf.DUMMYFUNCTION("""COMPUTED_VALUE"""),0.791364681534663)</f>
        <v>0.79136468153466299</v>
      </c>
      <c r="AF622" s="17">
        <f ca="1">IFERROR(__xludf.DUMMYFUNCTION("""COMPUTED_VALUE"""),0.281446340393027)</f>
        <v>0.28144634039302702</v>
      </c>
      <c r="AG622" s="17">
        <f ca="1">IFERROR(__xludf.DUMMYFUNCTION("""COMPUTED_VALUE"""),0.646061345283557)</f>
        <v>0.64606134528355696</v>
      </c>
      <c r="AH622" s="17">
        <f ca="1">IFERROR(__xludf.DUMMYFUNCTION("""COMPUTED_VALUE"""),0.310396817809751)</f>
        <v>0.31039681780975098</v>
      </c>
      <c r="AI622" s="17">
        <f ca="1">IFERROR(__xludf.DUMMYFUNCTION("""COMPUTED_VALUE"""),0.334783682058999)</f>
        <v>0.334783682058999</v>
      </c>
      <c r="AJ622" s="17">
        <f ca="1">IFERROR(__xludf.DUMMYFUNCTION("""COMPUTED_VALUE"""),0.381787360284634)</f>
        <v>0.381787360284634</v>
      </c>
    </row>
    <row r="623" spans="2:36" ht="15.75" customHeight="1" x14ac:dyDescent="0.45">
      <c r="B623" s="10" t="str">
        <f ca="1">IFERROR(__xludf.DUMMYFUNCTION("""COMPUTED_VALUE"""),"PowerCons")</f>
        <v>PowerCons</v>
      </c>
      <c r="C623" s="10" t="str">
        <f ca="1">IFERROR(__xludf.DUMMYFUNCTION("""COMPUTED_VALUE"""),"aligned_timestamps")</f>
        <v>aligned_timestamps</v>
      </c>
      <c r="D623" s="10">
        <f ca="1">IFERROR(__xludf.DUMMYFUNCTION("""COMPUTED_VALUE"""),0.2)</f>
        <v>0.2</v>
      </c>
      <c r="E623" s="17">
        <f ca="1">IFERROR(__xludf.DUMMYFUNCTION("""COMPUTED_VALUE"""),0.803752957299977)</f>
        <v>0.80375295729997698</v>
      </c>
      <c r="F623" s="17">
        <f ca="1">IFERROR(__xludf.DUMMYFUNCTION("""COMPUTED_VALUE"""),0.460896502460348)</f>
        <v>0.46089650246034802</v>
      </c>
      <c r="G623" s="17">
        <f ca="1">IFERROR(__xludf.DUMMYFUNCTION("""COMPUTED_VALUE"""),0.463412353067117)</f>
        <v>0.46341235306711698</v>
      </c>
      <c r="H623" s="17">
        <f ca="1">IFERROR(__xludf.DUMMYFUNCTION("""COMPUTED_VALUE"""),0.472668722394529)</f>
        <v>0.47266872239452901</v>
      </c>
      <c r="I623" s="17">
        <f ca="1">IFERROR(__xludf.DUMMYFUNCTION("""COMPUTED_VALUE"""),0.31498170637336)</f>
        <v>0.31498170637335998</v>
      </c>
      <c r="J623" s="17">
        <f ca="1">IFERROR(__xludf.DUMMYFUNCTION("""COMPUTED_VALUE"""),0.369651340308653)</f>
        <v>0.36965134030865299</v>
      </c>
      <c r="K623" s="17" t="str">
        <f ca="1">IFERROR(__xludf.DUMMYFUNCTION("""COMPUTED_VALUE"""),"nan")</f>
        <v>nan</v>
      </c>
      <c r="L623" s="17">
        <f ca="1">IFERROR(__xludf.DUMMYFUNCTION("""COMPUTED_VALUE"""),0.404675313702366)</f>
        <v>0.40467531370236598</v>
      </c>
      <c r="M623" s="17">
        <f ca="1">IFERROR(__xludf.DUMMYFUNCTION("""COMPUTED_VALUE"""),0.457078113397289)</f>
        <v>0.45707811339728899</v>
      </c>
      <c r="N623" s="17">
        <f ca="1">IFERROR(__xludf.DUMMYFUNCTION("""COMPUTED_VALUE"""),0.293018389461006)</f>
        <v>0.293018389461006</v>
      </c>
      <c r="O623" s="17">
        <f ca="1">IFERROR(__xludf.DUMMYFUNCTION("""COMPUTED_VALUE"""),0.424557360444033)</f>
        <v>0.42455736044403303</v>
      </c>
      <c r="P623" s="17">
        <f ca="1">IFERROR(__xludf.DUMMYFUNCTION("""COMPUTED_VALUE"""),0.714478714716791)</f>
        <v>0.71447871471679103</v>
      </c>
      <c r="Q623" s="17">
        <f ca="1">IFERROR(__xludf.DUMMYFUNCTION("""COMPUTED_VALUE"""),0.575206960046723)</f>
        <v>0.575206960046723</v>
      </c>
      <c r="R623" s="17">
        <f ca="1">IFERROR(__xludf.DUMMYFUNCTION("""COMPUTED_VALUE"""),0.475055340771288)</f>
        <v>0.47505534077128803</v>
      </c>
      <c r="S623" s="17">
        <f ca="1">IFERROR(__xludf.DUMMYFUNCTION("""COMPUTED_VALUE"""),0.467077544102415)</f>
        <v>0.46707754410241498</v>
      </c>
      <c r="T623" s="17">
        <f ca="1">IFERROR(__xludf.DUMMYFUNCTION("""COMPUTED_VALUE"""),0.373138547842147)</f>
        <v>0.37313854784214701</v>
      </c>
      <c r="U623" s="17">
        <f ca="1">IFERROR(__xludf.DUMMYFUNCTION("""COMPUTED_VALUE"""),0.372292854315471)</f>
        <v>0.37229285431547099</v>
      </c>
      <c r="V623" s="17">
        <f ca="1">IFERROR(__xludf.DUMMYFUNCTION("""COMPUTED_VALUE"""),0.392280932476916)</f>
        <v>0.39228093247691598</v>
      </c>
      <c r="W623" s="17">
        <f ca="1">IFERROR(__xludf.DUMMYFUNCTION("""COMPUTED_VALUE"""),0.583644302564351)</f>
        <v>0.58364430256435096</v>
      </c>
      <c r="X623" s="17">
        <f ca="1">IFERROR(__xludf.DUMMYFUNCTION("""COMPUTED_VALUE"""),0.490829971286947)</f>
        <v>0.490829971286947</v>
      </c>
      <c r="Y623" s="17">
        <f ca="1">IFERROR(__xludf.DUMMYFUNCTION("""COMPUTED_VALUE"""),0.28195303748853)</f>
        <v>0.28195303748853001</v>
      </c>
      <c r="Z623" s="17">
        <f ca="1">IFERROR(__xludf.DUMMYFUNCTION("""COMPUTED_VALUE"""),0.529907039148581)</f>
        <v>0.52990703914858095</v>
      </c>
      <c r="AA623" s="17">
        <f ca="1">IFERROR(__xludf.DUMMYFUNCTION("""COMPUTED_VALUE"""),0.319863402401735)</f>
        <v>0.319863402401735</v>
      </c>
      <c r="AB623" s="17">
        <f ca="1">IFERROR(__xludf.DUMMYFUNCTION("""COMPUTED_VALUE"""),0.609346293713159)</f>
        <v>0.60934629371315896</v>
      </c>
      <c r="AC623" s="17">
        <f ca="1">IFERROR(__xludf.DUMMYFUNCTION("""COMPUTED_VALUE"""),1.13865406535557)</f>
        <v>1.1386540653555699</v>
      </c>
      <c r="AD623" s="17">
        <f ca="1">IFERROR(__xludf.DUMMYFUNCTION("""COMPUTED_VALUE"""),0.622508081631441)</f>
        <v>0.622508081631441</v>
      </c>
      <c r="AE623" s="17">
        <f ca="1">IFERROR(__xludf.DUMMYFUNCTION("""COMPUTED_VALUE"""),1.15267731068916)</f>
        <v>1.1526773106891599</v>
      </c>
      <c r="AF623" s="17">
        <f ca="1">IFERROR(__xludf.DUMMYFUNCTION("""COMPUTED_VALUE"""),0.364163751467279)</f>
        <v>0.36416375146727897</v>
      </c>
      <c r="AG623" s="17">
        <f ca="1">IFERROR(__xludf.DUMMYFUNCTION("""COMPUTED_VALUE"""),0.824682224154484)</f>
        <v>0.824682224154484</v>
      </c>
      <c r="AH623" s="17">
        <f ca="1">IFERROR(__xludf.DUMMYFUNCTION("""COMPUTED_VALUE"""),0.591031779413994)</f>
        <v>0.59103177941399399</v>
      </c>
      <c r="AI623" s="17">
        <f ca="1">IFERROR(__xludf.DUMMYFUNCTION("""COMPUTED_VALUE"""),0.809790361943312)</f>
        <v>0.809790361943312</v>
      </c>
      <c r="AJ623" s="17">
        <f ca="1">IFERROR(__xludf.DUMMYFUNCTION("""COMPUTED_VALUE"""),0.554745113010572)</f>
        <v>0.55474511301057206</v>
      </c>
    </row>
    <row r="624" spans="2:36" ht="15.75" customHeight="1" x14ac:dyDescent="0.45">
      <c r="B624" s="10" t="str">
        <f ca="1">IFERROR(__xludf.DUMMYFUNCTION("""COMPUTED_VALUE"""),"PowerCons")</f>
        <v>PowerCons</v>
      </c>
      <c r="C624" s="10" t="str">
        <f ca="1">IFERROR(__xludf.DUMMYFUNCTION("""COMPUTED_VALUE"""),"aligned_timestamps")</f>
        <v>aligned_timestamps</v>
      </c>
      <c r="D624" s="10">
        <f ca="1">IFERROR(__xludf.DUMMYFUNCTION("""COMPUTED_VALUE"""),0.4)</f>
        <v>0.4</v>
      </c>
      <c r="E624" s="17">
        <f ca="1">IFERROR(__xludf.DUMMYFUNCTION("""COMPUTED_VALUE"""),0.893065413935939)</f>
        <v>0.89306541393593897</v>
      </c>
      <c r="F624" s="17">
        <f ca="1">IFERROR(__xludf.DUMMYFUNCTION("""COMPUTED_VALUE"""),0.702004952021567)</f>
        <v>0.70200495202156699</v>
      </c>
      <c r="G624" s="17">
        <f ca="1">IFERROR(__xludf.DUMMYFUNCTION("""COMPUTED_VALUE"""),0.718137165868151)</f>
        <v>0.71813716586815102</v>
      </c>
      <c r="H624" s="17">
        <f ca="1">IFERROR(__xludf.DUMMYFUNCTION("""COMPUTED_VALUE"""),0.730746328475223)</f>
        <v>0.73074632847522303</v>
      </c>
      <c r="I624" s="17">
        <f ca="1">IFERROR(__xludf.DUMMYFUNCTION("""COMPUTED_VALUE"""),0.615153080835066)</f>
        <v>0.61515308083506604</v>
      </c>
      <c r="J624" s="17">
        <f ca="1">IFERROR(__xludf.DUMMYFUNCTION("""COMPUTED_VALUE"""),0.660593736288517)</f>
        <v>0.66059373628851703</v>
      </c>
      <c r="K624" s="17" t="str">
        <f ca="1">IFERROR(__xludf.DUMMYFUNCTION("""COMPUTED_VALUE"""),"nan")</f>
        <v>nan</v>
      </c>
      <c r="L624" s="17">
        <f ca="1">IFERROR(__xludf.DUMMYFUNCTION("""COMPUTED_VALUE"""),0.68590684047118)</f>
        <v>0.68590684047118</v>
      </c>
      <c r="M624" s="17">
        <f ca="1">IFERROR(__xludf.DUMMYFUNCTION("""COMPUTED_VALUE"""),0.66628618425571)</f>
        <v>0.66628618425570996</v>
      </c>
      <c r="N624" s="17">
        <f ca="1">IFERROR(__xludf.DUMMYFUNCTION("""COMPUTED_VALUE"""),0.665145352550659)</f>
        <v>0.66514535255065899</v>
      </c>
      <c r="O624" s="17">
        <f ca="1">IFERROR(__xludf.DUMMYFUNCTION("""COMPUTED_VALUE"""),0.664690141314948)</f>
        <v>0.66469014131494797</v>
      </c>
      <c r="P624" s="17">
        <f ca="1">IFERROR(__xludf.DUMMYFUNCTION("""COMPUTED_VALUE"""),1.00704853005952)</f>
        <v>1.00704853005952</v>
      </c>
      <c r="Q624" s="17">
        <f ca="1">IFERROR(__xludf.DUMMYFUNCTION("""COMPUTED_VALUE"""),1.00859324745468)</f>
        <v>1.0085932474546799</v>
      </c>
      <c r="R624" s="17">
        <f ca="1">IFERROR(__xludf.DUMMYFUNCTION("""COMPUTED_VALUE"""),0.723045397988176)</f>
        <v>0.72304539798817602</v>
      </c>
      <c r="S624" s="17">
        <f ca="1">IFERROR(__xludf.DUMMYFUNCTION("""COMPUTED_VALUE"""),0.875114789065062)</f>
        <v>0.87511478906506202</v>
      </c>
      <c r="T624" s="17">
        <f ca="1">IFERROR(__xludf.DUMMYFUNCTION("""COMPUTED_VALUE"""),0.778588472502887)</f>
        <v>0.77858847250288699</v>
      </c>
      <c r="U624" s="17">
        <f ca="1">IFERROR(__xludf.DUMMYFUNCTION("""COMPUTED_VALUE"""),0.70277383827776)</f>
        <v>0.70277383827775997</v>
      </c>
      <c r="V624" s="17">
        <f ca="1">IFERROR(__xludf.DUMMYFUNCTION("""COMPUTED_VALUE"""),0.911245530387087)</f>
        <v>0.911245530387087</v>
      </c>
      <c r="W624" s="17">
        <f ca="1">IFERROR(__xludf.DUMMYFUNCTION("""COMPUTED_VALUE"""),0.804555431244248)</f>
        <v>0.804555431244248</v>
      </c>
      <c r="X624" s="17">
        <f ca="1">IFERROR(__xludf.DUMMYFUNCTION("""COMPUTED_VALUE"""),1.29266284328714)</f>
        <v>1.2926628432871401</v>
      </c>
      <c r="Y624" s="17">
        <f ca="1">IFERROR(__xludf.DUMMYFUNCTION("""COMPUTED_VALUE"""),0.720243402444394)</f>
        <v>0.720243402444394</v>
      </c>
      <c r="Z624" s="17">
        <f ca="1">IFERROR(__xludf.DUMMYFUNCTION("""COMPUTED_VALUE"""),0.814872879188747)</f>
        <v>0.81487287918874696</v>
      </c>
      <c r="AA624" s="17">
        <f ca="1">IFERROR(__xludf.DUMMYFUNCTION("""COMPUTED_VALUE"""),1.14130224401035)</f>
        <v>1.14130224401035</v>
      </c>
      <c r="AB624" s="17">
        <f ca="1">IFERROR(__xludf.DUMMYFUNCTION("""COMPUTED_VALUE"""),0.983968593749854)</f>
        <v>0.98396859374985401</v>
      </c>
      <c r="AC624" s="17">
        <f ca="1">IFERROR(__xludf.DUMMYFUNCTION("""COMPUTED_VALUE"""),1.17276613805193)</f>
        <v>1.1727661380519301</v>
      </c>
      <c r="AD624" s="17">
        <f ca="1">IFERROR(__xludf.DUMMYFUNCTION("""COMPUTED_VALUE"""),0.911195806472087)</f>
        <v>0.91119580647208698</v>
      </c>
      <c r="AE624" s="17">
        <f ca="1">IFERROR(__xludf.DUMMYFUNCTION("""COMPUTED_VALUE"""),1.27483373465861)</f>
        <v>1.2748337346586101</v>
      </c>
      <c r="AF624" s="17">
        <f ca="1">IFERROR(__xludf.DUMMYFUNCTION("""COMPUTED_VALUE"""),0.842321735958718)</f>
        <v>0.84232173595871795</v>
      </c>
      <c r="AG624" s="17">
        <f ca="1">IFERROR(__xludf.DUMMYFUNCTION("""COMPUTED_VALUE"""),1.00862618702227)</f>
        <v>1.0086261870222699</v>
      </c>
      <c r="AH624" s="17">
        <f ca="1">IFERROR(__xludf.DUMMYFUNCTION("""COMPUTED_VALUE"""),0.9904643751518)</f>
        <v>0.99046437515179997</v>
      </c>
      <c r="AI624" s="17">
        <f ca="1">IFERROR(__xludf.DUMMYFUNCTION("""COMPUTED_VALUE"""),0.994243121712935)</f>
        <v>0.99424312171293505</v>
      </c>
      <c r="AJ624" s="17">
        <f ca="1">IFERROR(__xludf.DUMMYFUNCTION("""COMPUTED_VALUE"""),1.12637177598904)</f>
        <v>1.1263717759890399</v>
      </c>
    </row>
    <row r="625" spans="2:36" ht="15.75" customHeight="1" x14ac:dyDescent="0.45">
      <c r="B625" s="10" t="str">
        <f ca="1">IFERROR(__xludf.DUMMYFUNCTION("""COMPUTED_VALUE"""),"PowerCons")</f>
        <v>PowerCons</v>
      </c>
      <c r="C625" s="10" t="str">
        <f ca="1">IFERROR(__xludf.DUMMYFUNCTION("""COMPUTED_VALUE"""),"aligned_timestamps")</f>
        <v>aligned_timestamps</v>
      </c>
      <c r="D625" s="10">
        <f ca="1">IFERROR(__xludf.DUMMYFUNCTION("""COMPUTED_VALUE"""),0.6)</f>
        <v>0.6</v>
      </c>
      <c r="E625" s="17">
        <f ca="1">IFERROR(__xludf.DUMMYFUNCTION("""COMPUTED_VALUE"""),0.899280896540068)</f>
        <v>0.89928089654006804</v>
      </c>
      <c r="F625" s="17">
        <f ca="1">IFERROR(__xludf.DUMMYFUNCTION("""COMPUTED_VALUE"""),0.810626329330646)</f>
        <v>0.81062632933064604</v>
      </c>
      <c r="G625" s="17">
        <f ca="1">IFERROR(__xludf.DUMMYFUNCTION("""COMPUTED_VALUE"""),0.872205051026908)</f>
        <v>0.87220505102690804</v>
      </c>
      <c r="H625" s="17">
        <f ca="1">IFERROR(__xludf.DUMMYFUNCTION("""COMPUTED_VALUE"""),0.822529689347974)</f>
        <v>0.82252968934797399</v>
      </c>
      <c r="I625" s="17">
        <f ca="1">IFERROR(__xludf.DUMMYFUNCTION("""COMPUTED_VALUE"""),0.712006430061015)</f>
        <v>0.71200643006101505</v>
      </c>
      <c r="J625" s="17">
        <f ca="1">IFERROR(__xludf.DUMMYFUNCTION("""COMPUTED_VALUE"""),0.825573803524892)</f>
        <v>0.82557380352489196</v>
      </c>
      <c r="K625" s="17" t="str">
        <f ca="1">IFERROR(__xludf.DUMMYFUNCTION("""COMPUTED_VALUE"""),"nan")</f>
        <v>nan</v>
      </c>
      <c r="L625" s="17">
        <f ca="1">IFERROR(__xludf.DUMMYFUNCTION("""COMPUTED_VALUE"""),0.835791006158946)</f>
        <v>0.83579100615894597</v>
      </c>
      <c r="M625" s="17">
        <f ca="1">IFERROR(__xludf.DUMMYFUNCTION("""COMPUTED_VALUE"""),0.836467398755041)</f>
        <v>0.83646739875504095</v>
      </c>
      <c r="N625" s="17">
        <f ca="1">IFERROR(__xludf.DUMMYFUNCTION("""COMPUTED_VALUE"""),0.773471546430912)</f>
        <v>0.77347154643091198</v>
      </c>
      <c r="O625" s="17">
        <f ca="1">IFERROR(__xludf.DUMMYFUNCTION("""COMPUTED_VALUE"""),0.845370917303254)</f>
        <v>0.84537091730325398</v>
      </c>
      <c r="P625" s="17">
        <f ca="1">IFERROR(__xludf.DUMMYFUNCTION("""COMPUTED_VALUE"""),1.04113980881128)</f>
        <v>1.04113980881128</v>
      </c>
      <c r="Q625" s="17">
        <f ca="1">IFERROR(__xludf.DUMMYFUNCTION("""COMPUTED_VALUE"""),1.08694095368469)</f>
        <v>1.0869409536846899</v>
      </c>
      <c r="R625" s="17">
        <f ca="1">IFERROR(__xludf.DUMMYFUNCTION("""COMPUTED_VALUE"""),0.83715211543588)</f>
        <v>0.83715211543587997</v>
      </c>
      <c r="S625" s="17">
        <f ca="1">IFERROR(__xludf.DUMMYFUNCTION("""COMPUTED_VALUE"""),0.943361017589516)</f>
        <v>0.94336101758951596</v>
      </c>
      <c r="T625" s="17">
        <f ca="1">IFERROR(__xludf.DUMMYFUNCTION("""COMPUTED_VALUE"""),0.847712380616)</f>
        <v>0.84771238061599996</v>
      </c>
      <c r="U625" s="17">
        <f ca="1">IFERROR(__xludf.DUMMYFUNCTION("""COMPUTED_VALUE"""),0.744178489453381)</f>
        <v>0.74417848945338105</v>
      </c>
      <c r="V625" s="17">
        <f ca="1">IFERROR(__xludf.DUMMYFUNCTION("""COMPUTED_VALUE"""),0.875661305018452)</f>
        <v>0.87566130501845196</v>
      </c>
      <c r="W625" s="17">
        <f ca="1">IFERROR(__xludf.DUMMYFUNCTION("""COMPUTED_VALUE"""),0.852259120439181)</f>
        <v>0.85225912043918095</v>
      </c>
      <c r="X625" s="17">
        <f ca="1">IFERROR(__xludf.DUMMYFUNCTION("""COMPUTED_VALUE"""),0.735882262194449)</f>
        <v>0.73588226219444897</v>
      </c>
      <c r="Y625" s="17">
        <f ca="1">IFERROR(__xludf.DUMMYFUNCTION("""COMPUTED_VALUE"""),0.761377953939173)</f>
        <v>0.76137795393917296</v>
      </c>
      <c r="Z625" s="17">
        <f ca="1">IFERROR(__xludf.DUMMYFUNCTION("""COMPUTED_VALUE"""),0.855084869634601)</f>
        <v>0.85508486963460095</v>
      </c>
      <c r="AA625" s="17">
        <f ca="1">IFERROR(__xludf.DUMMYFUNCTION("""COMPUTED_VALUE"""),1.20103073171237)</f>
        <v>1.2010307317123701</v>
      </c>
      <c r="AB625" s="17">
        <f ca="1">IFERROR(__xludf.DUMMYFUNCTION("""COMPUTED_VALUE"""),1.11796878321437)</f>
        <v>1.1179687832143701</v>
      </c>
      <c r="AC625" s="17">
        <f ca="1">IFERROR(__xludf.DUMMYFUNCTION("""COMPUTED_VALUE"""),1.15751371898193)</f>
        <v>1.15751371898193</v>
      </c>
      <c r="AD625" s="17">
        <f ca="1">IFERROR(__xludf.DUMMYFUNCTION("""COMPUTED_VALUE"""),0.923315088647024)</f>
        <v>0.92331508864702405</v>
      </c>
      <c r="AE625" s="17">
        <f ca="1">IFERROR(__xludf.DUMMYFUNCTION("""COMPUTED_VALUE"""),1.63750272201568)</f>
        <v>1.6375027220156799</v>
      </c>
      <c r="AF625" s="17">
        <f ca="1">IFERROR(__xludf.DUMMYFUNCTION("""COMPUTED_VALUE"""),0.994673732018707)</f>
        <v>0.99467373201870701</v>
      </c>
      <c r="AG625" s="17">
        <f ca="1">IFERROR(__xludf.DUMMYFUNCTION("""COMPUTED_VALUE"""),0.95094777387056)</f>
        <v>0.95094777387055995</v>
      </c>
      <c r="AH625" s="17">
        <f ca="1">IFERROR(__xludf.DUMMYFUNCTION("""COMPUTED_VALUE"""),0.889157148100835)</f>
        <v>0.88915714810083502</v>
      </c>
      <c r="AI625" s="17" t="str">
        <f ca="1">IFERROR(__xludf.DUMMYFUNCTION("""COMPUTED_VALUE"""),"nan")</f>
        <v>nan</v>
      </c>
      <c r="AJ625" s="17">
        <f ca="1">IFERROR(__xludf.DUMMYFUNCTION("""COMPUTED_VALUE"""),0.940399531048063)</f>
        <v>0.94039953104806295</v>
      </c>
    </row>
    <row r="626" spans="2:36" ht="15.75" customHeight="1" x14ac:dyDescent="0.45">
      <c r="B626" s="10" t="str">
        <f ca="1">IFERROR(__xludf.DUMMYFUNCTION("""COMPUTED_VALUE"""),"PowerCons")</f>
        <v>PowerCons</v>
      </c>
      <c r="C626" s="10" t="str">
        <f ca="1">IFERROR(__xludf.DUMMYFUNCTION("""COMPUTED_VALUE"""),"aligned_timestamps")</f>
        <v>aligned_timestamps</v>
      </c>
      <c r="D626" s="10">
        <f ca="1">IFERROR(__xludf.DUMMYFUNCTION("""COMPUTED_VALUE"""),0.8)</f>
        <v>0.8</v>
      </c>
      <c r="E626" s="17">
        <f ca="1">IFERROR(__xludf.DUMMYFUNCTION("""COMPUTED_VALUE"""),0.951433545547835)</f>
        <v>0.95143354554783499</v>
      </c>
      <c r="F626" s="17">
        <f ca="1">IFERROR(__xludf.DUMMYFUNCTION("""COMPUTED_VALUE"""),1.0711370580646)</f>
        <v>1.0711370580646</v>
      </c>
      <c r="G626" s="17">
        <f ca="1">IFERROR(__xludf.DUMMYFUNCTION("""COMPUTED_VALUE"""),1.40542443827044)</f>
        <v>1.4054244382704399</v>
      </c>
      <c r="H626" s="17">
        <f ca="1">IFERROR(__xludf.DUMMYFUNCTION("""COMPUTED_VALUE"""),0.948905044042073)</f>
        <v>0.94890504404207299</v>
      </c>
      <c r="I626" s="17">
        <f ca="1">IFERROR(__xludf.DUMMYFUNCTION("""COMPUTED_VALUE"""),0.842489236633104)</f>
        <v>0.84248923663310404</v>
      </c>
      <c r="J626" s="17">
        <f ca="1">IFERROR(__xludf.DUMMYFUNCTION("""COMPUTED_VALUE"""),1.03506891008976)</f>
        <v>1.0350689100897601</v>
      </c>
      <c r="K626" s="17" t="str">
        <f ca="1">IFERROR(__xludf.DUMMYFUNCTION("""COMPUTED_VALUE"""),"nan")</f>
        <v>nan</v>
      </c>
      <c r="L626" s="17">
        <f ca="1">IFERROR(__xludf.DUMMYFUNCTION("""COMPUTED_VALUE"""),1.04060273587099)</f>
        <v>1.0406027358709899</v>
      </c>
      <c r="M626" s="17">
        <f ca="1">IFERROR(__xludf.DUMMYFUNCTION("""COMPUTED_VALUE"""),1.65034456065021)</f>
        <v>1.6503445606502101</v>
      </c>
      <c r="N626" s="17">
        <f ca="1">IFERROR(__xludf.DUMMYFUNCTION("""COMPUTED_VALUE"""),0.822805134932478)</f>
        <v>0.82280513493247798</v>
      </c>
      <c r="O626" s="17">
        <f ca="1">IFERROR(__xludf.DUMMYFUNCTION("""COMPUTED_VALUE"""),1.25480744838531)</f>
        <v>1.25480744838531</v>
      </c>
      <c r="P626" s="17">
        <f ca="1">IFERROR(__xludf.DUMMYFUNCTION("""COMPUTED_VALUE"""),1.16655846223706)</f>
        <v>1.1665584622370599</v>
      </c>
      <c r="Q626" s="17">
        <f ca="1">IFERROR(__xludf.DUMMYFUNCTION("""COMPUTED_VALUE"""),1.12132735942585)</f>
        <v>1.1213273594258499</v>
      </c>
      <c r="R626" s="17">
        <f ca="1">IFERROR(__xludf.DUMMYFUNCTION("""COMPUTED_VALUE"""),0.936490608684594)</f>
        <v>0.93649060868459399</v>
      </c>
      <c r="S626" s="17">
        <f ca="1">IFERROR(__xludf.DUMMYFUNCTION("""COMPUTED_VALUE"""),1.05193517780323)</f>
        <v>1.05193517780323</v>
      </c>
      <c r="T626" s="17">
        <f ca="1">IFERROR(__xludf.DUMMYFUNCTION("""COMPUTED_VALUE"""),0.978994142419561)</f>
        <v>0.97899414241956095</v>
      </c>
      <c r="U626" s="17">
        <f ca="1">IFERROR(__xludf.DUMMYFUNCTION("""COMPUTED_VALUE"""),0.991371256950408)</f>
        <v>0.99137125695040795</v>
      </c>
      <c r="V626" s="17">
        <f ca="1">IFERROR(__xludf.DUMMYFUNCTION("""COMPUTED_VALUE"""),1.027639948499)</f>
        <v>1.027639948499</v>
      </c>
      <c r="W626" s="17">
        <f ca="1">IFERROR(__xludf.DUMMYFUNCTION("""COMPUTED_VALUE"""),0.884138860907591)</f>
        <v>0.88413886090759097</v>
      </c>
      <c r="X626" s="17">
        <f ca="1">IFERROR(__xludf.DUMMYFUNCTION("""COMPUTED_VALUE"""),0.79317428710903)</f>
        <v>0.79317428710903004</v>
      </c>
      <c r="Y626" s="17">
        <f ca="1">IFERROR(__xludf.DUMMYFUNCTION("""COMPUTED_VALUE"""),0.888406672106312)</f>
        <v>0.88840667210631197</v>
      </c>
      <c r="Z626" s="17">
        <f ca="1">IFERROR(__xludf.DUMMYFUNCTION("""COMPUTED_VALUE"""),0.913909053510256)</f>
        <v>0.91390905351025598</v>
      </c>
      <c r="AA626" s="17">
        <f ca="1">IFERROR(__xludf.DUMMYFUNCTION("""COMPUTED_VALUE"""),1.38480589440744)</f>
        <v>1.38480589440744</v>
      </c>
      <c r="AB626" s="17">
        <f ca="1">IFERROR(__xludf.DUMMYFUNCTION("""COMPUTED_VALUE"""),1.38733053470384)</f>
        <v>1.38733053470384</v>
      </c>
      <c r="AC626" s="17">
        <f ca="1">IFERROR(__xludf.DUMMYFUNCTION("""COMPUTED_VALUE"""),1.21806894159692)</f>
        <v>1.2180689415969199</v>
      </c>
      <c r="AD626" s="17">
        <f ca="1">IFERROR(__xludf.DUMMYFUNCTION("""COMPUTED_VALUE"""),1.02639753928568)</f>
        <v>1.0263975392856799</v>
      </c>
      <c r="AE626" s="17">
        <f ca="1">IFERROR(__xludf.DUMMYFUNCTION("""COMPUTED_VALUE"""),2.60824982848253)</f>
        <v>2.60824982848253</v>
      </c>
      <c r="AF626" s="17">
        <f ca="1">IFERROR(__xludf.DUMMYFUNCTION("""COMPUTED_VALUE"""),1.03555924779411)</f>
        <v>1.03555924779411</v>
      </c>
      <c r="AG626" s="17">
        <f ca="1">IFERROR(__xludf.DUMMYFUNCTION("""COMPUTED_VALUE"""),1.04649190383091)</f>
        <v>1.04649190383091</v>
      </c>
      <c r="AH626" s="17">
        <f ca="1">IFERROR(__xludf.DUMMYFUNCTION("""COMPUTED_VALUE"""),1.03344533576853)</f>
        <v>1.03344533576853</v>
      </c>
      <c r="AI626" s="17" t="str">
        <f ca="1">IFERROR(__xludf.DUMMYFUNCTION("""COMPUTED_VALUE"""),"nan")</f>
        <v>nan</v>
      </c>
      <c r="AJ626" s="17">
        <f ca="1">IFERROR(__xludf.DUMMYFUNCTION("""COMPUTED_VALUE"""),1.07365578670759)</f>
        <v>1.07365578670759</v>
      </c>
    </row>
    <row r="627" spans="2:36" ht="15.75" customHeight="1" x14ac:dyDescent="0.45">
      <c r="B627" s="10" t="str">
        <f ca="1">IFERROR(__xludf.DUMMYFUNCTION("""COMPUTED_VALUE"""),"PowerCons")</f>
        <v>PowerCons</v>
      </c>
      <c r="C627" s="10" t="str">
        <f ca="1">IFERROR(__xludf.DUMMYFUNCTION("""COMPUTED_VALUE"""),"mcar")</f>
        <v>mcar</v>
      </c>
      <c r="D627" s="10">
        <f ca="1">IFERROR(__xludf.DUMMYFUNCTION("""COMPUTED_VALUE"""),0.1)</f>
        <v>0.1</v>
      </c>
      <c r="E627" s="17">
        <f ca="1">IFERROR(__xludf.DUMMYFUNCTION("""COMPUTED_VALUE"""),1.14315585853741)</f>
        <v>1.14315585853741</v>
      </c>
      <c r="F627" s="17">
        <f ca="1">IFERROR(__xludf.DUMMYFUNCTION("""COMPUTED_VALUE"""),0.956318218811834)</f>
        <v>0.95631821881183399</v>
      </c>
      <c r="G627" s="17">
        <f ca="1">IFERROR(__xludf.DUMMYFUNCTION("""COMPUTED_VALUE"""),0.959705763524414)</f>
        <v>0.95970576352441395</v>
      </c>
      <c r="H627" s="17">
        <f ca="1">IFERROR(__xludf.DUMMYFUNCTION("""COMPUTED_VALUE"""),0.948970391916994)</f>
        <v>0.94897039191699395</v>
      </c>
      <c r="I627" s="17">
        <f ca="1">IFERROR(__xludf.DUMMYFUNCTION("""COMPUTED_VALUE"""),0.706558717612466)</f>
        <v>0.70655871761246603</v>
      </c>
      <c r="J627" s="17">
        <f ca="1">IFERROR(__xludf.DUMMYFUNCTION("""COMPUTED_VALUE"""),0.941637610777632)</f>
        <v>0.94163761077763197</v>
      </c>
      <c r="K627" s="17" t="str">
        <f ca="1">IFERROR(__xludf.DUMMYFUNCTION("""COMPUTED_VALUE"""),"nan")</f>
        <v>nan</v>
      </c>
      <c r="L627" s="17">
        <f ca="1">IFERROR(__xludf.DUMMYFUNCTION("""COMPUTED_VALUE"""),0.921573898002711)</f>
        <v>0.92157389800271095</v>
      </c>
      <c r="M627" s="17">
        <f ca="1">IFERROR(__xludf.DUMMYFUNCTION("""COMPUTED_VALUE"""),0.952265429244751)</f>
        <v>0.95226542924475099</v>
      </c>
      <c r="N627" s="17">
        <f ca="1">IFERROR(__xludf.DUMMYFUNCTION("""COMPUTED_VALUE"""),0.783232732878056)</f>
        <v>0.78323273287805595</v>
      </c>
      <c r="O627" s="17">
        <f ca="1">IFERROR(__xludf.DUMMYFUNCTION("""COMPUTED_VALUE"""),0.96095957247799)</f>
        <v>0.96095957247799002</v>
      </c>
      <c r="P627" s="17">
        <f ca="1">IFERROR(__xludf.DUMMYFUNCTION("""COMPUTED_VALUE"""),0.946863386032529)</f>
        <v>0.94686338603252895</v>
      </c>
      <c r="Q627" s="17">
        <f ca="1">IFERROR(__xludf.DUMMYFUNCTION("""COMPUTED_VALUE"""),1.32476031386957)</f>
        <v>1.32476031386957</v>
      </c>
      <c r="R627" s="17">
        <f ca="1">IFERROR(__xludf.DUMMYFUNCTION("""COMPUTED_VALUE"""),0.839766941362086)</f>
        <v>0.83976694136208596</v>
      </c>
      <c r="S627" s="17">
        <f ca="1">IFERROR(__xludf.DUMMYFUNCTION("""COMPUTED_VALUE"""),1.06795360161018)</f>
        <v>1.06795360161018</v>
      </c>
      <c r="T627" s="17">
        <f ca="1">IFERROR(__xludf.DUMMYFUNCTION("""COMPUTED_VALUE"""),0.881646326084296)</f>
        <v>0.88164632608429605</v>
      </c>
      <c r="U627" s="17">
        <f ca="1">IFERROR(__xludf.DUMMYFUNCTION("""COMPUTED_VALUE"""),0.901377367985623)</f>
        <v>0.90137736798562296</v>
      </c>
      <c r="V627" s="17">
        <f ca="1">IFERROR(__xludf.DUMMYFUNCTION("""COMPUTED_VALUE"""),1.09861890110268)</f>
        <v>1.0986189011026799</v>
      </c>
      <c r="W627" s="17">
        <f ca="1">IFERROR(__xludf.DUMMYFUNCTION("""COMPUTED_VALUE"""),0.945766702315222)</f>
        <v>0.94576670231522197</v>
      </c>
      <c r="X627" s="17">
        <f ca="1">IFERROR(__xludf.DUMMYFUNCTION("""COMPUTED_VALUE"""),0.888283551772164)</f>
        <v>0.888283551772164</v>
      </c>
      <c r="Y627" s="17">
        <f ca="1">IFERROR(__xludf.DUMMYFUNCTION("""COMPUTED_VALUE"""),0.847020793261643)</f>
        <v>0.84702079326164303</v>
      </c>
      <c r="Z627" s="17">
        <f ca="1">IFERROR(__xludf.DUMMYFUNCTION("""COMPUTED_VALUE"""),1.0456166415635)</f>
        <v>1.0456166415635</v>
      </c>
      <c r="AA627" s="17">
        <f ca="1">IFERROR(__xludf.DUMMYFUNCTION("""COMPUTED_VALUE"""),0.844401081609514)</f>
        <v>0.84440108160951399</v>
      </c>
      <c r="AB627" s="17">
        <f ca="1">IFERROR(__xludf.DUMMYFUNCTION("""COMPUTED_VALUE"""),0.93716546011356)</f>
        <v>0.93716546011355994</v>
      </c>
      <c r="AC627" s="17">
        <f ca="1">IFERROR(__xludf.DUMMYFUNCTION("""COMPUTED_VALUE"""),1.33906751924429)</f>
        <v>1.33906751924429</v>
      </c>
      <c r="AD627" s="17">
        <f ca="1">IFERROR(__xludf.DUMMYFUNCTION("""COMPUTED_VALUE"""),1.13191281618281)</f>
        <v>1.13191281618281</v>
      </c>
      <c r="AE627" s="17">
        <f ca="1">IFERROR(__xludf.DUMMYFUNCTION("""COMPUTED_VALUE"""),0.98370930750441)</f>
        <v>0.98370930750440999</v>
      </c>
      <c r="AF627" s="17">
        <f ca="1">IFERROR(__xludf.DUMMYFUNCTION("""COMPUTED_VALUE"""),1.06337057394215)</f>
        <v>1.06337057394215</v>
      </c>
      <c r="AG627" s="17">
        <f ca="1">IFERROR(__xludf.DUMMYFUNCTION("""COMPUTED_VALUE"""),1.10352337402287)</f>
        <v>1.10352337402287</v>
      </c>
      <c r="AH627" s="17">
        <f ca="1">IFERROR(__xludf.DUMMYFUNCTION("""COMPUTED_VALUE"""),0.998583715451477)</f>
        <v>0.99858371545147695</v>
      </c>
      <c r="AI627" s="17">
        <f ca="1">IFERROR(__xludf.DUMMYFUNCTION("""COMPUTED_VALUE"""),0.962240301742302)</f>
        <v>0.96224030174230202</v>
      </c>
      <c r="AJ627" s="17">
        <f ca="1">IFERROR(__xludf.DUMMYFUNCTION("""COMPUTED_VALUE"""),1.00488037054688)</f>
        <v>1.0048803705468801</v>
      </c>
    </row>
    <row r="628" spans="2:36" ht="15.75" customHeight="1" x14ac:dyDescent="0.45">
      <c r="B628" s="10" t="str">
        <f ca="1">IFERROR(__xludf.DUMMYFUNCTION("""COMPUTED_VALUE"""),"PowerCons")</f>
        <v>PowerCons</v>
      </c>
      <c r="C628" s="10" t="str">
        <f ca="1">IFERROR(__xludf.DUMMYFUNCTION("""COMPUTED_VALUE"""),"mcar")</f>
        <v>mcar</v>
      </c>
      <c r="D628" s="10">
        <f ca="1">IFERROR(__xludf.DUMMYFUNCTION("""COMPUTED_VALUE"""),0.2)</f>
        <v>0.2</v>
      </c>
      <c r="E628" s="17">
        <f ca="1">IFERROR(__xludf.DUMMYFUNCTION("""COMPUTED_VALUE"""),1.13852922609214)</f>
        <v>1.13852922609214</v>
      </c>
      <c r="F628" s="17">
        <f ca="1">IFERROR(__xludf.DUMMYFUNCTION("""COMPUTED_VALUE"""),0.88330361562313)</f>
        <v>0.88330361562312998</v>
      </c>
      <c r="G628" s="17">
        <f ca="1">IFERROR(__xludf.DUMMYFUNCTION("""COMPUTED_VALUE"""),0.888162692438696)</f>
        <v>0.88816269243869606</v>
      </c>
      <c r="H628" s="17">
        <f ca="1">IFERROR(__xludf.DUMMYFUNCTION("""COMPUTED_VALUE"""),0.872629922218623)</f>
        <v>0.87262992221862301</v>
      </c>
      <c r="I628" s="17">
        <f ca="1">IFERROR(__xludf.DUMMYFUNCTION("""COMPUTED_VALUE"""),0.67853007883815)</f>
        <v>0.67853007883814997</v>
      </c>
      <c r="J628" s="17">
        <f ca="1">IFERROR(__xludf.DUMMYFUNCTION("""COMPUTED_VALUE"""),0.816796690011647)</f>
        <v>0.81679669001164701</v>
      </c>
      <c r="K628" s="17" t="str">
        <f ca="1">IFERROR(__xludf.DUMMYFUNCTION("""COMPUTED_VALUE"""),"nan")</f>
        <v>nan</v>
      </c>
      <c r="L628" s="17">
        <f ca="1">IFERROR(__xludf.DUMMYFUNCTION("""COMPUTED_VALUE"""),0.813212075006361)</f>
        <v>0.81321207500636095</v>
      </c>
      <c r="M628" s="17">
        <f ca="1">IFERROR(__xludf.DUMMYFUNCTION("""COMPUTED_VALUE"""),0.89008847552233)</f>
        <v>0.89008847552232995</v>
      </c>
      <c r="N628" s="17">
        <f ca="1">IFERROR(__xludf.DUMMYFUNCTION("""COMPUTED_VALUE"""),0.775354412732549)</f>
        <v>0.77535441273254901</v>
      </c>
      <c r="O628" s="17">
        <f ca="1">IFERROR(__xludf.DUMMYFUNCTION("""COMPUTED_VALUE"""),0.866407495319861)</f>
        <v>0.86640749531986105</v>
      </c>
      <c r="P628" s="17">
        <f ca="1">IFERROR(__xludf.DUMMYFUNCTION("""COMPUTED_VALUE"""),0.902318375831137)</f>
        <v>0.90231837583113705</v>
      </c>
      <c r="Q628" s="17">
        <f ca="1">IFERROR(__xludf.DUMMYFUNCTION("""COMPUTED_VALUE"""),1.28050507911875)</f>
        <v>1.28050507911875</v>
      </c>
      <c r="R628" s="17">
        <f ca="1">IFERROR(__xludf.DUMMYFUNCTION("""COMPUTED_VALUE"""),0.712263053152715)</f>
        <v>0.71226305315271499</v>
      </c>
      <c r="S628" s="17">
        <f ca="1">IFERROR(__xludf.DUMMYFUNCTION("""COMPUTED_VALUE"""),1.1060813527005)</f>
        <v>1.1060813527005</v>
      </c>
      <c r="T628" s="17">
        <f ca="1">IFERROR(__xludf.DUMMYFUNCTION("""COMPUTED_VALUE"""),0.892820228941929)</f>
        <v>0.89282022894192903</v>
      </c>
      <c r="U628" s="17">
        <f ca="1">IFERROR(__xludf.DUMMYFUNCTION("""COMPUTED_VALUE"""),0.868580366348355)</f>
        <v>0.868580366348355</v>
      </c>
      <c r="V628" s="17">
        <f ca="1">IFERROR(__xludf.DUMMYFUNCTION("""COMPUTED_VALUE"""),0.935307896921435)</f>
        <v>0.93530789692143501</v>
      </c>
      <c r="W628" s="17">
        <f ca="1">IFERROR(__xludf.DUMMYFUNCTION("""COMPUTED_VALUE"""),0.957866086885997)</f>
        <v>0.95786608688599695</v>
      </c>
      <c r="X628" s="17">
        <f ca="1">IFERROR(__xludf.DUMMYFUNCTION("""COMPUTED_VALUE"""),0.803840619088664)</f>
        <v>0.803840619088664</v>
      </c>
      <c r="Y628" s="17">
        <f ca="1">IFERROR(__xludf.DUMMYFUNCTION("""COMPUTED_VALUE"""),0.782256063729559)</f>
        <v>0.78225606372955903</v>
      </c>
      <c r="Z628" s="17">
        <f ca="1">IFERROR(__xludf.DUMMYFUNCTION("""COMPUTED_VALUE"""),0.953955274333472)</f>
        <v>0.95395527433347205</v>
      </c>
      <c r="AA628" s="17">
        <f ca="1">IFERROR(__xludf.DUMMYFUNCTION("""COMPUTED_VALUE"""),1.10782506800861)</f>
        <v>1.1078250680086099</v>
      </c>
      <c r="AB628" s="17">
        <f ca="1">IFERROR(__xludf.DUMMYFUNCTION("""COMPUTED_VALUE"""),0.92314270377787)</f>
        <v>0.92314270377787</v>
      </c>
      <c r="AC628" s="17">
        <f ca="1">IFERROR(__xludf.DUMMYFUNCTION("""COMPUTED_VALUE"""),1.31983337039457)</f>
        <v>1.3198333703945699</v>
      </c>
      <c r="AD628" s="17">
        <f ca="1">IFERROR(__xludf.DUMMYFUNCTION("""COMPUTED_VALUE"""),1.14375194874986)</f>
        <v>1.14375194874986</v>
      </c>
      <c r="AE628" s="17">
        <f ca="1">IFERROR(__xludf.DUMMYFUNCTION("""COMPUTED_VALUE"""),1.00509560278919)</f>
        <v>1.00509560278919</v>
      </c>
      <c r="AF628" s="17">
        <f ca="1">IFERROR(__xludf.DUMMYFUNCTION("""COMPUTED_VALUE"""),1.0362647566386)</f>
        <v>1.0362647566386001</v>
      </c>
      <c r="AG628" s="17">
        <f ca="1">IFERROR(__xludf.DUMMYFUNCTION("""COMPUTED_VALUE"""),1.18044621067086)</f>
        <v>1.18044621067086</v>
      </c>
      <c r="AH628" s="17">
        <f ca="1">IFERROR(__xludf.DUMMYFUNCTION("""COMPUTED_VALUE"""),1.02142846729329)</f>
        <v>1.0214284672932901</v>
      </c>
      <c r="AI628" s="17">
        <f ca="1">IFERROR(__xludf.DUMMYFUNCTION("""COMPUTED_VALUE"""),1.01066065167953)</f>
        <v>1.01066065167953</v>
      </c>
      <c r="AJ628" s="17">
        <f ca="1">IFERROR(__xludf.DUMMYFUNCTION("""COMPUTED_VALUE"""),0.911104307519503)</f>
        <v>0.911104307519503</v>
      </c>
    </row>
    <row r="629" spans="2:36" ht="15.75" customHeight="1" x14ac:dyDescent="0.45">
      <c r="B629" s="10" t="str">
        <f ca="1">IFERROR(__xludf.DUMMYFUNCTION("""COMPUTED_VALUE"""),"PowerCons")</f>
        <v>PowerCons</v>
      </c>
      <c r="C629" s="10" t="str">
        <f ca="1">IFERROR(__xludf.DUMMYFUNCTION("""COMPUTED_VALUE"""),"mcar")</f>
        <v>mcar</v>
      </c>
      <c r="D629" s="10">
        <f ca="1">IFERROR(__xludf.DUMMYFUNCTION("""COMPUTED_VALUE"""),0.4)</f>
        <v>0.4</v>
      </c>
      <c r="E629" s="17">
        <f ca="1">IFERROR(__xludf.DUMMYFUNCTION("""COMPUTED_VALUE"""),1.03040288347587)</f>
        <v>1.0304028834758701</v>
      </c>
      <c r="F629" s="17">
        <f ca="1">IFERROR(__xludf.DUMMYFUNCTION("""COMPUTED_VALUE"""),0.808531494760435)</f>
        <v>0.80853149476043495</v>
      </c>
      <c r="G629" s="17">
        <f ca="1">IFERROR(__xludf.DUMMYFUNCTION("""COMPUTED_VALUE"""),0.816903690736982)</f>
        <v>0.81690369073698199</v>
      </c>
      <c r="H629" s="17">
        <f ca="1">IFERROR(__xludf.DUMMYFUNCTION("""COMPUTED_VALUE"""),0.810376669442497)</f>
        <v>0.81037666944249698</v>
      </c>
      <c r="I629" s="17">
        <f ca="1">IFERROR(__xludf.DUMMYFUNCTION("""COMPUTED_VALUE"""),0.679753496525794)</f>
        <v>0.67975349652579398</v>
      </c>
      <c r="J629" s="17">
        <f ca="1">IFERROR(__xludf.DUMMYFUNCTION("""COMPUTED_VALUE"""),0.757897139576932)</f>
        <v>0.75789713957693206</v>
      </c>
      <c r="K629" s="17" t="str">
        <f ca="1">IFERROR(__xludf.DUMMYFUNCTION("""COMPUTED_VALUE"""),"nan")</f>
        <v>nan</v>
      </c>
      <c r="L629" s="17">
        <f ca="1">IFERROR(__xludf.DUMMYFUNCTION("""COMPUTED_VALUE"""),0.770634842733597)</f>
        <v>0.77063484273359695</v>
      </c>
      <c r="M629" s="17">
        <f ca="1">IFERROR(__xludf.DUMMYFUNCTION("""COMPUTED_VALUE"""),0.828488189148483)</f>
        <v>0.82848818914848299</v>
      </c>
      <c r="N629" s="17">
        <f ca="1">IFERROR(__xludf.DUMMYFUNCTION("""COMPUTED_VALUE"""),0.735457785519603)</f>
        <v>0.73545778551960295</v>
      </c>
      <c r="O629" s="17">
        <f ca="1">IFERROR(__xludf.DUMMYFUNCTION("""COMPUTED_VALUE"""),0.843976197157372)</f>
        <v>0.84397619715737204</v>
      </c>
      <c r="P629" s="17">
        <f ca="1">IFERROR(__xludf.DUMMYFUNCTION("""COMPUTED_VALUE"""),0.847572349315426)</f>
        <v>0.84757234931542602</v>
      </c>
      <c r="Q629" s="17">
        <f ca="1">IFERROR(__xludf.DUMMYFUNCTION("""COMPUTED_VALUE"""),1.19608299912171)</f>
        <v>1.1960829991217099</v>
      </c>
      <c r="R629" s="17">
        <f ca="1">IFERROR(__xludf.DUMMYFUNCTION("""COMPUTED_VALUE"""),0.764197322697764)</f>
        <v>0.76419732269776397</v>
      </c>
      <c r="S629" s="17">
        <f ca="1">IFERROR(__xludf.DUMMYFUNCTION("""COMPUTED_VALUE"""),1.25812818339453)</f>
        <v>1.2581281833945299</v>
      </c>
      <c r="T629" s="17">
        <f ca="1">IFERROR(__xludf.DUMMYFUNCTION("""COMPUTED_VALUE"""),0.7516332456331)</f>
        <v>0.75163324563309997</v>
      </c>
      <c r="U629" s="17">
        <f ca="1">IFERROR(__xludf.DUMMYFUNCTION("""COMPUTED_VALUE"""),0.714861883240319)</f>
        <v>0.71486188324031896</v>
      </c>
      <c r="V629" s="17">
        <f ca="1">IFERROR(__xludf.DUMMYFUNCTION("""COMPUTED_VALUE"""),0.908507682644685)</f>
        <v>0.90850768264468496</v>
      </c>
      <c r="W629" s="17">
        <f ca="1">IFERROR(__xludf.DUMMYFUNCTION("""COMPUTED_VALUE"""),0.861958580515588)</f>
        <v>0.86195858051558805</v>
      </c>
      <c r="X629" s="17">
        <f ca="1">IFERROR(__xludf.DUMMYFUNCTION("""COMPUTED_VALUE"""),1.23772035228717)</f>
        <v>1.23772035228717</v>
      </c>
      <c r="Y629" s="17">
        <f ca="1">IFERROR(__xludf.DUMMYFUNCTION("""COMPUTED_VALUE"""),0.687812863076176)</f>
        <v>0.68781286307617595</v>
      </c>
      <c r="Z629" s="17">
        <f ca="1">IFERROR(__xludf.DUMMYFUNCTION("""COMPUTED_VALUE"""),0.868932400841307)</f>
        <v>0.86893240084130696</v>
      </c>
      <c r="AA629" s="17">
        <f ca="1">IFERROR(__xludf.DUMMYFUNCTION("""COMPUTED_VALUE"""),1.18174439104179)</f>
        <v>1.18174439104179</v>
      </c>
      <c r="AB629" s="17">
        <f ca="1">IFERROR(__xludf.DUMMYFUNCTION("""COMPUTED_VALUE"""),0.915039160924231)</f>
        <v>0.91503916092423099</v>
      </c>
      <c r="AC629" s="17">
        <f ca="1">IFERROR(__xludf.DUMMYFUNCTION("""COMPUTED_VALUE"""),1.28133026694029)</f>
        <v>1.28133026694029</v>
      </c>
      <c r="AD629" s="17">
        <f ca="1">IFERROR(__xludf.DUMMYFUNCTION("""COMPUTED_VALUE"""),0.998263978773975)</f>
        <v>0.99826397877397499</v>
      </c>
      <c r="AE629" s="17">
        <f ca="1">IFERROR(__xludf.DUMMYFUNCTION("""COMPUTED_VALUE"""),0.952023523198035)</f>
        <v>0.95202352319803496</v>
      </c>
      <c r="AF629" s="17">
        <f ca="1">IFERROR(__xludf.DUMMYFUNCTION("""COMPUTED_VALUE"""),0.799637267320959)</f>
        <v>0.79963726732095897</v>
      </c>
      <c r="AG629" s="17">
        <f ca="1">IFERROR(__xludf.DUMMYFUNCTION("""COMPUTED_VALUE"""),1.09878876924366)</f>
        <v>1.09878876924366</v>
      </c>
      <c r="AH629" s="17">
        <f ca="1">IFERROR(__xludf.DUMMYFUNCTION("""COMPUTED_VALUE"""),1.01485768521034)</f>
        <v>1.0148576852103399</v>
      </c>
      <c r="AI629" s="17">
        <f ca="1">IFERROR(__xludf.DUMMYFUNCTION("""COMPUTED_VALUE"""),1.05189050905045)</f>
        <v>1.05189050905045</v>
      </c>
      <c r="AJ629" s="17">
        <f ca="1">IFERROR(__xludf.DUMMYFUNCTION("""COMPUTED_VALUE"""),0.902425650883598)</f>
        <v>0.90242565088359805</v>
      </c>
    </row>
    <row r="630" spans="2:36" ht="15.75" customHeight="1" x14ac:dyDescent="0.45">
      <c r="B630" s="10" t="str">
        <f ca="1">IFERROR(__xludf.DUMMYFUNCTION("""COMPUTED_VALUE"""),"PowerCons")</f>
        <v>PowerCons</v>
      </c>
      <c r="C630" s="10" t="str">
        <f ca="1">IFERROR(__xludf.DUMMYFUNCTION("""COMPUTED_VALUE"""),"mcar")</f>
        <v>mcar</v>
      </c>
      <c r="D630" s="10">
        <f ca="1">IFERROR(__xludf.DUMMYFUNCTION("""COMPUTED_VALUE"""),0.6)</f>
        <v>0.6</v>
      </c>
      <c r="E630" s="17">
        <f ca="1">IFERROR(__xludf.DUMMYFUNCTION("""COMPUTED_VALUE"""),1.03665572717187)</f>
        <v>1.0366557271718699</v>
      </c>
      <c r="F630" s="17">
        <f ca="1">IFERROR(__xludf.DUMMYFUNCTION("""COMPUTED_VALUE"""),0.844843717486684)</f>
        <v>0.84484371748668396</v>
      </c>
      <c r="G630" s="17">
        <f ca="1">IFERROR(__xludf.DUMMYFUNCTION("""COMPUTED_VALUE"""),0.861432021017903)</f>
        <v>0.86143202101790295</v>
      </c>
      <c r="H630" s="17">
        <f ca="1">IFERROR(__xludf.DUMMYFUNCTION("""COMPUTED_VALUE"""),0.842572078736575)</f>
        <v>0.84257207873657503</v>
      </c>
      <c r="I630" s="17">
        <f ca="1">IFERROR(__xludf.DUMMYFUNCTION("""COMPUTED_VALUE"""),0.771290161310731)</f>
        <v>0.77129016131073103</v>
      </c>
      <c r="J630" s="17">
        <f ca="1">IFERROR(__xludf.DUMMYFUNCTION("""COMPUTED_VALUE"""),0.865789341894129)</f>
        <v>0.86578934189412904</v>
      </c>
      <c r="K630" s="17" t="str">
        <f ca="1">IFERROR(__xludf.DUMMYFUNCTION("""COMPUTED_VALUE"""),"nan")</f>
        <v>nan</v>
      </c>
      <c r="L630" s="17">
        <f ca="1">IFERROR(__xludf.DUMMYFUNCTION("""COMPUTED_VALUE"""),0.858949917302731)</f>
        <v>0.85894991730273096</v>
      </c>
      <c r="M630" s="17">
        <f ca="1">IFERROR(__xludf.DUMMYFUNCTION("""COMPUTED_VALUE"""),0.853523664132964)</f>
        <v>0.85352366413296399</v>
      </c>
      <c r="N630" s="17">
        <f ca="1">IFERROR(__xludf.DUMMYFUNCTION("""COMPUTED_VALUE"""),0.825483980190769)</f>
        <v>0.82548398019076896</v>
      </c>
      <c r="O630" s="17">
        <f ca="1">IFERROR(__xludf.DUMMYFUNCTION("""COMPUTED_VALUE"""),0.860826597861214)</f>
        <v>0.86082659786121396</v>
      </c>
      <c r="P630" s="17">
        <f ca="1">IFERROR(__xludf.DUMMYFUNCTION("""COMPUTED_VALUE"""),0.935178048249215)</f>
        <v>0.93517804824921502</v>
      </c>
      <c r="Q630" s="17">
        <f ca="1">IFERROR(__xludf.DUMMYFUNCTION("""COMPUTED_VALUE"""),1.18213123615067)</f>
        <v>1.18213123615067</v>
      </c>
      <c r="R630" s="17">
        <f ca="1">IFERROR(__xludf.DUMMYFUNCTION("""COMPUTED_VALUE"""),0.88369104533337)</f>
        <v>0.88369104533336995</v>
      </c>
      <c r="S630" s="17">
        <f ca="1">IFERROR(__xludf.DUMMYFUNCTION("""COMPUTED_VALUE"""),1.31448879854637)</f>
        <v>1.31448879854637</v>
      </c>
      <c r="T630" s="17">
        <f ca="1">IFERROR(__xludf.DUMMYFUNCTION("""COMPUTED_VALUE"""),0.833139995383581)</f>
        <v>0.83313999538358097</v>
      </c>
      <c r="U630" s="17">
        <f ca="1">IFERROR(__xludf.DUMMYFUNCTION("""COMPUTED_VALUE"""),0.790745679518299)</f>
        <v>0.79074567951829899</v>
      </c>
      <c r="V630" s="17">
        <f ca="1">IFERROR(__xludf.DUMMYFUNCTION("""COMPUTED_VALUE"""),1.0080129070921)</f>
        <v>1.0080129070921</v>
      </c>
      <c r="W630" s="17">
        <f ca="1">IFERROR(__xludf.DUMMYFUNCTION("""COMPUTED_VALUE"""),0.95433809596203)</f>
        <v>0.95433809596203001</v>
      </c>
      <c r="X630" s="17">
        <f ca="1">IFERROR(__xludf.DUMMYFUNCTION("""COMPUTED_VALUE"""),0.801965105576795)</f>
        <v>0.80196510557679501</v>
      </c>
      <c r="Y630" s="17">
        <f ca="1">IFERROR(__xludf.DUMMYFUNCTION("""COMPUTED_VALUE"""),0.79717040818491)</f>
        <v>0.79717040818491003</v>
      </c>
      <c r="Z630" s="17">
        <f ca="1">IFERROR(__xludf.DUMMYFUNCTION("""COMPUTED_VALUE"""),0.943242555908787)</f>
        <v>0.94324255590878703</v>
      </c>
      <c r="AA630" s="17">
        <f ca="1">IFERROR(__xludf.DUMMYFUNCTION("""COMPUTED_VALUE"""),1.32813612887606)</f>
        <v>1.32813612887606</v>
      </c>
      <c r="AB630" s="17">
        <f ca="1">IFERROR(__xludf.DUMMYFUNCTION("""COMPUTED_VALUE"""),1.06412319471188)</f>
        <v>1.0641231947118801</v>
      </c>
      <c r="AC630" s="17">
        <f ca="1">IFERROR(__xludf.DUMMYFUNCTION("""COMPUTED_VALUE"""),1.26548649233714)</f>
        <v>1.2654864923371401</v>
      </c>
      <c r="AD630" s="17">
        <f ca="1">IFERROR(__xludf.DUMMYFUNCTION("""COMPUTED_VALUE"""),1.09793637573251)</f>
        <v>1.09793637573251</v>
      </c>
      <c r="AE630" s="17">
        <f ca="1">IFERROR(__xludf.DUMMYFUNCTION("""COMPUTED_VALUE"""),1.28055070997214)</f>
        <v>1.28055070997214</v>
      </c>
      <c r="AF630" s="17">
        <f ca="1">IFERROR(__xludf.DUMMYFUNCTION("""COMPUTED_VALUE"""),0.908425666127197)</f>
        <v>0.908425666127197</v>
      </c>
      <c r="AG630" s="17">
        <f ca="1">IFERROR(__xludf.DUMMYFUNCTION("""COMPUTED_VALUE"""),1.12836112151141)</f>
        <v>1.12836112151141</v>
      </c>
      <c r="AH630" s="17">
        <f ca="1">IFERROR(__xludf.DUMMYFUNCTION("""COMPUTED_VALUE"""),1.04807463566684)</f>
        <v>1.04807463566684</v>
      </c>
      <c r="AI630" s="17" t="str">
        <f ca="1">IFERROR(__xludf.DUMMYFUNCTION("""COMPUTED_VALUE"""),"nan")</f>
        <v>nan</v>
      </c>
      <c r="AJ630" s="17">
        <f ca="1">IFERROR(__xludf.DUMMYFUNCTION("""COMPUTED_VALUE"""),1.10899987730376)</f>
        <v>1.1089998773037599</v>
      </c>
    </row>
    <row r="631" spans="2:36" ht="15.75" customHeight="1" x14ac:dyDescent="0.45">
      <c r="B631" s="10" t="str">
        <f ca="1">IFERROR(__xludf.DUMMYFUNCTION("""COMPUTED_VALUE"""),"PowerCons")</f>
        <v>PowerCons</v>
      </c>
      <c r="C631" s="10" t="str">
        <f ca="1">IFERROR(__xludf.DUMMYFUNCTION("""COMPUTED_VALUE"""),"mcar")</f>
        <v>mcar</v>
      </c>
      <c r="D631" s="10">
        <f ca="1">IFERROR(__xludf.DUMMYFUNCTION("""COMPUTED_VALUE"""),0.8)</f>
        <v>0.8</v>
      </c>
      <c r="E631" s="17">
        <f ca="1">IFERROR(__xludf.DUMMYFUNCTION("""COMPUTED_VALUE"""),1.01373859444286)</f>
        <v>1.0137385944428601</v>
      </c>
      <c r="F631" s="17">
        <f ca="1">IFERROR(__xludf.DUMMYFUNCTION("""COMPUTED_VALUE"""),0.922389023842612)</f>
        <v>0.92238902384261201</v>
      </c>
      <c r="G631" s="17">
        <f ca="1">IFERROR(__xludf.DUMMYFUNCTION("""COMPUTED_VALUE"""),1.02943953345964)</f>
        <v>1.02943953345964</v>
      </c>
      <c r="H631" s="17">
        <f ca="1">IFERROR(__xludf.DUMMYFUNCTION("""COMPUTED_VALUE"""),0.906703558260184)</f>
        <v>0.90670355826018401</v>
      </c>
      <c r="I631" s="17">
        <f ca="1">IFERROR(__xludf.DUMMYFUNCTION("""COMPUTED_VALUE"""),0.855998823814069)</f>
        <v>0.855998823814069</v>
      </c>
      <c r="J631" s="17">
        <f ca="1">IFERROR(__xludf.DUMMYFUNCTION("""COMPUTED_VALUE"""),0.933103635639628)</f>
        <v>0.93310363563962795</v>
      </c>
      <c r="K631" s="17" t="str">
        <f ca="1">IFERROR(__xludf.DUMMYFUNCTION("""COMPUTED_VALUE"""),"nan")</f>
        <v>nan</v>
      </c>
      <c r="L631" s="17">
        <f ca="1">IFERROR(__xludf.DUMMYFUNCTION("""COMPUTED_VALUE"""),0.918172300161422)</f>
        <v>0.91817230016142204</v>
      </c>
      <c r="M631" s="17">
        <f ca="1">IFERROR(__xludf.DUMMYFUNCTION("""COMPUTED_VALUE"""),0.986877833114797)</f>
        <v>0.98687783311479704</v>
      </c>
      <c r="N631" s="17">
        <f ca="1">IFERROR(__xludf.DUMMYFUNCTION("""COMPUTED_VALUE"""),0.893788950213525)</f>
        <v>0.893788950213525</v>
      </c>
      <c r="O631" s="17">
        <f ca="1">IFERROR(__xludf.DUMMYFUNCTION("""COMPUTED_VALUE"""),0.995148404836618)</f>
        <v>0.99514840483661804</v>
      </c>
      <c r="P631" s="17">
        <f ca="1">IFERROR(__xludf.DUMMYFUNCTION("""COMPUTED_VALUE"""),1.03652582397058)</f>
        <v>1.0365258239705799</v>
      </c>
      <c r="Q631" s="17">
        <f ca="1">IFERROR(__xludf.DUMMYFUNCTION("""COMPUTED_VALUE"""),1.19257014788771)</f>
        <v>1.19257014788771</v>
      </c>
      <c r="R631" s="17">
        <f ca="1">IFERROR(__xludf.DUMMYFUNCTION("""COMPUTED_VALUE"""),1.08453708075656)</f>
        <v>1.08453708075656</v>
      </c>
      <c r="S631" s="17">
        <f ca="1">IFERROR(__xludf.DUMMYFUNCTION("""COMPUTED_VALUE"""),1.29118622202291)</f>
        <v>1.29118622202291</v>
      </c>
      <c r="T631" s="17">
        <f ca="1">IFERROR(__xludf.DUMMYFUNCTION("""COMPUTED_VALUE"""),0.927909570425888)</f>
        <v>0.92790957042588795</v>
      </c>
      <c r="U631" s="17">
        <f ca="1">IFERROR(__xludf.DUMMYFUNCTION("""COMPUTED_VALUE"""),0.919561809431575)</f>
        <v>0.91956180943157495</v>
      </c>
      <c r="V631" s="17">
        <f ca="1">IFERROR(__xludf.DUMMYFUNCTION("""COMPUTED_VALUE"""),1.03475681401395)</f>
        <v>1.03475681401395</v>
      </c>
      <c r="W631" s="17">
        <f ca="1">IFERROR(__xludf.DUMMYFUNCTION("""COMPUTED_VALUE"""),0.949505361076099)</f>
        <v>0.94950536107609895</v>
      </c>
      <c r="X631" s="17">
        <f ca="1">IFERROR(__xludf.DUMMYFUNCTION("""COMPUTED_VALUE"""),3.40782171035039)</f>
        <v>3.4078217103503898</v>
      </c>
      <c r="Y631" s="17">
        <f ca="1">IFERROR(__xludf.DUMMYFUNCTION("""COMPUTED_VALUE"""),0.886993713481547)</f>
        <v>0.88699371348154699</v>
      </c>
      <c r="Z631" s="17">
        <f ca="1">IFERROR(__xludf.DUMMYFUNCTION("""COMPUTED_VALUE"""),0.974546592532455)</f>
        <v>0.97454659253245501</v>
      </c>
      <c r="AA631" s="17">
        <f ca="1">IFERROR(__xludf.DUMMYFUNCTION("""COMPUTED_VALUE"""),0.895672183276633)</f>
        <v>0.895672183276633</v>
      </c>
      <c r="AB631" s="17">
        <f ca="1">IFERROR(__xludf.DUMMYFUNCTION("""COMPUTED_VALUE"""),1.18012861102959)</f>
        <v>1.1801286110295901</v>
      </c>
      <c r="AC631" s="17">
        <f ca="1">IFERROR(__xludf.DUMMYFUNCTION("""COMPUTED_VALUE"""),1.32815116592495)</f>
        <v>1.3281511659249501</v>
      </c>
      <c r="AD631" s="17">
        <f ca="1">IFERROR(__xludf.DUMMYFUNCTION("""COMPUTED_VALUE"""),1.05819281755189)</f>
        <v>1.05819281755189</v>
      </c>
      <c r="AE631" s="17">
        <f ca="1">IFERROR(__xludf.DUMMYFUNCTION("""COMPUTED_VALUE"""),1.59719535951628)</f>
        <v>1.59719535951628</v>
      </c>
      <c r="AF631" s="17">
        <f ca="1">IFERROR(__xludf.DUMMYFUNCTION("""COMPUTED_VALUE"""),0.991521026011254)</f>
        <v>0.99152102601125403</v>
      </c>
      <c r="AG631" s="17">
        <f ca="1">IFERROR(__xludf.DUMMYFUNCTION("""COMPUTED_VALUE"""),1.16856283040012)</f>
        <v>1.1685628304001201</v>
      </c>
      <c r="AH631" s="17">
        <f ca="1">IFERROR(__xludf.DUMMYFUNCTION("""COMPUTED_VALUE"""),1.05401721128059)</f>
        <v>1.0540172112805899</v>
      </c>
      <c r="AI631" s="17" t="str">
        <f ca="1">IFERROR(__xludf.DUMMYFUNCTION("""COMPUTED_VALUE"""),"nan")</f>
        <v>nan</v>
      </c>
      <c r="AJ631" s="17">
        <f ca="1">IFERROR(__xludf.DUMMYFUNCTION("""COMPUTED_VALUE"""),1.15895734830739)</f>
        <v>1.1589573483073901</v>
      </c>
    </row>
    <row r="632" spans="2:36" ht="15.75" customHeight="1" x14ac:dyDescent="0.45">
      <c r="B632" s="10" t="str">
        <f ca="1">IFERROR(__xludf.DUMMYFUNCTION("""COMPUTED_VALUE"""),"ProximalPhalanxOutlineAgeGroup")</f>
        <v>ProximalPhalanxOutlineAgeGroup</v>
      </c>
      <c r="C632" s="10" t="str">
        <f ca="1">IFERROR(__xludf.DUMMYFUNCTION("""COMPUTED_VALUE"""),"aligned_series")</f>
        <v>aligned_series</v>
      </c>
      <c r="D632" s="10">
        <f ca="1">IFERROR(__xludf.DUMMYFUNCTION("""COMPUTED_VALUE"""),0.1)</f>
        <v>0.1</v>
      </c>
      <c r="E632" s="17">
        <f ca="1">IFERROR(__xludf.DUMMYFUNCTION("""COMPUTED_VALUE"""),1.11673375575883)</f>
        <v>1.1167337557588299</v>
      </c>
      <c r="F632" s="17">
        <f ca="1">IFERROR(__xludf.DUMMYFUNCTION("""COMPUTED_VALUE"""),0.118169992315565)</f>
        <v>0.11816999231556501</v>
      </c>
      <c r="G632" s="17">
        <f ca="1">IFERROR(__xludf.DUMMYFUNCTION("""COMPUTED_VALUE"""),0.178035767171743)</f>
        <v>0.17803576717174299</v>
      </c>
      <c r="H632" s="17">
        <f ca="1">IFERROR(__xludf.DUMMYFUNCTION("""COMPUTED_VALUE"""),0.170419358158791)</f>
        <v>0.170419358158791</v>
      </c>
      <c r="I632" s="17">
        <f ca="1">IFERROR(__xludf.DUMMYFUNCTION("""COMPUTED_VALUE"""),0.0950508283415667)</f>
        <v>9.5050828341566695E-2</v>
      </c>
      <c r="J632" s="17">
        <f ca="1">IFERROR(__xludf.DUMMYFUNCTION("""COMPUTED_VALUE"""),1.12769925006346)</f>
        <v>1.1276992500634599</v>
      </c>
      <c r="K632" s="17" t="str">
        <f ca="1">IFERROR(__xludf.DUMMYFUNCTION("""COMPUTED_VALUE"""),"nan")</f>
        <v>nan</v>
      </c>
      <c r="L632" s="17">
        <f ca="1">IFERROR(__xludf.DUMMYFUNCTION("""COMPUTED_VALUE"""),0.115031792369325)</f>
        <v>0.11503179236932499</v>
      </c>
      <c r="M632" s="17">
        <f ca="1">IFERROR(__xludf.DUMMYFUNCTION("""COMPUTED_VALUE"""),0.656595575870878)</f>
        <v>0.65659557587087802</v>
      </c>
      <c r="N632" s="17">
        <f ca="1">IFERROR(__xludf.DUMMYFUNCTION("""COMPUTED_VALUE"""),0.344958847923198)</f>
        <v>0.34495884792319798</v>
      </c>
      <c r="O632" s="17">
        <f ca="1">IFERROR(__xludf.DUMMYFUNCTION("""COMPUTED_VALUE"""),0.0591860950629682)</f>
        <v>5.9186095062968201E-2</v>
      </c>
      <c r="P632" s="17">
        <f ca="1">IFERROR(__xludf.DUMMYFUNCTION("""COMPUTED_VALUE"""),1.02840350784594)</f>
        <v>1.0284035078459399</v>
      </c>
      <c r="Q632" s="17">
        <f ca="1">IFERROR(__xludf.DUMMYFUNCTION("""COMPUTED_VALUE"""),0.137925130778891)</f>
        <v>0.13792513077889099</v>
      </c>
      <c r="R632" s="17">
        <f ca="1">IFERROR(__xludf.DUMMYFUNCTION("""COMPUTED_VALUE"""),0.623749090288746)</f>
        <v>0.62374909028874603</v>
      </c>
      <c r="S632" s="17">
        <f ca="1">IFERROR(__xludf.DUMMYFUNCTION("""COMPUTED_VALUE"""),0.206489495583851)</f>
        <v>0.20648949558385099</v>
      </c>
      <c r="T632" s="17">
        <f ca="1">IFERROR(__xludf.DUMMYFUNCTION("""COMPUTED_VALUE"""),0.150807117211653)</f>
        <v>0.15080711721165299</v>
      </c>
      <c r="U632" s="17">
        <f ca="1">IFERROR(__xludf.DUMMYFUNCTION("""COMPUTED_VALUE"""),0.0932043576217382)</f>
        <v>9.3204357621738204E-2</v>
      </c>
      <c r="V632" s="17">
        <f ca="1">IFERROR(__xludf.DUMMYFUNCTION("""COMPUTED_VALUE"""),0.10448654611077)</f>
        <v>0.10448654611077</v>
      </c>
      <c r="W632" s="17">
        <f ca="1">IFERROR(__xludf.DUMMYFUNCTION("""COMPUTED_VALUE"""),0.253982631705304)</f>
        <v>0.253982631705304</v>
      </c>
      <c r="X632" s="17">
        <f ca="1">IFERROR(__xludf.DUMMYFUNCTION("""COMPUTED_VALUE"""),0.303354216187877)</f>
        <v>0.303354216187877</v>
      </c>
      <c r="Y632" s="17">
        <f ca="1">IFERROR(__xludf.DUMMYFUNCTION("""COMPUTED_VALUE"""),0.172358049998609)</f>
        <v>0.17235804999860899</v>
      </c>
      <c r="Z632" s="17">
        <f ca="1">IFERROR(__xludf.DUMMYFUNCTION("""COMPUTED_VALUE"""),0.361315697100714)</f>
        <v>0.36131569710071398</v>
      </c>
      <c r="AA632" s="17">
        <f ca="1">IFERROR(__xludf.DUMMYFUNCTION("""COMPUTED_VALUE"""),0.190417355579945)</f>
        <v>0.19041735557994499</v>
      </c>
      <c r="AB632" s="17">
        <f ca="1">IFERROR(__xludf.DUMMYFUNCTION("""COMPUTED_VALUE"""),0.205301599018282)</f>
        <v>0.20530159901828199</v>
      </c>
      <c r="AC632" s="17">
        <f ca="1">IFERROR(__xludf.DUMMYFUNCTION("""COMPUTED_VALUE"""),0.573963566021699)</f>
        <v>0.57396356602169896</v>
      </c>
      <c r="AD632" s="17">
        <f ca="1">IFERROR(__xludf.DUMMYFUNCTION("""COMPUTED_VALUE"""),0.144448807982739)</f>
        <v>0.14444880798273901</v>
      </c>
      <c r="AE632" s="17">
        <f ca="1">IFERROR(__xludf.DUMMYFUNCTION("""COMPUTED_VALUE"""),1.29533425514061)</f>
        <v>1.29533425514061</v>
      </c>
      <c r="AF632" s="17">
        <f ca="1">IFERROR(__xludf.DUMMYFUNCTION("""COMPUTED_VALUE"""),0.325298546826187)</f>
        <v>0.32529854682618697</v>
      </c>
      <c r="AG632" s="17">
        <f ca="1">IFERROR(__xludf.DUMMYFUNCTION("""COMPUTED_VALUE"""),0.632192020870834)</f>
        <v>0.63219202087083404</v>
      </c>
      <c r="AH632" s="17">
        <f ca="1">IFERROR(__xludf.DUMMYFUNCTION("""COMPUTED_VALUE"""),1.13791827728841)</f>
        <v>1.13791827728841</v>
      </c>
      <c r="AI632" s="17">
        <f ca="1">IFERROR(__xludf.DUMMYFUNCTION("""COMPUTED_VALUE"""),1.29909359151657)</f>
        <v>1.29909359151657</v>
      </c>
      <c r="AJ632" s="17">
        <f ca="1">IFERROR(__xludf.DUMMYFUNCTION("""COMPUTED_VALUE"""),0.821322472516849)</f>
        <v>0.82132247251684898</v>
      </c>
    </row>
    <row r="633" spans="2:36" ht="15.75" customHeight="1" x14ac:dyDescent="0.45">
      <c r="B633" s="10" t="str">
        <f ca="1">IFERROR(__xludf.DUMMYFUNCTION("""COMPUTED_VALUE"""),"ProximalPhalanxOutlineAgeGroup")</f>
        <v>ProximalPhalanxOutlineAgeGroup</v>
      </c>
      <c r="C633" s="10" t="str">
        <f ca="1">IFERROR(__xludf.DUMMYFUNCTION("""COMPUTED_VALUE"""),"aligned_series")</f>
        <v>aligned_series</v>
      </c>
      <c r="D633" s="10">
        <f ca="1">IFERROR(__xludf.DUMMYFUNCTION("""COMPUTED_VALUE"""),0.2)</f>
        <v>0.2</v>
      </c>
      <c r="E633" s="17">
        <f ca="1">IFERROR(__xludf.DUMMYFUNCTION("""COMPUTED_VALUE"""),1.12235520514953)</f>
        <v>1.12235520514953</v>
      </c>
      <c r="F633" s="17">
        <f ca="1">IFERROR(__xludf.DUMMYFUNCTION("""COMPUTED_VALUE"""),0.132838076785398)</f>
        <v>0.132838076785398</v>
      </c>
      <c r="G633" s="17">
        <f ca="1">IFERROR(__xludf.DUMMYFUNCTION("""COMPUTED_VALUE"""),0.695107312874898)</f>
        <v>0.69510731287489802</v>
      </c>
      <c r="H633" s="17">
        <f ca="1">IFERROR(__xludf.DUMMYFUNCTION("""COMPUTED_VALUE"""),0.148343557798951)</f>
        <v>0.148343557798951</v>
      </c>
      <c r="I633" s="17">
        <f ca="1">IFERROR(__xludf.DUMMYFUNCTION("""COMPUTED_VALUE"""),0.190349510309554)</f>
        <v>0.19034951030955399</v>
      </c>
      <c r="J633" s="17">
        <f ca="1">IFERROR(__xludf.DUMMYFUNCTION("""COMPUTED_VALUE"""),1.11872998600131)</f>
        <v>1.11872998600131</v>
      </c>
      <c r="K633" s="17" t="str">
        <f ca="1">IFERROR(__xludf.DUMMYFUNCTION("""COMPUTED_VALUE"""),"nan")</f>
        <v>nan</v>
      </c>
      <c r="L633" s="17">
        <f ca="1">IFERROR(__xludf.DUMMYFUNCTION("""COMPUTED_VALUE"""),0.10995104347702)</f>
        <v>0.10995104347702001</v>
      </c>
      <c r="M633" s="17">
        <f ca="1">IFERROR(__xludf.DUMMYFUNCTION("""COMPUTED_VALUE"""),1.17870188658357)</f>
        <v>1.1787018865835699</v>
      </c>
      <c r="N633" s="17">
        <f ca="1">IFERROR(__xludf.DUMMYFUNCTION("""COMPUTED_VALUE"""),0.330994105610291)</f>
        <v>0.33099410561029102</v>
      </c>
      <c r="O633" s="17">
        <f ca="1">IFERROR(__xludf.DUMMYFUNCTION("""COMPUTED_VALUE"""),0.310806229501603)</f>
        <v>0.31080622950160303</v>
      </c>
      <c r="P633" s="17">
        <f ca="1">IFERROR(__xludf.DUMMYFUNCTION("""COMPUTED_VALUE"""),1.03591627286143)</f>
        <v>1.03591627286143</v>
      </c>
      <c r="Q633" s="17">
        <f ca="1">IFERROR(__xludf.DUMMYFUNCTION("""COMPUTED_VALUE"""),0.144755547147563)</f>
        <v>0.144755547147563</v>
      </c>
      <c r="R633" s="17">
        <f ca="1">IFERROR(__xludf.DUMMYFUNCTION("""COMPUTED_VALUE"""),0.776431333713399)</f>
        <v>0.77643133371339901</v>
      </c>
      <c r="S633" s="17">
        <f ca="1">IFERROR(__xludf.DUMMYFUNCTION("""COMPUTED_VALUE"""),0.322644891080476)</f>
        <v>0.322644891080476</v>
      </c>
      <c r="T633" s="17">
        <f ca="1">IFERROR(__xludf.DUMMYFUNCTION("""COMPUTED_VALUE"""),0.152402529662912)</f>
        <v>0.15240252966291201</v>
      </c>
      <c r="U633" s="17">
        <f ca="1">IFERROR(__xludf.DUMMYFUNCTION("""COMPUTED_VALUE"""),0.0837853143674784)</f>
        <v>8.3785314367478395E-2</v>
      </c>
      <c r="V633" s="17">
        <f ca="1">IFERROR(__xludf.DUMMYFUNCTION("""COMPUTED_VALUE"""),0.0918377937042482)</f>
        <v>9.1837793704248202E-2</v>
      </c>
      <c r="W633" s="17">
        <f ca="1">IFERROR(__xludf.DUMMYFUNCTION("""COMPUTED_VALUE"""),0.255968681525736)</f>
        <v>0.25596868152573599</v>
      </c>
      <c r="X633" s="17">
        <f ca="1">IFERROR(__xludf.DUMMYFUNCTION("""COMPUTED_VALUE"""),0.277397207595002)</f>
        <v>0.27739720759500203</v>
      </c>
      <c r="Y633" s="17">
        <f ca="1">IFERROR(__xludf.DUMMYFUNCTION("""COMPUTED_VALUE"""),0.156060604621485)</f>
        <v>0.15606060462148499</v>
      </c>
      <c r="Z633" s="17">
        <f ca="1">IFERROR(__xludf.DUMMYFUNCTION("""COMPUTED_VALUE"""),0.351334175275272)</f>
        <v>0.351334175275272</v>
      </c>
      <c r="AA633" s="17">
        <f ca="1">IFERROR(__xludf.DUMMYFUNCTION("""COMPUTED_VALUE"""),0.168553547632491)</f>
        <v>0.168553547632491</v>
      </c>
      <c r="AB633" s="17">
        <f ca="1">IFERROR(__xludf.DUMMYFUNCTION("""COMPUTED_VALUE"""),0.227668641738823)</f>
        <v>0.22766864173882301</v>
      </c>
      <c r="AC633" s="17">
        <f ca="1">IFERROR(__xludf.DUMMYFUNCTION("""COMPUTED_VALUE"""),0.637575836875937)</f>
        <v>0.637575836875937</v>
      </c>
      <c r="AD633" s="17">
        <f ca="1">IFERROR(__xludf.DUMMYFUNCTION("""COMPUTED_VALUE"""),0.158756908952757)</f>
        <v>0.15875690895275699</v>
      </c>
      <c r="AE633" s="17">
        <f ca="1">IFERROR(__xludf.DUMMYFUNCTION("""COMPUTED_VALUE"""),1.28213723892899)</f>
        <v>1.28213723892899</v>
      </c>
      <c r="AF633" s="17">
        <f ca="1">IFERROR(__xludf.DUMMYFUNCTION("""COMPUTED_VALUE"""),0.282006766950538)</f>
        <v>0.282006766950538</v>
      </c>
      <c r="AG633" s="17">
        <f ca="1">IFERROR(__xludf.DUMMYFUNCTION("""COMPUTED_VALUE"""),0.62995548153851)</f>
        <v>0.62995548153851</v>
      </c>
      <c r="AH633" s="17">
        <f ca="1">IFERROR(__xludf.DUMMYFUNCTION("""COMPUTED_VALUE"""),1.08835786909836)</f>
        <v>1.08835786909836</v>
      </c>
      <c r="AI633" s="17">
        <f ca="1">IFERROR(__xludf.DUMMYFUNCTION("""COMPUTED_VALUE"""),1.25333505265457)</f>
        <v>1.2533350526545699</v>
      </c>
      <c r="AJ633" s="17">
        <f ca="1">IFERROR(__xludf.DUMMYFUNCTION("""COMPUTED_VALUE"""),0.773872255492133)</f>
        <v>0.77387225549213301</v>
      </c>
    </row>
    <row r="634" spans="2:36" ht="15.75" customHeight="1" x14ac:dyDescent="0.45">
      <c r="B634" s="10" t="str">
        <f ca="1">IFERROR(__xludf.DUMMYFUNCTION("""COMPUTED_VALUE"""),"ProximalPhalanxOutlineAgeGroup")</f>
        <v>ProximalPhalanxOutlineAgeGroup</v>
      </c>
      <c r="C634" s="10" t="str">
        <f ca="1">IFERROR(__xludf.DUMMYFUNCTION("""COMPUTED_VALUE"""),"aligned_series")</f>
        <v>aligned_series</v>
      </c>
      <c r="D634" s="10">
        <f ca="1">IFERROR(__xludf.DUMMYFUNCTION("""COMPUTED_VALUE"""),0.4)</f>
        <v>0.4</v>
      </c>
      <c r="E634" s="17">
        <f ca="1">IFERROR(__xludf.DUMMYFUNCTION("""COMPUTED_VALUE"""),1.14722438226044)</f>
        <v>1.14722438226044</v>
      </c>
      <c r="F634" s="17">
        <f ca="1">IFERROR(__xludf.DUMMYFUNCTION("""COMPUTED_VALUE"""),0.117737349111996)</f>
        <v>0.117737349111996</v>
      </c>
      <c r="G634" s="17">
        <f ca="1">IFERROR(__xludf.DUMMYFUNCTION("""COMPUTED_VALUE"""),0.497971697300308)</f>
        <v>0.49797169730030799</v>
      </c>
      <c r="H634" s="17">
        <f ca="1">IFERROR(__xludf.DUMMYFUNCTION("""COMPUTED_VALUE"""),0.123600056905636)</f>
        <v>0.123600056905636</v>
      </c>
      <c r="I634" s="17">
        <f ca="1">IFERROR(__xludf.DUMMYFUNCTION("""COMPUTED_VALUE"""),0.157429898747556)</f>
        <v>0.157429898747556</v>
      </c>
      <c r="J634" s="17">
        <f ca="1">IFERROR(__xludf.DUMMYFUNCTION("""COMPUTED_VALUE"""),1.28516421082296)</f>
        <v>1.28516421082296</v>
      </c>
      <c r="K634" s="17" t="str">
        <f ca="1">IFERROR(__xludf.DUMMYFUNCTION("""COMPUTED_VALUE"""),"nan")</f>
        <v>nan</v>
      </c>
      <c r="L634" s="17">
        <f ca="1">IFERROR(__xludf.DUMMYFUNCTION("""COMPUTED_VALUE"""),0.109867220868171)</f>
        <v>0.10986722086817099</v>
      </c>
      <c r="M634" s="17">
        <f ca="1">IFERROR(__xludf.DUMMYFUNCTION("""COMPUTED_VALUE"""),1.33117900146133)</f>
        <v>1.3311790014613301</v>
      </c>
      <c r="N634" s="17">
        <f ca="1">IFERROR(__xludf.DUMMYFUNCTION("""COMPUTED_VALUE"""),0.335530930502674)</f>
        <v>0.33553093050267402</v>
      </c>
      <c r="O634" s="17">
        <f ca="1">IFERROR(__xludf.DUMMYFUNCTION("""COMPUTED_VALUE"""),0.514640389948329)</f>
        <v>0.51464038994832895</v>
      </c>
      <c r="P634" s="17">
        <f ca="1">IFERROR(__xludf.DUMMYFUNCTION("""COMPUTED_VALUE"""),1.03185850991756)</f>
        <v>1.0318585099175599</v>
      </c>
      <c r="Q634" s="17">
        <f ca="1">IFERROR(__xludf.DUMMYFUNCTION("""COMPUTED_VALUE"""),0.139647820992632)</f>
        <v>0.13964782099263201</v>
      </c>
      <c r="R634" s="17">
        <f ca="1">IFERROR(__xludf.DUMMYFUNCTION("""COMPUTED_VALUE"""),0.704692342127372)</f>
        <v>0.70469234212737197</v>
      </c>
      <c r="S634" s="17">
        <f ca="1">IFERROR(__xludf.DUMMYFUNCTION("""COMPUTED_VALUE"""),0.491050176459724)</f>
        <v>0.49105017645972399</v>
      </c>
      <c r="T634" s="17">
        <f ca="1">IFERROR(__xludf.DUMMYFUNCTION("""COMPUTED_VALUE"""),0.18733474453089)</f>
        <v>0.18733474453089</v>
      </c>
      <c r="U634" s="17">
        <f ca="1">IFERROR(__xludf.DUMMYFUNCTION("""COMPUTED_VALUE"""),0.0875629836507769)</f>
        <v>8.7562983650776902E-2</v>
      </c>
      <c r="V634" s="17">
        <f ca="1">IFERROR(__xludf.DUMMYFUNCTION("""COMPUTED_VALUE"""),0.110156072929411)</f>
        <v>0.110156072929411</v>
      </c>
      <c r="W634" s="17">
        <f ca="1">IFERROR(__xludf.DUMMYFUNCTION("""COMPUTED_VALUE"""),0.280616097012143)</f>
        <v>0.28061609701214302</v>
      </c>
      <c r="X634" s="17">
        <f ca="1">IFERROR(__xludf.DUMMYFUNCTION("""COMPUTED_VALUE"""),0.254877239979822)</f>
        <v>0.25487723997982198</v>
      </c>
      <c r="Y634" s="17">
        <f ca="1">IFERROR(__xludf.DUMMYFUNCTION("""COMPUTED_VALUE"""),0.141589509146486)</f>
        <v>0.14158950914648599</v>
      </c>
      <c r="Z634" s="17">
        <f ca="1">IFERROR(__xludf.DUMMYFUNCTION("""COMPUTED_VALUE"""),0.315666423245384)</f>
        <v>0.31566642324538402</v>
      </c>
      <c r="AA634" s="17">
        <f ca="1">IFERROR(__xludf.DUMMYFUNCTION("""COMPUTED_VALUE"""),0.122540224497178)</f>
        <v>0.122540224497178</v>
      </c>
      <c r="AB634" s="17">
        <f ca="1">IFERROR(__xludf.DUMMYFUNCTION("""COMPUTED_VALUE"""),1.00534721476422)</f>
        <v>1.00534721476422</v>
      </c>
      <c r="AC634" s="17">
        <f ca="1">IFERROR(__xludf.DUMMYFUNCTION("""COMPUTED_VALUE"""),0.615851257767698)</f>
        <v>0.615851257767698</v>
      </c>
      <c r="AD634" s="17">
        <f ca="1">IFERROR(__xludf.DUMMYFUNCTION("""COMPUTED_VALUE"""),0.164598596697626)</f>
        <v>0.164598596697626</v>
      </c>
      <c r="AE634" s="17">
        <f ca="1">IFERROR(__xludf.DUMMYFUNCTION("""COMPUTED_VALUE"""),1.2818085203858)</f>
        <v>1.2818085203858001</v>
      </c>
      <c r="AF634" s="17">
        <f ca="1">IFERROR(__xludf.DUMMYFUNCTION("""COMPUTED_VALUE"""),0.331598489408026)</f>
        <v>0.331598489408026</v>
      </c>
      <c r="AG634" s="17">
        <f ca="1">IFERROR(__xludf.DUMMYFUNCTION("""COMPUTED_VALUE"""),0.653264506873242)</f>
        <v>0.653264506873242</v>
      </c>
      <c r="AH634" s="17">
        <f ca="1">IFERROR(__xludf.DUMMYFUNCTION("""COMPUTED_VALUE"""),1.04178605771195)</f>
        <v>1.04178605771195</v>
      </c>
      <c r="AI634" s="17">
        <f ca="1">IFERROR(__xludf.DUMMYFUNCTION("""COMPUTED_VALUE"""),1.21102164574233)</f>
        <v>1.21102164574233</v>
      </c>
      <c r="AJ634" s="17">
        <f ca="1">IFERROR(__xludf.DUMMYFUNCTION("""COMPUTED_VALUE"""),0.740602303476269)</f>
        <v>0.74060230347626899</v>
      </c>
    </row>
    <row r="635" spans="2:36" ht="15.75" customHeight="1" x14ac:dyDescent="0.45">
      <c r="B635" s="10" t="str">
        <f ca="1">IFERROR(__xludf.DUMMYFUNCTION("""COMPUTED_VALUE"""),"ProximalPhalanxOutlineAgeGroup")</f>
        <v>ProximalPhalanxOutlineAgeGroup</v>
      </c>
      <c r="C635" s="10" t="str">
        <f ca="1">IFERROR(__xludf.DUMMYFUNCTION("""COMPUTED_VALUE"""),"aligned_series")</f>
        <v>aligned_series</v>
      </c>
      <c r="D635" s="10">
        <f ca="1">IFERROR(__xludf.DUMMYFUNCTION("""COMPUTED_VALUE"""),0.6)</f>
        <v>0.6</v>
      </c>
      <c r="E635" s="17">
        <f ca="1">IFERROR(__xludf.DUMMYFUNCTION("""COMPUTED_VALUE"""),1.18535316817193)</f>
        <v>1.18535316817193</v>
      </c>
      <c r="F635" s="17">
        <f ca="1">IFERROR(__xludf.DUMMYFUNCTION("""COMPUTED_VALUE"""),0.130478797024763)</f>
        <v>0.130478797024763</v>
      </c>
      <c r="G635" s="17">
        <f ca="1">IFERROR(__xludf.DUMMYFUNCTION("""COMPUTED_VALUE"""),0.706901935090776)</f>
        <v>0.70690193509077603</v>
      </c>
      <c r="H635" s="17">
        <f ca="1">IFERROR(__xludf.DUMMYFUNCTION("""COMPUTED_VALUE"""),0.116309018557929)</f>
        <v>0.11630901855792899</v>
      </c>
      <c r="I635" s="17">
        <f ca="1">IFERROR(__xludf.DUMMYFUNCTION("""COMPUTED_VALUE"""),0.319147893652953)</f>
        <v>0.31914789365295299</v>
      </c>
      <c r="J635" s="17">
        <f ca="1">IFERROR(__xludf.DUMMYFUNCTION("""COMPUTED_VALUE"""),1.27753063318735)</f>
        <v>1.2775306331873499</v>
      </c>
      <c r="K635" s="17" t="str">
        <f ca="1">IFERROR(__xludf.DUMMYFUNCTION("""COMPUTED_VALUE"""),"nan")</f>
        <v>nan</v>
      </c>
      <c r="L635" s="17">
        <f ca="1">IFERROR(__xludf.DUMMYFUNCTION("""COMPUTED_VALUE"""),0.171408822720078)</f>
        <v>0.17140882272007801</v>
      </c>
      <c r="M635" s="17">
        <f ca="1">IFERROR(__xludf.DUMMYFUNCTION("""COMPUTED_VALUE"""),1.29024938004184)</f>
        <v>1.29024938004184</v>
      </c>
      <c r="N635" s="17">
        <f ca="1">IFERROR(__xludf.DUMMYFUNCTION("""COMPUTED_VALUE"""),0.344052616942055)</f>
        <v>0.34405261694205502</v>
      </c>
      <c r="O635" s="17">
        <f ca="1">IFERROR(__xludf.DUMMYFUNCTION("""COMPUTED_VALUE"""),0.628289485257632)</f>
        <v>0.62828948525763195</v>
      </c>
      <c r="P635" s="17">
        <f ca="1">IFERROR(__xludf.DUMMYFUNCTION("""COMPUTED_VALUE"""),1.03099310480161)</f>
        <v>1.0309931048016101</v>
      </c>
      <c r="Q635" s="17">
        <f ca="1">IFERROR(__xludf.DUMMYFUNCTION("""COMPUTED_VALUE"""),0.956807076650245)</f>
        <v>0.956807076650245</v>
      </c>
      <c r="R635" s="17">
        <f ca="1">IFERROR(__xludf.DUMMYFUNCTION("""COMPUTED_VALUE"""),0.818601068024964)</f>
        <v>0.81860106802496402</v>
      </c>
      <c r="S635" s="17">
        <f ca="1">IFERROR(__xludf.DUMMYFUNCTION("""COMPUTED_VALUE"""),0.68838321802768)</f>
        <v>0.68838321802767999</v>
      </c>
      <c r="T635" s="17">
        <f ca="1">IFERROR(__xludf.DUMMYFUNCTION("""COMPUTED_VALUE"""),0.262533147810777)</f>
        <v>0.26253314781077702</v>
      </c>
      <c r="U635" s="17">
        <f ca="1">IFERROR(__xludf.DUMMYFUNCTION("""COMPUTED_VALUE"""),0.107108436427598)</f>
        <v>0.107108436427598</v>
      </c>
      <c r="V635" s="17">
        <f ca="1">IFERROR(__xludf.DUMMYFUNCTION("""COMPUTED_VALUE"""),0.142162900260981)</f>
        <v>0.142162900260981</v>
      </c>
      <c r="W635" s="17">
        <f ca="1">IFERROR(__xludf.DUMMYFUNCTION("""COMPUTED_VALUE"""),0.266631368128254)</f>
        <v>0.266631368128254</v>
      </c>
      <c r="X635" s="17">
        <f ca="1">IFERROR(__xludf.DUMMYFUNCTION("""COMPUTED_VALUE"""),0.240412060720537)</f>
        <v>0.240412060720537</v>
      </c>
      <c r="Y635" s="17">
        <f ca="1">IFERROR(__xludf.DUMMYFUNCTION("""COMPUTED_VALUE"""),0.164930847926212)</f>
        <v>0.16493084792621199</v>
      </c>
      <c r="Z635" s="17">
        <f ca="1">IFERROR(__xludf.DUMMYFUNCTION("""COMPUTED_VALUE"""),0.305559307110672)</f>
        <v>0.30555930711067197</v>
      </c>
      <c r="AA635" s="17">
        <f ca="1">IFERROR(__xludf.DUMMYFUNCTION("""COMPUTED_VALUE"""),0.107052308274233)</f>
        <v>0.107052308274233</v>
      </c>
      <c r="AB635" s="17">
        <f ca="1">IFERROR(__xludf.DUMMYFUNCTION("""COMPUTED_VALUE"""),0.765001472934001)</f>
        <v>0.765001472934001</v>
      </c>
      <c r="AC635" s="17">
        <f ca="1">IFERROR(__xludf.DUMMYFUNCTION("""COMPUTED_VALUE"""),0.792587332798528)</f>
        <v>0.792587332798528</v>
      </c>
      <c r="AD635" s="17">
        <f ca="1">IFERROR(__xludf.DUMMYFUNCTION("""COMPUTED_VALUE"""),0.210652633342055)</f>
        <v>0.210652633342055</v>
      </c>
      <c r="AE635" s="17">
        <f ca="1">IFERROR(__xludf.DUMMYFUNCTION("""COMPUTED_VALUE"""),1.28284082428346)</f>
        <v>1.2828408242834599</v>
      </c>
      <c r="AF635" s="17">
        <f ca="1">IFERROR(__xludf.DUMMYFUNCTION("""COMPUTED_VALUE"""),0.401566817319259)</f>
        <v>0.40156681731925897</v>
      </c>
      <c r="AG635" s="17">
        <f ca="1">IFERROR(__xludf.DUMMYFUNCTION("""COMPUTED_VALUE"""),0.650010457399826)</f>
        <v>0.65001045739982599</v>
      </c>
      <c r="AH635" s="17">
        <f ca="1">IFERROR(__xludf.DUMMYFUNCTION("""COMPUTED_VALUE"""),1.02725122007476)</f>
        <v>1.0272512200747601</v>
      </c>
      <c r="AI635" s="17">
        <f ca="1">IFERROR(__xludf.DUMMYFUNCTION("""COMPUTED_VALUE"""),1.20000901620282)</f>
        <v>1.2000090162028201</v>
      </c>
      <c r="AJ635" s="17">
        <f ca="1">IFERROR(__xludf.DUMMYFUNCTION("""COMPUTED_VALUE"""),0.775008919971519)</f>
        <v>0.77500891997151899</v>
      </c>
    </row>
    <row r="636" spans="2:36" ht="15.75" customHeight="1" x14ac:dyDescent="0.45">
      <c r="B636" s="10" t="str">
        <f ca="1">IFERROR(__xludf.DUMMYFUNCTION("""COMPUTED_VALUE"""),"ProximalPhalanxOutlineAgeGroup")</f>
        <v>ProximalPhalanxOutlineAgeGroup</v>
      </c>
      <c r="C636" s="10" t="str">
        <f ca="1">IFERROR(__xludf.DUMMYFUNCTION("""COMPUTED_VALUE"""),"aligned_series")</f>
        <v>aligned_series</v>
      </c>
      <c r="D636" s="10">
        <f ca="1">IFERROR(__xludf.DUMMYFUNCTION("""COMPUTED_VALUE"""),0.8)</f>
        <v>0.8</v>
      </c>
      <c r="E636" s="17">
        <f ca="1">IFERROR(__xludf.DUMMYFUNCTION("""COMPUTED_VALUE"""),1.22833618237284)</f>
        <v>1.22833618237284</v>
      </c>
      <c r="F636" s="17">
        <f ca="1">IFERROR(__xludf.DUMMYFUNCTION("""COMPUTED_VALUE"""),0.165704978645756)</f>
        <v>0.16570497864575601</v>
      </c>
      <c r="G636" s="17">
        <f ca="1">IFERROR(__xludf.DUMMYFUNCTION("""COMPUTED_VALUE"""),0.821943596978618)</f>
        <v>0.82194359697861796</v>
      </c>
      <c r="H636" s="17">
        <f ca="1">IFERROR(__xludf.DUMMYFUNCTION("""COMPUTED_VALUE"""),0.117749809299124)</f>
        <v>0.117749809299124</v>
      </c>
      <c r="I636" s="17">
        <f ca="1">IFERROR(__xludf.DUMMYFUNCTION("""COMPUTED_VALUE"""),0.596781159225651)</f>
        <v>0.596781159225651</v>
      </c>
      <c r="J636" s="17">
        <f ca="1">IFERROR(__xludf.DUMMYFUNCTION("""COMPUTED_VALUE"""),1.27059707935556)</f>
        <v>1.2705970793555601</v>
      </c>
      <c r="K636" s="17" t="str">
        <f ca="1">IFERROR(__xludf.DUMMYFUNCTION("""COMPUTED_VALUE"""),"nan")</f>
        <v>nan</v>
      </c>
      <c r="L636" s="17">
        <f ca="1">IFERROR(__xludf.DUMMYFUNCTION("""COMPUTED_VALUE"""),0.217020080388465)</f>
        <v>0.21702008038846499</v>
      </c>
      <c r="M636" s="17">
        <f ca="1">IFERROR(__xludf.DUMMYFUNCTION("""COMPUTED_VALUE"""),1.20790706337946)</f>
        <v>1.20790706337946</v>
      </c>
      <c r="N636" s="17">
        <f ca="1">IFERROR(__xludf.DUMMYFUNCTION("""COMPUTED_VALUE"""),0.341238581044056)</f>
        <v>0.34123858104405602</v>
      </c>
      <c r="O636" s="17">
        <f ca="1">IFERROR(__xludf.DUMMYFUNCTION("""COMPUTED_VALUE"""),0.866023729343895)</f>
        <v>0.86602372934389504</v>
      </c>
      <c r="P636" s="17">
        <f ca="1">IFERROR(__xludf.DUMMYFUNCTION("""COMPUTED_VALUE"""),1.02823864152728)</f>
        <v>1.02823864152728</v>
      </c>
      <c r="Q636" s="17">
        <f ca="1">IFERROR(__xludf.DUMMYFUNCTION("""COMPUTED_VALUE"""),1.40702919159591)</f>
        <v>1.4070291915959099</v>
      </c>
      <c r="R636" s="17">
        <f ca="1">IFERROR(__xludf.DUMMYFUNCTION("""COMPUTED_VALUE"""),1.04831216097292)</f>
        <v>1.04831216097292</v>
      </c>
      <c r="S636" s="17">
        <f ca="1">IFERROR(__xludf.DUMMYFUNCTION("""COMPUTED_VALUE"""),0.880994628598181)</f>
        <v>0.88099462859818101</v>
      </c>
      <c r="T636" s="17">
        <f ca="1">IFERROR(__xludf.DUMMYFUNCTION("""COMPUTED_VALUE"""),0.588257719510411)</f>
        <v>0.58825771951041095</v>
      </c>
      <c r="U636" s="17">
        <f ca="1">IFERROR(__xludf.DUMMYFUNCTION("""COMPUTED_VALUE"""),0.159019148152858)</f>
        <v>0.159019148152858</v>
      </c>
      <c r="V636" s="17">
        <f ca="1">IFERROR(__xludf.DUMMYFUNCTION("""COMPUTED_VALUE"""),0.180604185028514)</f>
        <v>0.180604185028514</v>
      </c>
      <c r="W636" s="17">
        <f ca="1">IFERROR(__xludf.DUMMYFUNCTION("""COMPUTED_VALUE"""),0.30134523015282)</f>
        <v>0.30134523015282</v>
      </c>
      <c r="X636" s="17">
        <f ca="1">IFERROR(__xludf.DUMMYFUNCTION("""COMPUTED_VALUE"""),0.203535499346228)</f>
        <v>0.203535499346228</v>
      </c>
      <c r="Y636" s="17">
        <f ca="1">IFERROR(__xludf.DUMMYFUNCTION("""COMPUTED_VALUE"""),0.280864126005103)</f>
        <v>0.28086412600510302</v>
      </c>
      <c r="Z636" s="17">
        <f ca="1">IFERROR(__xludf.DUMMYFUNCTION("""COMPUTED_VALUE"""),0.406952554633761)</f>
        <v>0.40695255463376101</v>
      </c>
      <c r="AA636" s="17">
        <f ca="1">IFERROR(__xludf.DUMMYFUNCTION("""COMPUTED_VALUE"""),0.0939123539351421)</f>
        <v>9.3912353935142107E-2</v>
      </c>
      <c r="AB636" s="17">
        <f ca="1">IFERROR(__xludf.DUMMYFUNCTION("""COMPUTED_VALUE"""),1.73869162386948)</f>
        <v>1.7386916238694801</v>
      </c>
      <c r="AC636" s="17">
        <f ca="1">IFERROR(__xludf.DUMMYFUNCTION("""COMPUTED_VALUE"""),0.988805852214294)</f>
        <v>0.98880585221429396</v>
      </c>
      <c r="AD636" s="17">
        <f ca="1">IFERROR(__xludf.DUMMYFUNCTION("""COMPUTED_VALUE"""),0.426929790714187)</f>
        <v>0.42692979071418702</v>
      </c>
      <c r="AE636" s="17">
        <f ca="1">IFERROR(__xludf.DUMMYFUNCTION("""COMPUTED_VALUE"""),1.27663455999519)</f>
        <v>1.27663455999519</v>
      </c>
      <c r="AF636" s="17">
        <f ca="1">IFERROR(__xludf.DUMMYFUNCTION("""COMPUTED_VALUE"""),0.903269309792638)</f>
        <v>0.90326930979263798</v>
      </c>
      <c r="AG636" s="17">
        <f ca="1">IFERROR(__xludf.DUMMYFUNCTION("""COMPUTED_VALUE"""),0.649369083313029)</f>
        <v>0.64936908331302901</v>
      </c>
      <c r="AH636" s="17">
        <f ca="1">IFERROR(__xludf.DUMMYFUNCTION("""COMPUTED_VALUE"""),1.01997096466058)</f>
        <v>1.0199709646605799</v>
      </c>
      <c r="AI636" s="17">
        <f ca="1">IFERROR(__xludf.DUMMYFUNCTION("""COMPUTED_VALUE"""),1.1927778059603)</f>
        <v>1.1927778059603</v>
      </c>
      <c r="AJ636" s="17">
        <f ca="1">IFERROR(__xludf.DUMMYFUNCTION("""COMPUTED_VALUE"""),0.848266063909641)</f>
        <v>0.84826606390964099</v>
      </c>
    </row>
    <row r="637" spans="2:36" ht="15.75" customHeight="1" x14ac:dyDescent="0.45">
      <c r="B637" s="10" t="str">
        <f ca="1">IFERROR(__xludf.DUMMYFUNCTION("""COMPUTED_VALUE"""),"ProximalPhalanxOutlineAgeGroup")</f>
        <v>ProximalPhalanxOutlineAgeGroup</v>
      </c>
      <c r="C637" s="10" t="str">
        <f ca="1">IFERROR(__xludf.DUMMYFUNCTION("""COMPUTED_VALUE"""),"aligned_timestamps")</f>
        <v>aligned_timestamps</v>
      </c>
      <c r="D637" s="10">
        <f ca="1">IFERROR(__xludf.DUMMYFUNCTION("""COMPUTED_VALUE"""),0.1)</f>
        <v>0.1</v>
      </c>
      <c r="E637" s="17">
        <f ca="1">IFERROR(__xludf.DUMMYFUNCTION("""COMPUTED_VALUE"""),1.09197816181095)</f>
        <v>1.0919781618109501</v>
      </c>
      <c r="F637" s="17">
        <f ca="1">IFERROR(__xludf.DUMMYFUNCTION("""COMPUTED_VALUE"""),0.116989080289353)</f>
        <v>0.116989080289353</v>
      </c>
      <c r="G637" s="17">
        <f ca="1">IFERROR(__xludf.DUMMYFUNCTION("""COMPUTED_VALUE"""),0.0897799490621018)</f>
        <v>8.9779949062101794E-2</v>
      </c>
      <c r="H637" s="17">
        <f ca="1">IFERROR(__xludf.DUMMYFUNCTION("""COMPUTED_VALUE"""),0.121713850813518)</f>
        <v>0.121713850813518</v>
      </c>
      <c r="I637" s="17">
        <f ca="1">IFERROR(__xludf.DUMMYFUNCTION("""COMPUTED_VALUE"""),0.158998214948387)</f>
        <v>0.15899821494838701</v>
      </c>
      <c r="J637" s="17">
        <f ca="1">IFERROR(__xludf.DUMMYFUNCTION("""COMPUTED_VALUE"""),0.94774473327065)</f>
        <v>0.94774473327065001</v>
      </c>
      <c r="K637" s="17" t="str">
        <f ca="1">IFERROR(__xludf.DUMMYFUNCTION("""COMPUTED_VALUE"""),"nan")</f>
        <v>nan</v>
      </c>
      <c r="L637" s="17">
        <f ca="1">IFERROR(__xludf.DUMMYFUNCTION("""COMPUTED_VALUE"""),0.0944579821814413)</f>
        <v>9.4457982181441302E-2</v>
      </c>
      <c r="M637" s="17">
        <f ca="1">IFERROR(__xludf.DUMMYFUNCTION("""COMPUTED_VALUE"""),0.0903419669765453)</f>
        <v>9.0341966976545299E-2</v>
      </c>
      <c r="N637" s="17">
        <f ca="1">IFERROR(__xludf.DUMMYFUNCTION("""COMPUTED_VALUE"""),0.190209790555268)</f>
        <v>0.19020979055526799</v>
      </c>
      <c r="O637" s="17">
        <f ca="1">IFERROR(__xludf.DUMMYFUNCTION("""COMPUTED_VALUE"""),0.163270158046972)</f>
        <v>0.16327015804697201</v>
      </c>
      <c r="P637" s="17">
        <f ca="1">IFERROR(__xludf.DUMMYFUNCTION("""COMPUTED_VALUE"""),0.883652994748626)</f>
        <v>0.88365299474862602</v>
      </c>
      <c r="Q637" s="17">
        <f ca="1">IFERROR(__xludf.DUMMYFUNCTION("""COMPUTED_VALUE"""),0.0933512837661634)</f>
        <v>9.3351283766163404E-2</v>
      </c>
      <c r="R637" s="17">
        <f ca="1">IFERROR(__xludf.DUMMYFUNCTION("""COMPUTED_VALUE"""),0.677634411224772)</f>
        <v>0.67763441122477197</v>
      </c>
      <c r="S637" s="17">
        <f ca="1">IFERROR(__xludf.DUMMYFUNCTION("""COMPUTED_VALUE"""),0.29563105606002)</f>
        <v>0.29563105606001999</v>
      </c>
      <c r="T637" s="17">
        <f ca="1">IFERROR(__xludf.DUMMYFUNCTION("""COMPUTED_VALUE"""),0.134698848697461)</f>
        <v>0.13469884869746099</v>
      </c>
      <c r="U637" s="17">
        <f ca="1">IFERROR(__xludf.DUMMYFUNCTION("""COMPUTED_VALUE"""),0.0665851846499771)</f>
        <v>6.6585184649977106E-2</v>
      </c>
      <c r="V637" s="17">
        <f ca="1">IFERROR(__xludf.DUMMYFUNCTION("""COMPUTED_VALUE"""),0.0903020847633584)</f>
        <v>9.0302084763358395E-2</v>
      </c>
      <c r="W637" s="17">
        <f ca="1">IFERROR(__xludf.DUMMYFUNCTION("""COMPUTED_VALUE"""),0.304844909136469)</f>
        <v>0.304844909136469</v>
      </c>
      <c r="X637" s="17">
        <f ca="1">IFERROR(__xludf.DUMMYFUNCTION("""COMPUTED_VALUE"""),0.258904998043329)</f>
        <v>0.258904998043329</v>
      </c>
      <c r="Y637" s="17">
        <f ca="1">IFERROR(__xludf.DUMMYFUNCTION("""COMPUTED_VALUE"""),0.132970539785087)</f>
        <v>0.13297053978508699</v>
      </c>
      <c r="Z637" s="17">
        <f ca="1">IFERROR(__xludf.DUMMYFUNCTION("""COMPUTED_VALUE"""),0.193690871446744)</f>
        <v>0.19369087144674399</v>
      </c>
      <c r="AA637" s="17">
        <f ca="1">IFERROR(__xludf.DUMMYFUNCTION("""COMPUTED_VALUE"""),0.0953391200285257)</f>
        <v>9.5339120028525695E-2</v>
      </c>
      <c r="AB637" s="17">
        <f ca="1">IFERROR(__xludf.DUMMYFUNCTION("""COMPUTED_VALUE"""),0.153039220135856)</f>
        <v>0.153039220135856</v>
      </c>
      <c r="AC637" s="17">
        <f ca="1">IFERROR(__xludf.DUMMYFUNCTION("""COMPUTED_VALUE"""),0.418748195348374)</f>
        <v>0.41874819534837399</v>
      </c>
      <c r="AD637" s="17">
        <f ca="1">IFERROR(__xludf.DUMMYFUNCTION("""COMPUTED_VALUE"""),0.106811116450434)</f>
        <v>0.10681111645043399</v>
      </c>
      <c r="AE637" s="17">
        <f ca="1">IFERROR(__xludf.DUMMYFUNCTION("""COMPUTED_VALUE"""),0.981473776050253)</f>
        <v>0.98147377605025299</v>
      </c>
      <c r="AF637" s="17">
        <f ca="1">IFERROR(__xludf.DUMMYFUNCTION("""COMPUTED_VALUE"""),0.081762592804999)</f>
        <v>8.1762592804998993E-2</v>
      </c>
      <c r="AG637" s="17">
        <f ca="1">IFERROR(__xludf.DUMMYFUNCTION("""COMPUTED_VALUE"""),0.569886686773821)</f>
        <v>0.56988668677382104</v>
      </c>
      <c r="AH637" s="17">
        <f ca="1">IFERROR(__xludf.DUMMYFUNCTION("""COMPUTED_VALUE"""),0.636956438879157)</f>
        <v>0.63695643887915698</v>
      </c>
      <c r="AI637" s="17">
        <f ca="1">IFERROR(__xludf.DUMMYFUNCTION("""COMPUTED_VALUE"""),0.505163644856842)</f>
        <v>0.50516364485684195</v>
      </c>
      <c r="AJ637" s="17">
        <f ca="1">IFERROR(__xludf.DUMMYFUNCTION("""COMPUTED_VALUE"""),0.225606078974746)</f>
        <v>0.22560607897474599</v>
      </c>
    </row>
    <row r="638" spans="2:36" ht="15.75" customHeight="1" x14ac:dyDescent="0.45">
      <c r="B638" s="10" t="str">
        <f ca="1">IFERROR(__xludf.DUMMYFUNCTION("""COMPUTED_VALUE"""),"ProximalPhalanxOutlineAgeGroup")</f>
        <v>ProximalPhalanxOutlineAgeGroup</v>
      </c>
      <c r="C638" s="10" t="str">
        <f ca="1">IFERROR(__xludf.DUMMYFUNCTION("""COMPUTED_VALUE"""),"aligned_timestamps")</f>
        <v>aligned_timestamps</v>
      </c>
      <c r="D638" s="10">
        <f ca="1">IFERROR(__xludf.DUMMYFUNCTION("""COMPUTED_VALUE"""),0.2)</f>
        <v>0.2</v>
      </c>
      <c r="E638" s="17">
        <f ca="1">IFERROR(__xludf.DUMMYFUNCTION("""COMPUTED_VALUE"""),1.12235520514953)</f>
        <v>1.12235520514953</v>
      </c>
      <c r="F638" s="17">
        <f ca="1">IFERROR(__xludf.DUMMYFUNCTION("""COMPUTED_VALUE"""),0.132838076785398)</f>
        <v>0.132838076785398</v>
      </c>
      <c r="G638" s="17">
        <f ca="1">IFERROR(__xludf.DUMMYFUNCTION("""COMPUTED_VALUE"""),0.695107312874898)</f>
        <v>0.69510731287489802</v>
      </c>
      <c r="H638" s="17">
        <f ca="1">IFERROR(__xludf.DUMMYFUNCTION("""COMPUTED_VALUE"""),0.148343557798951)</f>
        <v>0.148343557798951</v>
      </c>
      <c r="I638" s="17">
        <f ca="1">IFERROR(__xludf.DUMMYFUNCTION("""COMPUTED_VALUE"""),0.190349510309554)</f>
        <v>0.19034951030955399</v>
      </c>
      <c r="J638" s="17">
        <f ca="1">IFERROR(__xludf.DUMMYFUNCTION("""COMPUTED_VALUE"""),1.11872998600131)</f>
        <v>1.11872998600131</v>
      </c>
      <c r="K638" s="17" t="str">
        <f ca="1">IFERROR(__xludf.DUMMYFUNCTION("""COMPUTED_VALUE"""),"nan")</f>
        <v>nan</v>
      </c>
      <c r="L638" s="17">
        <f ca="1">IFERROR(__xludf.DUMMYFUNCTION("""COMPUTED_VALUE"""),0.10995104347702)</f>
        <v>0.10995104347702001</v>
      </c>
      <c r="M638" s="17">
        <f ca="1">IFERROR(__xludf.DUMMYFUNCTION("""COMPUTED_VALUE"""),1.17870188658357)</f>
        <v>1.1787018865835699</v>
      </c>
      <c r="N638" s="17">
        <f ca="1">IFERROR(__xludf.DUMMYFUNCTION("""COMPUTED_VALUE"""),0.330994105610291)</f>
        <v>0.33099410561029102</v>
      </c>
      <c r="O638" s="17">
        <f ca="1">IFERROR(__xludf.DUMMYFUNCTION("""COMPUTED_VALUE"""),0.310806229501603)</f>
        <v>0.31080622950160303</v>
      </c>
      <c r="P638" s="17">
        <f ca="1">IFERROR(__xludf.DUMMYFUNCTION("""COMPUTED_VALUE"""),1.03591627286143)</f>
        <v>1.03591627286143</v>
      </c>
      <c r="Q638" s="17">
        <f ca="1">IFERROR(__xludf.DUMMYFUNCTION("""COMPUTED_VALUE"""),0.144755547147563)</f>
        <v>0.144755547147563</v>
      </c>
      <c r="R638" s="17">
        <f ca="1">IFERROR(__xludf.DUMMYFUNCTION("""COMPUTED_VALUE"""),0.776431333713399)</f>
        <v>0.77643133371339901</v>
      </c>
      <c r="S638" s="17">
        <f ca="1">IFERROR(__xludf.DUMMYFUNCTION("""COMPUTED_VALUE"""),0.322644891080476)</f>
        <v>0.322644891080476</v>
      </c>
      <c r="T638" s="17">
        <f ca="1">IFERROR(__xludf.DUMMYFUNCTION("""COMPUTED_VALUE"""),0.152402529662912)</f>
        <v>0.15240252966291201</v>
      </c>
      <c r="U638" s="17">
        <f ca="1">IFERROR(__xludf.DUMMYFUNCTION("""COMPUTED_VALUE"""),0.0837853143674784)</f>
        <v>8.3785314367478395E-2</v>
      </c>
      <c r="V638" s="17">
        <f ca="1">IFERROR(__xludf.DUMMYFUNCTION("""COMPUTED_VALUE"""),0.0918377937042482)</f>
        <v>9.1837793704248202E-2</v>
      </c>
      <c r="W638" s="17">
        <f ca="1">IFERROR(__xludf.DUMMYFUNCTION("""COMPUTED_VALUE"""),0.275570246562634)</f>
        <v>0.27557024656263401</v>
      </c>
      <c r="X638" s="17">
        <f ca="1">IFERROR(__xludf.DUMMYFUNCTION("""COMPUTED_VALUE"""),0.27713806375757)</f>
        <v>0.27713806375757</v>
      </c>
      <c r="Y638" s="17">
        <f ca="1">IFERROR(__xludf.DUMMYFUNCTION("""COMPUTED_VALUE"""),0.156060604621485)</f>
        <v>0.15606060462148499</v>
      </c>
      <c r="Z638" s="17">
        <f ca="1">IFERROR(__xludf.DUMMYFUNCTION("""COMPUTED_VALUE"""),0.351334175275272)</f>
        <v>0.351334175275272</v>
      </c>
      <c r="AA638" s="17">
        <f ca="1">IFERROR(__xludf.DUMMYFUNCTION("""COMPUTED_VALUE"""),0.168553547632491)</f>
        <v>0.168553547632491</v>
      </c>
      <c r="AB638" s="17">
        <f ca="1">IFERROR(__xludf.DUMMYFUNCTION("""COMPUTED_VALUE"""),0.420496734054062)</f>
        <v>0.42049673405406202</v>
      </c>
      <c r="AC638" s="17">
        <f ca="1">IFERROR(__xludf.DUMMYFUNCTION("""COMPUTED_VALUE"""),0.637575836875937)</f>
        <v>0.637575836875937</v>
      </c>
      <c r="AD638" s="17">
        <f ca="1">IFERROR(__xludf.DUMMYFUNCTION("""COMPUTED_VALUE"""),0.133049864541381)</f>
        <v>0.13304986454138101</v>
      </c>
      <c r="AE638" s="17">
        <f ca="1">IFERROR(__xludf.DUMMYFUNCTION("""COMPUTED_VALUE"""),1.28193555329155)</f>
        <v>1.28193555329155</v>
      </c>
      <c r="AF638" s="17">
        <f ca="1">IFERROR(__xludf.DUMMYFUNCTION("""COMPUTED_VALUE"""),0.282006766950538)</f>
        <v>0.282006766950538</v>
      </c>
      <c r="AG638" s="17">
        <f ca="1">IFERROR(__xludf.DUMMYFUNCTION("""COMPUTED_VALUE"""),0.670566616349454)</f>
        <v>0.67056661634945403</v>
      </c>
      <c r="AH638" s="17">
        <f ca="1">IFERROR(__xludf.DUMMYFUNCTION("""COMPUTED_VALUE"""),1.08835786909836)</f>
        <v>1.08835786909836</v>
      </c>
      <c r="AI638" s="17">
        <f ca="1">IFERROR(__xludf.DUMMYFUNCTION("""COMPUTED_VALUE"""),1.25333505265457)</f>
        <v>1.2533350526545699</v>
      </c>
      <c r="AJ638" s="17">
        <f ca="1">IFERROR(__xludf.DUMMYFUNCTION("""COMPUTED_VALUE"""),0.758311056772638)</f>
        <v>0.75831105677263799</v>
      </c>
    </row>
    <row r="639" spans="2:36" ht="15.75" customHeight="1" x14ac:dyDescent="0.45">
      <c r="B639" s="10" t="str">
        <f ca="1">IFERROR(__xludf.DUMMYFUNCTION("""COMPUTED_VALUE"""),"ProximalPhalanxOutlineAgeGroup")</f>
        <v>ProximalPhalanxOutlineAgeGroup</v>
      </c>
      <c r="C639" s="10" t="str">
        <f ca="1">IFERROR(__xludf.DUMMYFUNCTION("""COMPUTED_VALUE"""),"aligned_timestamps")</f>
        <v>aligned_timestamps</v>
      </c>
      <c r="D639" s="10">
        <f ca="1">IFERROR(__xludf.DUMMYFUNCTION("""COMPUTED_VALUE"""),0.4)</f>
        <v>0.4</v>
      </c>
      <c r="E639" s="17">
        <f ca="1">IFERROR(__xludf.DUMMYFUNCTION("""COMPUTED_VALUE"""),1.04160831775323)</f>
        <v>1.04160831775323</v>
      </c>
      <c r="F639" s="17">
        <f ca="1">IFERROR(__xludf.DUMMYFUNCTION("""COMPUTED_VALUE"""),0.191329311044187)</f>
        <v>0.19132931104418699</v>
      </c>
      <c r="G639" s="17">
        <f ca="1">IFERROR(__xludf.DUMMYFUNCTION("""COMPUTED_VALUE"""),0.584637116638424)</f>
        <v>0.58463711663842399</v>
      </c>
      <c r="H639" s="17">
        <f ca="1">IFERROR(__xludf.DUMMYFUNCTION("""COMPUTED_VALUE"""),0.170434735517236)</f>
        <v>0.17043473551723601</v>
      </c>
      <c r="I639" s="17">
        <f ca="1">IFERROR(__xludf.DUMMYFUNCTION("""COMPUTED_VALUE"""),0.223310568903241)</f>
        <v>0.223310568903241</v>
      </c>
      <c r="J639" s="17">
        <f ca="1">IFERROR(__xludf.DUMMYFUNCTION("""COMPUTED_VALUE"""),1.15224244117216)</f>
        <v>1.1522424411721599</v>
      </c>
      <c r="K639" s="17" t="str">
        <f ca="1">IFERROR(__xludf.DUMMYFUNCTION("""COMPUTED_VALUE"""),"nan")</f>
        <v>nan</v>
      </c>
      <c r="L639" s="17">
        <f ca="1">IFERROR(__xludf.DUMMYFUNCTION("""COMPUTED_VALUE"""),0.161922706399023)</f>
        <v>0.16192270639902301</v>
      </c>
      <c r="M639" s="17">
        <f ca="1">IFERROR(__xludf.DUMMYFUNCTION("""COMPUTED_VALUE"""),1.27602601665896)</f>
        <v>1.2760260166589601</v>
      </c>
      <c r="N639" s="17">
        <f ca="1">IFERROR(__xludf.DUMMYFUNCTION("""COMPUTED_VALUE"""),0.224790949913501)</f>
        <v>0.22479094991350099</v>
      </c>
      <c r="O639" s="17">
        <f ca="1">IFERROR(__xludf.DUMMYFUNCTION("""COMPUTED_VALUE"""),0.682571554291114)</f>
        <v>0.68257155429111405</v>
      </c>
      <c r="P639" s="17">
        <f ca="1">IFERROR(__xludf.DUMMYFUNCTION("""COMPUTED_VALUE"""),1.08006004963239)</f>
        <v>1.08006004963239</v>
      </c>
      <c r="Q639" s="17">
        <f ca="1">IFERROR(__xludf.DUMMYFUNCTION("""COMPUTED_VALUE"""),0.188779655120625)</f>
        <v>0.188779655120625</v>
      </c>
      <c r="R639" s="17">
        <f ca="1">IFERROR(__xludf.DUMMYFUNCTION("""COMPUTED_VALUE"""),0.745339272675318)</f>
        <v>0.74533927267531797</v>
      </c>
      <c r="S639" s="17">
        <f ca="1">IFERROR(__xludf.DUMMYFUNCTION("""COMPUTED_VALUE"""),0.248113114030627)</f>
        <v>0.248113114030627</v>
      </c>
      <c r="T639" s="17">
        <f ca="1">IFERROR(__xludf.DUMMYFUNCTION("""COMPUTED_VALUE"""),0.193640555558153)</f>
        <v>0.19364055555815299</v>
      </c>
      <c r="U639" s="17">
        <f ca="1">IFERROR(__xludf.DUMMYFUNCTION("""COMPUTED_VALUE"""),0.152541069170628)</f>
        <v>0.15254106917062801</v>
      </c>
      <c r="V639" s="17">
        <f ca="1">IFERROR(__xludf.DUMMYFUNCTION("""COMPUTED_VALUE"""),0.140366077987367)</f>
        <v>0.140366077987367</v>
      </c>
      <c r="W639" s="17">
        <f ca="1">IFERROR(__xludf.DUMMYFUNCTION("""COMPUTED_VALUE"""),0.325371232146939)</f>
        <v>0.32537123214693903</v>
      </c>
      <c r="X639" s="17">
        <f ca="1">IFERROR(__xludf.DUMMYFUNCTION("""COMPUTED_VALUE"""),0.244243308150046)</f>
        <v>0.244243308150046</v>
      </c>
      <c r="Y639" s="17">
        <f ca="1">IFERROR(__xludf.DUMMYFUNCTION("""COMPUTED_VALUE"""),0.173513610006571)</f>
        <v>0.17351361000657101</v>
      </c>
      <c r="Z639" s="17">
        <f ca="1">IFERROR(__xludf.DUMMYFUNCTION("""COMPUTED_VALUE"""),0.590223863362885)</f>
        <v>0.59022386336288502</v>
      </c>
      <c r="AA639" s="17">
        <f ca="1">IFERROR(__xludf.DUMMYFUNCTION("""COMPUTED_VALUE"""),0.174386662132034)</f>
        <v>0.17438666213203399</v>
      </c>
      <c r="AB639" s="17">
        <f ca="1">IFERROR(__xludf.DUMMYFUNCTION("""COMPUTED_VALUE"""),0.714642786680408)</f>
        <v>0.71464278668040804</v>
      </c>
      <c r="AC639" s="17">
        <f ca="1">IFERROR(__xludf.DUMMYFUNCTION("""COMPUTED_VALUE"""),0.504748877991588)</f>
        <v>0.50474887799158796</v>
      </c>
      <c r="AD639" s="17">
        <f ca="1">IFERROR(__xludf.DUMMYFUNCTION("""COMPUTED_VALUE"""),0.158227129280368)</f>
        <v>0.158227129280368</v>
      </c>
      <c r="AE639" s="17">
        <f ca="1">IFERROR(__xludf.DUMMYFUNCTION("""COMPUTED_VALUE"""),1.04025402709791)</f>
        <v>1.0402540270979099</v>
      </c>
      <c r="AF639" s="17">
        <f ca="1">IFERROR(__xludf.DUMMYFUNCTION("""COMPUTED_VALUE"""),0.548040155636418)</f>
        <v>0.54804015563641795</v>
      </c>
      <c r="AG639" s="17">
        <f ca="1">IFERROR(__xludf.DUMMYFUNCTION("""COMPUTED_VALUE"""),1.1307709780064)</f>
        <v>1.1307709780063999</v>
      </c>
      <c r="AH639" s="17">
        <f ca="1">IFERROR(__xludf.DUMMYFUNCTION("""COMPUTED_VALUE"""),1.00958762976708)</f>
        <v>1.0095876297670801</v>
      </c>
      <c r="AI639" s="17" t="str">
        <f ca="1">IFERROR(__xludf.DUMMYFUNCTION("""COMPUTED_VALUE"""),"nan")</f>
        <v>nan</v>
      </c>
      <c r="AJ639" s="17">
        <f ca="1">IFERROR(__xludf.DUMMYFUNCTION("""COMPUTED_VALUE"""),1.16508684262975)</f>
        <v>1.16508684262975</v>
      </c>
    </row>
    <row r="640" spans="2:36" ht="15.75" customHeight="1" x14ac:dyDescent="0.45">
      <c r="B640" s="10" t="str">
        <f ca="1">IFERROR(__xludf.DUMMYFUNCTION("""COMPUTED_VALUE"""),"ProximalPhalanxOutlineAgeGroup")</f>
        <v>ProximalPhalanxOutlineAgeGroup</v>
      </c>
      <c r="C640" s="10" t="str">
        <f ca="1">IFERROR(__xludf.DUMMYFUNCTION("""COMPUTED_VALUE"""),"aligned_timestamps")</f>
        <v>aligned_timestamps</v>
      </c>
      <c r="D640" s="10">
        <f ca="1">IFERROR(__xludf.DUMMYFUNCTION("""COMPUTED_VALUE"""),0.6)</f>
        <v>0.6</v>
      </c>
      <c r="E640" s="17">
        <f ca="1">IFERROR(__xludf.DUMMYFUNCTION("""COMPUTED_VALUE"""),1.08363541235276)</f>
        <v>1.0836354123527601</v>
      </c>
      <c r="F640" s="17">
        <f ca="1">IFERROR(__xludf.DUMMYFUNCTION("""COMPUTED_VALUE"""),0.247728868710818)</f>
        <v>0.24772886871081801</v>
      </c>
      <c r="G640" s="17">
        <f ca="1">IFERROR(__xludf.DUMMYFUNCTION("""COMPUTED_VALUE"""),0.714708592361157)</f>
        <v>0.71470859236115702</v>
      </c>
      <c r="H640" s="17">
        <f ca="1">IFERROR(__xludf.DUMMYFUNCTION("""COMPUTED_VALUE"""),0.171308588469883)</f>
        <v>0.17130858846988301</v>
      </c>
      <c r="I640" s="17">
        <f ca="1">IFERROR(__xludf.DUMMYFUNCTION("""COMPUTED_VALUE"""),0.342878592797665)</f>
        <v>0.34287859279766503</v>
      </c>
      <c r="J640" s="17">
        <f ca="1">IFERROR(__xludf.DUMMYFUNCTION("""COMPUTED_VALUE"""),1.18645053866409)</f>
        <v>1.18645053866409</v>
      </c>
      <c r="K640" s="17" t="str">
        <f ca="1">IFERROR(__xludf.DUMMYFUNCTION("""COMPUTED_VALUE"""),"nan")</f>
        <v>nan</v>
      </c>
      <c r="L640" s="17">
        <f ca="1">IFERROR(__xludf.DUMMYFUNCTION("""COMPUTED_VALUE"""),0.173095456170756)</f>
        <v>0.173095456170756</v>
      </c>
      <c r="M640" s="17">
        <f ca="1">IFERROR(__xludf.DUMMYFUNCTION("""COMPUTED_VALUE"""),1.40475043280008)</f>
        <v>1.4047504328000799</v>
      </c>
      <c r="N640" s="17">
        <f ca="1">IFERROR(__xludf.DUMMYFUNCTION("""COMPUTED_VALUE"""),0.223494532452601)</f>
        <v>0.22349453245260101</v>
      </c>
      <c r="O640" s="17">
        <f ca="1">IFERROR(__xludf.DUMMYFUNCTION("""COMPUTED_VALUE"""),0.889716208141603)</f>
        <v>0.88971620814160302</v>
      </c>
      <c r="P640" s="17">
        <f ca="1">IFERROR(__xludf.DUMMYFUNCTION("""COMPUTED_VALUE"""),1.66984413606619)</f>
        <v>1.66984413606619</v>
      </c>
      <c r="Q640" s="17">
        <f ca="1">IFERROR(__xludf.DUMMYFUNCTION("""COMPUTED_VALUE"""),0.178095744206903)</f>
        <v>0.178095744206903</v>
      </c>
      <c r="R640" s="17">
        <f ca="1">IFERROR(__xludf.DUMMYFUNCTION("""COMPUTED_VALUE"""),0.979360312714136)</f>
        <v>0.97936031271413604</v>
      </c>
      <c r="S640" s="17">
        <f ca="1">IFERROR(__xludf.DUMMYFUNCTION("""COMPUTED_VALUE"""),1.29243180935956)</f>
        <v>1.2924318093595599</v>
      </c>
      <c r="T640" s="17">
        <f ca="1">IFERROR(__xludf.DUMMYFUNCTION("""COMPUTED_VALUE"""),0.85583081437967)</f>
        <v>0.85583081437967001</v>
      </c>
      <c r="U640" s="17">
        <f ca="1">IFERROR(__xludf.DUMMYFUNCTION("""COMPUTED_VALUE"""),0.542405376548897)</f>
        <v>0.54240537654889698</v>
      </c>
      <c r="V640" s="17">
        <f ca="1">IFERROR(__xludf.DUMMYFUNCTION("""COMPUTED_VALUE"""),1.2643839930635)</f>
        <v>1.2643839930634999</v>
      </c>
      <c r="W640" s="17">
        <f ca="1">IFERROR(__xludf.DUMMYFUNCTION("""COMPUTED_VALUE"""),0.422518088172868)</f>
        <v>0.42251808817286801</v>
      </c>
      <c r="X640" s="17">
        <f ca="1">IFERROR(__xludf.DUMMYFUNCTION("""COMPUTED_VALUE"""),0.251081700701115)</f>
        <v>0.25108170070111502</v>
      </c>
      <c r="Y640" s="17">
        <f ca="1">IFERROR(__xludf.DUMMYFUNCTION("""COMPUTED_VALUE"""),0.174295526291795)</f>
        <v>0.17429552629179501</v>
      </c>
      <c r="Z640" s="17">
        <f ca="1">IFERROR(__xludf.DUMMYFUNCTION("""COMPUTED_VALUE"""),0.875637284612077)</f>
        <v>0.87563728461207702</v>
      </c>
      <c r="AA640" s="17">
        <f ca="1">IFERROR(__xludf.DUMMYFUNCTION("""COMPUTED_VALUE"""),1.97550336256276)</f>
        <v>1.97550336256276</v>
      </c>
      <c r="AB640" s="17">
        <f ca="1">IFERROR(__xludf.DUMMYFUNCTION("""COMPUTED_VALUE"""),1.65048102928916)</f>
        <v>1.6504810292891601</v>
      </c>
      <c r="AC640" s="17">
        <f ca="1">IFERROR(__xludf.DUMMYFUNCTION("""COMPUTED_VALUE"""),0.568473726810756)</f>
        <v>0.56847372681075603</v>
      </c>
      <c r="AD640" s="17">
        <f ca="1">IFERROR(__xludf.DUMMYFUNCTION("""COMPUTED_VALUE"""),0.250546632826286)</f>
        <v>0.25054663282628598</v>
      </c>
      <c r="AE640" s="17">
        <f ca="1">IFERROR(__xludf.DUMMYFUNCTION("""COMPUTED_VALUE"""),0.890335976255223)</f>
        <v>0.89033597625522298</v>
      </c>
      <c r="AF640" s="17">
        <f ca="1">IFERROR(__xludf.DUMMYFUNCTION("""COMPUTED_VALUE"""),1.51833107738384)</f>
        <v>1.5183310773838401</v>
      </c>
      <c r="AG640" s="17">
        <f ca="1">IFERROR(__xludf.DUMMYFUNCTION("""COMPUTED_VALUE"""),1.14027456881973)</f>
        <v>1.14027456881973</v>
      </c>
      <c r="AH640" s="17">
        <f ca="1">IFERROR(__xludf.DUMMYFUNCTION("""COMPUTED_VALUE"""),1.17851678129874)</f>
        <v>1.17851678129874</v>
      </c>
      <c r="AI640" s="17" t="str">
        <f ca="1">IFERROR(__xludf.DUMMYFUNCTION("""COMPUTED_VALUE"""),"nan")</f>
        <v>nan</v>
      </c>
      <c r="AJ640" s="17">
        <f ca="1">IFERROR(__xludf.DUMMYFUNCTION("""COMPUTED_VALUE"""),1.19547851685907)</f>
        <v>1.19547851685907</v>
      </c>
    </row>
    <row r="641" spans="2:36" ht="15.75" customHeight="1" x14ac:dyDescent="0.45">
      <c r="B641" s="10" t="str">
        <f ca="1">IFERROR(__xludf.DUMMYFUNCTION("""COMPUTED_VALUE"""),"ProximalPhalanxOutlineAgeGroup")</f>
        <v>ProximalPhalanxOutlineAgeGroup</v>
      </c>
      <c r="C641" s="10" t="str">
        <f ca="1">IFERROR(__xludf.DUMMYFUNCTION("""COMPUTED_VALUE"""),"aligned_timestamps")</f>
        <v>aligned_timestamps</v>
      </c>
      <c r="D641" s="10">
        <f ca="1">IFERROR(__xludf.DUMMYFUNCTION("""COMPUTED_VALUE"""),0.8)</f>
        <v>0.8</v>
      </c>
      <c r="E641" s="17">
        <f ca="1">IFERROR(__xludf.DUMMYFUNCTION("""COMPUTED_VALUE"""),1.02634611381733)</f>
        <v>1.02634611381733</v>
      </c>
      <c r="F641" s="17">
        <f ca="1">IFERROR(__xludf.DUMMYFUNCTION("""COMPUTED_VALUE"""),0.257270841343507)</f>
        <v>0.25727084134350697</v>
      </c>
      <c r="G641" s="17">
        <f ca="1">IFERROR(__xludf.DUMMYFUNCTION("""COMPUTED_VALUE"""),0.850728520882803)</f>
        <v>0.85072852088280304</v>
      </c>
      <c r="H641" s="17">
        <f ca="1">IFERROR(__xludf.DUMMYFUNCTION("""COMPUTED_VALUE"""),0.164976693696115)</f>
        <v>0.16497669369611501</v>
      </c>
      <c r="I641" s="17">
        <f ca="1">IFERROR(__xludf.DUMMYFUNCTION("""COMPUTED_VALUE"""),0.577542083278478)</f>
        <v>0.577542083278478</v>
      </c>
      <c r="J641" s="17">
        <f ca="1">IFERROR(__xludf.DUMMYFUNCTION("""COMPUTED_VALUE"""),1.09078212794281)</f>
        <v>1.09078212794281</v>
      </c>
      <c r="K641" s="17" t="str">
        <f ca="1">IFERROR(__xludf.DUMMYFUNCTION("""COMPUTED_VALUE"""),"nan")</f>
        <v>nan</v>
      </c>
      <c r="L641" s="17">
        <f ca="1">IFERROR(__xludf.DUMMYFUNCTION("""COMPUTED_VALUE"""),0.209366580042561)</f>
        <v>0.20936658004256101</v>
      </c>
      <c r="M641" s="17">
        <f ca="1">IFERROR(__xludf.DUMMYFUNCTION("""COMPUTED_VALUE"""),1.20913525982009)</f>
        <v>1.20913525982009</v>
      </c>
      <c r="N641" s="17">
        <f ca="1">IFERROR(__xludf.DUMMYFUNCTION("""COMPUTED_VALUE"""),0.2356862124232)</f>
        <v>0.23568621242320001</v>
      </c>
      <c r="O641" s="17">
        <f ca="1">IFERROR(__xludf.DUMMYFUNCTION("""COMPUTED_VALUE"""),0.913602219373434)</f>
        <v>0.913602219373434</v>
      </c>
      <c r="P641" s="17">
        <f ca="1">IFERROR(__xludf.DUMMYFUNCTION("""COMPUTED_VALUE"""),1.45611346597468)</f>
        <v>1.4561134659746799</v>
      </c>
      <c r="Q641" s="17">
        <f ca="1">IFERROR(__xludf.DUMMYFUNCTION("""COMPUTED_VALUE"""),0.183140337589743)</f>
        <v>0.18314033758974299</v>
      </c>
      <c r="R641" s="17">
        <f ca="1">IFERROR(__xludf.DUMMYFUNCTION("""COMPUTED_VALUE"""),0.831846914818631)</f>
        <v>0.83184691481863104</v>
      </c>
      <c r="S641" s="17">
        <f ca="1">IFERROR(__xludf.DUMMYFUNCTION("""COMPUTED_VALUE"""),1.13104702342218)</f>
        <v>1.1310470234221801</v>
      </c>
      <c r="T641" s="17">
        <f ca="1">IFERROR(__xludf.DUMMYFUNCTION("""COMPUTED_VALUE"""),0.759178418549534)</f>
        <v>0.75917841854953405</v>
      </c>
      <c r="U641" s="17">
        <f ca="1">IFERROR(__xludf.DUMMYFUNCTION("""COMPUTED_VALUE"""),0.795227021504508)</f>
        <v>0.79522702150450797</v>
      </c>
      <c r="V641" s="17">
        <f ca="1">IFERROR(__xludf.DUMMYFUNCTION("""COMPUTED_VALUE"""),1.15475729395031)</f>
        <v>1.1547572939503099</v>
      </c>
      <c r="W641" s="17">
        <f ca="1">IFERROR(__xludf.DUMMYFUNCTION("""COMPUTED_VALUE"""),0.52225729135319)</f>
        <v>0.52225729135318999</v>
      </c>
      <c r="X641" s="17">
        <f ca="1">IFERROR(__xludf.DUMMYFUNCTION("""COMPUTED_VALUE"""),0.19822995622465)</f>
        <v>0.19822995622465001</v>
      </c>
      <c r="Y641" s="17">
        <f ca="1">IFERROR(__xludf.DUMMYFUNCTION("""COMPUTED_VALUE"""),0.214226789083945)</f>
        <v>0.21422678908394499</v>
      </c>
      <c r="Z641" s="17">
        <f ca="1">IFERROR(__xludf.DUMMYFUNCTION("""COMPUTED_VALUE"""),0.924259690808434)</f>
        <v>0.92425969080843395</v>
      </c>
      <c r="AA641" s="17">
        <f ca="1">IFERROR(__xludf.DUMMYFUNCTION("""COMPUTED_VALUE"""),2.40325068086371)</f>
        <v>2.4032506808637102</v>
      </c>
      <c r="AB641" s="17">
        <f ca="1">IFERROR(__xludf.DUMMYFUNCTION("""COMPUTED_VALUE"""),1.37624708719609)</f>
        <v>1.3762470871960899</v>
      </c>
      <c r="AC641" s="17">
        <f ca="1">IFERROR(__xludf.DUMMYFUNCTION("""COMPUTED_VALUE"""),0.55115194595088)</f>
        <v>0.55115194595088002</v>
      </c>
      <c r="AD641" s="17">
        <f ca="1">IFERROR(__xludf.DUMMYFUNCTION("""COMPUTED_VALUE"""),0.271586975077398)</f>
        <v>0.27158697507739799</v>
      </c>
      <c r="AE641" s="17" t="str">
        <f ca="1">IFERROR(__xludf.DUMMYFUNCTION("""COMPUTED_VALUE"""),"nan")</f>
        <v>nan</v>
      </c>
      <c r="AF641" s="17">
        <f ca="1">IFERROR(__xludf.DUMMYFUNCTION("""COMPUTED_VALUE"""),1.24902274992769)</f>
        <v>1.24902274992769</v>
      </c>
      <c r="AG641" s="17">
        <f ca="1">IFERROR(__xludf.DUMMYFUNCTION("""COMPUTED_VALUE"""),1.14452920386671)</f>
        <v>1.1445292038667101</v>
      </c>
      <c r="AH641" s="17">
        <f ca="1">IFERROR(__xludf.DUMMYFUNCTION("""COMPUTED_VALUE"""),1.14333671460688)</f>
        <v>1.14333671460688</v>
      </c>
      <c r="AI641" s="17" t="str">
        <f ca="1">IFERROR(__xludf.DUMMYFUNCTION("""COMPUTED_VALUE"""),"nan")</f>
        <v>nan</v>
      </c>
      <c r="AJ641" s="17">
        <f ca="1">IFERROR(__xludf.DUMMYFUNCTION("""COMPUTED_VALUE"""),1.1076362507343)</f>
        <v>1.1076362507343001</v>
      </c>
    </row>
    <row r="642" spans="2:36" ht="15.75" customHeight="1" x14ac:dyDescent="0.45">
      <c r="B642" s="10" t="str">
        <f ca="1">IFERROR(__xludf.DUMMYFUNCTION("""COMPUTED_VALUE"""),"ProximalPhalanxOutlineAgeGroup")</f>
        <v>ProximalPhalanxOutlineAgeGroup</v>
      </c>
      <c r="C642" s="10" t="str">
        <f ca="1">IFERROR(__xludf.DUMMYFUNCTION("""COMPUTED_VALUE"""),"mcar")</f>
        <v>mcar</v>
      </c>
      <c r="D642" s="10">
        <f ca="1">IFERROR(__xludf.DUMMYFUNCTION("""COMPUTED_VALUE"""),0.1)</f>
        <v>0.1</v>
      </c>
      <c r="E642" s="17">
        <f ca="1">IFERROR(__xludf.DUMMYFUNCTION("""COMPUTED_VALUE"""),0.96353361805974)</f>
        <v>0.96353361805974003</v>
      </c>
      <c r="F642" s="17">
        <f ca="1">IFERROR(__xludf.DUMMYFUNCTION("""COMPUTED_VALUE"""),0.0924008316446319)</f>
        <v>9.2400831644631906E-2</v>
      </c>
      <c r="G642" s="17">
        <f ca="1">IFERROR(__xludf.DUMMYFUNCTION("""COMPUTED_VALUE"""),0.0837564434530058)</f>
        <v>8.3756443453005799E-2</v>
      </c>
      <c r="H642" s="17">
        <f ca="1">IFERROR(__xludf.DUMMYFUNCTION("""COMPUTED_VALUE"""),0.118029561601876)</f>
        <v>0.118029561601876</v>
      </c>
      <c r="I642" s="17">
        <f ca="1">IFERROR(__xludf.DUMMYFUNCTION("""COMPUTED_VALUE"""),0.0369925413805667)</f>
        <v>3.69925413805667E-2</v>
      </c>
      <c r="J642" s="17">
        <f ca="1">IFERROR(__xludf.DUMMYFUNCTION("""COMPUTED_VALUE"""),0.0615828177777054)</f>
        <v>6.1582817777705398E-2</v>
      </c>
      <c r="K642" s="17" t="str">
        <f ca="1">IFERROR(__xludf.DUMMYFUNCTION("""COMPUTED_VALUE"""),"nan")</f>
        <v>nan</v>
      </c>
      <c r="L642" s="17">
        <f ca="1">IFERROR(__xludf.DUMMYFUNCTION("""COMPUTED_VALUE"""),0.0860647000432578)</f>
        <v>8.6064700043257794E-2</v>
      </c>
      <c r="M642" s="17">
        <f ca="1">IFERROR(__xludf.DUMMYFUNCTION("""COMPUTED_VALUE"""),0.0938994989940883)</f>
        <v>9.3899498994088296E-2</v>
      </c>
      <c r="N642" s="17">
        <f ca="1">IFERROR(__xludf.DUMMYFUNCTION("""COMPUTED_VALUE"""),0.0802777097001579)</f>
        <v>8.0277709700157907E-2</v>
      </c>
      <c r="O642" s="17">
        <f ca="1">IFERROR(__xludf.DUMMYFUNCTION("""COMPUTED_VALUE"""),0.0498811641984208)</f>
        <v>4.9881164198420799E-2</v>
      </c>
      <c r="P642" s="17">
        <f ca="1">IFERROR(__xludf.DUMMYFUNCTION("""COMPUTED_VALUE"""),0.548779533607586)</f>
        <v>0.54877953360758602</v>
      </c>
      <c r="Q642" s="17">
        <f ca="1">IFERROR(__xludf.DUMMYFUNCTION("""COMPUTED_VALUE"""),0.142242701052198)</f>
        <v>0.142242701052198</v>
      </c>
      <c r="R642" s="17">
        <f ca="1">IFERROR(__xludf.DUMMYFUNCTION("""COMPUTED_VALUE"""),0.0394618175707516)</f>
        <v>3.9461817570751602E-2</v>
      </c>
      <c r="S642" s="17">
        <f ca="1">IFERROR(__xludf.DUMMYFUNCTION("""COMPUTED_VALUE"""),0.681123034569006)</f>
        <v>0.68112303456900603</v>
      </c>
      <c r="T642" s="17">
        <f ca="1">IFERROR(__xludf.DUMMYFUNCTION("""COMPUTED_VALUE"""),0.153154709615998)</f>
        <v>0.153154709615998</v>
      </c>
      <c r="U642" s="17">
        <f ca="1">IFERROR(__xludf.DUMMYFUNCTION("""COMPUTED_VALUE"""),0.09323668715761)</f>
        <v>9.3236687157609993E-2</v>
      </c>
      <c r="V642" s="17">
        <f ca="1">IFERROR(__xludf.DUMMYFUNCTION("""COMPUTED_VALUE"""),0.112190212524147)</f>
        <v>0.112190212524147</v>
      </c>
      <c r="W642" s="17">
        <f ca="1">IFERROR(__xludf.DUMMYFUNCTION("""COMPUTED_VALUE"""),0.296558807825839)</f>
        <v>0.29655880782583899</v>
      </c>
      <c r="X642" s="17">
        <f ca="1">IFERROR(__xludf.DUMMYFUNCTION("""COMPUTED_VALUE"""),0.159204557128407)</f>
        <v>0.159204557128407</v>
      </c>
      <c r="Y642" s="17">
        <f ca="1">IFERROR(__xludf.DUMMYFUNCTION("""COMPUTED_VALUE"""),0.167276394596787)</f>
        <v>0.167276394596787</v>
      </c>
      <c r="Z642" s="17">
        <f ca="1">IFERROR(__xludf.DUMMYFUNCTION("""COMPUTED_VALUE"""),0.139206785105521)</f>
        <v>0.13920678510552101</v>
      </c>
      <c r="AA642" s="17">
        <f ca="1">IFERROR(__xludf.DUMMYFUNCTION("""COMPUTED_VALUE"""),0.0356147685413713)</f>
        <v>3.56147685413713E-2</v>
      </c>
      <c r="AB642" s="17">
        <f ca="1">IFERROR(__xludf.DUMMYFUNCTION("""COMPUTED_VALUE"""),0.181702649911467)</f>
        <v>0.18170264991146701</v>
      </c>
      <c r="AC642" s="17">
        <f ca="1">IFERROR(__xludf.DUMMYFUNCTION("""COMPUTED_VALUE"""),0.515938294847667)</f>
        <v>0.51593829484766696</v>
      </c>
      <c r="AD642" s="17">
        <f ca="1">IFERROR(__xludf.DUMMYFUNCTION("""COMPUTED_VALUE"""),0.176014400276895)</f>
        <v>0.17601440027689499</v>
      </c>
      <c r="AE642" s="17">
        <f ca="1">IFERROR(__xludf.DUMMYFUNCTION("""COMPUTED_VALUE"""),0.752890340149703)</f>
        <v>0.75289034014970302</v>
      </c>
      <c r="AF642" s="17">
        <f ca="1">IFERROR(__xludf.DUMMYFUNCTION("""COMPUTED_VALUE"""),0.312280931161453)</f>
        <v>0.312280931161453</v>
      </c>
      <c r="AG642" s="17">
        <f ca="1">IFERROR(__xludf.DUMMYFUNCTION("""COMPUTED_VALUE"""),0.918708105957722)</f>
        <v>0.91870810595772201</v>
      </c>
      <c r="AH642" s="17">
        <f ca="1">IFERROR(__xludf.DUMMYFUNCTION("""COMPUTED_VALUE"""),0.60069109728218)</f>
        <v>0.60069109728217995</v>
      </c>
      <c r="AI642" s="17">
        <f ca="1">IFERROR(__xludf.DUMMYFUNCTION("""COMPUTED_VALUE"""),0.322038585030364)</f>
        <v>0.32203858503036398</v>
      </c>
      <c r="AJ642" s="17">
        <f ca="1">IFERROR(__xludf.DUMMYFUNCTION("""COMPUTED_VALUE"""),0.402750376127899)</f>
        <v>0.40275037612789899</v>
      </c>
    </row>
    <row r="643" spans="2:36" ht="15.75" customHeight="1" x14ac:dyDescent="0.45">
      <c r="B643" s="10" t="str">
        <f ca="1">IFERROR(__xludf.DUMMYFUNCTION("""COMPUTED_VALUE"""),"ProximalPhalanxOutlineAgeGroup")</f>
        <v>ProximalPhalanxOutlineAgeGroup</v>
      </c>
      <c r="C643" s="10" t="str">
        <f ca="1">IFERROR(__xludf.DUMMYFUNCTION("""COMPUTED_VALUE"""),"mcar")</f>
        <v>mcar</v>
      </c>
      <c r="D643" s="10">
        <f ca="1">IFERROR(__xludf.DUMMYFUNCTION("""COMPUTED_VALUE"""),0.2)</f>
        <v>0.2</v>
      </c>
      <c r="E643" s="17">
        <f ca="1">IFERROR(__xludf.DUMMYFUNCTION("""COMPUTED_VALUE"""),0.968940003808003)</f>
        <v>0.96894000380800305</v>
      </c>
      <c r="F643" s="17">
        <f ca="1">IFERROR(__xludf.DUMMYFUNCTION("""COMPUTED_VALUE"""),0.0930416123272621)</f>
        <v>9.3041612327262102E-2</v>
      </c>
      <c r="G643" s="17">
        <f ca="1">IFERROR(__xludf.DUMMYFUNCTION("""COMPUTED_VALUE"""),0.0841134108782462)</f>
        <v>8.4113410878246198E-2</v>
      </c>
      <c r="H643" s="17">
        <f ca="1">IFERROR(__xludf.DUMMYFUNCTION("""COMPUTED_VALUE"""),0.12555705237881)</f>
        <v>0.12555705237881001</v>
      </c>
      <c r="I643" s="17">
        <f ca="1">IFERROR(__xludf.DUMMYFUNCTION("""COMPUTED_VALUE"""),0.04352927887575)</f>
        <v>4.3529278875749998E-2</v>
      </c>
      <c r="J643" s="17">
        <f ca="1">IFERROR(__xludf.DUMMYFUNCTION("""COMPUTED_VALUE"""),0.059408831929632)</f>
        <v>5.9408831929631999E-2</v>
      </c>
      <c r="K643" s="17" t="str">
        <f ca="1">IFERROR(__xludf.DUMMYFUNCTION("""COMPUTED_VALUE"""),"nan")</f>
        <v>nan</v>
      </c>
      <c r="L643" s="17">
        <f ca="1">IFERROR(__xludf.DUMMYFUNCTION("""COMPUTED_VALUE"""),0.0886865141509219)</f>
        <v>8.8686514150921894E-2</v>
      </c>
      <c r="M643" s="17">
        <f ca="1">IFERROR(__xludf.DUMMYFUNCTION("""COMPUTED_VALUE"""),0.0956806133593927)</f>
        <v>9.5680613359392694E-2</v>
      </c>
      <c r="N643" s="17">
        <f ca="1">IFERROR(__xludf.DUMMYFUNCTION("""COMPUTED_VALUE"""),0.13009299403039)</f>
        <v>0.13009299403039001</v>
      </c>
      <c r="O643" s="17">
        <f ca="1">IFERROR(__xludf.DUMMYFUNCTION("""COMPUTED_VALUE"""),0.0530555118692222)</f>
        <v>5.3055511869222201E-2</v>
      </c>
      <c r="P643" s="17">
        <f ca="1">IFERROR(__xludf.DUMMYFUNCTION("""COMPUTED_VALUE"""),0.584380469391951)</f>
        <v>0.58438046939195099</v>
      </c>
      <c r="Q643" s="17">
        <f ca="1">IFERROR(__xludf.DUMMYFUNCTION("""COMPUTED_VALUE"""),0.169466421988429)</f>
        <v>0.16946642198842901</v>
      </c>
      <c r="R643" s="17">
        <f ca="1">IFERROR(__xludf.DUMMYFUNCTION("""COMPUTED_VALUE"""),0.057428681344468)</f>
        <v>5.7428681344467998E-2</v>
      </c>
      <c r="S643" s="17">
        <f ca="1">IFERROR(__xludf.DUMMYFUNCTION("""COMPUTED_VALUE"""),0.909137851491934)</f>
        <v>0.90913785149193405</v>
      </c>
      <c r="T643" s="17">
        <f ca="1">IFERROR(__xludf.DUMMYFUNCTION("""COMPUTED_VALUE"""),0.147153895562477)</f>
        <v>0.14715389556247699</v>
      </c>
      <c r="U643" s="17">
        <f ca="1">IFERROR(__xludf.DUMMYFUNCTION("""COMPUTED_VALUE"""),0.100419178728959)</f>
        <v>0.100419178728959</v>
      </c>
      <c r="V643" s="17">
        <f ca="1">IFERROR(__xludf.DUMMYFUNCTION("""COMPUTED_VALUE"""),0.118542435258596)</f>
        <v>0.11854243525859599</v>
      </c>
      <c r="W643" s="17">
        <f ca="1">IFERROR(__xludf.DUMMYFUNCTION("""COMPUTED_VALUE"""),0.347163736010552)</f>
        <v>0.347163736010552</v>
      </c>
      <c r="X643" s="17">
        <f ca="1">IFERROR(__xludf.DUMMYFUNCTION("""COMPUTED_VALUE"""),0.165423843133331)</f>
        <v>0.165423843133331</v>
      </c>
      <c r="Y643" s="17">
        <f ca="1">IFERROR(__xludf.DUMMYFUNCTION("""COMPUTED_VALUE"""),0.168983801863354)</f>
        <v>0.16898380186335399</v>
      </c>
      <c r="Z643" s="17">
        <f ca="1">IFERROR(__xludf.DUMMYFUNCTION("""COMPUTED_VALUE"""),0.33859760076498)</f>
        <v>0.33859760076498002</v>
      </c>
      <c r="AA643" s="17">
        <f ca="1">IFERROR(__xludf.DUMMYFUNCTION("""COMPUTED_VALUE"""),0.0380196307042399)</f>
        <v>3.8019630704239901E-2</v>
      </c>
      <c r="AB643" s="17">
        <f ca="1">IFERROR(__xludf.DUMMYFUNCTION("""COMPUTED_VALUE"""),0.182944500587982)</f>
        <v>0.18294450058798201</v>
      </c>
      <c r="AC643" s="17">
        <f ca="1">IFERROR(__xludf.DUMMYFUNCTION("""COMPUTED_VALUE"""),0.512009218529947)</f>
        <v>0.51200921852994696</v>
      </c>
      <c r="AD643" s="17">
        <f ca="1">IFERROR(__xludf.DUMMYFUNCTION("""COMPUTED_VALUE"""),0.272347047988098)</f>
        <v>0.272347047988098</v>
      </c>
      <c r="AE643" s="17">
        <f ca="1">IFERROR(__xludf.DUMMYFUNCTION("""COMPUTED_VALUE"""),0.925010397470403)</f>
        <v>0.92501039747040303</v>
      </c>
      <c r="AF643" s="17">
        <f ca="1">IFERROR(__xludf.DUMMYFUNCTION("""COMPUTED_VALUE"""),0.154644606888317)</f>
        <v>0.15464460688831699</v>
      </c>
      <c r="AG643" s="17">
        <f ca="1">IFERROR(__xludf.DUMMYFUNCTION("""COMPUTED_VALUE"""),0.89117312441355)</f>
        <v>0.89117312441355001</v>
      </c>
      <c r="AH643" s="17">
        <f ca="1">IFERROR(__xludf.DUMMYFUNCTION("""COMPUTED_VALUE"""),0.679224247409821)</f>
        <v>0.67922424740982101</v>
      </c>
      <c r="AI643" s="17">
        <f ca="1">IFERROR(__xludf.DUMMYFUNCTION("""COMPUTED_VALUE"""),0.642547691742114)</f>
        <v>0.64254769174211401</v>
      </c>
      <c r="AJ643" s="17">
        <f ca="1">IFERROR(__xludf.DUMMYFUNCTION("""COMPUTED_VALUE"""),0.498348312783358)</f>
        <v>0.49834831278335801</v>
      </c>
    </row>
    <row r="644" spans="2:36" ht="15.75" customHeight="1" x14ac:dyDescent="0.45">
      <c r="B644" s="10" t="str">
        <f ca="1">IFERROR(__xludf.DUMMYFUNCTION("""COMPUTED_VALUE"""),"ProximalPhalanxOutlineAgeGroup")</f>
        <v>ProximalPhalanxOutlineAgeGroup</v>
      </c>
      <c r="C644" s="10" t="str">
        <f ca="1">IFERROR(__xludf.DUMMYFUNCTION("""COMPUTED_VALUE"""),"mcar")</f>
        <v>mcar</v>
      </c>
      <c r="D644" s="10">
        <f ca="1">IFERROR(__xludf.DUMMYFUNCTION("""COMPUTED_VALUE"""),0.4)</f>
        <v>0.4</v>
      </c>
      <c r="E644" s="17">
        <f ca="1">IFERROR(__xludf.DUMMYFUNCTION("""COMPUTED_VALUE"""),0.987021784825752)</f>
        <v>0.98702178482575198</v>
      </c>
      <c r="F644" s="17">
        <f ca="1">IFERROR(__xludf.DUMMYFUNCTION("""COMPUTED_VALUE"""),0.0998056581813197)</f>
        <v>9.9805658181319701E-2</v>
      </c>
      <c r="G644" s="17">
        <f ca="1">IFERROR(__xludf.DUMMYFUNCTION("""COMPUTED_VALUE"""),0.0886147735327195)</f>
        <v>8.8614773532719501E-2</v>
      </c>
      <c r="H644" s="17">
        <f ca="1">IFERROR(__xludf.DUMMYFUNCTION("""COMPUTED_VALUE"""),0.123397263990642)</f>
        <v>0.12339726399064201</v>
      </c>
      <c r="I644" s="17">
        <f ca="1">IFERROR(__xludf.DUMMYFUNCTION("""COMPUTED_VALUE"""),0.0597154085019577)</f>
        <v>5.9715408501957702E-2</v>
      </c>
      <c r="J644" s="17">
        <f ca="1">IFERROR(__xludf.DUMMYFUNCTION("""COMPUTED_VALUE"""),0.132172877476311)</f>
        <v>0.13217287747631101</v>
      </c>
      <c r="K644" s="17" t="str">
        <f ca="1">IFERROR(__xludf.DUMMYFUNCTION("""COMPUTED_VALUE"""),"nan")</f>
        <v>nan</v>
      </c>
      <c r="L644" s="17">
        <f ca="1">IFERROR(__xludf.DUMMYFUNCTION("""COMPUTED_VALUE"""),0.103389889294404)</f>
        <v>0.103389889294404</v>
      </c>
      <c r="M644" s="17">
        <f ca="1">IFERROR(__xludf.DUMMYFUNCTION("""COMPUTED_VALUE"""),0.10378771421833)</f>
        <v>0.10378771421833</v>
      </c>
      <c r="N644" s="17">
        <f ca="1">IFERROR(__xludf.DUMMYFUNCTION("""COMPUTED_VALUE"""),0.141028359644159)</f>
        <v>0.141028359644159</v>
      </c>
      <c r="O644" s="17">
        <f ca="1">IFERROR(__xludf.DUMMYFUNCTION("""COMPUTED_VALUE"""),0.0717881730092678)</f>
        <v>7.1788173009267806E-2</v>
      </c>
      <c r="P644" s="17">
        <f ca="1">IFERROR(__xludf.DUMMYFUNCTION("""COMPUTED_VALUE"""),0.662699878744287)</f>
        <v>0.66269987874428704</v>
      </c>
      <c r="Q644" s="17">
        <f ca="1">IFERROR(__xludf.DUMMYFUNCTION("""COMPUTED_VALUE"""),0.253186480606902)</f>
        <v>0.25318648060690202</v>
      </c>
      <c r="R644" s="17">
        <f ca="1">IFERROR(__xludf.DUMMYFUNCTION("""COMPUTED_VALUE"""),0.0668872190793775)</f>
        <v>6.6887219079377502E-2</v>
      </c>
      <c r="S644" s="17">
        <f ca="1">IFERROR(__xludf.DUMMYFUNCTION("""COMPUTED_VALUE"""),1.00908627212666)</f>
        <v>1.00908627212666</v>
      </c>
      <c r="T644" s="17">
        <f ca="1">IFERROR(__xludf.DUMMYFUNCTION("""COMPUTED_VALUE"""),0.168237478772296)</f>
        <v>0.168237478772296</v>
      </c>
      <c r="U644" s="17">
        <f ca="1">IFERROR(__xludf.DUMMYFUNCTION("""COMPUTED_VALUE"""),0.114652971740015)</f>
        <v>0.114652971740015</v>
      </c>
      <c r="V644" s="17">
        <f ca="1">IFERROR(__xludf.DUMMYFUNCTION("""COMPUTED_VALUE"""),0.165887777068042)</f>
        <v>0.165887777068042</v>
      </c>
      <c r="W644" s="17">
        <f ca="1">IFERROR(__xludf.DUMMYFUNCTION("""COMPUTED_VALUE"""),0.288703225456521)</f>
        <v>0.288703225456521</v>
      </c>
      <c r="X644" s="17">
        <f ca="1">IFERROR(__xludf.DUMMYFUNCTION("""COMPUTED_VALUE"""),0.181214722363302)</f>
        <v>0.18121472236330199</v>
      </c>
      <c r="Y644" s="17">
        <f ca="1">IFERROR(__xludf.DUMMYFUNCTION("""COMPUTED_VALUE"""),0.157849533640072)</f>
        <v>0.15784953364007201</v>
      </c>
      <c r="Z644" s="17">
        <f ca="1">IFERROR(__xludf.DUMMYFUNCTION("""COMPUTED_VALUE"""),0.520922707836622)</f>
        <v>0.52092270783662198</v>
      </c>
      <c r="AA644" s="17">
        <f ca="1">IFERROR(__xludf.DUMMYFUNCTION("""COMPUTED_VALUE"""),0.0574644038636522)</f>
        <v>5.7464403863652203E-2</v>
      </c>
      <c r="AB644" s="17">
        <f ca="1">IFERROR(__xludf.DUMMYFUNCTION("""COMPUTED_VALUE"""),0.202600696236663)</f>
        <v>0.20260069623666299</v>
      </c>
      <c r="AC644" s="17">
        <f ca="1">IFERROR(__xludf.DUMMYFUNCTION("""COMPUTED_VALUE"""),0.519514441959385)</f>
        <v>0.51951444195938501</v>
      </c>
      <c r="AD644" s="17">
        <f ca="1">IFERROR(__xludf.DUMMYFUNCTION("""COMPUTED_VALUE"""),0.317980858292036)</f>
        <v>0.31798085829203598</v>
      </c>
      <c r="AE644" s="17">
        <f ca="1">IFERROR(__xludf.DUMMYFUNCTION("""COMPUTED_VALUE"""),1.10397202002583)</f>
        <v>1.1039720200258301</v>
      </c>
      <c r="AF644" s="17">
        <f ca="1">IFERROR(__xludf.DUMMYFUNCTION("""COMPUTED_VALUE"""),0.303107360078363)</f>
        <v>0.30310736007836298</v>
      </c>
      <c r="AG644" s="17">
        <f ca="1">IFERROR(__xludf.DUMMYFUNCTION("""COMPUTED_VALUE"""),0.937567690586387)</f>
        <v>0.937567690586387</v>
      </c>
      <c r="AH644" s="17">
        <f ca="1">IFERROR(__xludf.DUMMYFUNCTION("""COMPUTED_VALUE"""),0.851368868544546)</f>
        <v>0.85136886854454596</v>
      </c>
      <c r="AI644" s="17">
        <f ca="1">IFERROR(__xludf.DUMMYFUNCTION("""COMPUTED_VALUE"""),1.03938038425698)</f>
        <v>1.03938038425698</v>
      </c>
      <c r="AJ644" s="17">
        <f ca="1">IFERROR(__xludf.DUMMYFUNCTION("""COMPUTED_VALUE"""),0.837548459067528)</f>
        <v>0.83754845906752795</v>
      </c>
    </row>
    <row r="645" spans="2:36" ht="15.75" customHeight="1" x14ac:dyDescent="0.45">
      <c r="B645" s="10" t="str">
        <f ca="1">IFERROR(__xludf.DUMMYFUNCTION("""COMPUTED_VALUE"""),"ProximalPhalanxOutlineAgeGroup")</f>
        <v>ProximalPhalanxOutlineAgeGroup</v>
      </c>
      <c r="C645" s="10" t="str">
        <f ca="1">IFERROR(__xludf.DUMMYFUNCTION("""COMPUTED_VALUE"""),"mcar")</f>
        <v>mcar</v>
      </c>
      <c r="D645" s="10">
        <f ca="1">IFERROR(__xludf.DUMMYFUNCTION("""COMPUTED_VALUE"""),0.6)</f>
        <v>0.6</v>
      </c>
      <c r="E645" s="17">
        <f ca="1">IFERROR(__xludf.DUMMYFUNCTION("""COMPUTED_VALUE"""),1.00155497441802)</f>
        <v>1.0015549744180201</v>
      </c>
      <c r="F645" s="17">
        <f ca="1">IFERROR(__xludf.DUMMYFUNCTION("""COMPUTED_VALUE"""),0.104522540223042)</f>
        <v>0.104522540223042</v>
      </c>
      <c r="G645" s="17">
        <f ca="1">IFERROR(__xludf.DUMMYFUNCTION("""COMPUTED_VALUE"""),0.0948094357902353)</f>
        <v>9.4809435790235305E-2</v>
      </c>
      <c r="H645" s="17">
        <f ca="1">IFERROR(__xludf.DUMMYFUNCTION("""COMPUTED_VALUE"""),0.120298685850826)</f>
        <v>0.120298685850826</v>
      </c>
      <c r="I645" s="17">
        <f ca="1">IFERROR(__xludf.DUMMYFUNCTION("""COMPUTED_VALUE"""),0.0708612199160692)</f>
        <v>7.0861219916069196E-2</v>
      </c>
      <c r="J645" s="17">
        <f ca="1">IFERROR(__xludf.DUMMYFUNCTION("""COMPUTED_VALUE"""),0.507049293893892)</f>
        <v>0.50704929389389197</v>
      </c>
      <c r="K645" s="17" t="str">
        <f ca="1">IFERROR(__xludf.DUMMYFUNCTION("""COMPUTED_VALUE"""),"nan")</f>
        <v>nan</v>
      </c>
      <c r="L645" s="17">
        <f ca="1">IFERROR(__xludf.DUMMYFUNCTION("""COMPUTED_VALUE"""),0.10914830473927)</f>
        <v>0.10914830473926999</v>
      </c>
      <c r="M645" s="17">
        <f ca="1">IFERROR(__xludf.DUMMYFUNCTION("""COMPUTED_VALUE"""),0.185261880074198)</f>
        <v>0.185261880074198</v>
      </c>
      <c r="N645" s="17">
        <f ca="1">IFERROR(__xludf.DUMMYFUNCTION("""COMPUTED_VALUE"""),0.139776378981464)</f>
        <v>0.139776378981464</v>
      </c>
      <c r="O645" s="17">
        <f ca="1">IFERROR(__xludf.DUMMYFUNCTION("""COMPUTED_VALUE"""),0.0823597331578558)</f>
        <v>8.2359733157855802E-2</v>
      </c>
      <c r="P645" s="17">
        <f ca="1">IFERROR(__xludf.DUMMYFUNCTION("""COMPUTED_VALUE"""),0.716397509086091)</f>
        <v>0.71639750908609101</v>
      </c>
      <c r="Q645" s="17">
        <f ca="1">IFERROR(__xludf.DUMMYFUNCTION("""COMPUTED_VALUE"""),0.316514538349082)</f>
        <v>0.316514538349082</v>
      </c>
      <c r="R645" s="17">
        <f ca="1">IFERROR(__xludf.DUMMYFUNCTION("""COMPUTED_VALUE"""),0.0780706644784964)</f>
        <v>7.8070664478496393E-2</v>
      </c>
      <c r="S645" s="17">
        <f ca="1">IFERROR(__xludf.DUMMYFUNCTION("""COMPUTED_VALUE"""),1.01816457809409)</f>
        <v>1.01816457809409</v>
      </c>
      <c r="T645" s="17">
        <f ca="1">IFERROR(__xludf.DUMMYFUNCTION("""COMPUTED_VALUE"""),0.197385309379657)</f>
        <v>0.19738530937965701</v>
      </c>
      <c r="U645" s="17">
        <f ca="1">IFERROR(__xludf.DUMMYFUNCTION("""COMPUTED_VALUE"""),0.121006735287109)</f>
        <v>0.12100673528710899</v>
      </c>
      <c r="V645" s="17">
        <f ca="1">IFERROR(__xludf.DUMMYFUNCTION("""COMPUTED_VALUE"""),0.190518273356494)</f>
        <v>0.19051827335649399</v>
      </c>
      <c r="W645" s="17">
        <f ca="1">IFERROR(__xludf.DUMMYFUNCTION("""COMPUTED_VALUE"""),0.289457986566718)</f>
        <v>0.28945798656671801</v>
      </c>
      <c r="X645" s="17">
        <f ca="1">IFERROR(__xludf.DUMMYFUNCTION("""COMPUTED_VALUE"""),0.161489587432133)</f>
        <v>0.16148958743213301</v>
      </c>
      <c r="Y645" s="17">
        <f ca="1">IFERROR(__xludf.DUMMYFUNCTION("""COMPUTED_VALUE"""),0.159057097837904)</f>
        <v>0.159057097837904</v>
      </c>
      <c r="Z645" s="17">
        <f ca="1">IFERROR(__xludf.DUMMYFUNCTION("""COMPUTED_VALUE"""),0.643812006965515)</f>
        <v>0.64381200696551499</v>
      </c>
      <c r="AA645" s="17">
        <f ca="1">IFERROR(__xludf.DUMMYFUNCTION("""COMPUTED_VALUE"""),0.0721989979374467)</f>
        <v>7.2198997937446704E-2</v>
      </c>
      <c r="AB645" s="17">
        <f ca="1">IFERROR(__xludf.DUMMYFUNCTION("""COMPUTED_VALUE"""),0.30628445527568)</f>
        <v>0.30628445527567999</v>
      </c>
      <c r="AC645" s="17">
        <f ca="1">IFERROR(__xludf.DUMMYFUNCTION("""COMPUTED_VALUE"""),0.516522057817327)</f>
        <v>0.51652205781732696</v>
      </c>
      <c r="AD645" s="17">
        <f ca="1">IFERROR(__xludf.DUMMYFUNCTION("""COMPUTED_VALUE"""),0.284439549001114)</f>
        <v>0.28443954900111401</v>
      </c>
      <c r="AE645" s="17">
        <f ca="1">IFERROR(__xludf.DUMMYFUNCTION("""COMPUTED_VALUE"""),1.15310412651148)</f>
        <v>1.1531041265114801</v>
      </c>
      <c r="AF645" s="17">
        <f ca="1">IFERROR(__xludf.DUMMYFUNCTION("""COMPUTED_VALUE"""),0.390843655804581)</f>
        <v>0.39084365580458102</v>
      </c>
      <c r="AG645" s="17">
        <f ca="1">IFERROR(__xludf.DUMMYFUNCTION("""COMPUTED_VALUE"""),1.03306041566479)</f>
        <v>1.03306041566479</v>
      </c>
      <c r="AH645" s="17">
        <f ca="1">IFERROR(__xludf.DUMMYFUNCTION("""COMPUTED_VALUE"""),0.965672802105336)</f>
        <v>0.96567280210533601</v>
      </c>
      <c r="AI645" s="17" t="str">
        <f ca="1">IFERROR(__xludf.DUMMYFUNCTION("""COMPUTED_VALUE"""),"nan")</f>
        <v>nan</v>
      </c>
      <c r="AJ645" s="17">
        <f ca="1">IFERROR(__xludf.DUMMYFUNCTION("""COMPUTED_VALUE"""),1.05311982564136)</f>
        <v>1.0531198256413601</v>
      </c>
    </row>
    <row r="646" spans="2:36" ht="15.75" customHeight="1" x14ac:dyDescent="0.45">
      <c r="B646" s="10" t="str">
        <f ca="1">IFERROR(__xludf.DUMMYFUNCTION("""COMPUTED_VALUE"""),"ProximalPhalanxOutlineAgeGroup")</f>
        <v>ProximalPhalanxOutlineAgeGroup</v>
      </c>
      <c r="C646" s="10" t="str">
        <f ca="1">IFERROR(__xludf.DUMMYFUNCTION("""COMPUTED_VALUE"""),"mcar")</f>
        <v>mcar</v>
      </c>
      <c r="D646" s="10">
        <f ca="1">IFERROR(__xludf.DUMMYFUNCTION("""COMPUTED_VALUE"""),0.8)</f>
        <v>0.8</v>
      </c>
      <c r="E646" s="17">
        <f ca="1">IFERROR(__xludf.DUMMYFUNCTION("""COMPUTED_VALUE"""),1.02466468975502)</f>
        <v>1.02466468975502</v>
      </c>
      <c r="F646" s="17">
        <f ca="1">IFERROR(__xludf.DUMMYFUNCTION("""COMPUTED_VALUE"""),0.167560867651792)</f>
        <v>0.16756086765179201</v>
      </c>
      <c r="G646" s="17">
        <f ca="1">IFERROR(__xludf.DUMMYFUNCTION("""COMPUTED_VALUE"""),0.272516891445808)</f>
        <v>0.27251689144580798</v>
      </c>
      <c r="H646" s="17">
        <f ca="1">IFERROR(__xludf.DUMMYFUNCTION("""COMPUTED_VALUE"""),0.125903269999701)</f>
        <v>0.125903269999701</v>
      </c>
      <c r="I646" s="17">
        <f ca="1">IFERROR(__xludf.DUMMYFUNCTION("""COMPUTED_VALUE"""),0.125975224105365)</f>
        <v>0.12597522410536499</v>
      </c>
      <c r="J646" s="17">
        <f ca="1">IFERROR(__xludf.DUMMYFUNCTION("""COMPUTED_VALUE"""),1.00074828388304)</f>
        <v>1.0007482838830399</v>
      </c>
      <c r="K646" s="17" t="str">
        <f ca="1">IFERROR(__xludf.DUMMYFUNCTION("""COMPUTED_VALUE"""),"nan")</f>
        <v>nan</v>
      </c>
      <c r="L646" s="17">
        <f ca="1">IFERROR(__xludf.DUMMYFUNCTION("""COMPUTED_VALUE"""),0.133107585644389)</f>
        <v>0.13310758564438899</v>
      </c>
      <c r="M646" s="17">
        <f ca="1">IFERROR(__xludf.DUMMYFUNCTION("""COMPUTED_VALUE"""),0.650054708450195)</f>
        <v>0.65005470845019497</v>
      </c>
      <c r="N646" s="17">
        <f ca="1">IFERROR(__xludf.DUMMYFUNCTION("""COMPUTED_VALUE"""),0.156724917938674)</f>
        <v>0.15672491793867399</v>
      </c>
      <c r="O646" s="17">
        <f ca="1">IFERROR(__xludf.DUMMYFUNCTION("""COMPUTED_VALUE"""),0.266339703429661)</f>
        <v>0.26633970342966101</v>
      </c>
      <c r="P646" s="17">
        <f ca="1">IFERROR(__xludf.DUMMYFUNCTION("""COMPUTED_VALUE"""),0.928430799537611)</f>
        <v>0.92843079953761098</v>
      </c>
      <c r="Q646" s="17">
        <f ca="1">IFERROR(__xludf.DUMMYFUNCTION("""COMPUTED_VALUE"""),0.540829312290602)</f>
        <v>0.54082931229060205</v>
      </c>
      <c r="R646" s="17">
        <f ca="1">IFERROR(__xludf.DUMMYFUNCTION("""COMPUTED_VALUE"""),0.125035411321465)</f>
        <v>0.12503541132146501</v>
      </c>
      <c r="S646" s="17">
        <f ca="1">IFERROR(__xludf.DUMMYFUNCTION("""COMPUTED_VALUE"""),1.04119894379541)</f>
        <v>1.0411989437954099</v>
      </c>
      <c r="T646" s="17">
        <f ca="1">IFERROR(__xludf.DUMMYFUNCTION("""COMPUTED_VALUE"""),0.58042083452813)</f>
        <v>0.58042083452812998</v>
      </c>
      <c r="U646" s="17">
        <f ca="1">IFERROR(__xludf.DUMMYFUNCTION("""COMPUTED_VALUE"""),0.200755407554233)</f>
        <v>0.20075540755423299</v>
      </c>
      <c r="V646" s="17">
        <f ca="1">IFERROR(__xludf.DUMMYFUNCTION("""COMPUTED_VALUE"""),0.5135484188362)</f>
        <v>0.51354841883619995</v>
      </c>
      <c r="W646" s="17">
        <f ca="1">IFERROR(__xludf.DUMMYFUNCTION("""COMPUTED_VALUE"""),0.34492508447575)</f>
        <v>0.34492508447574999</v>
      </c>
      <c r="X646" s="17">
        <f ca="1">IFERROR(__xludf.DUMMYFUNCTION("""COMPUTED_VALUE"""),0.158982541451398)</f>
        <v>0.15898254145139801</v>
      </c>
      <c r="Y646" s="17">
        <f ca="1">IFERROR(__xludf.DUMMYFUNCTION("""COMPUTED_VALUE"""),0.311870550617159)</f>
        <v>0.31187055061715901</v>
      </c>
      <c r="Z646" s="17">
        <f ca="1">IFERROR(__xludf.DUMMYFUNCTION("""COMPUTED_VALUE"""),0.811922201850322)</f>
        <v>0.81192220185032205</v>
      </c>
      <c r="AA646" s="17">
        <f ca="1">IFERROR(__xludf.DUMMYFUNCTION("""COMPUTED_VALUE"""),0.201763552361706)</f>
        <v>0.20176355236170601</v>
      </c>
      <c r="AB646" s="17">
        <f ca="1">IFERROR(__xludf.DUMMYFUNCTION("""COMPUTED_VALUE"""),0.709420678571274)</f>
        <v>0.709420678571274</v>
      </c>
      <c r="AC646" s="17">
        <f ca="1">IFERROR(__xludf.DUMMYFUNCTION("""COMPUTED_VALUE"""),0.549518157517643)</f>
        <v>0.54951815751764299</v>
      </c>
      <c r="AD646" s="17">
        <f ca="1">IFERROR(__xludf.DUMMYFUNCTION("""COMPUTED_VALUE"""),0.226969041830411)</f>
        <v>0.226969041830411</v>
      </c>
      <c r="AE646" s="17" t="str">
        <f ca="1">IFERROR(__xludf.DUMMYFUNCTION("""COMPUTED_VALUE"""),"nan")</f>
        <v>nan</v>
      </c>
      <c r="AF646" s="17">
        <f ca="1">IFERROR(__xludf.DUMMYFUNCTION("""COMPUTED_VALUE"""),0.709741201719543)</f>
        <v>0.70974120171954302</v>
      </c>
      <c r="AG646" s="17">
        <f ca="1">IFERROR(__xludf.DUMMYFUNCTION("""COMPUTED_VALUE"""),1.13777692409614)</f>
        <v>1.13777692409614</v>
      </c>
      <c r="AH646" s="17">
        <f ca="1">IFERROR(__xludf.DUMMYFUNCTION("""COMPUTED_VALUE"""),1.06203853641764)</f>
        <v>1.0620385364176399</v>
      </c>
      <c r="AI646" s="17" t="str">
        <f ca="1">IFERROR(__xludf.DUMMYFUNCTION("""COMPUTED_VALUE"""),"nan")</f>
        <v>nan</v>
      </c>
      <c r="AJ646" s="17">
        <f ca="1">IFERROR(__xludf.DUMMYFUNCTION("""COMPUTED_VALUE"""),1.19066579357418)</f>
        <v>1.19066579357418</v>
      </c>
    </row>
    <row r="647" spans="2:36" ht="15.75" customHeight="1" x14ac:dyDescent="0.45">
      <c r="B647" s="10" t="str">
        <f ca="1">IFERROR(__xludf.DUMMYFUNCTION("""COMPUTED_VALUE"""),"ProximalPhalanxOutlineCorrect")</f>
        <v>ProximalPhalanxOutlineCorrect</v>
      </c>
      <c r="C647" s="10" t="str">
        <f ca="1">IFERROR(__xludf.DUMMYFUNCTION("""COMPUTED_VALUE"""),"aligned_series")</f>
        <v>aligned_series</v>
      </c>
      <c r="D647" s="10">
        <f ca="1">IFERROR(__xludf.DUMMYFUNCTION("""COMPUTED_VALUE"""),0.1)</f>
        <v>0.1</v>
      </c>
      <c r="E647" s="17">
        <f ca="1">IFERROR(__xludf.DUMMYFUNCTION("""COMPUTED_VALUE"""),1.09807350322022)</f>
        <v>1.09807350322022</v>
      </c>
      <c r="F647" s="17">
        <f ca="1">IFERROR(__xludf.DUMMYFUNCTION("""COMPUTED_VALUE"""),0.120509731749759)</f>
        <v>0.120509731749759</v>
      </c>
      <c r="G647" s="17">
        <f ca="1">IFERROR(__xludf.DUMMYFUNCTION("""COMPUTED_VALUE"""),0.11442679685431)</f>
        <v>0.11442679685431</v>
      </c>
      <c r="H647" s="17">
        <f ca="1">IFERROR(__xludf.DUMMYFUNCTION("""COMPUTED_VALUE"""),0.155477528753946)</f>
        <v>0.15547752875394599</v>
      </c>
      <c r="I647" s="17">
        <f ca="1">IFERROR(__xludf.DUMMYFUNCTION("""COMPUTED_VALUE"""),0.0552638537092105)</f>
        <v>5.5263853709210498E-2</v>
      </c>
      <c r="J647" s="17">
        <f ca="1">IFERROR(__xludf.DUMMYFUNCTION("""COMPUTED_VALUE"""),0.705347246413214)</f>
        <v>0.705347246413214</v>
      </c>
      <c r="K647" s="17" t="str">
        <f ca="1">IFERROR(__xludf.DUMMYFUNCTION("""COMPUTED_VALUE"""),"nan")</f>
        <v>nan</v>
      </c>
      <c r="L647" s="17">
        <f ca="1">IFERROR(__xludf.DUMMYFUNCTION("""COMPUTED_VALUE"""),0.115698354737233)</f>
        <v>0.115698354737233</v>
      </c>
      <c r="M647" s="17">
        <f ca="1">IFERROR(__xludf.DUMMYFUNCTION("""COMPUTED_VALUE"""),0.117099937767656)</f>
        <v>0.117099937767656</v>
      </c>
      <c r="N647" s="17">
        <f ca="1">IFERROR(__xludf.DUMMYFUNCTION("""COMPUTED_VALUE"""),0.348832664900911)</f>
        <v>0.34883266490091103</v>
      </c>
      <c r="O647" s="17">
        <f ca="1">IFERROR(__xludf.DUMMYFUNCTION("""COMPUTED_VALUE"""),0.0652964307538352)</f>
        <v>6.5296430753835205E-2</v>
      </c>
      <c r="P647" s="17">
        <f ca="1">IFERROR(__xludf.DUMMYFUNCTION("""COMPUTED_VALUE"""),1.0626856402725)</f>
        <v>1.0626856402725</v>
      </c>
      <c r="Q647" s="17">
        <f ca="1">IFERROR(__xludf.DUMMYFUNCTION("""COMPUTED_VALUE"""),0.151892525426197)</f>
        <v>0.15189252542619699</v>
      </c>
      <c r="R647" s="17">
        <f ca="1">IFERROR(__xludf.DUMMYFUNCTION("""COMPUTED_VALUE"""),0.312179532256343)</f>
        <v>0.31217953225634298</v>
      </c>
      <c r="S647" s="17">
        <f ca="1">IFERROR(__xludf.DUMMYFUNCTION("""COMPUTED_VALUE"""),0.180324746038777)</f>
        <v>0.18032474603877699</v>
      </c>
      <c r="T647" s="17">
        <f ca="1">IFERROR(__xludf.DUMMYFUNCTION("""COMPUTED_VALUE"""),0.160950048671618)</f>
        <v>0.160950048671618</v>
      </c>
      <c r="U647" s="17">
        <f ca="1">IFERROR(__xludf.DUMMYFUNCTION("""COMPUTED_VALUE"""),0.0818768310071778)</f>
        <v>8.1876831007177797E-2</v>
      </c>
      <c r="V647" s="17">
        <f ca="1">IFERROR(__xludf.DUMMYFUNCTION("""COMPUTED_VALUE"""),0.0974120554942906)</f>
        <v>9.7412055494290606E-2</v>
      </c>
      <c r="W647" s="17">
        <f ca="1">IFERROR(__xludf.DUMMYFUNCTION("""COMPUTED_VALUE"""),0.260811014668914)</f>
        <v>0.26081101466891399</v>
      </c>
      <c r="X647" s="17">
        <f ca="1">IFERROR(__xludf.DUMMYFUNCTION("""COMPUTED_VALUE"""),0.29773198712959)</f>
        <v>0.29773198712958998</v>
      </c>
      <c r="Y647" s="17">
        <f ca="1">IFERROR(__xludf.DUMMYFUNCTION("""COMPUTED_VALUE"""),0.127923082587467)</f>
        <v>0.12792308258746701</v>
      </c>
      <c r="Z647" s="17">
        <f ca="1">IFERROR(__xludf.DUMMYFUNCTION("""COMPUTED_VALUE"""),0.326655573923347)</f>
        <v>0.32665557392334699</v>
      </c>
      <c r="AA647" s="17">
        <f ca="1">IFERROR(__xludf.DUMMYFUNCTION("""COMPUTED_VALUE"""),0.0723351509676812)</f>
        <v>7.23351509676812E-2</v>
      </c>
      <c r="AB647" s="17">
        <f ca="1">IFERROR(__xludf.DUMMYFUNCTION("""COMPUTED_VALUE"""),0.188495712985286)</f>
        <v>0.188495712985286</v>
      </c>
      <c r="AC647" s="17">
        <f ca="1">IFERROR(__xludf.DUMMYFUNCTION("""COMPUTED_VALUE"""),0.80193557608625)</f>
        <v>0.80193557608624999</v>
      </c>
      <c r="AD647" s="17">
        <f ca="1">IFERROR(__xludf.DUMMYFUNCTION("""COMPUTED_VALUE"""),0.166214647779112)</f>
        <v>0.16621464777911199</v>
      </c>
      <c r="AE647" s="17">
        <f ca="1">IFERROR(__xludf.DUMMYFUNCTION("""COMPUTED_VALUE"""),1.27899118804473)</f>
        <v>1.27899118804473</v>
      </c>
      <c r="AF647" s="17">
        <f ca="1">IFERROR(__xludf.DUMMYFUNCTION("""COMPUTED_VALUE"""),0.316925834277212)</f>
        <v>0.31692583427721199</v>
      </c>
      <c r="AG647" s="17">
        <f ca="1">IFERROR(__xludf.DUMMYFUNCTION("""COMPUTED_VALUE"""),0.634824574411578)</f>
        <v>0.63482457441157802</v>
      </c>
      <c r="AH647" s="17">
        <f ca="1">IFERROR(__xludf.DUMMYFUNCTION("""COMPUTED_VALUE"""),1.08320364838169)</f>
        <v>1.08320364838169</v>
      </c>
      <c r="AI647" s="17">
        <f ca="1">IFERROR(__xludf.DUMMYFUNCTION("""COMPUTED_VALUE"""),1.25032787085549)</f>
        <v>1.2503278708554899</v>
      </c>
      <c r="AJ647" s="17">
        <f ca="1">IFERROR(__xludf.DUMMYFUNCTION("""COMPUTED_VALUE"""),0.752111588303516)</f>
        <v>0.75211158830351599</v>
      </c>
    </row>
    <row r="648" spans="2:36" ht="15.75" customHeight="1" x14ac:dyDescent="0.45">
      <c r="B648" s="10" t="str">
        <f ca="1">IFERROR(__xludf.DUMMYFUNCTION("""COMPUTED_VALUE"""),"ProximalPhalanxOutlineCorrect")</f>
        <v>ProximalPhalanxOutlineCorrect</v>
      </c>
      <c r="C648" s="10" t="str">
        <f ca="1">IFERROR(__xludf.DUMMYFUNCTION("""COMPUTED_VALUE"""),"aligned_series")</f>
        <v>aligned_series</v>
      </c>
      <c r="D648" s="10">
        <f ca="1">IFERROR(__xludf.DUMMYFUNCTION("""COMPUTED_VALUE"""),0.2)</f>
        <v>0.2</v>
      </c>
      <c r="E648" s="17">
        <f ca="1">IFERROR(__xludf.DUMMYFUNCTION("""COMPUTED_VALUE"""),1.11097325007192)</f>
        <v>1.11097325007192</v>
      </c>
      <c r="F648" s="17">
        <f ca="1">IFERROR(__xludf.DUMMYFUNCTION("""COMPUTED_VALUE"""),0.133548316913173)</f>
        <v>0.13354831691317301</v>
      </c>
      <c r="G648" s="17">
        <f ca="1">IFERROR(__xludf.DUMMYFUNCTION("""COMPUTED_VALUE"""),0.132516982615223)</f>
        <v>0.13251698261522299</v>
      </c>
      <c r="H648" s="17">
        <f ca="1">IFERROR(__xludf.DUMMYFUNCTION("""COMPUTED_VALUE"""),0.155879316098173)</f>
        <v>0.15587931609817299</v>
      </c>
      <c r="I648" s="17">
        <f ca="1">IFERROR(__xludf.DUMMYFUNCTION("""COMPUTED_VALUE"""),0.0766916399031466)</f>
        <v>7.6691639903146605E-2</v>
      </c>
      <c r="J648" s="17">
        <f ca="1">IFERROR(__xludf.DUMMYFUNCTION("""COMPUTED_VALUE"""),1.32882137313482)</f>
        <v>1.32882137313482</v>
      </c>
      <c r="K648" s="17" t="str">
        <f ca="1">IFERROR(__xludf.DUMMYFUNCTION("""COMPUTED_VALUE"""),"nan")</f>
        <v>nan</v>
      </c>
      <c r="L648" s="17">
        <f ca="1">IFERROR(__xludf.DUMMYFUNCTION("""COMPUTED_VALUE"""),0.12405799595652)</f>
        <v>0.12405799595652001</v>
      </c>
      <c r="M648" s="17">
        <f ca="1">IFERROR(__xludf.DUMMYFUNCTION("""COMPUTED_VALUE"""),0.134984345028855)</f>
        <v>0.13498434502885501</v>
      </c>
      <c r="N648" s="17">
        <f ca="1">IFERROR(__xludf.DUMMYFUNCTION("""COMPUTED_VALUE"""),0.351475242271126)</f>
        <v>0.35147524227112598</v>
      </c>
      <c r="O648" s="17">
        <f ca="1">IFERROR(__xludf.DUMMYFUNCTION("""COMPUTED_VALUE"""),0.0658215843568925)</f>
        <v>6.5821584356892504E-2</v>
      </c>
      <c r="P648" s="17">
        <f ca="1">IFERROR(__xludf.DUMMYFUNCTION("""COMPUTED_VALUE"""),1.06203121974075)</f>
        <v>1.06203121974075</v>
      </c>
      <c r="Q648" s="17">
        <f ca="1">IFERROR(__xludf.DUMMYFUNCTION("""COMPUTED_VALUE"""),0.150567606561077)</f>
        <v>0.15056760656107701</v>
      </c>
      <c r="R648" s="17">
        <f ca="1">IFERROR(__xludf.DUMMYFUNCTION("""COMPUTED_VALUE"""),0.474307894204674)</f>
        <v>0.47430789420467401</v>
      </c>
      <c r="S648" s="17">
        <f ca="1">IFERROR(__xludf.DUMMYFUNCTION("""COMPUTED_VALUE"""),0.326554715934962)</f>
        <v>0.32655471593496199</v>
      </c>
      <c r="T648" s="17">
        <f ca="1">IFERROR(__xludf.DUMMYFUNCTION("""COMPUTED_VALUE"""),0.15747750680535)</f>
        <v>0.15747750680535</v>
      </c>
      <c r="U648" s="17">
        <f ca="1">IFERROR(__xludf.DUMMYFUNCTION("""COMPUTED_VALUE"""),0.0937955949227105)</f>
        <v>9.3795594922710501E-2</v>
      </c>
      <c r="V648" s="17">
        <f ca="1">IFERROR(__xludf.DUMMYFUNCTION("""COMPUTED_VALUE"""),0.140876620305194)</f>
        <v>0.14087662030519399</v>
      </c>
      <c r="W648" s="17">
        <f ca="1">IFERROR(__xludf.DUMMYFUNCTION("""COMPUTED_VALUE"""),0.206262613946733)</f>
        <v>0.20626261394673301</v>
      </c>
      <c r="X648" s="17">
        <f ca="1">IFERROR(__xludf.DUMMYFUNCTION("""COMPUTED_VALUE"""),0.256888394066635)</f>
        <v>0.256888394066635</v>
      </c>
      <c r="Y648" s="17">
        <f ca="1">IFERROR(__xludf.DUMMYFUNCTION("""COMPUTED_VALUE"""),0.134756517657911)</f>
        <v>0.134756517657911</v>
      </c>
      <c r="Z648" s="17">
        <f ca="1">IFERROR(__xludf.DUMMYFUNCTION("""COMPUTED_VALUE"""),0.273168429122285)</f>
        <v>0.27316842912228501</v>
      </c>
      <c r="AA648" s="17">
        <f ca="1">IFERROR(__xludf.DUMMYFUNCTION("""COMPUTED_VALUE"""),0.0663993229680393)</f>
        <v>6.6399322968039298E-2</v>
      </c>
      <c r="AB648" s="17">
        <f ca="1">IFERROR(__xludf.DUMMYFUNCTION("""COMPUTED_VALUE"""),0.257806904872873)</f>
        <v>0.257806904872873</v>
      </c>
      <c r="AC648" s="17">
        <f ca="1">IFERROR(__xludf.DUMMYFUNCTION("""COMPUTED_VALUE"""),0.892304709260869)</f>
        <v>0.89230470926086902</v>
      </c>
      <c r="AD648" s="17">
        <f ca="1">IFERROR(__xludf.DUMMYFUNCTION("""COMPUTED_VALUE"""),0.163467635304554)</f>
        <v>0.16346763530455399</v>
      </c>
      <c r="AE648" s="17">
        <f ca="1">IFERROR(__xludf.DUMMYFUNCTION("""COMPUTED_VALUE"""),1.28201846216877)</f>
        <v>1.28201846216877</v>
      </c>
      <c r="AF648" s="17">
        <f ca="1">IFERROR(__xludf.DUMMYFUNCTION("""COMPUTED_VALUE"""),0.342143179314335)</f>
        <v>0.34214317931433502</v>
      </c>
      <c r="AG648" s="17">
        <f ca="1">IFERROR(__xludf.DUMMYFUNCTION("""COMPUTED_VALUE"""),0.670736534254298)</f>
        <v>0.67073653425429802</v>
      </c>
      <c r="AH648" s="17">
        <f ca="1">IFERROR(__xludf.DUMMYFUNCTION("""COMPUTED_VALUE"""),1.07726963538125)</f>
        <v>1.0772696353812501</v>
      </c>
      <c r="AI648" s="17">
        <f ca="1">IFERROR(__xludf.DUMMYFUNCTION("""COMPUTED_VALUE"""),1.25169521725004)</f>
        <v>1.25169521725004</v>
      </c>
      <c r="AJ648" s="17">
        <f ca="1">IFERROR(__xludf.DUMMYFUNCTION("""COMPUTED_VALUE"""),0.736211361752392)</f>
        <v>0.73621136175239199</v>
      </c>
    </row>
    <row r="649" spans="2:36" ht="15.75" customHeight="1" x14ac:dyDescent="0.45">
      <c r="B649" s="10" t="str">
        <f ca="1">IFERROR(__xludf.DUMMYFUNCTION("""COMPUTED_VALUE"""),"ProximalPhalanxOutlineCorrect")</f>
        <v>ProximalPhalanxOutlineCorrect</v>
      </c>
      <c r="C649" s="10" t="str">
        <f ca="1">IFERROR(__xludf.DUMMYFUNCTION("""COMPUTED_VALUE"""),"aligned_series")</f>
        <v>aligned_series</v>
      </c>
      <c r="D649" s="10">
        <f ca="1">IFERROR(__xludf.DUMMYFUNCTION("""COMPUTED_VALUE"""),0.4)</f>
        <v>0.4</v>
      </c>
      <c r="E649" s="17">
        <f ca="1">IFERROR(__xludf.DUMMYFUNCTION("""COMPUTED_VALUE"""),1.13972226453498)</f>
        <v>1.13972226453498</v>
      </c>
      <c r="F649" s="17">
        <f ca="1">IFERROR(__xludf.DUMMYFUNCTION("""COMPUTED_VALUE"""),0.153261241351915)</f>
        <v>0.15326124135191499</v>
      </c>
      <c r="G649" s="17">
        <f ca="1">IFERROR(__xludf.DUMMYFUNCTION("""COMPUTED_VALUE"""),0.505356342421495)</f>
        <v>0.50535634242149496</v>
      </c>
      <c r="H649" s="17">
        <f ca="1">IFERROR(__xludf.DUMMYFUNCTION("""COMPUTED_VALUE"""),0.162812322860967)</f>
        <v>0.162812322860967</v>
      </c>
      <c r="I649" s="17">
        <f ca="1">IFERROR(__xludf.DUMMYFUNCTION("""COMPUTED_VALUE"""),0.235244781640329)</f>
        <v>0.235244781640329</v>
      </c>
      <c r="J649" s="17">
        <f ca="1">IFERROR(__xludf.DUMMYFUNCTION("""COMPUTED_VALUE"""),1.32113172167737)</f>
        <v>1.3211317216773699</v>
      </c>
      <c r="K649" s="17" t="str">
        <f ca="1">IFERROR(__xludf.DUMMYFUNCTION("""COMPUTED_VALUE"""),"nan")</f>
        <v>nan</v>
      </c>
      <c r="L649" s="17">
        <f ca="1">IFERROR(__xludf.DUMMYFUNCTION("""COMPUTED_VALUE"""),0.13248022463434)</f>
        <v>0.13248022463434</v>
      </c>
      <c r="M649" s="17">
        <f ca="1">IFERROR(__xludf.DUMMYFUNCTION("""COMPUTED_VALUE"""),0.798700454626714)</f>
        <v>0.79870045462671402</v>
      </c>
      <c r="N649" s="17">
        <f ca="1">IFERROR(__xludf.DUMMYFUNCTION("""COMPUTED_VALUE"""),0.338487136461664)</f>
        <v>0.33848713646166401</v>
      </c>
      <c r="O649" s="17">
        <f ca="1">IFERROR(__xludf.DUMMYFUNCTION("""COMPUTED_VALUE"""),0.45333011497713)</f>
        <v>0.45333011497712999</v>
      </c>
      <c r="P649" s="17">
        <f ca="1">IFERROR(__xludf.DUMMYFUNCTION("""COMPUTED_VALUE"""),1.04766325875535)</f>
        <v>1.04766325875535</v>
      </c>
      <c r="Q649" s="17">
        <f ca="1">IFERROR(__xludf.DUMMYFUNCTION("""COMPUTED_VALUE"""),0.168672960792771)</f>
        <v>0.168672960792771</v>
      </c>
      <c r="R649" s="17">
        <f ca="1">IFERROR(__xludf.DUMMYFUNCTION("""COMPUTED_VALUE"""),0.929046620050646)</f>
        <v>0.92904662005064598</v>
      </c>
      <c r="S649" s="17">
        <f ca="1">IFERROR(__xludf.DUMMYFUNCTION("""COMPUTED_VALUE"""),0.511424315059434)</f>
        <v>0.51142431505943398</v>
      </c>
      <c r="T649" s="17">
        <f ca="1">IFERROR(__xludf.DUMMYFUNCTION("""COMPUTED_VALUE"""),0.183461272970395)</f>
        <v>0.183461272970395</v>
      </c>
      <c r="U649" s="17">
        <f ca="1">IFERROR(__xludf.DUMMYFUNCTION("""COMPUTED_VALUE"""),0.101961401844185)</f>
        <v>0.10196140184418501</v>
      </c>
      <c r="V649" s="17">
        <f ca="1">IFERROR(__xludf.DUMMYFUNCTION("""COMPUTED_VALUE"""),0.122025146707412)</f>
        <v>0.122025146707412</v>
      </c>
      <c r="W649" s="17">
        <f ca="1">IFERROR(__xludf.DUMMYFUNCTION("""COMPUTED_VALUE"""),0.240480797425846)</f>
        <v>0.24048079742584599</v>
      </c>
      <c r="X649" s="17">
        <f ca="1">IFERROR(__xludf.DUMMYFUNCTION("""COMPUTED_VALUE"""),0.244099708205076)</f>
        <v>0.24409970820507601</v>
      </c>
      <c r="Y649" s="17">
        <f ca="1">IFERROR(__xludf.DUMMYFUNCTION("""COMPUTED_VALUE"""),0.16598927409177)</f>
        <v>0.16598927409177</v>
      </c>
      <c r="Z649" s="17">
        <f ca="1">IFERROR(__xludf.DUMMYFUNCTION("""COMPUTED_VALUE"""),0.349632794577262)</f>
        <v>0.34963279457726198</v>
      </c>
      <c r="AA649" s="17">
        <f ca="1">IFERROR(__xludf.DUMMYFUNCTION("""COMPUTED_VALUE"""),0.107591026363372)</f>
        <v>0.10759102636337201</v>
      </c>
      <c r="AB649" s="17">
        <f ca="1">IFERROR(__xludf.DUMMYFUNCTION("""COMPUTED_VALUE"""),0.330581632664464)</f>
        <v>0.330581632664464</v>
      </c>
      <c r="AC649" s="17">
        <f ca="1">IFERROR(__xludf.DUMMYFUNCTION("""COMPUTED_VALUE"""),0.871702997720505)</f>
        <v>0.87170299772050497</v>
      </c>
      <c r="AD649" s="17">
        <f ca="1">IFERROR(__xludf.DUMMYFUNCTION("""COMPUTED_VALUE"""),0.259364688526396)</f>
        <v>0.25936468852639599</v>
      </c>
      <c r="AE649" s="17">
        <f ca="1">IFERROR(__xludf.DUMMYFUNCTION("""COMPUTED_VALUE"""),1.27797392688265)</f>
        <v>1.27797392688265</v>
      </c>
      <c r="AF649" s="17">
        <f ca="1">IFERROR(__xludf.DUMMYFUNCTION("""COMPUTED_VALUE"""),0.452815707194009)</f>
        <v>0.45281570719400899</v>
      </c>
      <c r="AG649" s="17">
        <f ca="1">IFERROR(__xludf.DUMMYFUNCTION("""COMPUTED_VALUE"""),0.654588905616423)</f>
        <v>0.65458890561642302</v>
      </c>
      <c r="AH649" s="17">
        <f ca="1">IFERROR(__xludf.DUMMYFUNCTION("""COMPUTED_VALUE"""),1.06646470880063)</f>
        <v>1.06646470880063</v>
      </c>
      <c r="AI649" s="17">
        <f ca="1">IFERROR(__xludf.DUMMYFUNCTION("""COMPUTED_VALUE"""),1.24887096841575)</f>
        <v>1.24887096841575</v>
      </c>
      <c r="AJ649" s="17">
        <f ca="1">IFERROR(__xludf.DUMMYFUNCTION("""COMPUTED_VALUE"""),0.733188632049787)</f>
        <v>0.73318863204978701</v>
      </c>
    </row>
    <row r="650" spans="2:36" ht="15.75" customHeight="1" x14ac:dyDescent="0.45">
      <c r="B650" s="10" t="str">
        <f ca="1">IFERROR(__xludf.DUMMYFUNCTION("""COMPUTED_VALUE"""),"ProximalPhalanxOutlineCorrect")</f>
        <v>ProximalPhalanxOutlineCorrect</v>
      </c>
      <c r="C650" s="10" t="str">
        <f ca="1">IFERROR(__xludf.DUMMYFUNCTION("""COMPUTED_VALUE"""),"aligned_series")</f>
        <v>aligned_series</v>
      </c>
      <c r="D650" s="10">
        <f ca="1">IFERROR(__xludf.DUMMYFUNCTION("""COMPUTED_VALUE"""),0.6)</f>
        <v>0.6</v>
      </c>
      <c r="E650" s="17">
        <f ca="1">IFERROR(__xludf.DUMMYFUNCTION("""COMPUTED_VALUE"""),1.17840172311978)</f>
        <v>1.1784017231197801</v>
      </c>
      <c r="F650" s="17">
        <f ca="1">IFERROR(__xludf.DUMMYFUNCTION("""COMPUTED_VALUE"""),0.313668177354551)</f>
        <v>0.31366817735455099</v>
      </c>
      <c r="G650" s="17">
        <f ca="1">IFERROR(__xludf.DUMMYFUNCTION("""COMPUTED_VALUE"""),0.7299763134513)</f>
        <v>0.72997631345129999</v>
      </c>
      <c r="H650" s="17">
        <f ca="1">IFERROR(__xludf.DUMMYFUNCTION("""COMPUTED_VALUE"""),0.173460789108546)</f>
        <v>0.17346078910854601</v>
      </c>
      <c r="I650" s="17">
        <f ca="1">IFERROR(__xludf.DUMMYFUNCTION("""COMPUTED_VALUE"""),0.455600788797459)</f>
        <v>0.45560078879745902</v>
      </c>
      <c r="J650" s="17">
        <f ca="1">IFERROR(__xludf.DUMMYFUNCTION("""COMPUTED_VALUE"""),1.29377102054228)</f>
        <v>1.2937710205422801</v>
      </c>
      <c r="K650" s="17" t="str">
        <f ca="1">IFERROR(__xludf.DUMMYFUNCTION("""COMPUTED_VALUE"""),"nan")</f>
        <v>nan</v>
      </c>
      <c r="L650" s="17">
        <f ca="1">IFERROR(__xludf.DUMMYFUNCTION("""COMPUTED_VALUE"""),0.176573635871887)</f>
        <v>0.17657363587188701</v>
      </c>
      <c r="M650" s="17">
        <f ca="1">IFERROR(__xludf.DUMMYFUNCTION("""COMPUTED_VALUE"""),1.31966074725536)</f>
        <v>1.3196607472553601</v>
      </c>
      <c r="N650" s="17">
        <f ca="1">IFERROR(__xludf.DUMMYFUNCTION("""COMPUTED_VALUE"""),0.327310634165299)</f>
        <v>0.32731063416529899</v>
      </c>
      <c r="O650" s="17">
        <f ca="1">IFERROR(__xludf.DUMMYFUNCTION("""COMPUTED_VALUE"""),0.807109487292001)</f>
        <v>0.80710948729200105</v>
      </c>
      <c r="P650" s="17">
        <f ca="1">IFERROR(__xludf.DUMMYFUNCTION("""COMPUTED_VALUE"""),1.04345845949183)</f>
        <v>1.0434584594918299</v>
      </c>
      <c r="Q650" s="17">
        <f ca="1">IFERROR(__xludf.DUMMYFUNCTION("""COMPUTED_VALUE"""),0.964322367946127)</f>
        <v>0.96432236794612702</v>
      </c>
      <c r="R650" s="17">
        <f ca="1">IFERROR(__xludf.DUMMYFUNCTION("""COMPUTED_VALUE"""),1.17696379068077)</f>
        <v>1.17696379068077</v>
      </c>
      <c r="S650" s="17">
        <f ca="1">IFERROR(__xludf.DUMMYFUNCTION("""COMPUTED_VALUE"""),0.726564872295599)</f>
        <v>0.72656487229559896</v>
      </c>
      <c r="T650" s="17">
        <f ca="1">IFERROR(__xludf.DUMMYFUNCTION("""COMPUTED_VALUE"""),0.230260354066084)</f>
        <v>0.230260354066084</v>
      </c>
      <c r="U650" s="17">
        <f ca="1">IFERROR(__xludf.DUMMYFUNCTION("""COMPUTED_VALUE"""),0.13012810169497)</f>
        <v>0.13012810169496999</v>
      </c>
      <c r="V650" s="17">
        <f ca="1">IFERROR(__xludf.DUMMYFUNCTION("""COMPUTED_VALUE"""),0.122942953740682)</f>
        <v>0.122942953740682</v>
      </c>
      <c r="W650" s="17">
        <f ca="1">IFERROR(__xludf.DUMMYFUNCTION("""COMPUTED_VALUE"""),0.183160282659945)</f>
        <v>0.183160282659945</v>
      </c>
      <c r="X650" s="17">
        <f ca="1">IFERROR(__xludf.DUMMYFUNCTION("""COMPUTED_VALUE"""),0.262765526453605)</f>
        <v>0.26276552645360501</v>
      </c>
      <c r="Y650" s="17">
        <f ca="1">IFERROR(__xludf.DUMMYFUNCTION("""COMPUTED_VALUE"""),0.21459661795635)</f>
        <v>0.21459661795634999</v>
      </c>
      <c r="Z650" s="17">
        <f ca="1">IFERROR(__xludf.DUMMYFUNCTION("""COMPUTED_VALUE"""),0.348386362511493)</f>
        <v>0.34838636251149302</v>
      </c>
      <c r="AA650" s="17">
        <f ca="1">IFERROR(__xludf.DUMMYFUNCTION("""COMPUTED_VALUE"""),0.170165443173763)</f>
        <v>0.170165443173763</v>
      </c>
      <c r="AB650" s="17">
        <f ca="1">IFERROR(__xludf.DUMMYFUNCTION("""COMPUTED_VALUE"""),1.53660276560425)</f>
        <v>1.53660276560425</v>
      </c>
      <c r="AC650" s="17">
        <f ca="1">IFERROR(__xludf.DUMMYFUNCTION("""COMPUTED_VALUE"""),1.0024026651902)</f>
        <v>1.0024026651902</v>
      </c>
      <c r="AD650" s="17">
        <f ca="1">IFERROR(__xludf.DUMMYFUNCTION("""COMPUTED_VALUE"""),0.200356714268485)</f>
        <v>0.200356714268485</v>
      </c>
      <c r="AE650" s="17">
        <f ca="1">IFERROR(__xludf.DUMMYFUNCTION("""COMPUTED_VALUE"""),1.27777545980351)</f>
        <v>1.27777545980351</v>
      </c>
      <c r="AF650" s="17">
        <f ca="1">IFERROR(__xludf.DUMMYFUNCTION("""COMPUTED_VALUE"""),0.67097540712428)</f>
        <v>0.67097540712428005</v>
      </c>
      <c r="AG650" s="17">
        <f ca="1">IFERROR(__xludf.DUMMYFUNCTION("""COMPUTED_VALUE"""),0.649882799295571)</f>
        <v>0.64988279929557102</v>
      </c>
      <c r="AH650" s="17">
        <f ca="1">IFERROR(__xludf.DUMMYFUNCTION("""COMPUTED_VALUE"""),1.04480654027334)</f>
        <v>1.04480654027334</v>
      </c>
      <c r="AI650" s="17">
        <f ca="1">IFERROR(__xludf.DUMMYFUNCTION("""COMPUTED_VALUE"""),1.22589146921044)</f>
        <v>1.2258914692104399</v>
      </c>
      <c r="AJ650" s="17">
        <f ca="1">IFERROR(__xludf.DUMMYFUNCTION("""COMPUTED_VALUE"""),0.759180588257904)</f>
        <v>0.75918058825790402</v>
      </c>
    </row>
    <row r="651" spans="2:36" ht="15.75" customHeight="1" x14ac:dyDescent="0.45">
      <c r="B651" s="10" t="str">
        <f ca="1">IFERROR(__xludf.DUMMYFUNCTION("""COMPUTED_VALUE"""),"ProximalPhalanxOutlineCorrect")</f>
        <v>ProximalPhalanxOutlineCorrect</v>
      </c>
      <c r="C651" s="10" t="str">
        <f ca="1">IFERROR(__xludf.DUMMYFUNCTION("""COMPUTED_VALUE"""),"aligned_series")</f>
        <v>aligned_series</v>
      </c>
      <c r="D651" s="10">
        <f ca="1">IFERROR(__xludf.DUMMYFUNCTION("""COMPUTED_VALUE"""),0.8)</f>
        <v>0.8</v>
      </c>
      <c r="E651" s="17">
        <f ca="1">IFERROR(__xludf.DUMMYFUNCTION("""COMPUTED_VALUE"""),1.2237141604608)</f>
        <v>1.2237141604607999</v>
      </c>
      <c r="F651" s="17">
        <f ca="1">IFERROR(__xludf.DUMMYFUNCTION("""COMPUTED_VALUE"""),0.330416035389775)</f>
        <v>0.33041603538977499</v>
      </c>
      <c r="G651" s="17">
        <f ca="1">IFERROR(__xludf.DUMMYFUNCTION("""COMPUTED_VALUE"""),0.846000095394174)</f>
        <v>0.84600009539417398</v>
      </c>
      <c r="H651" s="17">
        <f ca="1">IFERROR(__xludf.DUMMYFUNCTION("""COMPUTED_VALUE"""),0.159948989413084)</f>
        <v>0.159948989413084</v>
      </c>
      <c r="I651" s="17">
        <f ca="1">IFERROR(__xludf.DUMMYFUNCTION("""COMPUTED_VALUE"""),0.600691462800758)</f>
        <v>0.60069146280075802</v>
      </c>
      <c r="J651" s="17">
        <f ca="1">IFERROR(__xludf.DUMMYFUNCTION("""COMPUTED_VALUE"""),1.26054631238663)</f>
        <v>1.2605463123866301</v>
      </c>
      <c r="K651" s="17" t="str">
        <f ca="1">IFERROR(__xludf.DUMMYFUNCTION("""COMPUTED_VALUE"""),"nan")</f>
        <v>nan</v>
      </c>
      <c r="L651" s="17">
        <f ca="1">IFERROR(__xludf.DUMMYFUNCTION("""COMPUTED_VALUE"""),0.243179180676325)</f>
        <v>0.24317918067632499</v>
      </c>
      <c r="M651" s="17">
        <f ca="1">IFERROR(__xludf.DUMMYFUNCTION("""COMPUTED_VALUE"""),1.23161308941683)</f>
        <v>1.23161308941683</v>
      </c>
      <c r="N651" s="17">
        <f ca="1">IFERROR(__xludf.DUMMYFUNCTION("""COMPUTED_VALUE"""),0.326290853098349)</f>
        <v>0.32629085309834899</v>
      </c>
      <c r="O651" s="17">
        <f ca="1">IFERROR(__xludf.DUMMYFUNCTION("""COMPUTED_VALUE"""),0.869774816413317)</f>
        <v>0.869774816413317</v>
      </c>
      <c r="P651" s="17">
        <f ca="1">IFERROR(__xludf.DUMMYFUNCTION("""COMPUTED_VALUE"""),1.03241951708519)</f>
        <v>1.03241951708519</v>
      </c>
      <c r="Q651" s="17">
        <f ca="1">IFERROR(__xludf.DUMMYFUNCTION("""COMPUTED_VALUE"""),1.40652520838307)</f>
        <v>1.4065252083830699</v>
      </c>
      <c r="R651" s="17">
        <f ca="1">IFERROR(__xludf.DUMMYFUNCTION("""COMPUTED_VALUE"""),1.11275735964973)</f>
        <v>1.11275735964973</v>
      </c>
      <c r="S651" s="17">
        <f ca="1">IFERROR(__xludf.DUMMYFUNCTION("""COMPUTED_VALUE"""),0.880600061217426)</f>
        <v>0.88060006121742596</v>
      </c>
      <c r="T651" s="17">
        <f ca="1">IFERROR(__xludf.DUMMYFUNCTION("""COMPUTED_VALUE"""),0.522759339119643)</f>
        <v>0.52275933911964301</v>
      </c>
      <c r="U651" s="17">
        <f ca="1">IFERROR(__xludf.DUMMYFUNCTION("""COMPUTED_VALUE"""),0.194139799849185)</f>
        <v>0.194139799849185</v>
      </c>
      <c r="V651" s="17">
        <f ca="1">IFERROR(__xludf.DUMMYFUNCTION("""COMPUTED_VALUE"""),0.229124656239869)</f>
        <v>0.229124656239869</v>
      </c>
      <c r="W651" s="17">
        <f ca="1">IFERROR(__xludf.DUMMYFUNCTION("""COMPUTED_VALUE"""),0.233140244129425)</f>
        <v>0.23314024412942499</v>
      </c>
      <c r="X651" s="17">
        <f ca="1">IFERROR(__xludf.DUMMYFUNCTION("""COMPUTED_VALUE"""),0.22280578233104)</f>
        <v>0.22280578233104001</v>
      </c>
      <c r="Y651" s="17">
        <f ca="1">IFERROR(__xludf.DUMMYFUNCTION("""COMPUTED_VALUE"""),0.261257154783693)</f>
        <v>0.26125715478369299</v>
      </c>
      <c r="Z651" s="17">
        <f ca="1">IFERROR(__xludf.DUMMYFUNCTION("""COMPUTED_VALUE"""),0.4991675269572)</f>
        <v>0.49916752695720001</v>
      </c>
      <c r="AA651" s="17">
        <f ca="1">IFERROR(__xludf.DUMMYFUNCTION("""COMPUTED_VALUE"""),0.147305389307631)</f>
        <v>0.14730538930763101</v>
      </c>
      <c r="AB651" s="17">
        <f ca="1">IFERROR(__xludf.DUMMYFUNCTION("""COMPUTED_VALUE"""),1.94617085941385)</f>
        <v>1.94617085941385</v>
      </c>
      <c r="AC651" s="17">
        <f ca="1">IFERROR(__xludf.DUMMYFUNCTION("""COMPUTED_VALUE"""),1.11022244826365)</f>
        <v>1.11022244826365</v>
      </c>
      <c r="AD651" s="17">
        <f ca="1">IFERROR(__xludf.DUMMYFUNCTION("""COMPUTED_VALUE"""),0.342214889707222)</f>
        <v>0.34221488970722203</v>
      </c>
      <c r="AE651" s="17">
        <f ca="1">IFERROR(__xludf.DUMMYFUNCTION("""COMPUTED_VALUE"""),1.27226988396273)</f>
        <v>1.27226988396273</v>
      </c>
      <c r="AF651" s="17">
        <f ca="1">IFERROR(__xludf.DUMMYFUNCTION("""COMPUTED_VALUE"""),0.850647429949318)</f>
        <v>0.85064742994931797</v>
      </c>
      <c r="AG651" s="17">
        <f ca="1">IFERROR(__xludf.DUMMYFUNCTION("""COMPUTED_VALUE"""),0.641408201497956)</f>
        <v>0.64140820149795597</v>
      </c>
      <c r="AH651" s="17">
        <f ca="1">IFERROR(__xludf.DUMMYFUNCTION("""COMPUTED_VALUE"""),1.00652382949789)</f>
        <v>1.00652382949789</v>
      </c>
      <c r="AI651" s="17">
        <f ca="1">IFERROR(__xludf.DUMMYFUNCTION("""COMPUTED_VALUE"""),1.18237265842824)</f>
        <v>1.1823726584282399</v>
      </c>
      <c r="AJ651" s="17">
        <f ca="1">IFERROR(__xludf.DUMMYFUNCTION("""COMPUTED_VALUE"""),0.800803613201929)</f>
        <v>0.80080361320192905</v>
      </c>
    </row>
    <row r="652" spans="2:36" ht="15.75" customHeight="1" x14ac:dyDescent="0.45">
      <c r="B652" s="10" t="str">
        <f ca="1">IFERROR(__xludf.DUMMYFUNCTION("""COMPUTED_VALUE"""),"ProximalPhalanxOutlineCorrect")</f>
        <v>ProximalPhalanxOutlineCorrect</v>
      </c>
      <c r="C652" s="10" t="str">
        <f ca="1">IFERROR(__xludf.DUMMYFUNCTION("""COMPUTED_VALUE"""),"aligned_timestamps")</f>
        <v>aligned_timestamps</v>
      </c>
      <c r="D652" s="10">
        <f ca="1">IFERROR(__xludf.DUMMYFUNCTION("""COMPUTED_VALUE"""),0.1)</f>
        <v>0.1</v>
      </c>
      <c r="E652" s="17">
        <f ca="1">IFERROR(__xludf.DUMMYFUNCTION("""COMPUTED_VALUE"""),1.08453419527033)</f>
        <v>1.08453419527033</v>
      </c>
      <c r="F652" s="17">
        <f ca="1">IFERROR(__xludf.DUMMYFUNCTION("""COMPUTED_VALUE"""),0.0798142438100163)</f>
        <v>7.9814243810016297E-2</v>
      </c>
      <c r="G652" s="17">
        <f ca="1">IFERROR(__xludf.DUMMYFUNCTION("""COMPUTED_VALUE"""),0.0670762952710953)</f>
        <v>6.7076295271095293E-2</v>
      </c>
      <c r="H652" s="17">
        <f ca="1">IFERROR(__xludf.DUMMYFUNCTION("""COMPUTED_VALUE"""),0.121401649355004)</f>
        <v>0.121401649355004</v>
      </c>
      <c r="I652" s="17">
        <f ca="1">IFERROR(__xludf.DUMMYFUNCTION("""COMPUTED_VALUE"""),0.0552686836843857)</f>
        <v>5.52686836843857E-2</v>
      </c>
      <c r="J652" s="17">
        <f ca="1">IFERROR(__xludf.DUMMYFUNCTION("""COMPUTED_VALUE"""),1.30277870128433)</f>
        <v>1.3027787012843299</v>
      </c>
      <c r="K652" s="17" t="str">
        <f ca="1">IFERROR(__xludf.DUMMYFUNCTION("""COMPUTED_VALUE"""),"nan")</f>
        <v>nan</v>
      </c>
      <c r="L652" s="17">
        <f ca="1">IFERROR(__xludf.DUMMYFUNCTION("""COMPUTED_VALUE"""),0.070978299263676)</f>
        <v>7.0978299263676006E-2</v>
      </c>
      <c r="M652" s="17">
        <f ca="1">IFERROR(__xludf.DUMMYFUNCTION("""COMPUTED_VALUE"""),0.06614795606315)</f>
        <v>6.6147956063150007E-2</v>
      </c>
      <c r="N652" s="17">
        <f ca="1">IFERROR(__xludf.DUMMYFUNCTION("""COMPUTED_VALUE"""),0.209994144930021)</f>
        <v>0.209994144930021</v>
      </c>
      <c r="O652" s="17">
        <f ca="1">IFERROR(__xludf.DUMMYFUNCTION("""COMPUTED_VALUE"""),0.0652275398880566)</f>
        <v>6.5227539888056602E-2</v>
      </c>
      <c r="P652" s="17">
        <f ca="1">IFERROR(__xludf.DUMMYFUNCTION("""COMPUTED_VALUE"""),0.884534869513607)</f>
        <v>0.88453486951360705</v>
      </c>
      <c r="Q652" s="17">
        <f ca="1">IFERROR(__xludf.DUMMYFUNCTION("""COMPUTED_VALUE"""),0.102772168208296)</f>
        <v>0.102772168208296</v>
      </c>
      <c r="R652" s="17">
        <f ca="1">IFERROR(__xludf.DUMMYFUNCTION("""COMPUTED_VALUE"""),0.433591636770461)</f>
        <v>0.43359163677046098</v>
      </c>
      <c r="S652" s="17">
        <f ca="1">IFERROR(__xludf.DUMMYFUNCTION("""COMPUTED_VALUE"""),0.288345688012459)</f>
        <v>0.28834568801245902</v>
      </c>
      <c r="T652" s="17">
        <f ca="1">IFERROR(__xludf.DUMMYFUNCTION("""COMPUTED_VALUE"""),0.142127485642833)</f>
        <v>0.14212748564283301</v>
      </c>
      <c r="U652" s="17">
        <f ca="1">IFERROR(__xludf.DUMMYFUNCTION("""COMPUTED_VALUE"""),0.070369575156566)</f>
        <v>7.0369575156566E-2</v>
      </c>
      <c r="V652" s="17">
        <f ca="1">IFERROR(__xludf.DUMMYFUNCTION("""COMPUTED_VALUE"""),0.0999823711769489)</f>
        <v>9.99823711769489E-2</v>
      </c>
      <c r="W652" s="17">
        <f ca="1">IFERROR(__xludf.DUMMYFUNCTION("""COMPUTED_VALUE"""),0.260151584836633)</f>
        <v>0.26015158483663298</v>
      </c>
      <c r="X652" s="17">
        <f ca="1">IFERROR(__xludf.DUMMYFUNCTION("""COMPUTED_VALUE"""),0.243914317443567)</f>
        <v>0.24391431744356701</v>
      </c>
      <c r="Y652" s="17">
        <f ca="1">IFERROR(__xludf.DUMMYFUNCTION("""COMPUTED_VALUE"""),0.0948258893137707)</f>
        <v>9.48258893137707E-2</v>
      </c>
      <c r="Z652" s="17">
        <f ca="1">IFERROR(__xludf.DUMMYFUNCTION("""COMPUTED_VALUE"""),0.175324859570963)</f>
        <v>0.175324859570963</v>
      </c>
      <c r="AA652" s="17">
        <f ca="1">IFERROR(__xludf.DUMMYFUNCTION("""COMPUTED_VALUE"""),0.0555315190893003)</f>
        <v>5.5531519089300298E-2</v>
      </c>
      <c r="AB652" s="17">
        <f ca="1">IFERROR(__xludf.DUMMYFUNCTION("""COMPUTED_VALUE"""),0.220914225720683)</f>
        <v>0.22091422572068301</v>
      </c>
      <c r="AC652" s="17">
        <f ca="1">IFERROR(__xludf.DUMMYFUNCTION("""COMPUTED_VALUE"""),0.595411389350743)</f>
        <v>0.595411389350743</v>
      </c>
      <c r="AD652" s="17">
        <f ca="1">IFERROR(__xludf.DUMMYFUNCTION("""COMPUTED_VALUE"""),0.136081681273156)</f>
        <v>0.13608168127315601</v>
      </c>
      <c r="AE652" s="17">
        <f ca="1">IFERROR(__xludf.DUMMYFUNCTION("""COMPUTED_VALUE"""),0.947480692477535)</f>
        <v>0.94748069247753497</v>
      </c>
      <c r="AF652" s="17">
        <f ca="1">IFERROR(__xludf.DUMMYFUNCTION("""COMPUTED_VALUE"""),0.120962214438815)</f>
        <v>0.120962214438815</v>
      </c>
      <c r="AG652" s="17">
        <f ca="1">IFERROR(__xludf.DUMMYFUNCTION("""COMPUTED_VALUE"""),0.656133047481061)</f>
        <v>0.65613304748106105</v>
      </c>
      <c r="AH652" s="17">
        <f ca="1">IFERROR(__xludf.DUMMYFUNCTION("""COMPUTED_VALUE"""),0.641536435995464)</f>
        <v>0.64153643599546395</v>
      </c>
      <c r="AI652" s="17">
        <f ca="1">IFERROR(__xludf.DUMMYFUNCTION("""COMPUTED_VALUE"""),0.507383317572177)</f>
        <v>0.50738331757217703</v>
      </c>
      <c r="AJ652" s="17">
        <f ca="1">IFERROR(__xludf.DUMMYFUNCTION("""COMPUTED_VALUE"""),0.270635356099261)</f>
        <v>0.27063535609926098</v>
      </c>
    </row>
    <row r="653" spans="2:36" ht="15.75" customHeight="1" x14ac:dyDescent="0.45">
      <c r="B653" s="10" t="str">
        <f ca="1">IFERROR(__xludf.DUMMYFUNCTION("""COMPUTED_VALUE"""),"ProximalPhalanxOutlineCorrect")</f>
        <v>ProximalPhalanxOutlineCorrect</v>
      </c>
      <c r="C653" s="10" t="str">
        <f ca="1">IFERROR(__xludf.DUMMYFUNCTION("""COMPUTED_VALUE"""),"aligned_timestamps")</f>
        <v>aligned_timestamps</v>
      </c>
      <c r="D653" s="10">
        <f ca="1">IFERROR(__xludf.DUMMYFUNCTION("""COMPUTED_VALUE"""),0.2)</f>
        <v>0.2</v>
      </c>
      <c r="E653" s="17">
        <f ca="1">IFERROR(__xludf.DUMMYFUNCTION("""COMPUTED_VALUE"""),1.11097325007192)</f>
        <v>1.11097325007192</v>
      </c>
      <c r="F653" s="17">
        <f ca="1">IFERROR(__xludf.DUMMYFUNCTION("""COMPUTED_VALUE"""),0.133548316913173)</f>
        <v>0.13354831691317301</v>
      </c>
      <c r="G653" s="17">
        <f ca="1">IFERROR(__xludf.DUMMYFUNCTION("""COMPUTED_VALUE"""),0.132516982615223)</f>
        <v>0.13251698261522299</v>
      </c>
      <c r="H653" s="17">
        <f ca="1">IFERROR(__xludf.DUMMYFUNCTION("""COMPUTED_VALUE"""),0.155879316098173)</f>
        <v>0.15587931609817299</v>
      </c>
      <c r="I653" s="17">
        <f ca="1">IFERROR(__xludf.DUMMYFUNCTION("""COMPUTED_VALUE"""),0.0766916399031466)</f>
        <v>7.6691639903146605E-2</v>
      </c>
      <c r="J653" s="17">
        <f ca="1">IFERROR(__xludf.DUMMYFUNCTION("""COMPUTED_VALUE"""),1.32882137313482)</f>
        <v>1.32882137313482</v>
      </c>
      <c r="K653" s="17" t="str">
        <f ca="1">IFERROR(__xludf.DUMMYFUNCTION("""COMPUTED_VALUE"""),"nan")</f>
        <v>nan</v>
      </c>
      <c r="L653" s="17">
        <f ca="1">IFERROR(__xludf.DUMMYFUNCTION("""COMPUTED_VALUE"""),0.12405799595652)</f>
        <v>0.12405799595652001</v>
      </c>
      <c r="M653" s="17">
        <f ca="1">IFERROR(__xludf.DUMMYFUNCTION("""COMPUTED_VALUE"""),0.134984345028855)</f>
        <v>0.13498434502885501</v>
      </c>
      <c r="N653" s="17">
        <f ca="1">IFERROR(__xludf.DUMMYFUNCTION("""COMPUTED_VALUE"""),0.351475242271126)</f>
        <v>0.35147524227112598</v>
      </c>
      <c r="O653" s="17">
        <f ca="1">IFERROR(__xludf.DUMMYFUNCTION("""COMPUTED_VALUE"""),0.0658215843568925)</f>
        <v>6.5821584356892504E-2</v>
      </c>
      <c r="P653" s="17">
        <f ca="1">IFERROR(__xludf.DUMMYFUNCTION("""COMPUTED_VALUE"""),1.06203121974075)</f>
        <v>1.06203121974075</v>
      </c>
      <c r="Q653" s="17">
        <f ca="1">IFERROR(__xludf.DUMMYFUNCTION("""COMPUTED_VALUE"""),0.150567606561077)</f>
        <v>0.15056760656107701</v>
      </c>
      <c r="R653" s="17">
        <f ca="1">IFERROR(__xludf.DUMMYFUNCTION("""COMPUTED_VALUE"""),0.474307894204674)</f>
        <v>0.47430789420467401</v>
      </c>
      <c r="S653" s="17">
        <f ca="1">IFERROR(__xludf.DUMMYFUNCTION("""COMPUTED_VALUE"""),0.326554715934962)</f>
        <v>0.32655471593496199</v>
      </c>
      <c r="T653" s="17">
        <f ca="1">IFERROR(__xludf.DUMMYFUNCTION("""COMPUTED_VALUE"""),0.15747750680535)</f>
        <v>0.15747750680535</v>
      </c>
      <c r="U653" s="17">
        <f ca="1">IFERROR(__xludf.DUMMYFUNCTION("""COMPUTED_VALUE"""),0.0937955949227105)</f>
        <v>9.3795594922710501E-2</v>
      </c>
      <c r="V653" s="17">
        <f ca="1">IFERROR(__xludf.DUMMYFUNCTION("""COMPUTED_VALUE"""),0.140876620305194)</f>
        <v>0.14087662030519399</v>
      </c>
      <c r="W653" s="17">
        <f ca="1">IFERROR(__xludf.DUMMYFUNCTION("""COMPUTED_VALUE"""),0.213694983316702)</f>
        <v>0.213694983316702</v>
      </c>
      <c r="X653" s="17">
        <f ca="1">IFERROR(__xludf.DUMMYFUNCTION("""COMPUTED_VALUE"""),0.255498850461154)</f>
        <v>0.255498850461154</v>
      </c>
      <c r="Y653" s="17">
        <f ca="1">IFERROR(__xludf.DUMMYFUNCTION("""COMPUTED_VALUE"""),0.134756517657911)</f>
        <v>0.134756517657911</v>
      </c>
      <c r="Z653" s="17">
        <f ca="1">IFERROR(__xludf.DUMMYFUNCTION("""COMPUTED_VALUE"""),0.273168429122285)</f>
        <v>0.27316842912228501</v>
      </c>
      <c r="AA653" s="17">
        <f ca="1">IFERROR(__xludf.DUMMYFUNCTION("""COMPUTED_VALUE"""),0.0663993229680393)</f>
        <v>6.6399322968039298E-2</v>
      </c>
      <c r="AB653" s="17">
        <f ca="1">IFERROR(__xludf.DUMMYFUNCTION("""COMPUTED_VALUE"""),0.219925150453303)</f>
        <v>0.21992515045330299</v>
      </c>
      <c r="AC653" s="17">
        <f ca="1">IFERROR(__xludf.DUMMYFUNCTION("""COMPUTED_VALUE"""),0.892304709260869)</f>
        <v>0.89230470926086902</v>
      </c>
      <c r="AD653" s="17">
        <f ca="1">IFERROR(__xludf.DUMMYFUNCTION("""COMPUTED_VALUE"""),0.178794321545093)</f>
        <v>0.178794321545093</v>
      </c>
      <c r="AE653" s="17">
        <f ca="1">IFERROR(__xludf.DUMMYFUNCTION("""COMPUTED_VALUE"""),1.27653496638425)</f>
        <v>1.27653496638425</v>
      </c>
      <c r="AF653" s="17">
        <f ca="1">IFERROR(__xludf.DUMMYFUNCTION("""COMPUTED_VALUE"""),0.342143179314335)</f>
        <v>0.34214317931433502</v>
      </c>
      <c r="AG653" s="17">
        <f ca="1">IFERROR(__xludf.DUMMYFUNCTION("""COMPUTED_VALUE"""),0.675747309877394)</f>
        <v>0.67574730987739395</v>
      </c>
      <c r="AH653" s="17">
        <f ca="1">IFERROR(__xludf.DUMMYFUNCTION("""COMPUTED_VALUE"""),1.07726963538125)</f>
        <v>1.0772696353812501</v>
      </c>
      <c r="AI653" s="17">
        <f ca="1">IFERROR(__xludf.DUMMYFUNCTION("""COMPUTED_VALUE"""),1.25169521725004)</f>
        <v>1.25169521725004</v>
      </c>
      <c r="AJ653" s="17">
        <f ca="1">IFERROR(__xludf.DUMMYFUNCTION("""COMPUTED_VALUE"""),0.743623328766849)</f>
        <v>0.743623328766849</v>
      </c>
    </row>
    <row r="654" spans="2:36" ht="15.75" customHeight="1" x14ac:dyDescent="0.45">
      <c r="B654" s="10" t="str">
        <f ca="1">IFERROR(__xludf.DUMMYFUNCTION("""COMPUTED_VALUE"""),"ProximalPhalanxOutlineCorrect")</f>
        <v>ProximalPhalanxOutlineCorrect</v>
      </c>
      <c r="C654" s="10" t="str">
        <f ca="1">IFERROR(__xludf.DUMMYFUNCTION("""COMPUTED_VALUE"""),"aligned_timestamps")</f>
        <v>aligned_timestamps</v>
      </c>
      <c r="D654" s="10">
        <f ca="1">IFERROR(__xludf.DUMMYFUNCTION("""COMPUTED_VALUE"""),0.4)</f>
        <v>0.4</v>
      </c>
      <c r="E654" s="17">
        <f ca="1">IFERROR(__xludf.DUMMYFUNCTION("""COMPUTED_VALUE"""),1.03984025092565)</f>
        <v>1.0398402509256499</v>
      </c>
      <c r="F654" s="17">
        <f ca="1">IFERROR(__xludf.DUMMYFUNCTION("""COMPUTED_VALUE"""),0.155033501242021)</f>
        <v>0.155033501242021</v>
      </c>
      <c r="G654" s="17">
        <f ca="1">IFERROR(__xludf.DUMMYFUNCTION("""COMPUTED_VALUE"""),0.190677646287751)</f>
        <v>0.190677646287751</v>
      </c>
      <c r="H654" s="17">
        <f ca="1">IFERROR(__xludf.DUMMYFUNCTION("""COMPUTED_VALUE"""),0.182120850744272)</f>
        <v>0.18212085074427201</v>
      </c>
      <c r="I654" s="17">
        <f ca="1">IFERROR(__xludf.DUMMYFUNCTION("""COMPUTED_VALUE"""),0.164186353169287)</f>
        <v>0.16418635316928701</v>
      </c>
      <c r="J654" s="17">
        <f ca="1">IFERROR(__xludf.DUMMYFUNCTION("""COMPUTED_VALUE"""),1.19929620175928)</f>
        <v>1.1992962017592801</v>
      </c>
      <c r="K654" s="17" t="str">
        <f ca="1">IFERROR(__xludf.DUMMYFUNCTION("""COMPUTED_VALUE"""),"nan")</f>
        <v>nan</v>
      </c>
      <c r="L654" s="17">
        <f ca="1">IFERROR(__xludf.DUMMYFUNCTION("""COMPUTED_VALUE"""),0.16352003666768)</f>
        <v>0.16352003666768</v>
      </c>
      <c r="M654" s="17">
        <f ca="1">IFERROR(__xludf.DUMMYFUNCTION("""COMPUTED_VALUE"""),0.162631835562419)</f>
        <v>0.162631835562419</v>
      </c>
      <c r="N654" s="17">
        <f ca="1">IFERROR(__xludf.DUMMYFUNCTION("""COMPUTED_VALUE"""),0.220169583517803)</f>
        <v>0.220169583517803</v>
      </c>
      <c r="O654" s="17">
        <f ca="1">IFERROR(__xludf.DUMMYFUNCTION("""COMPUTED_VALUE"""),0.587645613985789)</f>
        <v>0.58764561398578896</v>
      </c>
      <c r="P654" s="17">
        <f ca="1">IFERROR(__xludf.DUMMYFUNCTION("""COMPUTED_VALUE"""),1.07809504177048)</f>
        <v>1.07809504177048</v>
      </c>
      <c r="Q654" s="17">
        <f ca="1">IFERROR(__xludf.DUMMYFUNCTION("""COMPUTED_VALUE"""),0.191168011842375)</f>
        <v>0.191168011842375</v>
      </c>
      <c r="R654" s="17">
        <f ca="1">IFERROR(__xludf.DUMMYFUNCTION("""COMPUTED_VALUE"""),0.475105980544824)</f>
        <v>0.475105980544824</v>
      </c>
      <c r="S654" s="17">
        <f ca="1">IFERROR(__xludf.DUMMYFUNCTION("""COMPUTED_VALUE"""),0.273025115355423)</f>
        <v>0.27302511535542301</v>
      </c>
      <c r="T654" s="17">
        <f ca="1">IFERROR(__xludf.DUMMYFUNCTION("""COMPUTED_VALUE"""),0.205214370775506)</f>
        <v>0.205214370775506</v>
      </c>
      <c r="U654" s="17">
        <f ca="1">IFERROR(__xludf.DUMMYFUNCTION("""COMPUTED_VALUE"""),0.159120226209775)</f>
        <v>0.15912022620977501</v>
      </c>
      <c r="V654" s="17">
        <f ca="1">IFERROR(__xludf.DUMMYFUNCTION("""COMPUTED_VALUE"""),0.15047691360685)</f>
        <v>0.15047691360685</v>
      </c>
      <c r="W654" s="17">
        <f ca="1">IFERROR(__xludf.DUMMYFUNCTION("""COMPUTED_VALUE"""),0.319009930850741)</f>
        <v>0.31900993085074097</v>
      </c>
      <c r="X654" s="17">
        <f ca="1">IFERROR(__xludf.DUMMYFUNCTION("""COMPUTED_VALUE"""),0.232060549400911)</f>
        <v>0.232060549400911</v>
      </c>
      <c r="Y654" s="17">
        <f ca="1">IFERROR(__xludf.DUMMYFUNCTION("""COMPUTED_VALUE"""),0.171756717110876)</f>
        <v>0.17175671711087601</v>
      </c>
      <c r="Z654" s="17">
        <f ca="1">IFERROR(__xludf.DUMMYFUNCTION("""COMPUTED_VALUE"""),0.593436277763112)</f>
        <v>0.59343627776311203</v>
      </c>
      <c r="AA654" s="17">
        <f ca="1">IFERROR(__xludf.DUMMYFUNCTION("""COMPUTED_VALUE"""),0.139983865031076)</f>
        <v>0.13998386503107599</v>
      </c>
      <c r="AB654" s="17">
        <f ca="1">IFERROR(__xludf.DUMMYFUNCTION("""COMPUTED_VALUE"""),0.268672567934191)</f>
        <v>0.26867256793419098</v>
      </c>
      <c r="AC654" s="17">
        <f ca="1">IFERROR(__xludf.DUMMYFUNCTION("""COMPUTED_VALUE"""),0.697480558983953)</f>
        <v>0.697480558983953</v>
      </c>
      <c r="AD654" s="17">
        <f ca="1">IFERROR(__xludf.DUMMYFUNCTION("""COMPUTED_VALUE"""),0.180606924884508)</f>
        <v>0.180606924884508</v>
      </c>
      <c r="AE654" s="17">
        <f ca="1">IFERROR(__xludf.DUMMYFUNCTION("""COMPUTED_VALUE"""),1.0306208289624)</f>
        <v>1.0306208289623999</v>
      </c>
      <c r="AF654" s="17">
        <f ca="1">IFERROR(__xludf.DUMMYFUNCTION("""COMPUTED_VALUE"""),0.619736071762081)</f>
        <v>0.61973607176208101</v>
      </c>
      <c r="AG654" s="17">
        <f ca="1">IFERROR(__xludf.DUMMYFUNCTION("""COMPUTED_VALUE"""),1.09232792792993)</f>
        <v>1.0923279279299301</v>
      </c>
      <c r="AH654" s="17">
        <f ca="1">IFERROR(__xludf.DUMMYFUNCTION("""COMPUTED_VALUE"""),1.00967560241943)</f>
        <v>1.00967560241943</v>
      </c>
      <c r="AI654" s="17" t="str">
        <f ca="1">IFERROR(__xludf.DUMMYFUNCTION("""COMPUTED_VALUE"""),"nan")</f>
        <v>nan</v>
      </c>
      <c r="AJ654" s="17">
        <f ca="1">IFERROR(__xludf.DUMMYFUNCTION("""COMPUTED_VALUE"""),1.19074302385104)</f>
        <v>1.1907430238510399</v>
      </c>
    </row>
    <row r="655" spans="2:36" ht="15.75" customHeight="1" x14ac:dyDescent="0.45">
      <c r="B655" s="10" t="str">
        <f ca="1">IFERROR(__xludf.DUMMYFUNCTION("""COMPUTED_VALUE"""),"ProximalPhalanxOutlineCorrect")</f>
        <v>ProximalPhalanxOutlineCorrect</v>
      </c>
      <c r="C655" s="10" t="str">
        <f ca="1">IFERROR(__xludf.DUMMYFUNCTION("""COMPUTED_VALUE"""),"aligned_timestamps")</f>
        <v>aligned_timestamps</v>
      </c>
      <c r="D655" s="10">
        <f ca="1">IFERROR(__xludf.DUMMYFUNCTION("""COMPUTED_VALUE"""),0.6)</f>
        <v>0.6</v>
      </c>
      <c r="E655" s="17">
        <f ca="1">IFERROR(__xludf.DUMMYFUNCTION("""COMPUTED_VALUE"""),1.08507217494393)</f>
        <v>1.08507217494393</v>
      </c>
      <c r="F655" s="17">
        <f ca="1">IFERROR(__xludf.DUMMYFUNCTION("""COMPUTED_VALUE"""),0.154924599887271)</f>
        <v>0.154924599887271</v>
      </c>
      <c r="G655" s="17">
        <f ca="1">IFERROR(__xludf.DUMMYFUNCTION("""COMPUTED_VALUE"""),0.484273958742954)</f>
        <v>0.48427395874295398</v>
      </c>
      <c r="H655" s="17">
        <f ca="1">IFERROR(__xludf.DUMMYFUNCTION("""COMPUTED_VALUE"""),0.180077164519473)</f>
        <v>0.180077164519473</v>
      </c>
      <c r="I655" s="17">
        <f ca="1">IFERROR(__xludf.DUMMYFUNCTION("""COMPUTED_VALUE"""),0.354510296137923)</f>
        <v>0.35451029613792301</v>
      </c>
      <c r="J655" s="17">
        <f ca="1">IFERROR(__xludf.DUMMYFUNCTION("""COMPUTED_VALUE"""),1.21984164171063)</f>
        <v>1.2198416417106299</v>
      </c>
      <c r="K655" s="17" t="str">
        <f ca="1">IFERROR(__xludf.DUMMYFUNCTION("""COMPUTED_VALUE"""),"nan")</f>
        <v>nan</v>
      </c>
      <c r="L655" s="17">
        <f ca="1">IFERROR(__xludf.DUMMYFUNCTION("""COMPUTED_VALUE"""),0.14086865939427)</f>
        <v>0.14086865939427001</v>
      </c>
      <c r="M655" s="17">
        <f ca="1">IFERROR(__xludf.DUMMYFUNCTION("""COMPUTED_VALUE"""),1.40767364707049)</f>
        <v>1.40767364707049</v>
      </c>
      <c r="N655" s="17">
        <f ca="1">IFERROR(__xludf.DUMMYFUNCTION("""COMPUTED_VALUE"""),0.229086097823042)</f>
        <v>0.22908609782304201</v>
      </c>
      <c r="O655" s="17">
        <f ca="1">IFERROR(__xludf.DUMMYFUNCTION("""COMPUTED_VALUE"""),0.866774748632332)</f>
        <v>0.86677474863233195</v>
      </c>
      <c r="P655" s="17">
        <f ca="1">IFERROR(__xludf.DUMMYFUNCTION("""COMPUTED_VALUE"""),1.66675805425968)</f>
        <v>1.66675805425968</v>
      </c>
      <c r="Q655" s="17">
        <f ca="1">IFERROR(__xludf.DUMMYFUNCTION("""COMPUTED_VALUE"""),0.184697309166922)</f>
        <v>0.18469730916692201</v>
      </c>
      <c r="R655" s="17">
        <f ca="1">IFERROR(__xludf.DUMMYFUNCTION("""COMPUTED_VALUE"""),0.629375771705584)</f>
        <v>0.62937577170558401</v>
      </c>
      <c r="S655" s="17">
        <f ca="1">IFERROR(__xludf.DUMMYFUNCTION("""COMPUTED_VALUE"""),1.31221199065289)</f>
        <v>1.31221199065289</v>
      </c>
      <c r="T655" s="17">
        <f ca="1">IFERROR(__xludf.DUMMYFUNCTION("""COMPUTED_VALUE"""),0.803168482798403)</f>
        <v>0.80316848279840303</v>
      </c>
      <c r="U655" s="17">
        <f ca="1">IFERROR(__xludf.DUMMYFUNCTION("""COMPUTED_VALUE"""),0.592200973662743)</f>
        <v>0.59220097366274305</v>
      </c>
      <c r="V655" s="17">
        <f ca="1">IFERROR(__xludf.DUMMYFUNCTION("""COMPUTED_VALUE"""),1.50770477604951)</f>
        <v>1.5077047760495099</v>
      </c>
      <c r="W655" s="17">
        <f ca="1">IFERROR(__xludf.DUMMYFUNCTION("""COMPUTED_VALUE"""),0.462947164031556)</f>
        <v>0.462947164031556</v>
      </c>
      <c r="X655" s="17">
        <f ca="1">IFERROR(__xludf.DUMMYFUNCTION("""COMPUTED_VALUE"""),0.581049049220985)</f>
        <v>0.58104904922098499</v>
      </c>
      <c r="Y655" s="17">
        <f ca="1">IFERROR(__xludf.DUMMYFUNCTION("""COMPUTED_VALUE"""),0.159960052751663)</f>
        <v>0.159960052751663</v>
      </c>
      <c r="Z655" s="17">
        <f ca="1">IFERROR(__xludf.DUMMYFUNCTION("""COMPUTED_VALUE"""),0.871085551596805)</f>
        <v>0.87108555159680501</v>
      </c>
      <c r="AA655" s="17">
        <f ca="1">IFERROR(__xludf.DUMMYFUNCTION("""COMPUTED_VALUE"""),1.78102736418105)</f>
        <v>1.7810273641810499</v>
      </c>
      <c r="AB655" s="17">
        <f ca="1">IFERROR(__xludf.DUMMYFUNCTION("""COMPUTED_VALUE"""),1.69864561291497)</f>
        <v>1.6986456129149701</v>
      </c>
      <c r="AC655" s="17">
        <f ca="1">IFERROR(__xludf.DUMMYFUNCTION("""COMPUTED_VALUE"""),0.680048864528066)</f>
        <v>0.68004886452806601</v>
      </c>
      <c r="AD655" s="17">
        <f ca="1">IFERROR(__xludf.DUMMYFUNCTION("""COMPUTED_VALUE"""),0.225898614917355)</f>
        <v>0.225898614917355</v>
      </c>
      <c r="AE655" s="17">
        <f ca="1">IFERROR(__xludf.DUMMYFUNCTION("""COMPUTED_VALUE"""),0.895539230858041)</f>
        <v>0.89553923085804099</v>
      </c>
      <c r="AF655" s="17">
        <f ca="1">IFERROR(__xludf.DUMMYFUNCTION("""COMPUTED_VALUE"""),1.50182876231261)</f>
        <v>1.5018287623126101</v>
      </c>
      <c r="AG655" s="17">
        <f ca="1">IFERROR(__xludf.DUMMYFUNCTION("""COMPUTED_VALUE"""),1.13583179428715)</f>
        <v>1.1358317942871501</v>
      </c>
      <c r="AH655" s="17">
        <f ca="1">IFERROR(__xludf.DUMMYFUNCTION("""COMPUTED_VALUE"""),1.19501842749355)</f>
        <v>1.19501842749355</v>
      </c>
      <c r="AI655" s="17" t="str">
        <f ca="1">IFERROR(__xludf.DUMMYFUNCTION("""COMPUTED_VALUE"""),"nan")</f>
        <v>nan</v>
      </c>
      <c r="AJ655" s="17">
        <f ca="1">IFERROR(__xludf.DUMMYFUNCTION("""COMPUTED_VALUE"""),1.13069871298066)</f>
        <v>1.13069871298066</v>
      </c>
    </row>
    <row r="656" spans="2:36" ht="15.75" customHeight="1" x14ac:dyDescent="0.45">
      <c r="B656" s="10" t="str">
        <f ca="1">IFERROR(__xludf.DUMMYFUNCTION("""COMPUTED_VALUE"""),"ProximalPhalanxOutlineCorrect")</f>
        <v>ProximalPhalanxOutlineCorrect</v>
      </c>
      <c r="C656" s="10" t="str">
        <f ca="1">IFERROR(__xludf.DUMMYFUNCTION("""COMPUTED_VALUE"""),"aligned_timestamps")</f>
        <v>aligned_timestamps</v>
      </c>
      <c r="D656" s="10">
        <f ca="1">IFERROR(__xludf.DUMMYFUNCTION("""COMPUTED_VALUE"""),0.8)</f>
        <v>0.8</v>
      </c>
      <c r="E656" s="17">
        <f ca="1">IFERROR(__xludf.DUMMYFUNCTION("""COMPUTED_VALUE"""),1.02687538870996)</f>
        <v>1.02687538870996</v>
      </c>
      <c r="F656" s="17">
        <f ca="1">IFERROR(__xludf.DUMMYFUNCTION("""COMPUTED_VALUE"""),0.184944557698996)</f>
        <v>0.18494455769899601</v>
      </c>
      <c r="G656" s="17">
        <f ca="1">IFERROR(__xludf.DUMMYFUNCTION("""COMPUTED_VALUE"""),0.542014713103709)</f>
        <v>0.54201471310370897</v>
      </c>
      <c r="H656" s="17">
        <f ca="1">IFERROR(__xludf.DUMMYFUNCTION("""COMPUTED_VALUE"""),0.174435382447976)</f>
        <v>0.17443538244797599</v>
      </c>
      <c r="I656" s="17">
        <f ca="1">IFERROR(__xludf.DUMMYFUNCTION("""COMPUTED_VALUE"""),0.580763545950729)</f>
        <v>0.58076354595072899</v>
      </c>
      <c r="J656" s="17">
        <f ca="1">IFERROR(__xludf.DUMMYFUNCTION("""COMPUTED_VALUE"""),1.11087020357783)</f>
        <v>1.11087020357783</v>
      </c>
      <c r="K656" s="17" t="str">
        <f ca="1">IFERROR(__xludf.DUMMYFUNCTION("""COMPUTED_VALUE"""),"nan")</f>
        <v>nan</v>
      </c>
      <c r="L656" s="17">
        <f ca="1">IFERROR(__xludf.DUMMYFUNCTION("""COMPUTED_VALUE"""),0.168315244280237)</f>
        <v>0.168315244280237</v>
      </c>
      <c r="M656" s="17">
        <f ca="1">IFERROR(__xludf.DUMMYFUNCTION("""COMPUTED_VALUE"""),1.21319576529392)</f>
        <v>1.21319576529392</v>
      </c>
      <c r="N656" s="17">
        <f ca="1">IFERROR(__xludf.DUMMYFUNCTION("""COMPUTED_VALUE"""),0.23611013229163)</f>
        <v>0.23611013229163</v>
      </c>
      <c r="O656" s="17">
        <f ca="1">IFERROR(__xludf.DUMMYFUNCTION("""COMPUTED_VALUE"""),0.835246624933372)</f>
        <v>0.83524662493337198</v>
      </c>
      <c r="P656" s="17">
        <f ca="1">IFERROR(__xludf.DUMMYFUNCTION("""COMPUTED_VALUE"""),1.44458668475121)</f>
        <v>1.4445866847512101</v>
      </c>
      <c r="Q656" s="17">
        <f ca="1">IFERROR(__xludf.DUMMYFUNCTION("""COMPUTED_VALUE"""),0.191274795388817)</f>
        <v>0.191274795388817</v>
      </c>
      <c r="R656" s="17">
        <f ca="1">IFERROR(__xludf.DUMMYFUNCTION("""COMPUTED_VALUE"""),0.513345712009582)</f>
        <v>0.51334571200958201</v>
      </c>
      <c r="S656" s="17">
        <f ca="1">IFERROR(__xludf.DUMMYFUNCTION("""COMPUTED_VALUE"""),1.14856817682223)</f>
        <v>1.14856817682223</v>
      </c>
      <c r="T656" s="17">
        <f ca="1">IFERROR(__xludf.DUMMYFUNCTION("""COMPUTED_VALUE"""),0.644016794741719)</f>
        <v>0.64401679474171902</v>
      </c>
      <c r="U656" s="17">
        <f ca="1">IFERROR(__xludf.DUMMYFUNCTION("""COMPUTED_VALUE"""),0.847554493504143)</f>
        <v>0.84755449350414303</v>
      </c>
      <c r="V656" s="17">
        <f ca="1">IFERROR(__xludf.DUMMYFUNCTION("""COMPUTED_VALUE"""),1.35001309051421)</f>
        <v>1.35001309051421</v>
      </c>
      <c r="W656" s="17">
        <f ca="1">IFERROR(__xludf.DUMMYFUNCTION("""COMPUTED_VALUE"""),0.495053642830086)</f>
        <v>0.49505364283008602</v>
      </c>
      <c r="X656" s="17">
        <f ca="1">IFERROR(__xludf.DUMMYFUNCTION("""COMPUTED_VALUE"""),0.189083516858679)</f>
        <v>0.189083516858679</v>
      </c>
      <c r="Y656" s="17">
        <f ca="1">IFERROR(__xludf.DUMMYFUNCTION("""COMPUTED_VALUE"""),0.190271724756901)</f>
        <v>0.19027172475690099</v>
      </c>
      <c r="Z656" s="17">
        <f ca="1">IFERROR(__xludf.DUMMYFUNCTION("""COMPUTED_VALUE"""),0.924255052696154)</f>
        <v>0.92425505269615404</v>
      </c>
      <c r="AA656" s="17">
        <f ca="1">IFERROR(__xludf.DUMMYFUNCTION("""COMPUTED_VALUE"""),1.51503569465403)</f>
        <v>1.51503569465403</v>
      </c>
      <c r="AB656" s="17">
        <f ca="1">IFERROR(__xludf.DUMMYFUNCTION("""COMPUTED_VALUE"""),1.39164505299997)</f>
        <v>1.39164505299997</v>
      </c>
      <c r="AC656" s="17">
        <f ca="1">IFERROR(__xludf.DUMMYFUNCTION("""COMPUTED_VALUE"""),0.710513197233854)</f>
        <v>0.71051319723385398</v>
      </c>
      <c r="AD656" s="17">
        <f ca="1">IFERROR(__xludf.DUMMYFUNCTION("""COMPUTED_VALUE"""),0.301142568160876)</f>
        <v>0.30114256816087598</v>
      </c>
      <c r="AE656" s="17" t="str">
        <f ca="1">IFERROR(__xludf.DUMMYFUNCTION("""COMPUTED_VALUE"""),"nan")</f>
        <v>nan</v>
      </c>
      <c r="AF656" s="17">
        <f ca="1">IFERROR(__xludf.DUMMYFUNCTION("""COMPUTED_VALUE"""),1.27149581082603)</f>
        <v>1.2714958108260299</v>
      </c>
      <c r="AG656" s="17">
        <f ca="1">IFERROR(__xludf.DUMMYFUNCTION("""COMPUTED_VALUE"""),1.1096322507123)</f>
        <v>1.1096322507123</v>
      </c>
      <c r="AH656" s="17">
        <f ca="1">IFERROR(__xludf.DUMMYFUNCTION("""COMPUTED_VALUE"""),1.15536222704907)</f>
        <v>1.15536222704907</v>
      </c>
      <c r="AI656" s="17" t="str">
        <f ca="1">IFERROR(__xludf.DUMMYFUNCTION("""COMPUTED_VALUE"""),"nan")</f>
        <v>nan</v>
      </c>
      <c r="AJ656" s="17">
        <f ca="1">IFERROR(__xludf.DUMMYFUNCTION("""COMPUTED_VALUE"""),1.10993796380801)</f>
        <v>1.10993796380801</v>
      </c>
    </row>
    <row r="657" spans="2:36" ht="15.75" customHeight="1" x14ac:dyDescent="0.45">
      <c r="B657" s="10" t="str">
        <f ca="1">IFERROR(__xludf.DUMMYFUNCTION("""COMPUTED_VALUE"""),"ProximalPhalanxOutlineCorrect")</f>
        <v>ProximalPhalanxOutlineCorrect</v>
      </c>
      <c r="C657" s="10" t="str">
        <f ca="1">IFERROR(__xludf.DUMMYFUNCTION("""COMPUTED_VALUE"""),"mcar")</f>
        <v>mcar</v>
      </c>
      <c r="D657" s="10">
        <f ca="1">IFERROR(__xludf.DUMMYFUNCTION("""COMPUTED_VALUE"""),0.1)</f>
        <v>0.1</v>
      </c>
      <c r="E657" s="17">
        <f ca="1">IFERROR(__xludf.DUMMYFUNCTION("""COMPUTED_VALUE"""),1.02298882846325)</f>
        <v>1.02298882846325</v>
      </c>
      <c r="F657" s="17">
        <f ca="1">IFERROR(__xludf.DUMMYFUNCTION("""COMPUTED_VALUE"""),0.089644473657918)</f>
        <v>8.9644473657918E-2</v>
      </c>
      <c r="G657" s="17">
        <f ca="1">IFERROR(__xludf.DUMMYFUNCTION("""COMPUTED_VALUE"""),0.0849983274547249)</f>
        <v>8.4998327454724895E-2</v>
      </c>
      <c r="H657" s="17">
        <f ca="1">IFERROR(__xludf.DUMMYFUNCTION("""COMPUTED_VALUE"""),0.136012419335741)</f>
        <v>0.13601241933574101</v>
      </c>
      <c r="I657" s="17">
        <f ca="1">IFERROR(__xludf.DUMMYFUNCTION("""COMPUTED_VALUE"""),0.04172265155515)</f>
        <v>4.1722651555150002E-2</v>
      </c>
      <c r="J657" s="17">
        <f ca="1">IFERROR(__xludf.DUMMYFUNCTION("""COMPUTED_VALUE"""),0.0675842275355603)</f>
        <v>6.7584227535560301E-2</v>
      </c>
      <c r="K657" s="17" t="str">
        <f ca="1">IFERROR(__xludf.DUMMYFUNCTION("""COMPUTED_VALUE"""),"nan")</f>
        <v>nan</v>
      </c>
      <c r="L657" s="17">
        <f ca="1">IFERROR(__xludf.DUMMYFUNCTION("""COMPUTED_VALUE"""),0.102313829610469)</f>
        <v>0.102313829610469</v>
      </c>
      <c r="M657" s="17">
        <f ca="1">IFERROR(__xludf.DUMMYFUNCTION("""COMPUTED_VALUE"""),0.0858459221774205)</f>
        <v>8.58459221774205E-2</v>
      </c>
      <c r="N657" s="17">
        <f ca="1">IFERROR(__xludf.DUMMYFUNCTION("""COMPUTED_VALUE"""),0.0857482131062116)</f>
        <v>8.5748213106211599E-2</v>
      </c>
      <c r="O657" s="17">
        <f ca="1">IFERROR(__xludf.DUMMYFUNCTION("""COMPUTED_VALUE"""),0.0642566363635207)</f>
        <v>6.4256636363520706E-2</v>
      </c>
      <c r="P657" s="17">
        <f ca="1">IFERROR(__xludf.DUMMYFUNCTION("""COMPUTED_VALUE"""),0.592972973862805)</f>
        <v>0.59297297386280501</v>
      </c>
      <c r="Q657" s="17">
        <f ca="1">IFERROR(__xludf.DUMMYFUNCTION("""COMPUTED_VALUE"""),0.19191970232389)</f>
        <v>0.19191970232389</v>
      </c>
      <c r="R657" s="17">
        <f ca="1">IFERROR(__xludf.DUMMYFUNCTION("""COMPUTED_VALUE"""),0.0467644965383464)</f>
        <v>4.6764496538346398E-2</v>
      </c>
      <c r="S657" s="17">
        <f ca="1">IFERROR(__xludf.DUMMYFUNCTION("""COMPUTED_VALUE"""),1.04416256508577)</f>
        <v>1.04416256508577</v>
      </c>
      <c r="T657" s="17">
        <f ca="1">IFERROR(__xludf.DUMMYFUNCTION("""COMPUTED_VALUE"""),0.154187564871331)</f>
        <v>0.15418756487133101</v>
      </c>
      <c r="U657" s="17">
        <f ca="1">IFERROR(__xludf.DUMMYFUNCTION("""COMPUTED_VALUE"""),0.0763678055438637)</f>
        <v>7.6367805543863701E-2</v>
      </c>
      <c r="V657" s="17">
        <f ca="1">IFERROR(__xludf.DUMMYFUNCTION("""COMPUTED_VALUE"""),0.111846171136328)</f>
        <v>0.111846171136328</v>
      </c>
      <c r="W657" s="17">
        <f ca="1">IFERROR(__xludf.DUMMYFUNCTION("""COMPUTED_VALUE"""),0.277358531639663)</f>
        <v>0.27735853163966301</v>
      </c>
      <c r="X657" s="17">
        <f ca="1">IFERROR(__xludf.DUMMYFUNCTION("""COMPUTED_VALUE"""),0.159015469112091)</f>
        <v>0.159015469112091</v>
      </c>
      <c r="Y657" s="17">
        <f ca="1">IFERROR(__xludf.DUMMYFUNCTION("""COMPUTED_VALUE"""),0.140296920727636)</f>
        <v>0.140296920727636</v>
      </c>
      <c r="Z657" s="17">
        <f ca="1">IFERROR(__xludf.DUMMYFUNCTION("""COMPUTED_VALUE"""),0.162777290763574)</f>
        <v>0.162777290763574</v>
      </c>
      <c r="AA657" s="17">
        <f ca="1">IFERROR(__xludf.DUMMYFUNCTION("""COMPUTED_VALUE"""),0.0419370122077433)</f>
        <v>4.1937012207743297E-2</v>
      </c>
      <c r="AB657" s="17">
        <f ca="1">IFERROR(__xludf.DUMMYFUNCTION("""COMPUTED_VALUE"""),0.15956434675476)</f>
        <v>0.15956434675476</v>
      </c>
      <c r="AC657" s="17">
        <f ca="1">IFERROR(__xludf.DUMMYFUNCTION("""COMPUTED_VALUE"""),0.639519472521322)</f>
        <v>0.63951947252132202</v>
      </c>
      <c r="AD657" s="17">
        <f ca="1">IFERROR(__xludf.DUMMYFUNCTION("""COMPUTED_VALUE"""),0.237311850088548)</f>
        <v>0.23731185008854799</v>
      </c>
      <c r="AE657" s="17">
        <f ca="1">IFERROR(__xludf.DUMMYFUNCTION("""COMPUTED_VALUE"""),0.779408958488156)</f>
        <v>0.77940895848815595</v>
      </c>
      <c r="AF657" s="17">
        <f ca="1">IFERROR(__xludf.DUMMYFUNCTION("""COMPUTED_VALUE"""),0.457744356550464)</f>
        <v>0.45774435655046403</v>
      </c>
      <c r="AG657" s="17">
        <f ca="1">IFERROR(__xludf.DUMMYFUNCTION("""COMPUTED_VALUE"""),0.85747215215961)</f>
        <v>0.85747215215961003</v>
      </c>
      <c r="AH657" s="17">
        <f ca="1">IFERROR(__xludf.DUMMYFUNCTION("""COMPUTED_VALUE"""),0.569213643783475)</f>
        <v>0.56921364378347505</v>
      </c>
      <c r="AI657" s="17">
        <f ca="1">IFERROR(__xludf.DUMMYFUNCTION("""COMPUTED_VALUE"""),0.309524262899342)</f>
        <v>0.30952426289934198</v>
      </c>
      <c r="AJ657" s="17">
        <f ca="1">IFERROR(__xludf.DUMMYFUNCTION("""COMPUTED_VALUE"""),0.420737718496454)</f>
        <v>0.42073771849645403</v>
      </c>
    </row>
    <row r="658" spans="2:36" ht="15.75" customHeight="1" x14ac:dyDescent="0.45">
      <c r="B658" s="10" t="str">
        <f ca="1">IFERROR(__xludf.DUMMYFUNCTION("""COMPUTED_VALUE"""),"ProximalPhalanxOutlineCorrect")</f>
        <v>ProximalPhalanxOutlineCorrect</v>
      </c>
      <c r="C658" s="10" t="str">
        <f ca="1">IFERROR(__xludf.DUMMYFUNCTION("""COMPUTED_VALUE"""),"mcar")</f>
        <v>mcar</v>
      </c>
      <c r="D658" s="10">
        <f ca="1">IFERROR(__xludf.DUMMYFUNCTION("""COMPUTED_VALUE"""),0.2)</f>
        <v>0.2</v>
      </c>
      <c r="E658" s="17">
        <f ca="1">IFERROR(__xludf.DUMMYFUNCTION("""COMPUTED_VALUE"""),1.05263258733461)</f>
        <v>1.0526325873346101</v>
      </c>
      <c r="F658" s="17">
        <f ca="1">IFERROR(__xludf.DUMMYFUNCTION("""COMPUTED_VALUE"""),0.0939827986160508)</f>
        <v>9.39827986160508E-2</v>
      </c>
      <c r="G658" s="17">
        <f ca="1">IFERROR(__xludf.DUMMYFUNCTION("""COMPUTED_VALUE"""),0.0881984140277227)</f>
        <v>8.8198414027722702E-2</v>
      </c>
      <c r="H658" s="17">
        <f ca="1">IFERROR(__xludf.DUMMYFUNCTION("""COMPUTED_VALUE"""),0.138181747591498)</f>
        <v>0.13818174759149801</v>
      </c>
      <c r="I658" s="17">
        <f ca="1">IFERROR(__xludf.DUMMYFUNCTION("""COMPUTED_VALUE"""),0.0447239375450022)</f>
        <v>4.4723937545002201E-2</v>
      </c>
      <c r="J658" s="17">
        <f ca="1">IFERROR(__xludf.DUMMYFUNCTION("""COMPUTED_VALUE"""),0.0651690398426831)</f>
        <v>6.5169039842683102E-2</v>
      </c>
      <c r="K658" s="17" t="str">
        <f ca="1">IFERROR(__xludf.DUMMYFUNCTION("""COMPUTED_VALUE"""),"nan")</f>
        <v>nan</v>
      </c>
      <c r="L658" s="17">
        <f ca="1">IFERROR(__xludf.DUMMYFUNCTION("""COMPUTED_VALUE"""),0.105288547577773)</f>
        <v>0.10528854757777301</v>
      </c>
      <c r="M658" s="17">
        <f ca="1">IFERROR(__xludf.DUMMYFUNCTION("""COMPUTED_VALUE"""),0.088186683652176)</f>
        <v>8.8186683652175996E-2</v>
      </c>
      <c r="N658" s="17">
        <f ca="1">IFERROR(__xludf.DUMMYFUNCTION("""COMPUTED_VALUE"""),0.16175637029605)</f>
        <v>0.16175637029605</v>
      </c>
      <c r="O658" s="17">
        <f ca="1">IFERROR(__xludf.DUMMYFUNCTION("""COMPUTED_VALUE"""),0.0601631483437262)</f>
        <v>6.01631483437262E-2</v>
      </c>
      <c r="P658" s="17">
        <f ca="1">IFERROR(__xludf.DUMMYFUNCTION("""COMPUTED_VALUE"""),0.663862812332055)</f>
        <v>0.66386281233205502</v>
      </c>
      <c r="Q658" s="17">
        <f ca="1">IFERROR(__xludf.DUMMYFUNCTION("""COMPUTED_VALUE"""),0.210745949003209)</f>
        <v>0.210745949003209</v>
      </c>
      <c r="R658" s="17">
        <f ca="1">IFERROR(__xludf.DUMMYFUNCTION("""COMPUTED_VALUE"""),0.0593036167924602)</f>
        <v>5.9303616792460198E-2</v>
      </c>
      <c r="S658" s="17">
        <f ca="1">IFERROR(__xludf.DUMMYFUNCTION("""COMPUTED_VALUE"""),1.03977584510594)</f>
        <v>1.03977584510594</v>
      </c>
      <c r="T658" s="17">
        <f ca="1">IFERROR(__xludf.DUMMYFUNCTION("""COMPUTED_VALUE"""),0.162175259785758)</f>
        <v>0.162175259785758</v>
      </c>
      <c r="U658" s="17">
        <f ca="1">IFERROR(__xludf.DUMMYFUNCTION("""COMPUTED_VALUE"""),0.0816228355696835)</f>
        <v>8.16228355696835E-2</v>
      </c>
      <c r="V658" s="17">
        <f ca="1">IFERROR(__xludf.DUMMYFUNCTION("""COMPUTED_VALUE"""),0.122546961555019)</f>
        <v>0.122546961555019</v>
      </c>
      <c r="W658" s="17">
        <f ca="1">IFERROR(__xludf.DUMMYFUNCTION("""COMPUTED_VALUE"""),0.265414072931807)</f>
        <v>0.26541407293180702</v>
      </c>
      <c r="X658" s="17">
        <f ca="1">IFERROR(__xludf.DUMMYFUNCTION("""COMPUTED_VALUE"""),0.164838586183551)</f>
        <v>0.16483858618355099</v>
      </c>
      <c r="Y658" s="17">
        <f ca="1">IFERROR(__xludf.DUMMYFUNCTION("""COMPUTED_VALUE"""),0.151061651772872)</f>
        <v>0.15106165177287201</v>
      </c>
      <c r="Z658" s="17">
        <f ca="1">IFERROR(__xludf.DUMMYFUNCTION("""COMPUTED_VALUE"""),0.321615384277276)</f>
        <v>0.32161538427727598</v>
      </c>
      <c r="AA658" s="17">
        <f ca="1">IFERROR(__xludf.DUMMYFUNCTION("""COMPUTED_VALUE"""),0.0413979159299461)</f>
        <v>4.13979159299461E-2</v>
      </c>
      <c r="AB658" s="17">
        <f ca="1">IFERROR(__xludf.DUMMYFUNCTION("""COMPUTED_VALUE"""),0.166702003112071)</f>
        <v>0.16670200311207101</v>
      </c>
      <c r="AC658" s="17">
        <f ca="1">IFERROR(__xludf.DUMMYFUNCTION("""COMPUTED_VALUE"""),0.638084360406589)</f>
        <v>0.638084360406589</v>
      </c>
      <c r="AD658" s="17">
        <f ca="1">IFERROR(__xludf.DUMMYFUNCTION("""COMPUTED_VALUE"""),0.279304563879355)</f>
        <v>0.27930456387935498</v>
      </c>
      <c r="AE658" s="17">
        <f ca="1">IFERROR(__xludf.DUMMYFUNCTION("""COMPUTED_VALUE"""),1.04464347159916)</f>
        <v>1.0446434715991599</v>
      </c>
      <c r="AF658" s="17">
        <f ca="1">IFERROR(__xludf.DUMMYFUNCTION("""COMPUTED_VALUE"""),0.195108362131938)</f>
        <v>0.195108362131938</v>
      </c>
      <c r="AG658" s="17">
        <f ca="1">IFERROR(__xludf.DUMMYFUNCTION("""COMPUTED_VALUE"""),0.960529773468813)</f>
        <v>0.96052977346881296</v>
      </c>
      <c r="AH658" s="17">
        <f ca="1">IFERROR(__xludf.DUMMYFUNCTION("""COMPUTED_VALUE"""),0.679322322882398)</f>
        <v>0.67932232288239802</v>
      </c>
      <c r="AI658" s="17">
        <f ca="1">IFERROR(__xludf.DUMMYFUNCTION("""COMPUTED_VALUE"""),0.6196626524968)</f>
        <v>0.61966265249679997</v>
      </c>
      <c r="AJ658" s="17">
        <f ca="1">IFERROR(__xludf.DUMMYFUNCTION("""COMPUTED_VALUE"""),0.482861348459657)</f>
        <v>0.482861348459657</v>
      </c>
    </row>
    <row r="659" spans="2:36" ht="15.75" customHeight="1" x14ac:dyDescent="0.45">
      <c r="B659" s="10" t="str">
        <f ca="1">IFERROR(__xludf.DUMMYFUNCTION("""COMPUTED_VALUE"""),"ProximalPhalanxOutlineCorrect")</f>
        <v>ProximalPhalanxOutlineCorrect</v>
      </c>
      <c r="C659" s="10" t="str">
        <f ca="1">IFERROR(__xludf.DUMMYFUNCTION("""COMPUTED_VALUE"""),"mcar")</f>
        <v>mcar</v>
      </c>
      <c r="D659" s="10">
        <f ca="1">IFERROR(__xludf.DUMMYFUNCTION("""COMPUTED_VALUE"""),0.4)</f>
        <v>0.4</v>
      </c>
      <c r="E659" s="17">
        <f ca="1">IFERROR(__xludf.DUMMYFUNCTION("""COMPUTED_VALUE"""),1.02003280169414)</f>
        <v>1.02003280169414</v>
      </c>
      <c r="F659" s="17">
        <f ca="1">IFERROR(__xludf.DUMMYFUNCTION("""COMPUTED_VALUE"""),0.109300130621526)</f>
        <v>0.10930013062152601</v>
      </c>
      <c r="G659" s="17">
        <f ca="1">IFERROR(__xludf.DUMMYFUNCTION("""COMPUTED_VALUE"""),0.101719616436111)</f>
        <v>0.10171961643611099</v>
      </c>
      <c r="H659" s="17">
        <f ca="1">IFERROR(__xludf.DUMMYFUNCTION("""COMPUTED_VALUE"""),0.140979866843489)</f>
        <v>0.14097986684348901</v>
      </c>
      <c r="I659" s="17">
        <f ca="1">IFERROR(__xludf.DUMMYFUNCTION("""COMPUTED_VALUE"""),0.0622185548617277)</f>
        <v>6.2218554861727698E-2</v>
      </c>
      <c r="J659" s="17">
        <f ca="1">IFERROR(__xludf.DUMMYFUNCTION("""COMPUTED_VALUE"""),0.0933786924693273)</f>
        <v>9.3378692469327298E-2</v>
      </c>
      <c r="K659" s="17" t="str">
        <f ca="1">IFERROR(__xludf.DUMMYFUNCTION("""COMPUTED_VALUE"""),"nan")</f>
        <v>nan</v>
      </c>
      <c r="L659" s="17">
        <f ca="1">IFERROR(__xludf.DUMMYFUNCTION("""COMPUTED_VALUE"""),0.123828106380198)</f>
        <v>0.12382810638019801</v>
      </c>
      <c r="M659" s="17">
        <f ca="1">IFERROR(__xludf.DUMMYFUNCTION("""COMPUTED_VALUE"""),0.104683453535336)</f>
        <v>0.10468345353533599</v>
      </c>
      <c r="N659" s="17">
        <f ca="1">IFERROR(__xludf.DUMMYFUNCTION("""COMPUTED_VALUE"""),0.15407698120653)</f>
        <v>0.15407698120652999</v>
      </c>
      <c r="O659" s="17">
        <f ca="1">IFERROR(__xludf.DUMMYFUNCTION("""COMPUTED_VALUE"""),0.0696410940702772)</f>
        <v>6.9641094070277201E-2</v>
      </c>
      <c r="P659" s="17">
        <f ca="1">IFERROR(__xludf.DUMMYFUNCTION("""COMPUTED_VALUE"""),0.712315343728527)</f>
        <v>0.71231534372852701</v>
      </c>
      <c r="Q659" s="17">
        <f ca="1">IFERROR(__xludf.DUMMYFUNCTION("""COMPUTED_VALUE"""),0.311716141200577)</f>
        <v>0.311716141200577</v>
      </c>
      <c r="R659" s="17">
        <f ca="1">IFERROR(__xludf.DUMMYFUNCTION("""COMPUTED_VALUE"""),0.0801371738093673)</f>
        <v>8.0137173809367301E-2</v>
      </c>
      <c r="S659" s="17">
        <f ca="1">IFERROR(__xludf.DUMMYFUNCTION("""COMPUTED_VALUE"""),1.03050500361041)</f>
        <v>1.03050500361041</v>
      </c>
      <c r="T659" s="17">
        <f ca="1">IFERROR(__xludf.DUMMYFUNCTION("""COMPUTED_VALUE"""),0.195428073369795)</f>
        <v>0.19542807336979501</v>
      </c>
      <c r="U659" s="17">
        <f ca="1">IFERROR(__xludf.DUMMYFUNCTION("""COMPUTED_VALUE"""),0.102626233789731)</f>
        <v>0.102626233789731</v>
      </c>
      <c r="V659" s="17">
        <f ca="1">IFERROR(__xludf.DUMMYFUNCTION("""COMPUTED_VALUE"""),0.139920433495162)</f>
        <v>0.13992043349516201</v>
      </c>
      <c r="W659" s="17">
        <f ca="1">IFERROR(__xludf.DUMMYFUNCTION("""COMPUTED_VALUE"""),0.318275951857188)</f>
        <v>0.31827595185718799</v>
      </c>
      <c r="X659" s="17">
        <f ca="1">IFERROR(__xludf.DUMMYFUNCTION("""COMPUTED_VALUE"""),0.174208946131025)</f>
        <v>0.174208946131025</v>
      </c>
      <c r="Y659" s="17">
        <f ca="1">IFERROR(__xludf.DUMMYFUNCTION("""COMPUTED_VALUE"""),0.159290475695791)</f>
        <v>0.159290475695791</v>
      </c>
      <c r="Z659" s="17">
        <f ca="1">IFERROR(__xludf.DUMMYFUNCTION("""COMPUTED_VALUE"""),0.528606154585152)</f>
        <v>0.52860615458515203</v>
      </c>
      <c r="AA659" s="17">
        <f ca="1">IFERROR(__xludf.DUMMYFUNCTION("""COMPUTED_VALUE"""),0.0531759604283264)</f>
        <v>5.3175960428326403E-2</v>
      </c>
      <c r="AB659" s="17">
        <f ca="1">IFERROR(__xludf.DUMMYFUNCTION("""COMPUTED_VALUE"""),0.211150252405129)</f>
        <v>0.211150252405129</v>
      </c>
      <c r="AC659" s="17">
        <f ca="1">IFERROR(__xludf.DUMMYFUNCTION("""COMPUTED_VALUE"""),0.72398356552265)</f>
        <v>0.72398356552264997</v>
      </c>
      <c r="AD659" s="17">
        <f ca="1">IFERROR(__xludf.DUMMYFUNCTION("""COMPUTED_VALUE"""),0.329959842430877)</f>
        <v>0.329959842430877</v>
      </c>
      <c r="AE659" s="17">
        <f ca="1">IFERROR(__xludf.DUMMYFUNCTION("""COMPUTED_VALUE"""),1.20497324731012)</f>
        <v>1.20497324731012</v>
      </c>
      <c r="AF659" s="17">
        <f ca="1">IFERROR(__xludf.DUMMYFUNCTION("""COMPUTED_VALUE"""),0.380439090958936)</f>
        <v>0.38043909095893602</v>
      </c>
      <c r="AG659" s="17">
        <f ca="1">IFERROR(__xludf.DUMMYFUNCTION("""COMPUTED_VALUE"""),0.909545682786643)</f>
        <v>0.90954568278664305</v>
      </c>
      <c r="AH659" s="17">
        <f ca="1">IFERROR(__xludf.DUMMYFUNCTION("""COMPUTED_VALUE"""),0.824465565875637)</f>
        <v>0.82446556587563702</v>
      </c>
      <c r="AI659" s="17" t="str">
        <f ca="1">IFERROR(__xludf.DUMMYFUNCTION("""COMPUTED_VALUE"""),"nan")</f>
        <v>nan</v>
      </c>
      <c r="AJ659" s="17">
        <f ca="1">IFERROR(__xludf.DUMMYFUNCTION("""COMPUTED_VALUE"""),0.717700003029808)</f>
        <v>0.71770000302980796</v>
      </c>
    </row>
    <row r="660" spans="2:36" ht="15.75" customHeight="1" x14ac:dyDescent="0.45">
      <c r="B660" s="10" t="str">
        <f ca="1">IFERROR(__xludf.DUMMYFUNCTION("""COMPUTED_VALUE"""),"ProximalPhalanxOutlineCorrect")</f>
        <v>ProximalPhalanxOutlineCorrect</v>
      </c>
      <c r="C660" s="10" t="str">
        <f ca="1">IFERROR(__xludf.DUMMYFUNCTION("""COMPUTED_VALUE"""),"mcar")</f>
        <v>mcar</v>
      </c>
      <c r="D660" s="10">
        <f ca="1">IFERROR(__xludf.DUMMYFUNCTION("""COMPUTED_VALUE"""),0.6)</f>
        <v>0.6</v>
      </c>
      <c r="E660" s="17">
        <f ca="1">IFERROR(__xludf.DUMMYFUNCTION("""COMPUTED_VALUE"""),1.02589870498138)</f>
        <v>1.0258987049813799</v>
      </c>
      <c r="F660" s="17">
        <f ca="1">IFERROR(__xludf.DUMMYFUNCTION("""COMPUTED_VALUE"""),0.114980046644329)</f>
        <v>0.114980046644329</v>
      </c>
      <c r="G660" s="17">
        <f ca="1">IFERROR(__xludf.DUMMYFUNCTION("""COMPUTED_VALUE"""),0.101897232542216)</f>
        <v>0.101897232542216</v>
      </c>
      <c r="H660" s="17">
        <f ca="1">IFERROR(__xludf.DUMMYFUNCTION("""COMPUTED_VALUE"""),0.143252987619532)</f>
        <v>0.14325298761953201</v>
      </c>
      <c r="I660" s="17">
        <f ca="1">IFERROR(__xludf.DUMMYFUNCTION("""COMPUTED_VALUE"""),0.0709295599965028)</f>
        <v>7.09295599965028E-2</v>
      </c>
      <c r="J660" s="17">
        <f ca="1">IFERROR(__xludf.DUMMYFUNCTION("""COMPUTED_VALUE"""),0.29974451924994)</f>
        <v>0.29974451924994</v>
      </c>
      <c r="K660" s="17" t="str">
        <f ca="1">IFERROR(__xludf.DUMMYFUNCTION("""COMPUTED_VALUE"""),"nan")</f>
        <v>nan</v>
      </c>
      <c r="L660" s="17">
        <f ca="1">IFERROR(__xludf.DUMMYFUNCTION("""COMPUTED_VALUE"""),0.130353232317391)</f>
        <v>0.13035323231739099</v>
      </c>
      <c r="M660" s="17">
        <f ca="1">IFERROR(__xludf.DUMMYFUNCTION("""COMPUTED_VALUE"""),0.104852092992331)</f>
        <v>0.104852092992331</v>
      </c>
      <c r="N660" s="17">
        <f ca="1">IFERROR(__xludf.DUMMYFUNCTION("""COMPUTED_VALUE"""),0.14570610897043)</f>
        <v>0.14570610897042999</v>
      </c>
      <c r="O660" s="17">
        <f ca="1">IFERROR(__xludf.DUMMYFUNCTION("""COMPUTED_VALUE"""),0.0767270092902091)</f>
        <v>7.6727009290209106E-2</v>
      </c>
      <c r="P660" s="17">
        <f ca="1">IFERROR(__xludf.DUMMYFUNCTION("""COMPUTED_VALUE"""),0.747079062873507)</f>
        <v>0.747079062873507</v>
      </c>
      <c r="Q660" s="17">
        <f ca="1">IFERROR(__xludf.DUMMYFUNCTION("""COMPUTED_VALUE"""),0.390214129902866)</f>
        <v>0.39021412990286602</v>
      </c>
      <c r="R660" s="17">
        <f ca="1">IFERROR(__xludf.DUMMYFUNCTION("""COMPUTED_VALUE"""),0.0954435387319246)</f>
        <v>9.5443538731924599E-2</v>
      </c>
      <c r="S660" s="17">
        <f ca="1">IFERROR(__xludf.DUMMYFUNCTION("""COMPUTED_VALUE"""),1.03016528437567)</f>
        <v>1.0301652843756699</v>
      </c>
      <c r="T660" s="17">
        <f ca="1">IFERROR(__xludf.DUMMYFUNCTION("""COMPUTED_VALUE"""),0.34681021674853)</f>
        <v>0.34681021674853002</v>
      </c>
      <c r="U660" s="17">
        <f ca="1">IFERROR(__xludf.DUMMYFUNCTION("""COMPUTED_VALUE"""),0.110381981845777)</f>
        <v>0.11038198184577699</v>
      </c>
      <c r="V660" s="17">
        <f ca="1">IFERROR(__xludf.DUMMYFUNCTION("""COMPUTED_VALUE"""),0.159491347305162)</f>
        <v>0.15949134730516201</v>
      </c>
      <c r="W660" s="17">
        <f ca="1">IFERROR(__xludf.DUMMYFUNCTION("""COMPUTED_VALUE"""),0.329555617794009)</f>
        <v>0.32955561779400899</v>
      </c>
      <c r="X660" s="17">
        <f ca="1">IFERROR(__xludf.DUMMYFUNCTION("""COMPUTED_VALUE"""),0.172732832873332)</f>
        <v>0.17273283287333199</v>
      </c>
      <c r="Y660" s="17">
        <f ca="1">IFERROR(__xludf.DUMMYFUNCTION("""COMPUTED_VALUE"""),0.161515153770166)</f>
        <v>0.16151515377016601</v>
      </c>
      <c r="Z660" s="17">
        <f ca="1">IFERROR(__xludf.DUMMYFUNCTION("""COMPUTED_VALUE"""),0.641921479296561)</f>
        <v>0.64192147929656096</v>
      </c>
      <c r="AA660" s="17">
        <f ca="1">IFERROR(__xludf.DUMMYFUNCTION("""COMPUTED_VALUE"""),0.0722069651110849)</f>
        <v>7.2206965111084903E-2</v>
      </c>
      <c r="AB660" s="17">
        <f ca="1">IFERROR(__xludf.DUMMYFUNCTION("""COMPUTED_VALUE"""),0.256593263614053)</f>
        <v>0.25659326361405299</v>
      </c>
      <c r="AC660" s="17">
        <f ca="1">IFERROR(__xludf.DUMMYFUNCTION("""COMPUTED_VALUE"""),0.777180751033123)</f>
        <v>0.77718075103312301</v>
      </c>
      <c r="AD660" s="17">
        <f ca="1">IFERROR(__xludf.DUMMYFUNCTION("""COMPUTED_VALUE"""),0.259946912172428)</f>
        <v>0.25994691217242799</v>
      </c>
      <c r="AE660" s="17">
        <f ca="1">IFERROR(__xludf.DUMMYFUNCTION("""COMPUTED_VALUE"""),1.26246218975248)</f>
        <v>1.2624621897524799</v>
      </c>
      <c r="AF660" s="17">
        <f ca="1">IFERROR(__xludf.DUMMYFUNCTION("""COMPUTED_VALUE"""),0.437886013196671)</f>
        <v>0.43788601319667098</v>
      </c>
      <c r="AG660" s="17">
        <f ca="1">IFERROR(__xludf.DUMMYFUNCTION("""COMPUTED_VALUE"""),1.04412897723054)</f>
        <v>1.04412897723054</v>
      </c>
      <c r="AH660" s="17">
        <f ca="1">IFERROR(__xludf.DUMMYFUNCTION("""COMPUTED_VALUE"""),0.988485201608162)</f>
        <v>0.988485201608162</v>
      </c>
      <c r="AI660" s="17" t="str">
        <f ca="1">IFERROR(__xludf.DUMMYFUNCTION("""COMPUTED_VALUE"""),"nan")</f>
        <v>nan</v>
      </c>
      <c r="AJ660" s="17">
        <f ca="1">IFERROR(__xludf.DUMMYFUNCTION("""COMPUTED_VALUE"""),1.1143710173124)</f>
        <v>1.1143710173124</v>
      </c>
    </row>
    <row r="661" spans="2:36" ht="15.75" customHeight="1" x14ac:dyDescent="0.45">
      <c r="B661" s="10" t="str">
        <f ca="1">IFERROR(__xludf.DUMMYFUNCTION("""COMPUTED_VALUE"""),"ProximalPhalanxOutlineCorrect")</f>
        <v>ProximalPhalanxOutlineCorrect</v>
      </c>
      <c r="C661" s="10" t="str">
        <f ca="1">IFERROR(__xludf.DUMMYFUNCTION("""COMPUTED_VALUE"""),"mcar")</f>
        <v>mcar</v>
      </c>
      <c r="D661" s="10">
        <f ca="1">IFERROR(__xludf.DUMMYFUNCTION("""COMPUTED_VALUE"""),0.8)</f>
        <v>0.8</v>
      </c>
      <c r="E661" s="17">
        <f ca="1">IFERROR(__xludf.DUMMYFUNCTION("""COMPUTED_VALUE"""),1.02153039358995)</f>
        <v>1.02153039358995</v>
      </c>
      <c r="F661" s="17">
        <f ca="1">IFERROR(__xludf.DUMMYFUNCTION("""COMPUTED_VALUE"""),0.163954114056866)</f>
        <v>0.163954114056866</v>
      </c>
      <c r="G661" s="17">
        <f ca="1">IFERROR(__xludf.DUMMYFUNCTION("""COMPUTED_VALUE"""),0.117564497627388)</f>
        <v>0.11756449762738801</v>
      </c>
      <c r="H661" s="17">
        <f ca="1">IFERROR(__xludf.DUMMYFUNCTION("""COMPUTED_VALUE"""),0.15155618762438)</f>
        <v>0.15155618762438</v>
      </c>
      <c r="I661" s="17">
        <f ca="1">IFERROR(__xludf.DUMMYFUNCTION("""COMPUTED_VALUE"""),0.133760475842756)</f>
        <v>0.13376047584275599</v>
      </c>
      <c r="J661" s="17">
        <f ca="1">IFERROR(__xludf.DUMMYFUNCTION("""COMPUTED_VALUE"""),0.986195277339975)</f>
        <v>0.98619527733997503</v>
      </c>
      <c r="K661" s="17" t="str">
        <f ca="1">IFERROR(__xludf.DUMMYFUNCTION("""COMPUTED_VALUE"""),"nan")</f>
        <v>nan</v>
      </c>
      <c r="L661" s="17">
        <f ca="1">IFERROR(__xludf.DUMMYFUNCTION("""COMPUTED_VALUE"""),0.153334253029583)</f>
        <v>0.15333425302958301</v>
      </c>
      <c r="M661" s="17">
        <f ca="1">IFERROR(__xludf.DUMMYFUNCTION("""COMPUTED_VALUE"""),0.432916757316708)</f>
        <v>0.43291675731670798</v>
      </c>
      <c r="N661" s="17">
        <f ca="1">IFERROR(__xludf.DUMMYFUNCTION("""COMPUTED_VALUE"""),0.163957053693766)</f>
        <v>0.16395705369376601</v>
      </c>
      <c r="O661" s="17">
        <f ca="1">IFERROR(__xludf.DUMMYFUNCTION("""COMPUTED_VALUE"""),0.121209246532407)</f>
        <v>0.121209246532407</v>
      </c>
      <c r="P661" s="17">
        <f ca="1">IFERROR(__xludf.DUMMYFUNCTION("""COMPUTED_VALUE"""),0.907195719906132)</f>
        <v>0.90719571990613201</v>
      </c>
      <c r="Q661" s="17">
        <f ca="1">IFERROR(__xludf.DUMMYFUNCTION("""COMPUTED_VALUE"""),0.535044479892097)</f>
        <v>0.53504447989209702</v>
      </c>
      <c r="R661" s="17">
        <f ca="1">IFERROR(__xludf.DUMMYFUNCTION("""COMPUTED_VALUE"""),0.129447283716343)</f>
        <v>0.12944728371634301</v>
      </c>
      <c r="S661" s="17">
        <f ca="1">IFERROR(__xludf.DUMMYFUNCTION("""COMPUTED_VALUE"""),1.02003463813047)</f>
        <v>1.0200346381304699</v>
      </c>
      <c r="T661" s="17">
        <f ca="1">IFERROR(__xludf.DUMMYFUNCTION("""COMPUTED_VALUE"""),0.595539601493225)</f>
        <v>0.59553960149322505</v>
      </c>
      <c r="U661" s="17">
        <f ca="1">IFERROR(__xludf.DUMMYFUNCTION("""COMPUTED_VALUE"""),0.244986529849584)</f>
        <v>0.24498652984958399</v>
      </c>
      <c r="V661" s="17">
        <f ca="1">IFERROR(__xludf.DUMMYFUNCTION("""COMPUTED_VALUE"""),0.346389663364877)</f>
        <v>0.34638966336487698</v>
      </c>
      <c r="W661" s="17">
        <f ca="1">IFERROR(__xludf.DUMMYFUNCTION("""COMPUTED_VALUE"""),0.319836917899792)</f>
        <v>0.31983691789979202</v>
      </c>
      <c r="X661" s="17">
        <f ca="1">IFERROR(__xludf.DUMMYFUNCTION("""COMPUTED_VALUE"""),0.173653981013851)</f>
        <v>0.17365398101385099</v>
      </c>
      <c r="Y661" s="17">
        <f ca="1">IFERROR(__xludf.DUMMYFUNCTION("""COMPUTED_VALUE"""),0.299536302619016)</f>
        <v>0.29953630261901598</v>
      </c>
      <c r="Z661" s="17">
        <f ca="1">IFERROR(__xludf.DUMMYFUNCTION("""COMPUTED_VALUE"""),0.79375733280977)</f>
        <v>0.79375733280977001</v>
      </c>
      <c r="AA661" s="17">
        <f ca="1">IFERROR(__xludf.DUMMYFUNCTION("""COMPUTED_VALUE"""),0.166023982034412)</f>
        <v>0.16602398203441199</v>
      </c>
      <c r="AB661" s="17">
        <f ca="1">IFERROR(__xludf.DUMMYFUNCTION("""COMPUTED_VALUE"""),0.623385925592564)</f>
        <v>0.62338592559256401</v>
      </c>
      <c r="AC661" s="17">
        <f ca="1">IFERROR(__xludf.DUMMYFUNCTION("""COMPUTED_VALUE"""),0.641871518975903)</f>
        <v>0.641871518975903</v>
      </c>
      <c r="AD661" s="17">
        <f ca="1">IFERROR(__xludf.DUMMYFUNCTION("""COMPUTED_VALUE"""),0.289179726243072)</f>
        <v>0.28917972624307198</v>
      </c>
      <c r="AE661" s="17" t="str">
        <f ca="1">IFERROR(__xludf.DUMMYFUNCTION("""COMPUTED_VALUE"""),"nan")</f>
        <v>nan</v>
      </c>
      <c r="AF661" s="17">
        <f ca="1">IFERROR(__xludf.DUMMYFUNCTION("""COMPUTED_VALUE"""),0.69538841424036)</f>
        <v>0.69538841424036002</v>
      </c>
      <c r="AG661" s="17">
        <f ca="1">IFERROR(__xludf.DUMMYFUNCTION("""COMPUTED_VALUE"""),1.17307390725282)</f>
        <v>1.17307390725282</v>
      </c>
      <c r="AH661" s="17">
        <f ca="1">IFERROR(__xludf.DUMMYFUNCTION("""COMPUTED_VALUE"""),1.064672269454)</f>
        <v>1.0646722694540001</v>
      </c>
      <c r="AI661" s="17" t="str">
        <f ca="1">IFERROR(__xludf.DUMMYFUNCTION("""COMPUTED_VALUE"""),"nan")</f>
        <v>nan</v>
      </c>
      <c r="AJ661" s="17">
        <f ca="1">IFERROR(__xludf.DUMMYFUNCTION("""COMPUTED_VALUE"""),0.878747923033261)</f>
        <v>0.87874792303326099</v>
      </c>
    </row>
    <row r="662" spans="2:36" ht="15.75" customHeight="1" x14ac:dyDescent="0.45">
      <c r="B662" s="10" t="str">
        <f ca="1">IFERROR(__xludf.DUMMYFUNCTION("""COMPUTED_VALUE"""),"RefrigerationDevices")</f>
        <v>RefrigerationDevices</v>
      </c>
      <c r="C662" s="10" t="str">
        <f ca="1">IFERROR(__xludf.DUMMYFUNCTION("""COMPUTED_VALUE"""),"aligned_series")</f>
        <v>aligned_series</v>
      </c>
      <c r="D662" s="10">
        <f ca="1">IFERROR(__xludf.DUMMYFUNCTION("""COMPUTED_VALUE"""),0.1)</f>
        <v>0.1</v>
      </c>
      <c r="E662" s="17">
        <f ca="1">IFERROR(__xludf.DUMMYFUNCTION("""COMPUTED_VALUE"""),1.06936210532548)</f>
        <v>1.06936210532548</v>
      </c>
      <c r="F662" s="17">
        <f ca="1">IFERROR(__xludf.DUMMYFUNCTION("""COMPUTED_VALUE"""),1.10008136368013)</f>
        <v>1.1000813636801301</v>
      </c>
      <c r="G662" s="17">
        <f ca="1">IFERROR(__xludf.DUMMYFUNCTION("""COMPUTED_VALUE"""),1.10498057456526)</f>
        <v>1.1049805745652601</v>
      </c>
      <c r="H662" s="17">
        <f ca="1">IFERROR(__xludf.DUMMYFUNCTION("""COMPUTED_VALUE"""),1.0931873297745)</f>
        <v>1.0931873297745001</v>
      </c>
      <c r="I662" s="17">
        <f ca="1">IFERROR(__xludf.DUMMYFUNCTION("""COMPUTED_VALUE"""),1.10692442331272)</f>
        <v>1.10692442331272</v>
      </c>
      <c r="J662" s="17">
        <f ca="1">IFERROR(__xludf.DUMMYFUNCTION("""COMPUTED_VALUE"""),1.1708714547933)</f>
        <v>1.1708714547932999</v>
      </c>
      <c r="K662" s="17" t="str">
        <f ca="1">IFERROR(__xludf.DUMMYFUNCTION("""COMPUTED_VALUE"""),"nan")</f>
        <v>nan</v>
      </c>
      <c r="L662" s="17">
        <f ca="1">IFERROR(__xludf.DUMMYFUNCTION("""COMPUTED_VALUE"""),1.12581974646908)</f>
        <v>1.12581974646908</v>
      </c>
      <c r="M662" s="17">
        <f ca="1">IFERROR(__xludf.DUMMYFUNCTION("""COMPUTED_VALUE"""),1.0960087419501)</f>
        <v>1.0960087419500999</v>
      </c>
      <c r="N662" s="17">
        <f ca="1">IFERROR(__xludf.DUMMYFUNCTION("""COMPUTED_VALUE"""),1.15844444280298)</f>
        <v>1.1584444428029801</v>
      </c>
      <c r="O662" s="17">
        <f ca="1">IFERROR(__xludf.DUMMYFUNCTION("""COMPUTED_VALUE"""),1.09306850824525)</f>
        <v>1.09306850824525</v>
      </c>
      <c r="P662" s="17">
        <f ca="1">IFERROR(__xludf.DUMMYFUNCTION("""COMPUTED_VALUE"""),1.11615664314646)</f>
        <v>1.11615664314646</v>
      </c>
      <c r="Q662" s="17">
        <f ca="1">IFERROR(__xludf.DUMMYFUNCTION("""COMPUTED_VALUE"""),1.43481023458492)</f>
        <v>1.4348102345849201</v>
      </c>
      <c r="R662" s="17">
        <f ca="1">IFERROR(__xludf.DUMMYFUNCTION("""COMPUTED_VALUE"""),1.25866037708531)</f>
        <v>1.25866037708531</v>
      </c>
      <c r="S662" s="17">
        <f ca="1">IFERROR(__xludf.DUMMYFUNCTION("""COMPUTED_VALUE"""),1.28076412118881)</f>
        <v>1.2807641211888099</v>
      </c>
      <c r="T662" s="17">
        <f ca="1">IFERROR(__xludf.DUMMYFUNCTION("""COMPUTED_VALUE"""),1.13850589413981)</f>
        <v>1.1385058941398101</v>
      </c>
      <c r="U662" s="17">
        <f ca="1">IFERROR(__xludf.DUMMYFUNCTION("""COMPUTED_VALUE"""),1.18812240576035)</f>
        <v>1.1881224057603501</v>
      </c>
      <c r="V662" s="17">
        <f ca="1">IFERROR(__xludf.DUMMYFUNCTION("""COMPUTED_VALUE"""),1.17906301549606)</f>
        <v>1.17906301549606</v>
      </c>
      <c r="W662" s="17">
        <f ca="1">IFERROR(__xludf.DUMMYFUNCTION("""COMPUTED_VALUE"""),1.07280569464121)</f>
        <v>1.0728056946412099</v>
      </c>
      <c r="X662" s="17">
        <f ca="1">IFERROR(__xludf.DUMMYFUNCTION("""COMPUTED_VALUE"""),1.6687366205018)</f>
        <v>1.6687366205017999</v>
      </c>
      <c r="Y662" s="17">
        <f ca="1">IFERROR(__xludf.DUMMYFUNCTION("""COMPUTED_VALUE"""),1.17694947874664)</f>
        <v>1.1769494787466399</v>
      </c>
      <c r="Z662" s="17">
        <f ca="1">IFERROR(__xludf.DUMMYFUNCTION("""COMPUTED_VALUE"""),1.1519895974559)</f>
        <v>1.1519895974559</v>
      </c>
      <c r="AA662" s="17">
        <f ca="1">IFERROR(__xludf.DUMMYFUNCTION("""COMPUTED_VALUE"""),1.763216062912)</f>
        <v>1.7632160629119999</v>
      </c>
      <c r="AB662" s="17">
        <f ca="1">IFERROR(__xludf.DUMMYFUNCTION("""COMPUTED_VALUE"""),1.40201274054557)</f>
        <v>1.40201274054557</v>
      </c>
      <c r="AC662" s="17">
        <f ca="1">IFERROR(__xludf.DUMMYFUNCTION("""COMPUTED_VALUE"""),1.12785230318964)</f>
        <v>1.1278523031896399</v>
      </c>
      <c r="AD662" s="17">
        <f ca="1">IFERROR(__xludf.DUMMYFUNCTION("""COMPUTED_VALUE"""),1.10403570922347)</f>
        <v>1.1040357092234701</v>
      </c>
      <c r="AE662" s="17">
        <f ca="1">IFERROR(__xludf.DUMMYFUNCTION("""COMPUTED_VALUE"""),1.12113800496372)</f>
        <v>1.1211380049637201</v>
      </c>
      <c r="AF662" s="17">
        <f ca="1">IFERROR(__xludf.DUMMYFUNCTION("""COMPUTED_VALUE"""),1.19140097736559)</f>
        <v>1.19140097736559</v>
      </c>
      <c r="AG662" s="17">
        <f ca="1">IFERROR(__xludf.DUMMYFUNCTION("""COMPUTED_VALUE"""),1.18912300284824)</f>
        <v>1.18912300284824</v>
      </c>
      <c r="AH662" s="17">
        <f ca="1">IFERROR(__xludf.DUMMYFUNCTION("""COMPUTED_VALUE"""),1.14588470071165)</f>
        <v>1.1458847007116499</v>
      </c>
      <c r="AI662" s="17" t="str">
        <f ca="1">IFERROR(__xludf.DUMMYFUNCTION("""COMPUTED_VALUE"""),"nan")</f>
        <v>nan</v>
      </c>
      <c r="AJ662" s="17">
        <f ca="1">IFERROR(__xludf.DUMMYFUNCTION("""COMPUTED_VALUE"""),1.22936485973466)</f>
        <v>1.22936485973466</v>
      </c>
    </row>
    <row r="663" spans="2:36" ht="15.75" customHeight="1" x14ac:dyDescent="0.45">
      <c r="B663" s="10" t="str">
        <f ca="1">IFERROR(__xludf.DUMMYFUNCTION("""COMPUTED_VALUE"""),"RefrigerationDevices")</f>
        <v>RefrigerationDevices</v>
      </c>
      <c r="C663" s="10" t="str">
        <f ca="1">IFERROR(__xludf.DUMMYFUNCTION("""COMPUTED_VALUE"""),"aligned_series")</f>
        <v>aligned_series</v>
      </c>
      <c r="D663" s="10">
        <f ca="1">IFERROR(__xludf.DUMMYFUNCTION("""COMPUTED_VALUE"""),0.2)</f>
        <v>0.2</v>
      </c>
      <c r="E663" s="17">
        <f ca="1">IFERROR(__xludf.DUMMYFUNCTION("""COMPUTED_VALUE"""),1.02864066088975)</f>
        <v>1.02864066088975</v>
      </c>
      <c r="F663" s="17">
        <f ca="1">IFERROR(__xludf.DUMMYFUNCTION("""COMPUTED_VALUE"""),1.06062266018481)</f>
        <v>1.0606226601848101</v>
      </c>
      <c r="G663" s="17">
        <f ca="1">IFERROR(__xludf.DUMMYFUNCTION("""COMPUTED_VALUE"""),1.06626106155511)</f>
        <v>1.06626106155511</v>
      </c>
      <c r="H663" s="17">
        <f ca="1">IFERROR(__xludf.DUMMYFUNCTION("""COMPUTED_VALUE"""),1.06071913016574)</f>
        <v>1.0607191301657399</v>
      </c>
      <c r="I663" s="17">
        <f ca="1">IFERROR(__xludf.DUMMYFUNCTION("""COMPUTED_VALUE"""),1.07611792704368)</f>
        <v>1.07611792704368</v>
      </c>
      <c r="J663" s="17">
        <f ca="1">IFERROR(__xludf.DUMMYFUNCTION("""COMPUTED_VALUE"""),1.15932816140821)</f>
        <v>1.15932816140821</v>
      </c>
      <c r="K663" s="17" t="str">
        <f ca="1">IFERROR(__xludf.DUMMYFUNCTION("""COMPUTED_VALUE"""),"nan")</f>
        <v>nan</v>
      </c>
      <c r="L663" s="17">
        <f ca="1">IFERROR(__xludf.DUMMYFUNCTION("""COMPUTED_VALUE"""),1.0897813227993)</f>
        <v>1.0897813227993001</v>
      </c>
      <c r="M663" s="17">
        <f ca="1">IFERROR(__xludf.DUMMYFUNCTION("""COMPUTED_VALUE"""),1.06293769237567)</f>
        <v>1.0629376923756699</v>
      </c>
      <c r="N663" s="17">
        <f ca="1">IFERROR(__xludf.DUMMYFUNCTION("""COMPUTED_VALUE"""),1.04959955440111)</f>
        <v>1.0495995544011101</v>
      </c>
      <c r="O663" s="17">
        <f ca="1">IFERROR(__xludf.DUMMYFUNCTION("""COMPUTED_VALUE"""),1.06423574586086)</f>
        <v>1.06423574586086</v>
      </c>
      <c r="P663" s="17">
        <f ca="1">IFERROR(__xludf.DUMMYFUNCTION("""COMPUTED_VALUE"""),1.08669241933501)</f>
        <v>1.08669241933501</v>
      </c>
      <c r="Q663" s="17">
        <f ca="1">IFERROR(__xludf.DUMMYFUNCTION("""COMPUTED_VALUE"""),1.42482024885274)</f>
        <v>1.4248202488527399</v>
      </c>
      <c r="R663" s="17">
        <f ca="1">IFERROR(__xludf.DUMMYFUNCTION("""COMPUTED_VALUE"""),1.21664582387434)</f>
        <v>1.2166458238743401</v>
      </c>
      <c r="S663" s="17">
        <f ca="1">IFERROR(__xludf.DUMMYFUNCTION("""COMPUTED_VALUE"""),1.27195009211657)</f>
        <v>1.2719500921165701</v>
      </c>
      <c r="T663" s="17">
        <f ca="1">IFERROR(__xludf.DUMMYFUNCTION("""COMPUTED_VALUE"""),1.10242192867499)</f>
        <v>1.1024219286749899</v>
      </c>
      <c r="U663" s="17">
        <f ca="1">IFERROR(__xludf.DUMMYFUNCTION("""COMPUTED_VALUE"""),1.16118695701211)</f>
        <v>1.1611869570121101</v>
      </c>
      <c r="V663" s="17">
        <f ca="1">IFERROR(__xludf.DUMMYFUNCTION("""COMPUTED_VALUE"""),1.15430331075657)</f>
        <v>1.1543033107565699</v>
      </c>
      <c r="W663" s="17">
        <f ca="1">IFERROR(__xludf.DUMMYFUNCTION("""COMPUTED_VALUE"""),1.04096494991432)</f>
        <v>1.0409649499143201</v>
      </c>
      <c r="X663" s="17">
        <f ca="1">IFERROR(__xludf.DUMMYFUNCTION("""COMPUTED_VALUE"""),1.08785492907176)</f>
        <v>1.0878549290717601</v>
      </c>
      <c r="Y663" s="17">
        <f ca="1">IFERROR(__xludf.DUMMYFUNCTION("""COMPUTED_VALUE"""),1.15249498457788)</f>
        <v>1.15249498457788</v>
      </c>
      <c r="Z663" s="17">
        <f ca="1">IFERROR(__xludf.DUMMYFUNCTION("""COMPUTED_VALUE"""),1.11188593720657)</f>
        <v>1.1118859372065699</v>
      </c>
      <c r="AA663" s="17">
        <f ca="1">IFERROR(__xludf.DUMMYFUNCTION("""COMPUTED_VALUE"""),1.78155031985014)</f>
        <v>1.7815503198501399</v>
      </c>
      <c r="AB663" s="17">
        <f ca="1">IFERROR(__xludf.DUMMYFUNCTION("""COMPUTED_VALUE"""),1.38160099898527)</f>
        <v>1.38160099898527</v>
      </c>
      <c r="AC663" s="17">
        <f ca="1">IFERROR(__xludf.DUMMYFUNCTION("""COMPUTED_VALUE"""),1.08137131584005)</f>
        <v>1.08137131584005</v>
      </c>
      <c r="AD663" s="17">
        <f ca="1">IFERROR(__xludf.DUMMYFUNCTION("""COMPUTED_VALUE"""),1.08259658167105)</f>
        <v>1.0825965816710501</v>
      </c>
      <c r="AE663" s="17">
        <f ca="1">IFERROR(__xludf.DUMMYFUNCTION("""COMPUTED_VALUE"""),1.07578872842276)</f>
        <v>1.0757887284227601</v>
      </c>
      <c r="AF663" s="17">
        <f ca="1">IFERROR(__xludf.DUMMYFUNCTION("""COMPUTED_VALUE"""),1.14437029764187)</f>
        <v>1.1443702976418699</v>
      </c>
      <c r="AG663" s="17">
        <f ca="1">IFERROR(__xludf.DUMMYFUNCTION("""COMPUTED_VALUE"""),1.13130421099235)</f>
        <v>1.1313042109923499</v>
      </c>
      <c r="AH663" s="17">
        <f ca="1">IFERROR(__xludf.DUMMYFUNCTION("""COMPUTED_VALUE"""),1.09007117105271)</f>
        <v>1.09007117105271</v>
      </c>
      <c r="AI663" s="17" t="str">
        <f ca="1">IFERROR(__xludf.DUMMYFUNCTION("""COMPUTED_VALUE"""),"nan")</f>
        <v>nan</v>
      </c>
      <c r="AJ663" s="17">
        <f ca="1">IFERROR(__xludf.DUMMYFUNCTION("""COMPUTED_VALUE"""),1.20754177850776)</f>
        <v>1.20754177850776</v>
      </c>
    </row>
    <row r="664" spans="2:36" ht="15.75" customHeight="1" x14ac:dyDescent="0.45">
      <c r="B664" s="10" t="str">
        <f ca="1">IFERROR(__xludf.DUMMYFUNCTION("""COMPUTED_VALUE"""),"RefrigerationDevices")</f>
        <v>RefrigerationDevices</v>
      </c>
      <c r="C664" s="10" t="str">
        <f ca="1">IFERROR(__xludf.DUMMYFUNCTION("""COMPUTED_VALUE"""),"aligned_series")</f>
        <v>aligned_series</v>
      </c>
      <c r="D664" s="10">
        <f ca="1">IFERROR(__xludf.DUMMYFUNCTION("""COMPUTED_VALUE"""),0.4)</f>
        <v>0.4</v>
      </c>
      <c r="E664" s="17">
        <f ca="1">IFERROR(__xludf.DUMMYFUNCTION("""COMPUTED_VALUE"""),1.00852036645326)</f>
        <v>1.00852036645326</v>
      </c>
      <c r="F664" s="17">
        <f ca="1">IFERROR(__xludf.DUMMYFUNCTION("""COMPUTED_VALUE"""),1.03101332569286)</f>
        <v>1.03101332569286</v>
      </c>
      <c r="G664" s="17">
        <f ca="1">IFERROR(__xludf.DUMMYFUNCTION("""COMPUTED_VALUE"""),1.0358904013003)</f>
        <v>1.0358904013003001</v>
      </c>
      <c r="H664" s="17">
        <f ca="1">IFERROR(__xludf.DUMMYFUNCTION("""COMPUTED_VALUE"""),1.04329593702214)</f>
        <v>1.04329593702214</v>
      </c>
      <c r="I664" s="17">
        <f ca="1">IFERROR(__xludf.DUMMYFUNCTION("""COMPUTED_VALUE"""),1.03945035541884)</f>
        <v>1.0394503554188399</v>
      </c>
      <c r="J664" s="17">
        <f ca="1">IFERROR(__xludf.DUMMYFUNCTION("""COMPUTED_VALUE"""),1.24290269837626)</f>
        <v>1.2429026983762601</v>
      </c>
      <c r="K664" s="17" t="str">
        <f ca="1">IFERROR(__xludf.DUMMYFUNCTION("""COMPUTED_VALUE"""),"nan")</f>
        <v>nan</v>
      </c>
      <c r="L664" s="17">
        <f ca="1">IFERROR(__xludf.DUMMYFUNCTION("""COMPUTED_VALUE"""),1.09714142362931)</f>
        <v>1.09714142362931</v>
      </c>
      <c r="M664" s="17">
        <f ca="1">IFERROR(__xludf.DUMMYFUNCTION("""COMPUTED_VALUE"""),1.05237171187229)</f>
        <v>1.0523717118722899</v>
      </c>
      <c r="N664" s="17">
        <f ca="1">IFERROR(__xludf.DUMMYFUNCTION("""COMPUTED_VALUE"""),1.04883667879339)</f>
        <v>1.04883667879339</v>
      </c>
      <c r="O664" s="17">
        <f ca="1">IFERROR(__xludf.DUMMYFUNCTION("""COMPUTED_VALUE"""),1.05273924382004)</f>
        <v>1.05273924382004</v>
      </c>
      <c r="P664" s="17">
        <f ca="1">IFERROR(__xludf.DUMMYFUNCTION("""COMPUTED_VALUE"""),1.08055635998798)</f>
        <v>1.0805563599879799</v>
      </c>
      <c r="Q664" s="17">
        <f ca="1">IFERROR(__xludf.DUMMYFUNCTION("""COMPUTED_VALUE"""),1.41060637314843)</f>
        <v>1.41060637314843</v>
      </c>
      <c r="R664" s="17">
        <f ca="1">IFERROR(__xludf.DUMMYFUNCTION("""COMPUTED_VALUE"""),1.12074453315129)</f>
        <v>1.12074453315129</v>
      </c>
      <c r="S664" s="17">
        <f ca="1">IFERROR(__xludf.DUMMYFUNCTION("""COMPUTED_VALUE"""),1.21115893000724)</f>
        <v>1.2111589300072401</v>
      </c>
      <c r="T664" s="17">
        <f ca="1">IFERROR(__xludf.DUMMYFUNCTION("""COMPUTED_VALUE"""),1.08916614300477)</f>
        <v>1.0891661430047701</v>
      </c>
      <c r="U664" s="17">
        <f ca="1">IFERROR(__xludf.DUMMYFUNCTION("""COMPUTED_VALUE"""),1.10579656565969)</f>
        <v>1.10579656565969</v>
      </c>
      <c r="V664" s="17">
        <f ca="1">IFERROR(__xludf.DUMMYFUNCTION("""COMPUTED_VALUE"""),1.10631403387027)</f>
        <v>1.1063140338702699</v>
      </c>
      <c r="W664" s="17">
        <f ca="1">IFERROR(__xludf.DUMMYFUNCTION("""COMPUTED_VALUE"""),1.0302223843695)</f>
        <v>1.0302223843695</v>
      </c>
      <c r="X664" s="17">
        <f ca="1">IFERROR(__xludf.DUMMYFUNCTION("""COMPUTED_VALUE"""),1.02716753295605)</f>
        <v>1.0271675329560499</v>
      </c>
      <c r="Y664" s="17">
        <f ca="1">IFERROR(__xludf.DUMMYFUNCTION("""COMPUTED_VALUE"""),1.13739695003378)</f>
        <v>1.1373969500337799</v>
      </c>
      <c r="Z664" s="17">
        <f ca="1">IFERROR(__xludf.DUMMYFUNCTION("""COMPUTED_VALUE"""),1.08300165891435)</f>
        <v>1.0830016589143501</v>
      </c>
      <c r="AA664" s="17">
        <f ca="1">IFERROR(__xludf.DUMMYFUNCTION("""COMPUTED_VALUE"""),1.56903250165585)</f>
        <v>1.56903250165585</v>
      </c>
      <c r="AB664" s="17">
        <f ca="1">IFERROR(__xludf.DUMMYFUNCTION("""COMPUTED_VALUE"""),1.59303804538797)</f>
        <v>1.59303804538797</v>
      </c>
      <c r="AC664" s="17">
        <f ca="1">IFERROR(__xludf.DUMMYFUNCTION("""COMPUTED_VALUE"""),1.04686616415515)</f>
        <v>1.04686616415515</v>
      </c>
      <c r="AD664" s="17">
        <f ca="1">IFERROR(__xludf.DUMMYFUNCTION("""COMPUTED_VALUE"""),1.05430820862366)</f>
        <v>1.0543082086236599</v>
      </c>
      <c r="AE664" s="17">
        <f ca="1">IFERROR(__xludf.DUMMYFUNCTION("""COMPUTED_VALUE"""),1.05300591551034)</f>
        <v>1.05300591551034</v>
      </c>
      <c r="AF664" s="17">
        <f ca="1">IFERROR(__xludf.DUMMYFUNCTION("""COMPUTED_VALUE"""),1.11708500085041)</f>
        <v>1.1170850008504101</v>
      </c>
      <c r="AG664" s="17">
        <f ca="1">IFERROR(__xludf.DUMMYFUNCTION("""COMPUTED_VALUE"""),1.09307667505781)</f>
        <v>1.09307667505781</v>
      </c>
      <c r="AH664" s="17">
        <f ca="1">IFERROR(__xludf.DUMMYFUNCTION("""COMPUTED_VALUE"""),1.05759345763127)</f>
        <v>1.05759345763127</v>
      </c>
      <c r="AI664" s="17" t="str">
        <f ca="1">IFERROR(__xludf.DUMMYFUNCTION("""COMPUTED_VALUE"""),"nan")</f>
        <v>nan</v>
      </c>
      <c r="AJ664" s="17">
        <f ca="1">IFERROR(__xludf.DUMMYFUNCTION("""COMPUTED_VALUE"""),1.13795546560225)</f>
        <v>1.1379554656022499</v>
      </c>
    </row>
    <row r="665" spans="2:36" ht="15.75" customHeight="1" x14ac:dyDescent="0.45">
      <c r="B665" s="10" t="str">
        <f ca="1">IFERROR(__xludf.DUMMYFUNCTION("""COMPUTED_VALUE"""),"RefrigerationDevices")</f>
        <v>RefrigerationDevices</v>
      </c>
      <c r="C665" s="10" t="str">
        <f ca="1">IFERROR(__xludf.DUMMYFUNCTION("""COMPUTED_VALUE"""),"aligned_series")</f>
        <v>aligned_series</v>
      </c>
      <c r="D665" s="10">
        <f ca="1">IFERROR(__xludf.DUMMYFUNCTION("""COMPUTED_VALUE"""),0.6)</f>
        <v>0.6</v>
      </c>
      <c r="E665" s="17">
        <f ca="1">IFERROR(__xludf.DUMMYFUNCTION("""COMPUTED_VALUE"""),1.00332548312435)</f>
        <v>1.0033254831243501</v>
      </c>
      <c r="F665" s="17">
        <f ca="1">IFERROR(__xludf.DUMMYFUNCTION("""COMPUTED_VALUE"""),1.03778160133464)</f>
        <v>1.0377816013346399</v>
      </c>
      <c r="G665" s="17">
        <f ca="1">IFERROR(__xludf.DUMMYFUNCTION("""COMPUTED_VALUE"""),1.04880809722876)</f>
        <v>1.0488080972287599</v>
      </c>
      <c r="H665" s="17">
        <f ca="1">IFERROR(__xludf.DUMMYFUNCTION("""COMPUTED_VALUE"""),1.03798821743269)</f>
        <v>1.03798821743269</v>
      </c>
      <c r="I665" s="17">
        <f ca="1">IFERROR(__xludf.DUMMYFUNCTION("""COMPUTED_VALUE"""),1.03435872751375)</f>
        <v>1.03435872751375</v>
      </c>
      <c r="J665" s="17">
        <f ca="1">IFERROR(__xludf.DUMMYFUNCTION("""COMPUTED_VALUE"""),1.2221486092287)</f>
        <v>1.2221486092286999</v>
      </c>
      <c r="K665" s="17" t="str">
        <f ca="1">IFERROR(__xludf.DUMMYFUNCTION("""COMPUTED_VALUE"""),"nan")</f>
        <v>nan</v>
      </c>
      <c r="L665" s="17">
        <f ca="1">IFERROR(__xludf.DUMMYFUNCTION("""COMPUTED_VALUE"""),1.08324670601885)</f>
        <v>1.08324670601885</v>
      </c>
      <c r="M665" s="17">
        <f ca="1">IFERROR(__xludf.DUMMYFUNCTION("""COMPUTED_VALUE"""),1.03730673650073)</f>
        <v>1.03730673650073</v>
      </c>
      <c r="N665" s="17">
        <f ca="1">IFERROR(__xludf.DUMMYFUNCTION("""COMPUTED_VALUE"""),1.06027923738679)</f>
        <v>1.06027923738679</v>
      </c>
      <c r="O665" s="17">
        <f ca="1">IFERROR(__xludf.DUMMYFUNCTION("""COMPUTED_VALUE"""),1.06096334021729)</f>
        <v>1.06096334021729</v>
      </c>
      <c r="P665" s="17">
        <f ca="1">IFERROR(__xludf.DUMMYFUNCTION("""COMPUTED_VALUE"""),1.10602520274524)</f>
        <v>1.10602520274524</v>
      </c>
      <c r="Q665" s="17">
        <f ca="1">IFERROR(__xludf.DUMMYFUNCTION("""COMPUTED_VALUE"""),1.31930201914377)</f>
        <v>1.3193020191437701</v>
      </c>
      <c r="R665" s="17">
        <f ca="1">IFERROR(__xludf.DUMMYFUNCTION("""COMPUTED_VALUE"""),1.09145887871852)</f>
        <v>1.09145887871852</v>
      </c>
      <c r="S665" s="17">
        <f ca="1">IFERROR(__xludf.DUMMYFUNCTION("""COMPUTED_VALUE"""),1.20412697358402)</f>
        <v>1.2041269735840201</v>
      </c>
      <c r="T665" s="17">
        <f ca="1">IFERROR(__xludf.DUMMYFUNCTION("""COMPUTED_VALUE"""),1.080859340119)</f>
        <v>1.0808593401190001</v>
      </c>
      <c r="U665" s="17">
        <f ca="1">IFERROR(__xludf.DUMMYFUNCTION("""COMPUTED_VALUE"""),1.093109752651)</f>
        <v>1.0931097526510001</v>
      </c>
      <c r="V665" s="17">
        <f ca="1">IFERROR(__xludf.DUMMYFUNCTION("""COMPUTED_VALUE"""),1.09968067186696)</f>
        <v>1.0996806718669601</v>
      </c>
      <c r="W665" s="17">
        <f ca="1">IFERROR(__xludf.DUMMYFUNCTION("""COMPUTED_VALUE"""),1.02971602954941)</f>
        <v>1.0297160295494101</v>
      </c>
      <c r="X665" s="17">
        <f ca="1">IFERROR(__xludf.DUMMYFUNCTION("""COMPUTED_VALUE"""),1.97058784423947)</f>
        <v>1.97058784423947</v>
      </c>
      <c r="Y665" s="17">
        <f ca="1">IFERROR(__xludf.DUMMYFUNCTION("""COMPUTED_VALUE"""),1.13389584791187)</f>
        <v>1.1338958479118699</v>
      </c>
      <c r="Z665" s="17">
        <f ca="1">IFERROR(__xludf.DUMMYFUNCTION("""COMPUTED_VALUE"""),1.06599495899957)</f>
        <v>1.0659949589995701</v>
      </c>
      <c r="AA665" s="17">
        <f ca="1">IFERROR(__xludf.DUMMYFUNCTION("""COMPUTED_VALUE"""),1.57513343197531)</f>
        <v>1.5751334319753101</v>
      </c>
      <c r="AB665" s="17">
        <f ca="1">IFERROR(__xludf.DUMMYFUNCTION("""COMPUTED_VALUE"""),1.49786020494342)</f>
        <v>1.49786020494342</v>
      </c>
      <c r="AC665" s="17">
        <f ca="1">IFERROR(__xludf.DUMMYFUNCTION("""COMPUTED_VALUE"""),1.03675460901175)</f>
        <v>1.0367546090117501</v>
      </c>
      <c r="AD665" s="17">
        <f ca="1">IFERROR(__xludf.DUMMYFUNCTION("""COMPUTED_VALUE"""),1.0487331686053)</f>
        <v>1.0487331686053001</v>
      </c>
      <c r="AE665" s="17">
        <f ca="1">IFERROR(__xludf.DUMMYFUNCTION("""COMPUTED_VALUE"""),1.05829664695042)</f>
        <v>1.05829664695042</v>
      </c>
      <c r="AF665" s="17">
        <f ca="1">IFERROR(__xludf.DUMMYFUNCTION("""COMPUTED_VALUE"""),1.1130939237768)</f>
        <v>1.1130939237768001</v>
      </c>
      <c r="AG665" s="17">
        <f ca="1">IFERROR(__xludf.DUMMYFUNCTION("""COMPUTED_VALUE"""),1.08169703784002)</f>
        <v>1.0816970378400199</v>
      </c>
      <c r="AH665" s="17">
        <f ca="1">IFERROR(__xludf.DUMMYFUNCTION("""COMPUTED_VALUE"""),1.03763820934609)</f>
        <v>1.0376382093460901</v>
      </c>
      <c r="AI665" s="17" t="str">
        <f ca="1">IFERROR(__xludf.DUMMYFUNCTION("""COMPUTED_VALUE"""),"nan")</f>
        <v>nan</v>
      </c>
      <c r="AJ665" s="17">
        <f ca="1">IFERROR(__xludf.DUMMYFUNCTION("""COMPUTED_VALUE"""),1.12092298137713)</f>
        <v>1.12092298137713</v>
      </c>
    </row>
    <row r="666" spans="2:36" ht="15.75" customHeight="1" x14ac:dyDescent="0.45">
      <c r="B666" s="10" t="str">
        <f ca="1">IFERROR(__xludf.DUMMYFUNCTION("""COMPUTED_VALUE"""),"RefrigerationDevices")</f>
        <v>RefrigerationDevices</v>
      </c>
      <c r="C666" s="10" t="str">
        <f ca="1">IFERROR(__xludf.DUMMYFUNCTION("""COMPUTED_VALUE"""),"aligned_series")</f>
        <v>aligned_series</v>
      </c>
      <c r="D666" s="10">
        <f ca="1">IFERROR(__xludf.DUMMYFUNCTION("""COMPUTED_VALUE"""),0.8)</f>
        <v>0.8</v>
      </c>
      <c r="E666" s="17">
        <f ca="1">IFERROR(__xludf.DUMMYFUNCTION("""COMPUTED_VALUE"""),0.996466804768356)</f>
        <v>0.99646680476835603</v>
      </c>
      <c r="F666" s="17">
        <f ca="1">IFERROR(__xludf.DUMMYFUNCTION("""COMPUTED_VALUE"""),1.06372697002633)</f>
        <v>1.0637269700263301</v>
      </c>
      <c r="G666" s="17">
        <f ca="1">IFERROR(__xludf.DUMMYFUNCTION("""COMPUTED_VALUE"""),1.12602118804883)</f>
        <v>1.12602118804883</v>
      </c>
      <c r="H666" s="17">
        <f ca="1">IFERROR(__xludf.DUMMYFUNCTION("""COMPUTED_VALUE"""),1.0727711565339)</f>
        <v>1.0727711565339</v>
      </c>
      <c r="I666" s="17">
        <f ca="1">IFERROR(__xludf.DUMMYFUNCTION("""COMPUTED_VALUE"""),1.01289201133941)</f>
        <v>1.01289201133941</v>
      </c>
      <c r="J666" s="17">
        <f ca="1">IFERROR(__xludf.DUMMYFUNCTION("""COMPUTED_VALUE"""),1.23723264904234)</f>
        <v>1.23723264904234</v>
      </c>
      <c r="K666" s="17" t="str">
        <f ca="1">IFERROR(__xludf.DUMMYFUNCTION("""COMPUTED_VALUE"""),"nan")</f>
        <v>nan</v>
      </c>
      <c r="L666" s="17">
        <f ca="1">IFERROR(__xludf.DUMMYFUNCTION("""COMPUTED_VALUE"""),1.08371889763091)</f>
        <v>1.08371889763091</v>
      </c>
      <c r="M666" s="17">
        <f ca="1">IFERROR(__xludf.DUMMYFUNCTION("""COMPUTED_VALUE"""),1.13065601075804)</f>
        <v>1.1306560107580399</v>
      </c>
      <c r="N666" s="17">
        <f ca="1">IFERROR(__xludf.DUMMYFUNCTION("""COMPUTED_VALUE"""),1.07912155833478)</f>
        <v>1.07912155833478</v>
      </c>
      <c r="O666" s="17">
        <f ca="1">IFERROR(__xludf.DUMMYFUNCTION("""COMPUTED_VALUE"""),1.06168528116481)</f>
        <v>1.0616852811648101</v>
      </c>
      <c r="P666" s="17">
        <f ca="1">IFERROR(__xludf.DUMMYFUNCTION("""COMPUTED_VALUE"""),1.11486241963928)</f>
        <v>1.11486241963928</v>
      </c>
      <c r="Q666" s="17">
        <f ca="1">IFERROR(__xludf.DUMMYFUNCTION("""COMPUTED_VALUE"""),1.21330138137237)</f>
        <v>1.2133013813723701</v>
      </c>
      <c r="R666" s="17">
        <f ca="1">IFERROR(__xludf.DUMMYFUNCTION("""COMPUTED_VALUE"""),1.03949864631024)</f>
        <v>1.03949864631024</v>
      </c>
      <c r="S666" s="17">
        <f ca="1">IFERROR(__xludf.DUMMYFUNCTION("""COMPUTED_VALUE"""),1.20580846992678)</f>
        <v>1.2058084699267799</v>
      </c>
      <c r="T666" s="17">
        <f ca="1">IFERROR(__xludf.DUMMYFUNCTION("""COMPUTED_VALUE"""),1.07820108867399)</f>
        <v>1.0782010886739899</v>
      </c>
      <c r="U666" s="17">
        <f ca="1">IFERROR(__xludf.DUMMYFUNCTION("""COMPUTED_VALUE"""),1.05506482496424)</f>
        <v>1.05506482496424</v>
      </c>
      <c r="V666" s="17">
        <f ca="1">IFERROR(__xludf.DUMMYFUNCTION("""COMPUTED_VALUE"""),1.07831845094976)</f>
        <v>1.0783184509497601</v>
      </c>
      <c r="W666" s="17">
        <f ca="1">IFERROR(__xludf.DUMMYFUNCTION("""COMPUTED_VALUE"""),1.00252535327833)</f>
        <v>1.00252535327833</v>
      </c>
      <c r="X666" s="17">
        <f ca="1">IFERROR(__xludf.DUMMYFUNCTION("""COMPUTED_VALUE"""),1.03944991825012)</f>
        <v>1.03944991825012</v>
      </c>
      <c r="Y666" s="17">
        <f ca="1">IFERROR(__xludf.DUMMYFUNCTION("""COMPUTED_VALUE"""),1.13038737208873)</f>
        <v>1.1303873720887301</v>
      </c>
      <c r="Z666" s="17">
        <f ca="1">IFERROR(__xludf.DUMMYFUNCTION("""COMPUTED_VALUE"""),1.04450145734051)</f>
        <v>1.04450145734051</v>
      </c>
      <c r="AA666" s="17">
        <f ca="1">IFERROR(__xludf.DUMMYFUNCTION("""COMPUTED_VALUE"""),1.45911866550444)</f>
        <v>1.4591186655044399</v>
      </c>
      <c r="AB666" s="17">
        <f ca="1">IFERROR(__xludf.DUMMYFUNCTION("""COMPUTED_VALUE"""),1.60107929921083)</f>
        <v>1.60107929921083</v>
      </c>
      <c r="AC666" s="17">
        <f ca="1">IFERROR(__xludf.DUMMYFUNCTION("""COMPUTED_VALUE"""),1.02824360040935)</f>
        <v>1.02824360040935</v>
      </c>
      <c r="AD666" s="17">
        <f ca="1">IFERROR(__xludf.DUMMYFUNCTION("""COMPUTED_VALUE"""),1.0370691016198)</f>
        <v>1.0370691016197999</v>
      </c>
      <c r="AE666" s="17">
        <f ca="1">IFERROR(__xludf.DUMMYFUNCTION("""COMPUTED_VALUE"""),1.05732305338097)</f>
        <v>1.0573230533809701</v>
      </c>
      <c r="AF666" s="17">
        <f ca="1">IFERROR(__xludf.DUMMYFUNCTION("""COMPUTED_VALUE"""),1.09220494655972)</f>
        <v>1.0922049465597199</v>
      </c>
      <c r="AG666" s="17">
        <f ca="1">IFERROR(__xludf.DUMMYFUNCTION("""COMPUTED_VALUE"""),1.06611731643238)</f>
        <v>1.0661173164323801</v>
      </c>
      <c r="AH666" s="17">
        <f ca="1">IFERROR(__xludf.DUMMYFUNCTION("""COMPUTED_VALUE"""),1.03159257435626)</f>
        <v>1.03159257435626</v>
      </c>
      <c r="AI666" s="17" t="str">
        <f ca="1">IFERROR(__xludf.DUMMYFUNCTION("""COMPUTED_VALUE"""),"nan")</f>
        <v>nan</v>
      </c>
      <c r="AJ666" s="17">
        <f ca="1">IFERROR(__xludf.DUMMYFUNCTION("""COMPUTED_VALUE"""),1.08438377042694)</f>
        <v>1.0843837704269399</v>
      </c>
    </row>
    <row r="667" spans="2:36" ht="15.75" customHeight="1" x14ac:dyDescent="0.45">
      <c r="B667" s="10" t="str">
        <f ca="1">IFERROR(__xludf.DUMMYFUNCTION("""COMPUTED_VALUE"""),"RefrigerationDevices")</f>
        <v>RefrigerationDevices</v>
      </c>
      <c r="C667" s="10" t="str">
        <f ca="1">IFERROR(__xludf.DUMMYFUNCTION("""COMPUTED_VALUE"""),"aligned_timestamps")</f>
        <v>aligned_timestamps</v>
      </c>
      <c r="D667" s="10">
        <f ca="1">IFERROR(__xludf.DUMMYFUNCTION("""COMPUTED_VALUE"""),0.1)</f>
        <v>0.1</v>
      </c>
      <c r="E667" s="17">
        <f ca="1">IFERROR(__xludf.DUMMYFUNCTION("""COMPUTED_VALUE"""),0.990006215586185)</f>
        <v>0.99000621558618496</v>
      </c>
      <c r="F667" s="17">
        <f ca="1">IFERROR(__xludf.DUMMYFUNCTION("""COMPUTED_VALUE"""),1.01391455945524)</f>
        <v>1.0139145594552399</v>
      </c>
      <c r="G667" s="17">
        <f ca="1">IFERROR(__xludf.DUMMYFUNCTION("""COMPUTED_VALUE"""),1.01614249593384)</f>
        <v>1.0161424959338401</v>
      </c>
      <c r="H667" s="17">
        <f ca="1">IFERROR(__xludf.DUMMYFUNCTION("""COMPUTED_VALUE"""),1.04202583839564)</f>
        <v>1.04202583839564</v>
      </c>
      <c r="I667" s="17">
        <f ca="1">IFERROR(__xludf.DUMMYFUNCTION("""COMPUTED_VALUE"""),1.04483213393004)</f>
        <v>1.0448321339300399</v>
      </c>
      <c r="J667" s="17">
        <f ca="1">IFERROR(__xludf.DUMMYFUNCTION("""COMPUTED_VALUE"""),1.0943306806535)</f>
        <v>1.0943306806535</v>
      </c>
      <c r="K667" s="17" t="str">
        <f ca="1">IFERROR(__xludf.DUMMYFUNCTION("""COMPUTED_VALUE"""),"nan")</f>
        <v>nan</v>
      </c>
      <c r="L667" s="17">
        <f ca="1">IFERROR(__xludf.DUMMYFUNCTION("""COMPUTED_VALUE"""),1.05319763850225)</f>
        <v>1.0531976385022499</v>
      </c>
      <c r="M667" s="17">
        <f ca="1">IFERROR(__xludf.DUMMYFUNCTION("""COMPUTED_VALUE"""),1.00557144342645)</f>
        <v>1.00557144342645</v>
      </c>
      <c r="N667" s="17">
        <f ca="1">IFERROR(__xludf.DUMMYFUNCTION("""COMPUTED_VALUE"""),1.00141906184792)</f>
        <v>1.00141906184792</v>
      </c>
      <c r="O667" s="17">
        <f ca="1">IFERROR(__xludf.DUMMYFUNCTION("""COMPUTED_VALUE"""),1.01486719167917)</f>
        <v>1.0148671916791701</v>
      </c>
      <c r="P667" s="17">
        <f ca="1">IFERROR(__xludf.DUMMYFUNCTION("""COMPUTED_VALUE"""),1.0316849081831)</f>
        <v>1.0316849081831001</v>
      </c>
      <c r="Q667" s="17">
        <f ca="1">IFERROR(__xludf.DUMMYFUNCTION("""COMPUTED_VALUE"""),1.40211688095856)</f>
        <v>1.40211688095856</v>
      </c>
      <c r="R667" s="17">
        <f ca="1">IFERROR(__xludf.DUMMYFUNCTION("""COMPUTED_VALUE"""),1.18386435352878)</f>
        <v>1.1838643535287801</v>
      </c>
      <c r="S667" s="17">
        <f ca="1">IFERROR(__xludf.DUMMYFUNCTION("""COMPUTED_VALUE"""),1.21956564822722)</f>
        <v>1.2195656482272199</v>
      </c>
      <c r="T667" s="17">
        <f ca="1">IFERROR(__xludf.DUMMYFUNCTION("""COMPUTED_VALUE"""),1.10131108395478)</f>
        <v>1.1013110839547799</v>
      </c>
      <c r="U667" s="17">
        <f ca="1">IFERROR(__xludf.DUMMYFUNCTION("""COMPUTED_VALUE"""),1.13030666234961)</f>
        <v>1.1303066623496101</v>
      </c>
      <c r="V667" s="17">
        <f ca="1">IFERROR(__xludf.DUMMYFUNCTION("""COMPUTED_VALUE"""),1.11931706603687)</f>
        <v>1.1193170660368701</v>
      </c>
      <c r="W667" s="17">
        <f ca="1">IFERROR(__xludf.DUMMYFUNCTION("""COMPUTED_VALUE"""),0.992681571949224)</f>
        <v>0.99268157194922402</v>
      </c>
      <c r="X667" s="17">
        <f ca="1">IFERROR(__xludf.DUMMYFUNCTION("""COMPUTED_VALUE"""),1.00716201853187)</f>
        <v>1.0071620185318699</v>
      </c>
      <c r="Y667" s="17">
        <f ca="1">IFERROR(__xludf.DUMMYFUNCTION("""COMPUTED_VALUE"""),1.10028626957058)</f>
        <v>1.10028626957058</v>
      </c>
      <c r="Z667" s="17">
        <f ca="1">IFERROR(__xludf.DUMMYFUNCTION("""COMPUTED_VALUE"""),1.07592399711747)</f>
        <v>1.0759239971174701</v>
      </c>
      <c r="AA667" s="17">
        <f ca="1">IFERROR(__xludf.DUMMYFUNCTION("""COMPUTED_VALUE"""),1.67312558311414)</f>
        <v>1.6731255831141401</v>
      </c>
      <c r="AB667" s="17">
        <f ca="1">IFERROR(__xludf.DUMMYFUNCTION("""COMPUTED_VALUE"""),1.44228375325698)</f>
        <v>1.4422837532569801</v>
      </c>
      <c r="AC667" s="17">
        <f ca="1">IFERROR(__xludf.DUMMYFUNCTION("""COMPUTED_VALUE"""),1.04420416070696)</f>
        <v>1.0442041607069601</v>
      </c>
      <c r="AD667" s="17">
        <f ca="1">IFERROR(__xludf.DUMMYFUNCTION("""COMPUTED_VALUE"""),1.03005253721345)</f>
        <v>1.0300525372134499</v>
      </c>
      <c r="AE667" s="17">
        <f ca="1">IFERROR(__xludf.DUMMYFUNCTION("""COMPUTED_VALUE"""),0.944515004826658)</f>
        <v>0.94451500482665796</v>
      </c>
      <c r="AF667" s="17">
        <f ca="1">IFERROR(__xludf.DUMMYFUNCTION("""COMPUTED_VALUE"""),1.03096927061133)</f>
        <v>1.03096927061133</v>
      </c>
      <c r="AG667" s="17">
        <f ca="1">IFERROR(__xludf.DUMMYFUNCTION("""COMPUTED_VALUE"""),1.08384953141443)</f>
        <v>1.0838495314144301</v>
      </c>
      <c r="AH667" s="17">
        <f ca="1">IFERROR(__xludf.DUMMYFUNCTION("""COMPUTED_VALUE"""),1.06785905684991)</f>
        <v>1.06785905684991</v>
      </c>
      <c r="AI667" s="17" t="str">
        <f ca="1">IFERROR(__xludf.DUMMYFUNCTION("""COMPUTED_VALUE"""),"nan")</f>
        <v>nan</v>
      </c>
      <c r="AJ667" s="17">
        <f ca="1">IFERROR(__xludf.DUMMYFUNCTION("""COMPUTED_VALUE"""),1.14972504211132)</f>
        <v>1.1497250421113201</v>
      </c>
    </row>
    <row r="668" spans="2:36" ht="15.75" customHeight="1" x14ac:dyDescent="0.45">
      <c r="B668" s="10" t="str">
        <f ca="1">IFERROR(__xludf.DUMMYFUNCTION("""COMPUTED_VALUE"""),"RefrigerationDevices")</f>
        <v>RefrigerationDevices</v>
      </c>
      <c r="C668" s="10" t="str">
        <f ca="1">IFERROR(__xludf.DUMMYFUNCTION("""COMPUTED_VALUE"""),"aligned_timestamps")</f>
        <v>aligned_timestamps</v>
      </c>
      <c r="D668" s="10">
        <f ca="1">IFERROR(__xludf.DUMMYFUNCTION("""COMPUTED_VALUE"""),0.2)</f>
        <v>0.2</v>
      </c>
      <c r="E668" s="17">
        <f ca="1">IFERROR(__xludf.DUMMYFUNCTION("""COMPUTED_VALUE"""),1.02864066088975)</f>
        <v>1.02864066088975</v>
      </c>
      <c r="F668" s="17">
        <f ca="1">IFERROR(__xludf.DUMMYFUNCTION("""COMPUTED_VALUE"""),1.06062266018481)</f>
        <v>1.0606226601848101</v>
      </c>
      <c r="G668" s="17">
        <f ca="1">IFERROR(__xludf.DUMMYFUNCTION("""COMPUTED_VALUE"""),1.06626106155511)</f>
        <v>1.06626106155511</v>
      </c>
      <c r="H668" s="17">
        <f ca="1">IFERROR(__xludf.DUMMYFUNCTION("""COMPUTED_VALUE"""),1.06071913016574)</f>
        <v>1.0607191301657399</v>
      </c>
      <c r="I668" s="17">
        <f ca="1">IFERROR(__xludf.DUMMYFUNCTION("""COMPUTED_VALUE"""),1.07611792704368)</f>
        <v>1.07611792704368</v>
      </c>
      <c r="J668" s="17">
        <f ca="1">IFERROR(__xludf.DUMMYFUNCTION("""COMPUTED_VALUE"""),1.15932816140821)</f>
        <v>1.15932816140821</v>
      </c>
      <c r="K668" s="17" t="str">
        <f ca="1">IFERROR(__xludf.DUMMYFUNCTION("""COMPUTED_VALUE"""),"nan")</f>
        <v>nan</v>
      </c>
      <c r="L668" s="17">
        <f ca="1">IFERROR(__xludf.DUMMYFUNCTION("""COMPUTED_VALUE"""),1.0897813227993)</f>
        <v>1.0897813227993001</v>
      </c>
      <c r="M668" s="17">
        <f ca="1">IFERROR(__xludf.DUMMYFUNCTION("""COMPUTED_VALUE"""),1.06293769237567)</f>
        <v>1.0629376923756699</v>
      </c>
      <c r="N668" s="17">
        <f ca="1">IFERROR(__xludf.DUMMYFUNCTION("""COMPUTED_VALUE"""),1.04959955440111)</f>
        <v>1.0495995544011101</v>
      </c>
      <c r="O668" s="17">
        <f ca="1">IFERROR(__xludf.DUMMYFUNCTION("""COMPUTED_VALUE"""),1.06423574586086)</f>
        <v>1.06423574586086</v>
      </c>
      <c r="P668" s="17">
        <f ca="1">IFERROR(__xludf.DUMMYFUNCTION("""COMPUTED_VALUE"""),1.08669241933501)</f>
        <v>1.08669241933501</v>
      </c>
      <c r="Q668" s="17">
        <f ca="1">IFERROR(__xludf.DUMMYFUNCTION("""COMPUTED_VALUE"""),1.42482024885274)</f>
        <v>1.4248202488527399</v>
      </c>
      <c r="R668" s="17">
        <f ca="1">IFERROR(__xludf.DUMMYFUNCTION("""COMPUTED_VALUE"""),1.21664582387434)</f>
        <v>1.2166458238743401</v>
      </c>
      <c r="S668" s="17">
        <f ca="1">IFERROR(__xludf.DUMMYFUNCTION("""COMPUTED_VALUE"""),1.27195009211657)</f>
        <v>1.2719500921165701</v>
      </c>
      <c r="T668" s="17">
        <f ca="1">IFERROR(__xludf.DUMMYFUNCTION("""COMPUTED_VALUE"""),1.10242192867499)</f>
        <v>1.1024219286749899</v>
      </c>
      <c r="U668" s="17">
        <f ca="1">IFERROR(__xludf.DUMMYFUNCTION("""COMPUTED_VALUE"""),1.16118695701211)</f>
        <v>1.1611869570121101</v>
      </c>
      <c r="V668" s="17">
        <f ca="1">IFERROR(__xludf.DUMMYFUNCTION("""COMPUTED_VALUE"""),1.15430331075657)</f>
        <v>1.1543033107565699</v>
      </c>
      <c r="W668" s="17">
        <f ca="1">IFERROR(__xludf.DUMMYFUNCTION("""COMPUTED_VALUE"""),1.04161440188709)</f>
        <v>1.0416144018870901</v>
      </c>
      <c r="X668" s="17">
        <f ca="1">IFERROR(__xludf.DUMMYFUNCTION("""COMPUTED_VALUE"""),1.09373290832348)</f>
        <v>1.0937329083234799</v>
      </c>
      <c r="Y668" s="17">
        <f ca="1">IFERROR(__xludf.DUMMYFUNCTION("""COMPUTED_VALUE"""),1.15249498457788)</f>
        <v>1.15249498457788</v>
      </c>
      <c r="Z668" s="17">
        <f ca="1">IFERROR(__xludf.DUMMYFUNCTION("""COMPUTED_VALUE"""),1.11188593720657)</f>
        <v>1.1118859372065699</v>
      </c>
      <c r="AA668" s="17">
        <f ca="1">IFERROR(__xludf.DUMMYFUNCTION("""COMPUTED_VALUE"""),1.78155031985014)</f>
        <v>1.7815503198501399</v>
      </c>
      <c r="AB668" s="17">
        <f ca="1">IFERROR(__xludf.DUMMYFUNCTION("""COMPUTED_VALUE"""),1.44895193426356)</f>
        <v>1.4489519342635599</v>
      </c>
      <c r="AC668" s="17">
        <f ca="1">IFERROR(__xludf.DUMMYFUNCTION("""COMPUTED_VALUE"""),1.08116148777209)</f>
        <v>1.0811614877720901</v>
      </c>
      <c r="AD668" s="17">
        <f ca="1">IFERROR(__xludf.DUMMYFUNCTION("""COMPUTED_VALUE"""),1.06694961523667)</f>
        <v>1.06694961523667</v>
      </c>
      <c r="AE668" s="17">
        <f ca="1">IFERROR(__xludf.DUMMYFUNCTION("""COMPUTED_VALUE"""),1.0771165746748)</f>
        <v>1.0771165746747999</v>
      </c>
      <c r="AF668" s="17">
        <f ca="1">IFERROR(__xludf.DUMMYFUNCTION("""COMPUTED_VALUE"""),1.14437029764187)</f>
        <v>1.1443702976418699</v>
      </c>
      <c r="AG668" s="17">
        <f ca="1">IFERROR(__xludf.DUMMYFUNCTION("""COMPUTED_VALUE"""),1.14237895538528)</f>
        <v>1.1423789553852799</v>
      </c>
      <c r="AH668" s="17">
        <f ca="1">IFERROR(__xludf.DUMMYFUNCTION("""COMPUTED_VALUE"""),1.09007117105271)</f>
        <v>1.09007117105271</v>
      </c>
      <c r="AI668" s="17" t="str">
        <f ca="1">IFERROR(__xludf.DUMMYFUNCTION("""COMPUTED_VALUE"""),"nan")</f>
        <v>nan</v>
      </c>
      <c r="AJ668" s="17">
        <f ca="1">IFERROR(__xludf.DUMMYFUNCTION("""COMPUTED_VALUE"""),1.2093326452442)</f>
        <v>1.2093326452441999</v>
      </c>
    </row>
    <row r="669" spans="2:36" ht="15.75" customHeight="1" x14ac:dyDescent="0.45">
      <c r="B669" s="10" t="str">
        <f ca="1">IFERROR(__xludf.DUMMYFUNCTION("""COMPUTED_VALUE"""),"RefrigerationDevices")</f>
        <v>RefrigerationDevices</v>
      </c>
      <c r="C669" s="10" t="str">
        <f ca="1">IFERROR(__xludf.DUMMYFUNCTION("""COMPUTED_VALUE"""),"aligned_timestamps")</f>
        <v>aligned_timestamps</v>
      </c>
      <c r="D669" s="10">
        <f ca="1">IFERROR(__xludf.DUMMYFUNCTION("""COMPUTED_VALUE"""),0.4)</f>
        <v>0.4</v>
      </c>
      <c r="E669" s="17">
        <f ca="1">IFERROR(__xludf.DUMMYFUNCTION("""COMPUTED_VALUE"""),1.01176437648073)</f>
        <v>1.01176437648073</v>
      </c>
      <c r="F669" s="17">
        <f ca="1">IFERROR(__xludf.DUMMYFUNCTION("""COMPUTED_VALUE"""),1.07672116224869)</f>
        <v>1.0767211622486901</v>
      </c>
      <c r="G669" s="17">
        <f ca="1">IFERROR(__xludf.DUMMYFUNCTION("""COMPUTED_VALUE"""),1.19235148141226)</f>
        <v>1.19235148141226</v>
      </c>
      <c r="H669" s="17">
        <f ca="1">IFERROR(__xludf.DUMMYFUNCTION("""COMPUTED_VALUE"""),1.04593319358116)</f>
        <v>1.04593319358116</v>
      </c>
      <c r="I669" s="17">
        <f ca="1">IFERROR(__xludf.DUMMYFUNCTION("""COMPUTED_VALUE"""),1.05316335403759)</f>
        <v>1.05316335403759</v>
      </c>
      <c r="J669" s="17">
        <f ca="1">IFERROR(__xludf.DUMMYFUNCTION("""COMPUTED_VALUE"""),1.21472839050136)</f>
        <v>1.2147283905013599</v>
      </c>
      <c r="K669" s="17" t="str">
        <f ca="1">IFERROR(__xludf.DUMMYFUNCTION("""COMPUTED_VALUE"""),"nan")</f>
        <v>nan</v>
      </c>
      <c r="L669" s="17">
        <f ca="1">IFERROR(__xludf.DUMMYFUNCTION("""COMPUTED_VALUE"""),1.13731710499701)</f>
        <v>1.1373171049970101</v>
      </c>
      <c r="M669" s="17">
        <f ca="1">IFERROR(__xludf.DUMMYFUNCTION("""COMPUTED_VALUE"""),1.05962315855041)</f>
        <v>1.0596231585504099</v>
      </c>
      <c r="N669" s="17">
        <f ca="1">IFERROR(__xludf.DUMMYFUNCTION("""COMPUTED_VALUE"""),1.04698015423708)</f>
        <v>1.04698015423708</v>
      </c>
      <c r="O669" s="17">
        <f ca="1">IFERROR(__xludf.DUMMYFUNCTION("""COMPUTED_VALUE"""),1.12133398413781)</f>
        <v>1.12133398413781</v>
      </c>
      <c r="P669" s="17">
        <f ca="1">IFERROR(__xludf.DUMMYFUNCTION("""COMPUTED_VALUE"""),1.082940121488)</f>
        <v>1.0829401214879999</v>
      </c>
      <c r="Q669" s="17">
        <f ca="1">IFERROR(__xludf.DUMMYFUNCTION("""COMPUTED_VALUE"""),1.41708024061398)</f>
        <v>1.41708024061398</v>
      </c>
      <c r="R669" s="17">
        <f ca="1">IFERROR(__xludf.DUMMYFUNCTION("""COMPUTED_VALUE"""),1.20162783955883)</f>
        <v>1.20162783955883</v>
      </c>
      <c r="S669" s="17">
        <f ca="1">IFERROR(__xludf.DUMMYFUNCTION("""COMPUTED_VALUE"""),1.24278235081567)</f>
        <v>1.2427823508156699</v>
      </c>
      <c r="T669" s="17">
        <f ca="1">IFERROR(__xludf.DUMMYFUNCTION("""COMPUTED_VALUE"""),1.11088522018019)</f>
        <v>1.11088522018019</v>
      </c>
      <c r="U669" s="17">
        <f ca="1">IFERROR(__xludf.DUMMYFUNCTION("""COMPUTED_VALUE"""),1.1559853414666)</f>
        <v>1.1559853414665999</v>
      </c>
      <c r="V669" s="17">
        <f ca="1">IFERROR(__xludf.DUMMYFUNCTION("""COMPUTED_VALUE"""),1.13738947008867)</f>
        <v>1.13738947008867</v>
      </c>
      <c r="W669" s="17">
        <f ca="1">IFERROR(__xludf.DUMMYFUNCTION("""COMPUTED_VALUE"""),1.04198238146156)</f>
        <v>1.0419823814615601</v>
      </c>
      <c r="X669" s="17">
        <f ca="1">IFERROR(__xludf.DUMMYFUNCTION("""COMPUTED_VALUE"""),1.04567130111184)</f>
        <v>1.0456713011118399</v>
      </c>
      <c r="Y669" s="17">
        <f ca="1">IFERROR(__xludf.DUMMYFUNCTION("""COMPUTED_VALUE"""),1.15215118266243)</f>
        <v>1.15215118266243</v>
      </c>
      <c r="Z669" s="17">
        <f ca="1">IFERROR(__xludf.DUMMYFUNCTION("""COMPUTED_VALUE"""),1.0569077506136)</f>
        <v>1.0569077506136</v>
      </c>
      <c r="AA669" s="17">
        <f ca="1">IFERROR(__xludf.DUMMYFUNCTION("""COMPUTED_VALUE"""),1.90811440358232)</f>
        <v>1.9081144035823201</v>
      </c>
      <c r="AB669" s="17">
        <f ca="1">IFERROR(__xludf.DUMMYFUNCTION("""COMPUTED_VALUE"""),1.45905492147347)</f>
        <v>1.45905492147347</v>
      </c>
      <c r="AC669" s="17">
        <f ca="1">IFERROR(__xludf.DUMMYFUNCTION("""COMPUTED_VALUE"""),1.09377979450877)</f>
        <v>1.0937797945087699</v>
      </c>
      <c r="AD669" s="17">
        <f ca="1">IFERROR(__xludf.DUMMYFUNCTION("""COMPUTED_VALUE"""),1.06793454262819)</f>
        <v>1.0679345426281901</v>
      </c>
      <c r="AE669" s="17" t="str">
        <f ca="1">IFERROR(__xludf.DUMMYFUNCTION("""COMPUTED_VALUE"""),"nan")</f>
        <v>nan</v>
      </c>
      <c r="AF669" s="17">
        <f ca="1">IFERROR(__xludf.DUMMYFUNCTION("""COMPUTED_VALUE"""),1.07067323373201)</f>
        <v>1.07067323373201</v>
      </c>
      <c r="AG669" s="17">
        <f ca="1">IFERROR(__xludf.DUMMYFUNCTION("""COMPUTED_VALUE"""),1.13532293763595)</f>
        <v>1.1353229376359499</v>
      </c>
      <c r="AH669" s="17">
        <f ca="1">IFERROR(__xludf.DUMMYFUNCTION("""COMPUTED_VALUE"""),1.02891430651771)</f>
        <v>1.02891430651771</v>
      </c>
      <c r="AI669" s="17" t="str">
        <f ca="1">IFERROR(__xludf.DUMMYFUNCTION("""COMPUTED_VALUE"""),"nan")</f>
        <v>nan</v>
      </c>
      <c r="AJ669" s="17">
        <f ca="1">IFERROR(__xludf.DUMMYFUNCTION("""COMPUTED_VALUE"""),1.15216831702246)</f>
        <v>1.1521683170224599</v>
      </c>
    </row>
    <row r="670" spans="2:36" ht="15.75" customHeight="1" x14ac:dyDescent="0.45">
      <c r="B670" s="10" t="str">
        <f ca="1">IFERROR(__xludf.DUMMYFUNCTION("""COMPUTED_VALUE"""),"RefrigerationDevices")</f>
        <v>RefrigerationDevices</v>
      </c>
      <c r="C670" s="10" t="str">
        <f ca="1">IFERROR(__xludf.DUMMYFUNCTION("""COMPUTED_VALUE"""),"aligned_timestamps")</f>
        <v>aligned_timestamps</v>
      </c>
      <c r="D670" s="10">
        <f ca="1">IFERROR(__xludf.DUMMYFUNCTION("""COMPUTED_VALUE"""),0.6)</f>
        <v>0.6</v>
      </c>
      <c r="E670" s="17">
        <f ca="1">IFERROR(__xludf.DUMMYFUNCTION("""COMPUTED_VALUE"""),1.00586776134852)</f>
        <v>1.0058677613485201</v>
      </c>
      <c r="F670" s="17">
        <f ca="1">IFERROR(__xludf.DUMMYFUNCTION("""COMPUTED_VALUE"""),1.09512734034894)</f>
        <v>1.0951273403489401</v>
      </c>
      <c r="G670" s="17">
        <f ca="1">IFERROR(__xludf.DUMMYFUNCTION("""COMPUTED_VALUE"""),1.1885820987945)</f>
        <v>1.1885820987944999</v>
      </c>
      <c r="H670" s="17">
        <f ca="1">IFERROR(__xludf.DUMMYFUNCTION("""COMPUTED_VALUE"""),1.03094932530645)</f>
        <v>1.0309493253064499</v>
      </c>
      <c r="I670" s="17">
        <f ca="1">IFERROR(__xludf.DUMMYFUNCTION("""COMPUTED_VALUE"""),1.04809863888666)</f>
        <v>1.04809863888666</v>
      </c>
      <c r="J670" s="17">
        <f ca="1">IFERROR(__xludf.DUMMYFUNCTION("""COMPUTED_VALUE"""),1.24463188287963)</f>
        <v>1.2446318828796299</v>
      </c>
      <c r="K670" s="17" t="str">
        <f ca="1">IFERROR(__xludf.DUMMYFUNCTION("""COMPUTED_VALUE"""),"nan")</f>
        <v>nan</v>
      </c>
      <c r="L670" s="17">
        <f ca="1">IFERROR(__xludf.DUMMYFUNCTION("""COMPUTED_VALUE"""),1.175082066528)</f>
        <v>1.175082066528</v>
      </c>
      <c r="M670" s="17">
        <f ca="1">IFERROR(__xludf.DUMMYFUNCTION("""COMPUTED_VALUE"""),1.15882444462533)</f>
        <v>1.15882444462533</v>
      </c>
      <c r="N670" s="17">
        <f ca="1">IFERROR(__xludf.DUMMYFUNCTION("""COMPUTED_VALUE"""),1.0532681635475)</f>
        <v>1.0532681635475001</v>
      </c>
      <c r="O670" s="17">
        <f ca="1">IFERROR(__xludf.DUMMYFUNCTION("""COMPUTED_VALUE"""),1.13413491150939)</f>
        <v>1.1341349115093899</v>
      </c>
      <c r="P670" s="17">
        <f ca="1">IFERROR(__xludf.DUMMYFUNCTION("""COMPUTED_VALUE"""),1.08690894671643)</f>
        <v>1.0869089467164299</v>
      </c>
      <c r="Q670" s="17">
        <f ca="1">IFERROR(__xludf.DUMMYFUNCTION("""COMPUTED_VALUE"""),1.41992851115156)</f>
        <v>1.41992851115156</v>
      </c>
      <c r="R670" s="17">
        <f ca="1">IFERROR(__xludf.DUMMYFUNCTION("""COMPUTED_VALUE"""),1.22094191776416)</f>
        <v>1.2209419177641601</v>
      </c>
      <c r="S670" s="17">
        <f ca="1">IFERROR(__xludf.DUMMYFUNCTION("""COMPUTED_VALUE"""),1.23445178755092)</f>
        <v>1.23445178755092</v>
      </c>
      <c r="T670" s="17">
        <f ca="1">IFERROR(__xludf.DUMMYFUNCTION("""COMPUTED_VALUE"""),1.10514458042232)</f>
        <v>1.1051445804223201</v>
      </c>
      <c r="U670" s="17">
        <f ca="1">IFERROR(__xludf.DUMMYFUNCTION("""COMPUTED_VALUE"""),1.1467112983324)</f>
        <v>1.1467112983323999</v>
      </c>
      <c r="V670" s="17">
        <f ca="1">IFERROR(__xludf.DUMMYFUNCTION("""COMPUTED_VALUE"""),1.12872683912403)</f>
        <v>1.1287268391240299</v>
      </c>
      <c r="W670" s="17">
        <f ca="1">IFERROR(__xludf.DUMMYFUNCTION("""COMPUTED_VALUE"""),1.04772871029499)</f>
        <v>1.0477287102949899</v>
      </c>
      <c r="X670" s="17">
        <f ca="1">IFERROR(__xludf.DUMMYFUNCTION("""COMPUTED_VALUE"""),33.6964849138728)</f>
        <v>33.696484913872801</v>
      </c>
      <c r="Y670" s="17">
        <f ca="1">IFERROR(__xludf.DUMMYFUNCTION("""COMPUTED_VALUE"""),1.1511734264462)</f>
        <v>1.1511734264461999</v>
      </c>
      <c r="Z670" s="17">
        <f ca="1">IFERROR(__xludf.DUMMYFUNCTION("""COMPUTED_VALUE"""),1.02823804693905)</f>
        <v>1.02823804693905</v>
      </c>
      <c r="AA670" s="17">
        <f ca="1">IFERROR(__xludf.DUMMYFUNCTION("""COMPUTED_VALUE"""),1.9942876500252)</f>
        <v>1.9942876500252</v>
      </c>
      <c r="AB670" s="17">
        <f ca="1">IFERROR(__xludf.DUMMYFUNCTION("""COMPUTED_VALUE"""),1.40190034796254)</f>
        <v>1.40190034796254</v>
      </c>
      <c r="AC670" s="17">
        <f ca="1">IFERROR(__xludf.DUMMYFUNCTION("""COMPUTED_VALUE"""),1.05909323509448)</f>
        <v>1.0590932350944799</v>
      </c>
      <c r="AD670" s="17">
        <f ca="1">IFERROR(__xludf.DUMMYFUNCTION("""COMPUTED_VALUE"""),1.06980631392596)</f>
        <v>1.0698063139259599</v>
      </c>
      <c r="AE670" s="17" t="str">
        <f ca="1">IFERROR(__xludf.DUMMYFUNCTION("""COMPUTED_VALUE"""),"nan")</f>
        <v>nan</v>
      </c>
      <c r="AF670" s="17">
        <f ca="1">IFERROR(__xludf.DUMMYFUNCTION("""COMPUTED_VALUE"""),1.06343034040031)</f>
        <v>1.06343034040031</v>
      </c>
      <c r="AG670" s="17">
        <f ca="1">IFERROR(__xludf.DUMMYFUNCTION("""COMPUTED_VALUE"""),1.15838394316581)</f>
        <v>1.1583839431658101</v>
      </c>
      <c r="AH670" s="17">
        <f ca="1">IFERROR(__xludf.DUMMYFUNCTION("""COMPUTED_VALUE"""),1.02664498840397)</f>
        <v>1.0266449884039699</v>
      </c>
      <c r="AI670" s="17" t="str">
        <f ca="1">IFERROR(__xludf.DUMMYFUNCTION("""COMPUTED_VALUE"""),"nan")</f>
        <v>nan</v>
      </c>
      <c r="AJ670" s="17">
        <f ca="1">IFERROR(__xludf.DUMMYFUNCTION("""COMPUTED_VALUE"""),1.17018293789994)</f>
        <v>1.17018293789994</v>
      </c>
    </row>
    <row r="671" spans="2:36" ht="15.75" customHeight="1" x14ac:dyDescent="0.45">
      <c r="B671" s="10" t="str">
        <f ca="1">IFERROR(__xludf.DUMMYFUNCTION("""COMPUTED_VALUE"""),"RefrigerationDevices")</f>
        <v>RefrigerationDevices</v>
      </c>
      <c r="C671" s="10" t="str">
        <f ca="1">IFERROR(__xludf.DUMMYFUNCTION("""COMPUTED_VALUE"""),"aligned_timestamps")</f>
        <v>aligned_timestamps</v>
      </c>
      <c r="D671" s="10">
        <f ca="1">IFERROR(__xludf.DUMMYFUNCTION("""COMPUTED_VALUE"""),0.8)</f>
        <v>0.8</v>
      </c>
      <c r="E671" s="17">
        <f ca="1">IFERROR(__xludf.DUMMYFUNCTION("""COMPUTED_VALUE"""),1.00284606878186)</f>
        <v>1.0028460687818599</v>
      </c>
      <c r="F671" s="17">
        <f ca="1">IFERROR(__xludf.DUMMYFUNCTION("""COMPUTED_VALUE"""),1.11950715513297)</f>
        <v>1.1195071551329701</v>
      </c>
      <c r="G671" s="17">
        <f ca="1">IFERROR(__xludf.DUMMYFUNCTION("""COMPUTED_VALUE"""),1.2589908752074)</f>
        <v>1.2589908752073999</v>
      </c>
      <c r="H671" s="17">
        <f ca="1">IFERROR(__xludf.DUMMYFUNCTION("""COMPUTED_VALUE"""),1.02401488399333)</f>
        <v>1.0240148839933301</v>
      </c>
      <c r="I671" s="17">
        <f ca="1">IFERROR(__xludf.DUMMYFUNCTION("""COMPUTED_VALUE"""),1.03975924466849)</f>
        <v>1.03975924466849</v>
      </c>
      <c r="J671" s="17">
        <f ca="1">IFERROR(__xludf.DUMMYFUNCTION("""COMPUTED_VALUE"""),1.26690193282108)</f>
        <v>1.26690193282108</v>
      </c>
      <c r="K671" s="17" t="str">
        <f ca="1">IFERROR(__xludf.DUMMYFUNCTION("""COMPUTED_VALUE"""),"nan")</f>
        <v>nan</v>
      </c>
      <c r="L671" s="17">
        <f ca="1">IFERROR(__xludf.DUMMYFUNCTION("""COMPUTED_VALUE"""),1.23632071781303)</f>
        <v>1.23632071781303</v>
      </c>
      <c r="M671" s="17">
        <f ca="1">IFERROR(__xludf.DUMMYFUNCTION("""COMPUTED_VALUE"""),1.19638434571913)</f>
        <v>1.1963843457191301</v>
      </c>
      <c r="N671" s="17">
        <f ca="1">IFERROR(__xludf.DUMMYFUNCTION("""COMPUTED_VALUE"""),1.07860897165985)</f>
        <v>1.0786089716598499</v>
      </c>
      <c r="O671" s="17">
        <f ca="1">IFERROR(__xludf.DUMMYFUNCTION("""COMPUTED_VALUE"""),1.12786460389908)</f>
        <v>1.1278646038990801</v>
      </c>
      <c r="P671" s="17">
        <f ca="1">IFERROR(__xludf.DUMMYFUNCTION("""COMPUTED_VALUE"""),1.08453910462541)</f>
        <v>1.08453910462541</v>
      </c>
      <c r="Q671" s="17">
        <f ca="1">IFERROR(__xludf.DUMMYFUNCTION("""COMPUTED_VALUE"""),1.42441176611132)</f>
        <v>1.42441176611132</v>
      </c>
      <c r="R671" s="17">
        <f ca="1">IFERROR(__xludf.DUMMYFUNCTION("""COMPUTED_VALUE"""),1.18432007698874)</f>
        <v>1.1843200769887401</v>
      </c>
      <c r="S671" s="17">
        <f ca="1">IFERROR(__xludf.DUMMYFUNCTION("""COMPUTED_VALUE"""),1.22671624934085)</f>
        <v>1.2267162493408501</v>
      </c>
      <c r="T671" s="17">
        <f ca="1">IFERROR(__xludf.DUMMYFUNCTION("""COMPUTED_VALUE"""),1.10705669332509)</f>
        <v>1.10705669332509</v>
      </c>
      <c r="U671" s="17">
        <f ca="1">IFERROR(__xludf.DUMMYFUNCTION("""COMPUTED_VALUE"""),1.16001901665314)</f>
        <v>1.1600190166531399</v>
      </c>
      <c r="V671" s="17">
        <f ca="1">IFERROR(__xludf.DUMMYFUNCTION("""COMPUTED_VALUE"""),1.1410166605792)</f>
        <v>1.1410166605792</v>
      </c>
      <c r="W671" s="17">
        <f ca="1">IFERROR(__xludf.DUMMYFUNCTION("""COMPUTED_VALUE"""),1.04557190179996)</f>
        <v>1.0455719017999601</v>
      </c>
      <c r="X671" s="17">
        <f ca="1">IFERROR(__xludf.DUMMYFUNCTION("""COMPUTED_VALUE"""),2.65794491942916)</f>
        <v>2.65794491942916</v>
      </c>
      <c r="Y671" s="17">
        <f ca="1">IFERROR(__xludf.DUMMYFUNCTION("""COMPUTED_VALUE"""),1.16135369631907)</f>
        <v>1.16135369631907</v>
      </c>
      <c r="Z671" s="17">
        <f ca="1">IFERROR(__xludf.DUMMYFUNCTION("""COMPUTED_VALUE"""),1.01739611828724)</f>
        <v>1.01739611828724</v>
      </c>
      <c r="AA671" s="17">
        <f ca="1">IFERROR(__xludf.DUMMYFUNCTION("""COMPUTED_VALUE"""),2.87007417687049)</f>
        <v>2.87007417687049</v>
      </c>
      <c r="AB671" s="17">
        <f ca="1">IFERROR(__xludf.DUMMYFUNCTION("""COMPUTED_VALUE"""),1.41899817929757)</f>
        <v>1.4189981792975701</v>
      </c>
      <c r="AC671" s="17">
        <f ca="1">IFERROR(__xludf.DUMMYFUNCTION("""COMPUTED_VALUE"""),1.0533848705542)</f>
        <v>1.0533848705541999</v>
      </c>
      <c r="AD671" s="17">
        <f ca="1">IFERROR(__xludf.DUMMYFUNCTION("""COMPUTED_VALUE"""),1.06429356632948)</f>
        <v>1.0642935663294799</v>
      </c>
      <c r="AE671" s="17" t="str">
        <f ca="1">IFERROR(__xludf.DUMMYFUNCTION("""COMPUTED_VALUE"""),"nan")</f>
        <v>nan</v>
      </c>
      <c r="AF671" s="17">
        <f ca="1">IFERROR(__xludf.DUMMYFUNCTION("""COMPUTED_VALUE"""),1.05618032980705)</f>
        <v>1.05618032980705</v>
      </c>
      <c r="AG671" s="17">
        <f ca="1">IFERROR(__xludf.DUMMYFUNCTION("""COMPUTED_VALUE"""),1.14012312216023)</f>
        <v>1.1401231221602299</v>
      </c>
      <c r="AH671" s="17">
        <f ca="1">IFERROR(__xludf.DUMMYFUNCTION("""COMPUTED_VALUE"""),1.02188983390976)</f>
        <v>1.02188983390976</v>
      </c>
      <c r="AI671" s="17" t="str">
        <f ca="1">IFERROR(__xludf.DUMMYFUNCTION("""COMPUTED_VALUE"""),"nan")</f>
        <v>nan</v>
      </c>
      <c r="AJ671" s="17">
        <f ca="1">IFERROR(__xludf.DUMMYFUNCTION("""COMPUTED_VALUE"""),1.19755778440555)</f>
        <v>1.1975577844055501</v>
      </c>
    </row>
    <row r="672" spans="2:36" ht="15.75" customHeight="1" x14ac:dyDescent="0.45">
      <c r="B672" s="10" t="str">
        <f ca="1">IFERROR(__xludf.DUMMYFUNCTION("""COMPUTED_VALUE"""),"RefrigerationDevices")</f>
        <v>RefrigerationDevices</v>
      </c>
      <c r="C672" s="10" t="str">
        <f ca="1">IFERROR(__xludf.DUMMYFUNCTION("""COMPUTED_VALUE"""),"mcar")</f>
        <v>mcar</v>
      </c>
      <c r="D672" s="10">
        <f ca="1">IFERROR(__xludf.DUMMYFUNCTION("""COMPUTED_VALUE"""),0.1)</f>
        <v>0.1</v>
      </c>
      <c r="E672" s="17">
        <f ca="1">IFERROR(__xludf.DUMMYFUNCTION("""COMPUTED_VALUE"""),0.999139428933938)</f>
        <v>0.99913942893393803</v>
      </c>
      <c r="F672" s="17">
        <f ca="1">IFERROR(__xludf.DUMMYFUNCTION("""COMPUTED_VALUE"""),1.02984441234698)</f>
        <v>1.0298444123469801</v>
      </c>
      <c r="G672" s="17">
        <f ca="1">IFERROR(__xludf.DUMMYFUNCTION("""COMPUTED_VALUE"""),1.03191373411644)</f>
        <v>1.0319137341164399</v>
      </c>
      <c r="H672" s="17">
        <f ca="1">IFERROR(__xludf.DUMMYFUNCTION("""COMPUTED_VALUE"""),1.00572008047366)</f>
        <v>1.0057200804736599</v>
      </c>
      <c r="I672" s="17">
        <f ca="1">IFERROR(__xludf.DUMMYFUNCTION("""COMPUTED_VALUE"""),0.985969293741631)</f>
        <v>0.985969293741631</v>
      </c>
      <c r="J672" s="17">
        <f ca="1">IFERROR(__xludf.DUMMYFUNCTION("""COMPUTED_VALUE"""),1.07741679798232)</f>
        <v>1.0774167979823199</v>
      </c>
      <c r="K672" s="17" t="str">
        <f ca="1">IFERROR(__xludf.DUMMYFUNCTION("""COMPUTED_VALUE"""),"nan")</f>
        <v>nan</v>
      </c>
      <c r="L672" s="17">
        <f ca="1">IFERROR(__xludf.DUMMYFUNCTION("""COMPUTED_VALUE"""),1.05635998153942)</f>
        <v>1.05635998153942</v>
      </c>
      <c r="M672" s="17">
        <f ca="1">IFERROR(__xludf.DUMMYFUNCTION("""COMPUTED_VALUE"""),1.01618915844891)</f>
        <v>1.01618915844891</v>
      </c>
      <c r="N672" s="17">
        <f ca="1">IFERROR(__xludf.DUMMYFUNCTION("""COMPUTED_VALUE"""),0.862825584408385)</f>
        <v>0.86282558440838497</v>
      </c>
      <c r="O672" s="17">
        <f ca="1">IFERROR(__xludf.DUMMYFUNCTION("""COMPUTED_VALUE"""),1.02582097817388)</f>
        <v>1.0258209781738801</v>
      </c>
      <c r="P672" s="17">
        <f ca="1">IFERROR(__xludf.DUMMYFUNCTION("""COMPUTED_VALUE"""),0.924648494876408)</f>
        <v>0.92464849487640799</v>
      </c>
      <c r="Q672" s="17">
        <f ca="1">IFERROR(__xludf.DUMMYFUNCTION("""COMPUTED_VALUE"""),1.40097263220953)</f>
        <v>1.4009726322095299</v>
      </c>
      <c r="R672" s="17">
        <f ca="1">IFERROR(__xludf.DUMMYFUNCTION("""COMPUTED_VALUE"""),1.09982527959086)</f>
        <v>1.0998252795908601</v>
      </c>
      <c r="S672" s="17">
        <f ca="1">IFERROR(__xludf.DUMMYFUNCTION("""COMPUTED_VALUE"""),1.21306212655283)</f>
        <v>1.2130621265528301</v>
      </c>
      <c r="T672" s="17">
        <f ca="1">IFERROR(__xludf.DUMMYFUNCTION("""COMPUTED_VALUE"""),0.986333320727713)</f>
        <v>0.98633332072771296</v>
      </c>
      <c r="U672" s="17">
        <f ca="1">IFERROR(__xludf.DUMMYFUNCTION("""COMPUTED_VALUE"""),1.06943732845385)</f>
        <v>1.0694373284538501</v>
      </c>
      <c r="V672" s="17">
        <f ca="1">IFERROR(__xludf.DUMMYFUNCTION("""COMPUTED_VALUE"""),1.03071732303746)</f>
        <v>1.03071732303746</v>
      </c>
      <c r="W672" s="17">
        <f ca="1">IFERROR(__xludf.DUMMYFUNCTION("""COMPUTED_VALUE"""),0.857345017813593)</f>
        <v>0.85734501781359296</v>
      </c>
      <c r="X672" s="17">
        <f ca="1">IFERROR(__xludf.DUMMYFUNCTION("""COMPUTED_VALUE"""),1.05863511102582)</f>
        <v>1.0586351110258201</v>
      </c>
      <c r="Y672" s="17">
        <f ca="1">IFERROR(__xludf.DUMMYFUNCTION("""COMPUTED_VALUE"""),0.904078280556709)</f>
        <v>0.90407828055670902</v>
      </c>
      <c r="Z672" s="17">
        <f ca="1">IFERROR(__xludf.DUMMYFUNCTION("""COMPUTED_VALUE"""),1.08331648808728)</f>
        <v>1.0833164880872801</v>
      </c>
      <c r="AA672" s="17">
        <f ca="1">IFERROR(__xludf.DUMMYFUNCTION("""COMPUTED_VALUE"""),1.12994875600348)</f>
        <v>1.12994875600348</v>
      </c>
      <c r="AB672" s="17">
        <f ca="1">IFERROR(__xludf.DUMMYFUNCTION("""COMPUTED_VALUE"""),1.20178135258858)</f>
        <v>1.2017813525885801</v>
      </c>
      <c r="AC672" s="17">
        <f ca="1">IFERROR(__xludf.DUMMYFUNCTION("""COMPUTED_VALUE"""),0.873535180167533)</f>
        <v>0.87353518016753295</v>
      </c>
      <c r="AD672" s="17">
        <f ca="1">IFERROR(__xludf.DUMMYFUNCTION("""COMPUTED_VALUE"""),0.928300310880304)</f>
        <v>0.92830031088030396</v>
      </c>
      <c r="AE672" s="17">
        <f ca="1">IFERROR(__xludf.DUMMYFUNCTION("""COMPUTED_VALUE"""),0.749702107103004)</f>
        <v>0.749702107103004</v>
      </c>
      <c r="AF672" s="17">
        <f ca="1">IFERROR(__xludf.DUMMYFUNCTION("""COMPUTED_VALUE"""),0.824537192697428)</f>
        <v>0.82453719269742798</v>
      </c>
      <c r="AG672" s="17">
        <f ca="1">IFERROR(__xludf.DUMMYFUNCTION("""COMPUTED_VALUE"""),1.07072040200319)</f>
        <v>1.07072040200319</v>
      </c>
      <c r="AH672" s="17">
        <f ca="1">IFERROR(__xludf.DUMMYFUNCTION("""COMPUTED_VALUE"""),1.03622217354919)</f>
        <v>1.0362221735491901</v>
      </c>
      <c r="AI672" s="17" t="str">
        <f ca="1">IFERROR(__xludf.DUMMYFUNCTION("""COMPUTED_VALUE"""),"nan")</f>
        <v>nan</v>
      </c>
      <c r="AJ672" s="17">
        <f ca="1">IFERROR(__xludf.DUMMYFUNCTION("""COMPUTED_VALUE"""),1.04590327135047)</f>
        <v>1.0459032713504699</v>
      </c>
    </row>
    <row r="673" spans="2:36" ht="15.75" customHeight="1" x14ac:dyDescent="0.45">
      <c r="B673" s="10" t="str">
        <f ca="1">IFERROR(__xludf.DUMMYFUNCTION("""COMPUTED_VALUE"""),"RefrigerationDevices")</f>
        <v>RefrigerationDevices</v>
      </c>
      <c r="C673" s="10" t="str">
        <f ca="1">IFERROR(__xludf.DUMMYFUNCTION("""COMPUTED_VALUE"""),"mcar")</f>
        <v>mcar</v>
      </c>
      <c r="D673" s="10">
        <f ca="1">IFERROR(__xludf.DUMMYFUNCTION("""COMPUTED_VALUE"""),0.2)</f>
        <v>0.2</v>
      </c>
      <c r="E673" s="17">
        <f ca="1">IFERROR(__xludf.DUMMYFUNCTION("""COMPUTED_VALUE"""),0.993194995654464)</f>
        <v>0.99319499565446401</v>
      </c>
      <c r="F673" s="17">
        <f ca="1">IFERROR(__xludf.DUMMYFUNCTION("""COMPUTED_VALUE"""),1.00843883353616)</f>
        <v>1.00843883353616</v>
      </c>
      <c r="G673" s="17">
        <f ca="1">IFERROR(__xludf.DUMMYFUNCTION("""COMPUTED_VALUE"""),1.01023802369865)</f>
        <v>1.0102380236986499</v>
      </c>
      <c r="H673" s="17">
        <f ca="1">IFERROR(__xludf.DUMMYFUNCTION("""COMPUTED_VALUE"""),1.00381444703277)</f>
        <v>1.0038144470327699</v>
      </c>
      <c r="I673" s="17">
        <f ca="1">IFERROR(__xludf.DUMMYFUNCTION("""COMPUTED_VALUE"""),0.982510377566091)</f>
        <v>0.98251037756609105</v>
      </c>
      <c r="J673" s="17">
        <f ca="1">IFERROR(__xludf.DUMMYFUNCTION("""COMPUTED_VALUE"""),1.07179672100788)</f>
        <v>1.07179672100788</v>
      </c>
      <c r="K673" s="17" t="str">
        <f ca="1">IFERROR(__xludf.DUMMYFUNCTION("""COMPUTED_VALUE"""),"nan")</f>
        <v>nan</v>
      </c>
      <c r="L673" s="17">
        <f ca="1">IFERROR(__xludf.DUMMYFUNCTION("""COMPUTED_VALUE"""),1.02742628051853)</f>
        <v>1.0274262805185299</v>
      </c>
      <c r="M673" s="17">
        <f ca="1">IFERROR(__xludf.DUMMYFUNCTION("""COMPUTED_VALUE"""),1.00991776819847)</f>
        <v>1.0099177681984699</v>
      </c>
      <c r="N673" s="17">
        <f ca="1">IFERROR(__xludf.DUMMYFUNCTION("""COMPUTED_VALUE"""),0.867733131555126)</f>
        <v>0.86773313155512599</v>
      </c>
      <c r="O673" s="17">
        <f ca="1">IFERROR(__xludf.DUMMYFUNCTION("""COMPUTED_VALUE"""),1.00566672325182)</f>
        <v>1.0056667232518199</v>
      </c>
      <c r="P673" s="17">
        <f ca="1">IFERROR(__xludf.DUMMYFUNCTION("""COMPUTED_VALUE"""),0.946468549327155)</f>
        <v>0.94646854932715496</v>
      </c>
      <c r="Q673" s="17">
        <f ca="1">IFERROR(__xludf.DUMMYFUNCTION("""COMPUTED_VALUE"""),1.38754022649833)</f>
        <v>1.3875402264983301</v>
      </c>
      <c r="R673" s="17">
        <f ca="1">IFERROR(__xludf.DUMMYFUNCTION("""COMPUTED_VALUE"""),1.11065554424357)</f>
        <v>1.1106555442435699</v>
      </c>
      <c r="S673" s="17">
        <f ca="1">IFERROR(__xludf.DUMMYFUNCTION("""COMPUTED_VALUE"""),1.26768699229119)</f>
        <v>1.26768699229119</v>
      </c>
      <c r="T673" s="17">
        <f ca="1">IFERROR(__xludf.DUMMYFUNCTION("""COMPUTED_VALUE"""),0.990667161452979)</f>
        <v>0.99066716145297895</v>
      </c>
      <c r="U673" s="17">
        <f ca="1">IFERROR(__xludf.DUMMYFUNCTION("""COMPUTED_VALUE"""),1.07175281119535)</f>
        <v>1.07175281119535</v>
      </c>
      <c r="V673" s="17">
        <f ca="1">IFERROR(__xludf.DUMMYFUNCTION("""COMPUTED_VALUE"""),1.03003192940461)</f>
        <v>1.0300319294046101</v>
      </c>
      <c r="W673" s="17">
        <f ca="1">IFERROR(__xludf.DUMMYFUNCTION("""COMPUTED_VALUE"""),0.85521108903565)</f>
        <v>0.85521108903565002</v>
      </c>
      <c r="X673" s="17">
        <f ca="1">IFERROR(__xludf.DUMMYFUNCTION("""COMPUTED_VALUE"""),1.06780726168204)</f>
        <v>1.06780726168204</v>
      </c>
      <c r="Y673" s="17">
        <f ca="1">IFERROR(__xludf.DUMMYFUNCTION("""COMPUTED_VALUE"""),0.906765583597982)</f>
        <v>0.90676558359798198</v>
      </c>
      <c r="Z673" s="17">
        <f ca="1">IFERROR(__xludf.DUMMYFUNCTION("""COMPUTED_VALUE"""),1.06974764725704)</f>
        <v>1.06974764725704</v>
      </c>
      <c r="AA673" s="17">
        <f ca="1">IFERROR(__xludf.DUMMYFUNCTION("""COMPUTED_VALUE"""),1.12619193865469)</f>
        <v>1.1261919386546899</v>
      </c>
      <c r="AB673" s="17">
        <f ca="1">IFERROR(__xludf.DUMMYFUNCTION("""COMPUTED_VALUE"""),1.1840979124225)</f>
        <v>1.1840979124225</v>
      </c>
      <c r="AC673" s="17">
        <f ca="1">IFERROR(__xludf.DUMMYFUNCTION("""COMPUTED_VALUE"""),0.899261076678207)</f>
        <v>0.89926107667820698</v>
      </c>
      <c r="AD673" s="17">
        <f ca="1">IFERROR(__xludf.DUMMYFUNCTION("""COMPUTED_VALUE"""),0.920810610199426)</f>
        <v>0.92081061019942601</v>
      </c>
      <c r="AE673" s="17">
        <f ca="1">IFERROR(__xludf.DUMMYFUNCTION("""COMPUTED_VALUE"""),0.757098029439032)</f>
        <v>0.75709802943903204</v>
      </c>
      <c r="AF673" s="17">
        <f ca="1">IFERROR(__xludf.DUMMYFUNCTION("""COMPUTED_VALUE"""),0.830869210760272)</f>
        <v>0.83086921076027198</v>
      </c>
      <c r="AG673" s="17">
        <f ca="1">IFERROR(__xludf.DUMMYFUNCTION("""COMPUTED_VALUE"""),1.06938874411872)</f>
        <v>1.06938874411872</v>
      </c>
      <c r="AH673" s="17">
        <f ca="1">IFERROR(__xludf.DUMMYFUNCTION("""COMPUTED_VALUE"""),1.03512284162065)</f>
        <v>1.0351228416206499</v>
      </c>
      <c r="AI673" s="17" t="str">
        <f ca="1">IFERROR(__xludf.DUMMYFUNCTION("""COMPUTED_VALUE"""),"nan")</f>
        <v>nan</v>
      </c>
      <c r="AJ673" s="17">
        <f ca="1">IFERROR(__xludf.DUMMYFUNCTION("""COMPUTED_VALUE"""),1.05055532956683)</f>
        <v>1.05055532956683</v>
      </c>
    </row>
    <row r="674" spans="2:36" ht="15.75" customHeight="1" x14ac:dyDescent="0.45">
      <c r="B674" s="10" t="str">
        <f ca="1">IFERROR(__xludf.DUMMYFUNCTION("""COMPUTED_VALUE"""),"RefrigerationDevices")</f>
        <v>RefrigerationDevices</v>
      </c>
      <c r="C674" s="10" t="str">
        <f ca="1">IFERROR(__xludf.DUMMYFUNCTION("""COMPUTED_VALUE"""),"mcar")</f>
        <v>mcar</v>
      </c>
      <c r="D674" s="10">
        <f ca="1">IFERROR(__xludf.DUMMYFUNCTION("""COMPUTED_VALUE"""),0.4)</f>
        <v>0.4</v>
      </c>
      <c r="E674" s="17">
        <f ca="1">IFERROR(__xludf.DUMMYFUNCTION("""COMPUTED_VALUE"""),1.00269514599709)</f>
        <v>1.0026951459970901</v>
      </c>
      <c r="F674" s="17">
        <f ca="1">IFERROR(__xludf.DUMMYFUNCTION("""COMPUTED_VALUE"""),1.02357989443566)</f>
        <v>1.02357989443566</v>
      </c>
      <c r="G674" s="17">
        <f ca="1">IFERROR(__xludf.DUMMYFUNCTION("""COMPUTED_VALUE"""),1.02706068825167)</f>
        <v>1.02706068825167</v>
      </c>
      <c r="H674" s="17">
        <f ca="1">IFERROR(__xludf.DUMMYFUNCTION("""COMPUTED_VALUE"""),1.01303794523418)</f>
        <v>1.01303794523418</v>
      </c>
      <c r="I674" s="17">
        <f ca="1">IFERROR(__xludf.DUMMYFUNCTION("""COMPUTED_VALUE"""),0.997794226347989)</f>
        <v>0.99779422634798898</v>
      </c>
      <c r="J674" s="17">
        <f ca="1">IFERROR(__xludf.DUMMYFUNCTION("""COMPUTED_VALUE"""),1.09395181238862)</f>
        <v>1.09395181238862</v>
      </c>
      <c r="K674" s="17" t="str">
        <f ca="1">IFERROR(__xludf.DUMMYFUNCTION("""COMPUTED_VALUE"""),"nan")</f>
        <v>nan</v>
      </c>
      <c r="L674" s="17">
        <f ca="1">IFERROR(__xludf.DUMMYFUNCTION("""COMPUTED_VALUE"""),1.05012836521775)</f>
        <v>1.05012836521775</v>
      </c>
      <c r="M674" s="17">
        <f ca="1">IFERROR(__xludf.DUMMYFUNCTION("""COMPUTED_VALUE"""),1.01148793427478)</f>
        <v>1.01148793427478</v>
      </c>
      <c r="N674" s="17">
        <f ca="1">IFERROR(__xludf.DUMMYFUNCTION("""COMPUTED_VALUE"""),0.946313008053186)</f>
        <v>0.94631300805318597</v>
      </c>
      <c r="O674" s="17">
        <f ca="1">IFERROR(__xludf.DUMMYFUNCTION("""COMPUTED_VALUE"""),1.02048221489076)</f>
        <v>1.02048221489076</v>
      </c>
      <c r="P674" s="17">
        <f ca="1">IFERROR(__xludf.DUMMYFUNCTION("""COMPUTED_VALUE"""),0.977976306223899)</f>
        <v>0.97797630622389897</v>
      </c>
      <c r="Q674" s="17">
        <f ca="1">IFERROR(__xludf.DUMMYFUNCTION("""COMPUTED_VALUE"""),1.38402818915558)</f>
        <v>1.3840281891555799</v>
      </c>
      <c r="R674" s="17">
        <f ca="1">IFERROR(__xludf.DUMMYFUNCTION("""COMPUTED_VALUE"""),1.1424157294101)</f>
        <v>1.1424157294101001</v>
      </c>
      <c r="S674" s="17">
        <f ca="1">IFERROR(__xludf.DUMMYFUNCTION("""COMPUTED_VALUE"""),1.26711016870488)</f>
        <v>1.26711016870488</v>
      </c>
      <c r="T674" s="17">
        <f ca="1">IFERROR(__xludf.DUMMYFUNCTION("""COMPUTED_VALUE"""),1.03685773053818)</f>
        <v>1.0368577305381801</v>
      </c>
      <c r="U674" s="17">
        <f ca="1">IFERROR(__xludf.DUMMYFUNCTION("""COMPUTED_VALUE"""),1.08760010463341)</f>
        <v>1.0876001046334101</v>
      </c>
      <c r="V674" s="17">
        <f ca="1">IFERROR(__xludf.DUMMYFUNCTION("""COMPUTED_VALUE"""),1.0715467207907)</f>
        <v>1.0715467207906999</v>
      </c>
      <c r="W674" s="17">
        <f ca="1">IFERROR(__xludf.DUMMYFUNCTION("""COMPUTED_VALUE"""),0.908457190230224)</f>
        <v>0.90845719023022398</v>
      </c>
      <c r="X674" s="17">
        <f ca="1">IFERROR(__xludf.DUMMYFUNCTION("""COMPUTED_VALUE"""),1.0196467746173)</f>
        <v>1.0196467746172999</v>
      </c>
      <c r="Y674" s="17">
        <f ca="1">IFERROR(__xludf.DUMMYFUNCTION("""COMPUTED_VALUE"""),0.995931230569071)</f>
        <v>0.99593123056907096</v>
      </c>
      <c r="Z674" s="17">
        <f ca="1">IFERROR(__xludf.DUMMYFUNCTION("""COMPUTED_VALUE"""),1.08332867864327)</f>
        <v>1.0833286786432701</v>
      </c>
      <c r="AA674" s="17">
        <f ca="1">IFERROR(__xludf.DUMMYFUNCTION("""COMPUTED_VALUE"""),1.22379224738902)</f>
        <v>1.2237922473890199</v>
      </c>
      <c r="AB674" s="17">
        <f ca="1">IFERROR(__xludf.DUMMYFUNCTION("""COMPUTED_VALUE"""),1.2240954367163)</f>
        <v>1.2240954367162999</v>
      </c>
      <c r="AC674" s="17">
        <f ca="1">IFERROR(__xludf.DUMMYFUNCTION("""COMPUTED_VALUE"""),0.984135006955342)</f>
        <v>0.98413500695534195</v>
      </c>
      <c r="AD674" s="17">
        <f ca="1">IFERROR(__xludf.DUMMYFUNCTION("""COMPUTED_VALUE"""),0.968685277980456)</f>
        <v>0.96868527798045601</v>
      </c>
      <c r="AE674" s="17">
        <f ca="1">IFERROR(__xludf.DUMMYFUNCTION("""COMPUTED_VALUE"""),0.854972171265164)</f>
        <v>0.854972171265164</v>
      </c>
      <c r="AF674" s="17">
        <f ca="1">IFERROR(__xludf.DUMMYFUNCTION("""COMPUTED_VALUE"""),1.0183282863199)</f>
        <v>1.0183282863198999</v>
      </c>
      <c r="AG674" s="17">
        <f ca="1">IFERROR(__xludf.DUMMYFUNCTION("""COMPUTED_VALUE"""),1.09707389438158)</f>
        <v>1.0970738943815801</v>
      </c>
      <c r="AH674" s="17">
        <f ca="1">IFERROR(__xludf.DUMMYFUNCTION("""COMPUTED_VALUE"""),1.02470425732537)</f>
        <v>1.02470425732537</v>
      </c>
      <c r="AI674" s="17" t="str">
        <f ca="1">IFERROR(__xludf.DUMMYFUNCTION("""COMPUTED_VALUE"""),"nan")</f>
        <v>nan</v>
      </c>
      <c r="AJ674" s="17">
        <f ca="1">IFERROR(__xludf.DUMMYFUNCTION("""COMPUTED_VALUE"""),1.09821931024256)</f>
        <v>1.0982193102425599</v>
      </c>
    </row>
    <row r="675" spans="2:36" ht="15.75" customHeight="1" x14ac:dyDescent="0.45">
      <c r="B675" s="10" t="str">
        <f ca="1">IFERROR(__xludf.DUMMYFUNCTION("""COMPUTED_VALUE"""),"RefrigerationDevices")</f>
        <v>RefrigerationDevices</v>
      </c>
      <c r="C675" s="10" t="str">
        <f ca="1">IFERROR(__xludf.DUMMYFUNCTION("""COMPUTED_VALUE"""),"mcar")</f>
        <v>mcar</v>
      </c>
      <c r="D675" s="10">
        <f ca="1">IFERROR(__xludf.DUMMYFUNCTION("""COMPUTED_VALUE"""),0.6)</f>
        <v>0.6</v>
      </c>
      <c r="E675" s="17">
        <f ca="1">IFERROR(__xludf.DUMMYFUNCTION("""COMPUTED_VALUE"""),1.00003706348695)</f>
        <v>1.00003706348695</v>
      </c>
      <c r="F675" s="17">
        <f ca="1">IFERROR(__xludf.DUMMYFUNCTION("""COMPUTED_VALUE"""),1.03020933545818)</f>
        <v>1.0302093354581801</v>
      </c>
      <c r="G675" s="17">
        <f ca="1">IFERROR(__xludf.DUMMYFUNCTION("""COMPUTED_VALUE"""),1.04180482429529)</f>
        <v>1.04180482429529</v>
      </c>
      <c r="H675" s="17">
        <f ca="1">IFERROR(__xludf.DUMMYFUNCTION("""COMPUTED_VALUE"""),1.00938291587736)</f>
        <v>1.00938291587736</v>
      </c>
      <c r="I675" s="17">
        <f ca="1">IFERROR(__xludf.DUMMYFUNCTION("""COMPUTED_VALUE"""),1.0063222107419)</f>
        <v>1.0063222107419001</v>
      </c>
      <c r="J675" s="17">
        <f ca="1">IFERROR(__xludf.DUMMYFUNCTION("""COMPUTED_VALUE"""),1.07512517111397)</f>
        <v>1.07512517111397</v>
      </c>
      <c r="K675" s="17" t="str">
        <f ca="1">IFERROR(__xludf.DUMMYFUNCTION("""COMPUTED_VALUE"""),"nan")</f>
        <v>nan</v>
      </c>
      <c r="L675" s="17">
        <f ca="1">IFERROR(__xludf.DUMMYFUNCTION("""COMPUTED_VALUE"""),1.08101644833968)</f>
        <v>1.08101644833968</v>
      </c>
      <c r="M675" s="17">
        <f ca="1">IFERROR(__xludf.DUMMYFUNCTION("""COMPUTED_VALUE"""),1.02573882651384)</f>
        <v>1.0257388265138401</v>
      </c>
      <c r="N675" s="17">
        <f ca="1">IFERROR(__xludf.DUMMYFUNCTION("""COMPUTED_VALUE"""),1.00657541604952)</f>
        <v>1.0065754160495199</v>
      </c>
      <c r="O675" s="17">
        <f ca="1">IFERROR(__xludf.DUMMYFUNCTION("""COMPUTED_VALUE"""),1.0226095527337)</f>
        <v>1.0226095527337</v>
      </c>
      <c r="P675" s="17">
        <f ca="1">IFERROR(__xludf.DUMMYFUNCTION("""COMPUTED_VALUE"""),1.00446141089671)</f>
        <v>1.00446141089671</v>
      </c>
      <c r="Q675" s="17">
        <f ca="1">IFERROR(__xludf.DUMMYFUNCTION("""COMPUTED_VALUE"""),1.38300770924844)</f>
        <v>1.3830077092484401</v>
      </c>
      <c r="R675" s="17">
        <f ca="1">IFERROR(__xludf.DUMMYFUNCTION("""COMPUTED_VALUE"""),1.17352075358184)</f>
        <v>1.1735207535818399</v>
      </c>
      <c r="S675" s="17">
        <f ca="1">IFERROR(__xludf.DUMMYFUNCTION("""COMPUTED_VALUE"""),1.27040160920916)</f>
        <v>1.2704016092091599</v>
      </c>
      <c r="T675" s="17">
        <f ca="1">IFERROR(__xludf.DUMMYFUNCTION("""COMPUTED_VALUE"""),1.05569787740423)</f>
        <v>1.05569787740423</v>
      </c>
      <c r="U675" s="17">
        <f ca="1">IFERROR(__xludf.DUMMYFUNCTION("""COMPUTED_VALUE"""),1.08894461338383)</f>
        <v>1.0889446133838301</v>
      </c>
      <c r="V675" s="17">
        <f ca="1">IFERROR(__xludf.DUMMYFUNCTION("""COMPUTED_VALUE"""),1.08473012185054)</f>
        <v>1.0847301218505401</v>
      </c>
      <c r="W675" s="17">
        <f ca="1">IFERROR(__xludf.DUMMYFUNCTION("""COMPUTED_VALUE"""),0.964290808913795)</f>
        <v>0.96429080891379504</v>
      </c>
      <c r="X675" s="17">
        <f ca="1">IFERROR(__xludf.DUMMYFUNCTION("""COMPUTED_VALUE"""),1.0470557176097)</f>
        <v>1.0470557176097</v>
      </c>
      <c r="Y675" s="17">
        <f ca="1">IFERROR(__xludf.DUMMYFUNCTION("""COMPUTED_VALUE"""),1.04673252398795)</f>
        <v>1.0467325239879499</v>
      </c>
      <c r="Z675" s="17">
        <f ca="1">IFERROR(__xludf.DUMMYFUNCTION("""COMPUTED_VALUE"""),1.06795794820339)</f>
        <v>1.0679579482033901</v>
      </c>
      <c r="AA675" s="17">
        <f ca="1">IFERROR(__xludf.DUMMYFUNCTION("""COMPUTED_VALUE"""),1.3727874463142)</f>
        <v>1.3727874463142</v>
      </c>
      <c r="AB675" s="17">
        <f ca="1">IFERROR(__xludf.DUMMYFUNCTION("""COMPUTED_VALUE"""),1.20851515389555)</f>
        <v>1.2085151538955501</v>
      </c>
      <c r="AC675" s="17">
        <f ca="1">IFERROR(__xludf.DUMMYFUNCTION("""COMPUTED_VALUE"""),1.02117650138423)</f>
        <v>1.02117650138423</v>
      </c>
      <c r="AD675" s="17">
        <f ca="1">IFERROR(__xludf.DUMMYFUNCTION("""COMPUTED_VALUE"""),0.993919932537131)</f>
        <v>0.99391993253713096</v>
      </c>
      <c r="AE675" s="17" t="str">
        <f ca="1">IFERROR(__xludf.DUMMYFUNCTION("""COMPUTED_VALUE"""),"nan")</f>
        <v>nan</v>
      </c>
      <c r="AF675" s="17">
        <f ca="1">IFERROR(__xludf.DUMMYFUNCTION("""COMPUTED_VALUE"""),1.14010601653138)</f>
        <v>1.1401060165313801</v>
      </c>
      <c r="AG675" s="17">
        <f ca="1">IFERROR(__xludf.DUMMYFUNCTION("""COMPUTED_VALUE"""),1.13866704199594)</f>
        <v>1.1386670419959399</v>
      </c>
      <c r="AH675" s="17">
        <f ca="1">IFERROR(__xludf.DUMMYFUNCTION("""COMPUTED_VALUE"""),1.01582181168822)</f>
        <v>1.0158218116882201</v>
      </c>
      <c r="AI675" s="17" t="str">
        <f ca="1">IFERROR(__xludf.DUMMYFUNCTION("""COMPUTED_VALUE"""),"nan")</f>
        <v>nan</v>
      </c>
      <c r="AJ675" s="17">
        <f ca="1">IFERROR(__xludf.DUMMYFUNCTION("""COMPUTED_VALUE"""),1.04469424120526)</f>
        <v>1.04469424120526</v>
      </c>
    </row>
    <row r="676" spans="2:36" ht="15.75" customHeight="1" x14ac:dyDescent="0.45">
      <c r="B676" s="10" t="str">
        <f ca="1">IFERROR(__xludf.DUMMYFUNCTION("""COMPUTED_VALUE"""),"RefrigerationDevices")</f>
        <v>RefrigerationDevices</v>
      </c>
      <c r="C676" s="10" t="str">
        <f ca="1">IFERROR(__xludf.DUMMYFUNCTION("""COMPUTED_VALUE"""),"mcar")</f>
        <v>mcar</v>
      </c>
      <c r="D676" s="10">
        <f ca="1">IFERROR(__xludf.DUMMYFUNCTION("""COMPUTED_VALUE"""),0.8)</f>
        <v>0.8</v>
      </c>
      <c r="E676" s="17">
        <f ca="1">IFERROR(__xludf.DUMMYFUNCTION("""COMPUTED_VALUE"""),0.99916861116026)</f>
        <v>0.99916861116026001</v>
      </c>
      <c r="F676" s="17">
        <f ca="1">IFERROR(__xludf.DUMMYFUNCTION("""COMPUTED_VALUE"""),1.07507412603719)</f>
        <v>1.0750741260371901</v>
      </c>
      <c r="G676" s="17">
        <f ca="1">IFERROR(__xludf.DUMMYFUNCTION("""COMPUTED_VALUE"""),1.13902206970962)</f>
        <v>1.1390220697096201</v>
      </c>
      <c r="H676" s="17">
        <f ca="1">IFERROR(__xludf.DUMMYFUNCTION("""COMPUTED_VALUE"""),1.01298720003801)</f>
        <v>1.01298720003801</v>
      </c>
      <c r="I676" s="17">
        <f ca="1">IFERROR(__xludf.DUMMYFUNCTION("""COMPUTED_VALUE"""),1.01927885695734)</f>
        <v>1.0192788569573401</v>
      </c>
      <c r="J676" s="17">
        <f ca="1">IFERROR(__xludf.DUMMYFUNCTION("""COMPUTED_VALUE"""),1.14942956863975)</f>
        <v>1.14942956863975</v>
      </c>
      <c r="K676" s="17" t="str">
        <f ca="1">IFERROR(__xludf.DUMMYFUNCTION("""COMPUTED_VALUE"""),"nan")</f>
        <v>nan</v>
      </c>
      <c r="L676" s="17">
        <f ca="1">IFERROR(__xludf.DUMMYFUNCTION("""COMPUTED_VALUE"""),1.15369338545743)</f>
        <v>1.1536933854574301</v>
      </c>
      <c r="M676" s="17">
        <f ca="1">IFERROR(__xludf.DUMMYFUNCTION("""COMPUTED_VALUE"""),1.06373009625068)</f>
        <v>1.0637300962506799</v>
      </c>
      <c r="N676" s="17">
        <f ca="1">IFERROR(__xludf.DUMMYFUNCTION("""COMPUTED_VALUE"""),1.06146672097661)</f>
        <v>1.06146672097661</v>
      </c>
      <c r="O676" s="17">
        <f ca="1">IFERROR(__xludf.DUMMYFUNCTION("""COMPUTED_VALUE"""),1.04179671133717)</f>
        <v>1.04179671133717</v>
      </c>
      <c r="P676" s="17">
        <f ca="1">IFERROR(__xludf.DUMMYFUNCTION("""COMPUTED_VALUE"""),1.04789889369723)</f>
        <v>1.04789889369723</v>
      </c>
      <c r="Q676" s="17">
        <f ca="1">IFERROR(__xludf.DUMMYFUNCTION("""COMPUTED_VALUE"""),1.37428665780122)</f>
        <v>1.3742866578012201</v>
      </c>
      <c r="R676" s="17">
        <f ca="1">IFERROR(__xludf.DUMMYFUNCTION("""COMPUTED_VALUE"""),1.18988284469655)</f>
        <v>1.1898828446965499</v>
      </c>
      <c r="S676" s="17">
        <f ca="1">IFERROR(__xludf.DUMMYFUNCTION("""COMPUTED_VALUE"""),1.27477485244265)</f>
        <v>1.2747748524426501</v>
      </c>
      <c r="T676" s="17">
        <f ca="1">IFERROR(__xludf.DUMMYFUNCTION("""COMPUTED_VALUE"""),1.08136638558142)</f>
        <v>1.08136638558142</v>
      </c>
      <c r="U676" s="17">
        <f ca="1">IFERROR(__xludf.DUMMYFUNCTION("""COMPUTED_VALUE"""),1.12051099103369)</f>
        <v>1.1205109910336899</v>
      </c>
      <c r="V676" s="17">
        <f ca="1">IFERROR(__xludf.DUMMYFUNCTION("""COMPUTED_VALUE"""),1.12024471548958)</f>
        <v>1.12024471548958</v>
      </c>
      <c r="W676" s="17">
        <f ca="1">IFERROR(__xludf.DUMMYFUNCTION("""COMPUTED_VALUE"""),0.999401362963419)</f>
        <v>0.99940136296341897</v>
      </c>
      <c r="X676" s="17">
        <f ca="1">IFERROR(__xludf.DUMMYFUNCTION("""COMPUTED_VALUE"""),6.12944441875113)</f>
        <v>6.1294444187511301</v>
      </c>
      <c r="Y676" s="17">
        <f ca="1">IFERROR(__xludf.DUMMYFUNCTION("""COMPUTED_VALUE"""),1.10205108077866)</f>
        <v>1.1020510807786601</v>
      </c>
      <c r="Z676" s="17">
        <f ca="1">IFERROR(__xludf.DUMMYFUNCTION("""COMPUTED_VALUE"""),1.04010199977919)</f>
        <v>1.04010199977919</v>
      </c>
      <c r="AA676" s="17">
        <f ca="1">IFERROR(__xludf.DUMMYFUNCTION("""COMPUTED_VALUE"""),1.70850388260908)</f>
        <v>1.7085038826090799</v>
      </c>
      <c r="AB676" s="17">
        <f ca="1">IFERROR(__xludf.DUMMYFUNCTION("""COMPUTED_VALUE"""),1.33695335393585)</f>
        <v>1.33695335393585</v>
      </c>
      <c r="AC676" s="17">
        <f ca="1">IFERROR(__xludf.DUMMYFUNCTION("""COMPUTED_VALUE"""),1.03429097641594)</f>
        <v>1.03429097641594</v>
      </c>
      <c r="AD676" s="17">
        <f ca="1">IFERROR(__xludf.DUMMYFUNCTION("""COMPUTED_VALUE"""),1.03669618965504)</f>
        <v>1.03669618965504</v>
      </c>
      <c r="AE676" s="17" t="str">
        <f ca="1">IFERROR(__xludf.DUMMYFUNCTION("""COMPUTED_VALUE"""),"nan")</f>
        <v>nan</v>
      </c>
      <c r="AF676" s="17">
        <f ca="1">IFERROR(__xludf.DUMMYFUNCTION("""COMPUTED_VALUE"""),1.14154661023685)</f>
        <v>1.1415466102368499</v>
      </c>
      <c r="AG676" s="17">
        <f ca="1">IFERROR(__xludf.DUMMYFUNCTION("""COMPUTED_VALUE"""),1.12011954718455)</f>
        <v>1.12011954718455</v>
      </c>
      <c r="AH676" s="17">
        <f ca="1">IFERROR(__xludf.DUMMYFUNCTION("""COMPUTED_VALUE"""),1.02474566861431)</f>
        <v>1.0247456686143099</v>
      </c>
      <c r="AI676" s="17" t="str">
        <f ca="1">IFERROR(__xludf.DUMMYFUNCTION("""COMPUTED_VALUE"""),"nan")</f>
        <v>nan</v>
      </c>
      <c r="AJ676" s="17">
        <f ca="1">IFERROR(__xludf.DUMMYFUNCTION("""COMPUTED_VALUE"""),1.06916775542266)</f>
        <v>1.06916775542266</v>
      </c>
    </row>
    <row r="677" spans="2:36" ht="15.75" customHeight="1" x14ac:dyDescent="0.45">
      <c r="B677" s="10" t="str">
        <f ca="1">IFERROR(__xludf.DUMMYFUNCTION("""COMPUTED_VALUE"""),"Rock")</f>
        <v>Rock</v>
      </c>
      <c r="C677" s="10" t="str">
        <f ca="1">IFERROR(__xludf.DUMMYFUNCTION("""COMPUTED_VALUE"""),"aligned_series")</f>
        <v>aligned_series</v>
      </c>
      <c r="D677" s="10">
        <f ca="1">IFERROR(__xludf.DUMMYFUNCTION("""COMPUTED_VALUE"""),0.1)</f>
        <v>0.1</v>
      </c>
      <c r="E677" s="17">
        <f ca="1">IFERROR(__xludf.DUMMYFUNCTION("""COMPUTED_VALUE"""),1.17354904557191)</f>
        <v>1.17354904557191</v>
      </c>
      <c r="F677" s="17">
        <f ca="1">IFERROR(__xludf.DUMMYFUNCTION("""COMPUTED_VALUE"""),0.224464063666485)</f>
        <v>0.224464063666485</v>
      </c>
      <c r="G677" s="17">
        <f ca="1">IFERROR(__xludf.DUMMYFUNCTION("""COMPUTED_VALUE"""),0.251847294008218)</f>
        <v>0.25184729400821798</v>
      </c>
      <c r="H677" s="17">
        <f ca="1">IFERROR(__xludf.DUMMYFUNCTION("""COMPUTED_VALUE"""),0.466697426673535)</f>
        <v>0.46669742667353498</v>
      </c>
      <c r="I677" s="17">
        <f ca="1">IFERROR(__xludf.DUMMYFUNCTION("""COMPUTED_VALUE"""),0.364542647062291)</f>
        <v>0.364542647062291</v>
      </c>
      <c r="J677" s="17">
        <f ca="1">IFERROR(__xludf.DUMMYFUNCTION("""COMPUTED_VALUE"""),0.88707698964397)</f>
        <v>0.88707698964396997</v>
      </c>
      <c r="K677" s="17" t="str">
        <f ca="1">IFERROR(__xludf.DUMMYFUNCTION("""COMPUTED_VALUE"""),"nan")</f>
        <v>nan</v>
      </c>
      <c r="L677" s="17">
        <f ca="1">IFERROR(__xludf.DUMMYFUNCTION("""COMPUTED_VALUE"""),0.284242116953289)</f>
        <v>0.28424211695328899</v>
      </c>
      <c r="M677" s="17">
        <f ca="1">IFERROR(__xludf.DUMMYFUNCTION("""COMPUTED_VALUE"""),0.241600450954773)</f>
        <v>0.24160045095477301</v>
      </c>
      <c r="N677" s="17">
        <f ca="1">IFERROR(__xludf.DUMMYFUNCTION("""COMPUTED_VALUE"""),0.767180898833796)</f>
        <v>0.76718089883379603</v>
      </c>
      <c r="O677" s="17">
        <f ca="1">IFERROR(__xludf.DUMMYFUNCTION("""COMPUTED_VALUE"""),0.267843650434778)</f>
        <v>0.26784365043477798</v>
      </c>
      <c r="P677" s="17">
        <f ca="1">IFERROR(__xludf.DUMMYFUNCTION("""COMPUTED_VALUE"""),0.923368031245947)</f>
        <v>0.92336803124594702</v>
      </c>
      <c r="Q677" s="17">
        <f ca="1">IFERROR(__xludf.DUMMYFUNCTION("""COMPUTED_VALUE"""),1.02001978677286)</f>
        <v>1.02001978677286</v>
      </c>
      <c r="R677" s="17">
        <f ca="1">IFERROR(__xludf.DUMMYFUNCTION("""COMPUTED_VALUE"""),0.304531140910107)</f>
        <v>0.30453114091010702</v>
      </c>
      <c r="S677" s="17">
        <f ca="1">IFERROR(__xludf.DUMMYFUNCTION("""COMPUTED_VALUE"""),0.510322318797017)</f>
        <v>0.51032231879701695</v>
      </c>
      <c r="T677" s="17">
        <f ca="1">IFERROR(__xludf.DUMMYFUNCTION("""COMPUTED_VALUE"""),0.831904738597943)</f>
        <v>0.83190473859794301</v>
      </c>
      <c r="U677" s="17">
        <f ca="1">IFERROR(__xludf.DUMMYFUNCTION("""COMPUTED_VALUE"""),0.381735193378296)</f>
        <v>0.38173519337829598</v>
      </c>
      <c r="V677" s="17">
        <f ca="1">IFERROR(__xludf.DUMMYFUNCTION("""COMPUTED_VALUE"""),0.259061549154963)</f>
        <v>0.25906154915496299</v>
      </c>
      <c r="W677" s="17">
        <f ca="1">IFERROR(__xludf.DUMMYFUNCTION("""COMPUTED_VALUE"""),0.255036114752966)</f>
        <v>0.255036114752966</v>
      </c>
      <c r="X677" s="17">
        <f ca="1">IFERROR(__xludf.DUMMYFUNCTION("""COMPUTED_VALUE"""),0.256127353966323)</f>
        <v>0.25612735396632302</v>
      </c>
      <c r="Y677" s="17">
        <f ca="1">IFERROR(__xludf.DUMMYFUNCTION("""COMPUTED_VALUE"""),0.281104929567668)</f>
        <v>0.28110492956766803</v>
      </c>
      <c r="Z677" s="17">
        <f ca="1">IFERROR(__xludf.DUMMYFUNCTION("""COMPUTED_VALUE"""),0.45317391187681)</f>
        <v>0.45317391187681</v>
      </c>
      <c r="AA677" s="17">
        <f ca="1">IFERROR(__xludf.DUMMYFUNCTION("""COMPUTED_VALUE"""),0.254485899292605)</f>
        <v>0.25448589929260501</v>
      </c>
      <c r="AB677" s="17">
        <f ca="1">IFERROR(__xludf.DUMMYFUNCTION("""COMPUTED_VALUE"""),0.419600019916183)</f>
        <v>0.41960001991618301</v>
      </c>
      <c r="AC677" s="17">
        <f ca="1">IFERROR(__xludf.DUMMYFUNCTION("""COMPUTED_VALUE"""),0.967536309935505)</f>
        <v>0.96753630993550499</v>
      </c>
      <c r="AD677" s="17">
        <f ca="1">IFERROR(__xludf.DUMMYFUNCTION("""COMPUTED_VALUE"""),0.563598400661578)</f>
        <v>0.56359840066157796</v>
      </c>
      <c r="AE677" s="17">
        <f ca="1">IFERROR(__xludf.DUMMYFUNCTION("""COMPUTED_VALUE"""),1.42967597476754)</f>
        <v>1.42967597476754</v>
      </c>
      <c r="AF677" s="17">
        <f ca="1">IFERROR(__xludf.DUMMYFUNCTION("""COMPUTED_VALUE"""),0.510640718474558)</f>
        <v>0.51064071847455805</v>
      </c>
      <c r="AG677" s="17">
        <f ca="1">IFERROR(__xludf.DUMMYFUNCTION("""COMPUTED_VALUE"""),0.41596416240619)</f>
        <v>0.41596416240619</v>
      </c>
      <c r="AH677" s="17">
        <f ca="1">IFERROR(__xludf.DUMMYFUNCTION("""COMPUTED_VALUE"""),0.423417063305139)</f>
        <v>0.42341706330513901</v>
      </c>
      <c r="AI677" s="17">
        <f ca="1">IFERROR(__xludf.DUMMYFUNCTION("""COMPUTED_VALUE"""),0.3869281751294)</f>
        <v>0.38692817512939998</v>
      </c>
      <c r="AJ677" s="17">
        <f ca="1">IFERROR(__xludf.DUMMYFUNCTION("""COMPUTED_VALUE"""),0.431620489969285)</f>
        <v>0.43162048996928498</v>
      </c>
    </row>
    <row r="678" spans="2:36" ht="15.75" customHeight="1" x14ac:dyDescent="0.45">
      <c r="B678" s="10" t="str">
        <f ca="1">IFERROR(__xludf.DUMMYFUNCTION("""COMPUTED_VALUE"""),"Rock")</f>
        <v>Rock</v>
      </c>
      <c r="C678" s="10" t="str">
        <f ca="1">IFERROR(__xludf.DUMMYFUNCTION("""COMPUTED_VALUE"""),"aligned_series")</f>
        <v>aligned_series</v>
      </c>
      <c r="D678" s="10">
        <f ca="1">IFERROR(__xludf.DUMMYFUNCTION("""COMPUTED_VALUE"""),0.2)</f>
        <v>0.2</v>
      </c>
      <c r="E678" s="17">
        <f ca="1">IFERROR(__xludf.DUMMYFUNCTION("""COMPUTED_VALUE"""),1.17354904557191)</f>
        <v>1.17354904557191</v>
      </c>
      <c r="F678" s="17">
        <f ca="1">IFERROR(__xludf.DUMMYFUNCTION("""COMPUTED_VALUE"""),0.224464063666485)</f>
        <v>0.224464063666485</v>
      </c>
      <c r="G678" s="17">
        <f ca="1">IFERROR(__xludf.DUMMYFUNCTION("""COMPUTED_VALUE"""),0.251847294008218)</f>
        <v>0.25184729400821798</v>
      </c>
      <c r="H678" s="17">
        <f ca="1">IFERROR(__xludf.DUMMYFUNCTION("""COMPUTED_VALUE"""),0.466697426673535)</f>
        <v>0.46669742667353498</v>
      </c>
      <c r="I678" s="17">
        <f ca="1">IFERROR(__xludf.DUMMYFUNCTION("""COMPUTED_VALUE"""),0.364542647062291)</f>
        <v>0.364542647062291</v>
      </c>
      <c r="J678" s="17">
        <f ca="1">IFERROR(__xludf.DUMMYFUNCTION("""COMPUTED_VALUE"""),0.88707698964397)</f>
        <v>0.88707698964396997</v>
      </c>
      <c r="K678" s="17" t="str">
        <f ca="1">IFERROR(__xludf.DUMMYFUNCTION("""COMPUTED_VALUE"""),"nan")</f>
        <v>nan</v>
      </c>
      <c r="L678" s="17">
        <f ca="1">IFERROR(__xludf.DUMMYFUNCTION("""COMPUTED_VALUE"""),0.27304215441554)</f>
        <v>0.27304215441553997</v>
      </c>
      <c r="M678" s="17">
        <f ca="1">IFERROR(__xludf.DUMMYFUNCTION("""COMPUTED_VALUE"""),0.241600450954773)</f>
        <v>0.24160045095477301</v>
      </c>
      <c r="N678" s="17">
        <f ca="1">IFERROR(__xludf.DUMMYFUNCTION("""COMPUTED_VALUE"""),0.767180898833796)</f>
        <v>0.76718089883379603</v>
      </c>
      <c r="O678" s="17">
        <f ca="1">IFERROR(__xludf.DUMMYFUNCTION("""COMPUTED_VALUE"""),0.267843650434778)</f>
        <v>0.26784365043477798</v>
      </c>
      <c r="P678" s="17">
        <f ca="1">IFERROR(__xludf.DUMMYFUNCTION("""COMPUTED_VALUE"""),0.923368031245947)</f>
        <v>0.92336803124594702</v>
      </c>
      <c r="Q678" s="17">
        <f ca="1">IFERROR(__xludf.DUMMYFUNCTION("""COMPUTED_VALUE"""),1.02001978677286)</f>
        <v>1.02001978677286</v>
      </c>
      <c r="R678" s="17">
        <f ca="1">IFERROR(__xludf.DUMMYFUNCTION("""COMPUTED_VALUE"""),0.304531140910107)</f>
        <v>0.30453114091010702</v>
      </c>
      <c r="S678" s="17">
        <f ca="1">IFERROR(__xludf.DUMMYFUNCTION("""COMPUTED_VALUE"""),0.510322318797017)</f>
        <v>0.51032231879701695</v>
      </c>
      <c r="T678" s="17">
        <f ca="1">IFERROR(__xludf.DUMMYFUNCTION("""COMPUTED_VALUE"""),0.878437002248463)</f>
        <v>0.87843700224846299</v>
      </c>
      <c r="U678" s="17">
        <f ca="1">IFERROR(__xludf.DUMMYFUNCTION("""COMPUTED_VALUE"""),0.462663651259801)</f>
        <v>0.46266365125980102</v>
      </c>
      <c r="V678" s="17">
        <f ca="1">IFERROR(__xludf.DUMMYFUNCTION("""COMPUTED_VALUE"""),0.259061549154963)</f>
        <v>0.25906154915496299</v>
      </c>
      <c r="W678" s="17">
        <f ca="1">IFERROR(__xludf.DUMMYFUNCTION("""COMPUTED_VALUE"""),0.336785440640409)</f>
        <v>0.336785440640409</v>
      </c>
      <c r="X678" s="17">
        <f ca="1">IFERROR(__xludf.DUMMYFUNCTION("""COMPUTED_VALUE"""),0.252663210837983)</f>
        <v>0.25266321083798299</v>
      </c>
      <c r="Y678" s="17">
        <f ca="1">IFERROR(__xludf.DUMMYFUNCTION("""COMPUTED_VALUE"""),0.281104929567668)</f>
        <v>0.28110492956766803</v>
      </c>
      <c r="Z678" s="17">
        <f ca="1">IFERROR(__xludf.DUMMYFUNCTION("""COMPUTED_VALUE"""),0.45317391187681)</f>
        <v>0.45317391187681</v>
      </c>
      <c r="AA678" s="17">
        <f ca="1">IFERROR(__xludf.DUMMYFUNCTION("""COMPUTED_VALUE"""),0.254485899292605)</f>
        <v>0.25448589929260501</v>
      </c>
      <c r="AB678" s="17">
        <f ca="1">IFERROR(__xludf.DUMMYFUNCTION("""COMPUTED_VALUE"""),0.564015583035343)</f>
        <v>0.56401558303534305</v>
      </c>
      <c r="AC678" s="17">
        <f ca="1">IFERROR(__xludf.DUMMYFUNCTION("""COMPUTED_VALUE"""),0.964407028077797)</f>
        <v>0.96440702807779699</v>
      </c>
      <c r="AD678" s="17">
        <f ca="1">IFERROR(__xludf.DUMMYFUNCTION("""COMPUTED_VALUE"""),0.594661271893209)</f>
        <v>0.59466127189320905</v>
      </c>
      <c r="AE678" s="17">
        <f ca="1">IFERROR(__xludf.DUMMYFUNCTION("""COMPUTED_VALUE"""),1.41333968806403)</f>
        <v>1.4133396880640301</v>
      </c>
      <c r="AF678" s="17">
        <f ca="1">IFERROR(__xludf.DUMMYFUNCTION("""COMPUTED_VALUE"""),0.510640718474558)</f>
        <v>0.51064071847455805</v>
      </c>
      <c r="AG678" s="17">
        <f ca="1">IFERROR(__xludf.DUMMYFUNCTION("""COMPUTED_VALUE"""),0.402574435064358)</f>
        <v>0.40257443506435803</v>
      </c>
      <c r="AH678" s="17">
        <f ca="1">IFERROR(__xludf.DUMMYFUNCTION("""COMPUTED_VALUE"""),0.423417063305139)</f>
        <v>0.42341706330513901</v>
      </c>
      <c r="AI678" s="17">
        <f ca="1">IFERROR(__xludf.DUMMYFUNCTION("""COMPUTED_VALUE"""),0.3869281751294)</f>
        <v>0.38692817512939998</v>
      </c>
      <c r="AJ678" s="17">
        <f ca="1">IFERROR(__xludf.DUMMYFUNCTION("""COMPUTED_VALUE"""),0.427146738883852)</f>
        <v>0.42714673888385202</v>
      </c>
    </row>
    <row r="679" spans="2:36" ht="15.75" customHeight="1" x14ac:dyDescent="0.45">
      <c r="B679" s="10" t="str">
        <f ca="1">IFERROR(__xludf.DUMMYFUNCTION("""COMPUTED_VALUE"""),"Rock")</f>
        <v>Rock</v>
      </c>
      <c r="C679" s="10" t="str">
        <f ca="1">IFERROR(__xludf.DUMMYFUNCTION("""COMPUTED_VALUE"""),"aligned_series")</f>
        <v>aligned_series</v>
      </c>
      <c r="D679" s="10">
        <f ca="1">IFERROR(__xludf.DUMMYFUNCTION("""COMPUTED_VALUE"""),0.4)</f>
        <v>0.4</v>
      </c>
      <c r="E679" s="17">
        <f ca="1">IFERROR(__xludf.DUMMYFUNCTION("""COMPUTED_VALUE"""),1.15920366580642)</f>
        <v>1.15920366580642</v>
      </c>
      <c r="F679" s="17">
        <f ca="1">IFERROR(__xludf.DUMMYFUNCTION("""COMPUTED_VALUE"""),0.548249598969384)</f>
        <v>0.54824959896938397</v>
      </c>
      <c r="G679" s="17">
        <f ca="1">IFERROR(__xludf.DUMMYFUNCTION("""COMPUTED_VALUE"""),0.578997425196251)</f>
        <v>0.57899742519625097</v>
      </c>
      <c r="H679" s="17">
        <f ca="1">IFERROR(__xludf.DUMMYFUNCTION("""COMPUTED_VALUE"""),1.09227557446662)</f>
        <v>1.0922755744666199</v>
      </c>
      <c r="I679" s="17">
        <f ca="1">IFERROR(__xludf.DUMMYFUNCTION("""COMPUTED_VALUE"""),0.692259945019666)</f>
        <v>0.69225994501966603</v>
      </c>
      <c r="J679" s="17">
        <f ca="1">IFERROR(__xludf.DUMMYFUNCTION("""COMPUTED_VALUE"""),0.846783018558207)</f>
        <v>0.84678301855820703</v>
      </c>
      <c r="K679" s="17" t="str">
        <f ca="1">IFERROR(__xludf.DUMMYFUNCTION("""COMPUTED_VALUE"""),"nan")</f>
        <v>nan</v>
      </c>
      <c r="L679" s="17">
        <f ca="1">IFERROR(__xludf.DUMMYFUNCTION("""COMPUTED_VALUE"""),0.560670070722981)</f>
        <v>0.56067007072298103</v>
      </c>
      <c r="M679" s="17">
        <f ca="1">IFERROR(__xludf.DUMMYFUNCTION("""COMPUTED_VALUE"""),0.723647209838031)</f>
        <v>0.72364720983803099</v>
      </c>
      <c r="N679" s="17">
        <f ca="1">IFERROR(__xludf.DUMMYFUNCTION("""COMPUTED_VALUE"""),1.3045218365409)</f>
        <v>1.3045218365408999</v>
      </c>
      <c r="O679" s="17">
        <f ca="1">IFERROR(__xludf.DUMMYFUNCTION("""COMPUTED_VALUE"""),0.52892941847633)</f>
        <v>0.52892941847633002</v>
      </c>
      <c r="P679" s="17">
        <f ca="1">IFERROR(__xludf.DUMMYFUNCTION("""COMPUTED_VALUE"""),1.04415946062381)</f>
        <v>1.04415946062381</v>
      </c>
      <c r="Q679" s="17">
        <f ca="1">IFERROR(__xludf.DUMMYFUNCTION("""COMPUTED_VALUE"""),1.38287659716275)</f>
        <v>1.3828765971627499</v>
      </c>
      <c r="R679" s="17">
        <f ca="1">IFERROR(__xludf.DUMMYFUNCTION("""COMPUTED_VALUE"""),0.658819927640465)</f>
        <v>0.65881992764046504</v>
      </c>
      <c r="S679" s="17">
        <f ca="1">IFERROR(__xludf.DUMMYFUNCTION("""COMPUTED_VALUE"""),0.993779381050581)</f>
        <v>0.99377938105058095</v>
      </c>
      <c r="T679" s="17">
        <f ca="1">IFERROR(__xludf.DUMMYFUNCTION("""COMPUTED_VALUE"""),1.15970305087077)</f>
        <v>1.15970305087077</v>
      </c>
      <c r="U679" s="17">
        <f ca="1">IFERROR(__xludf.DUMMYFUNCTION("""COMPUTED_VALUE"""),0.948424985290198)</f>
        <v>0.94842498529019803</v>
      </c>
      <c r="V679" s="17">
        <f ca="1">IFERROR(__xludf.DUMMYFUNCTION("""COMPUTED_VALUE"""),0.68189360859866)</f>
        <v>0.68189360859865999</v>
      </c>
      <c r="W679" s="17">
        <f ca="1">IFERROR(__xludf.DUMMYFUNCTION("""COMPUTED_VALUE"""),0.43898909823111)</f>
        <v>0.43898909823110999</v>
      </c>
      <c r="X679" s="17">
        <f ca="1">IFERROR(__xludf.DUMMYFUNCTION("""COMPUTED_VALUE"""),0.453286440875086)</f>
        <v>0.45328644087508602</v>
      </c>
      <c r="Y679" s="17">
        <f ca="1">IFERROR(__xludf.DUMMYFUNCTION("""COMPUTED_VALUE"""),0.492054263667354)</f>
        <v>0.492054263667354</v>
      </c>
      <c r="Z679" s="17">
        <f ca="1">IFERROR(__xludf.DUMMYFUNCTION("""COMPUTED_VALUE"""),0.478977086120043)</f>
        <v>0.47897708612004303</v>
      </c>
      <c r="AA679" s="17">
        <f ca="1">IFERROR(__xludf.DUMMYFUNCTION("""COMPUTED_VALUE"""),0.458608059061844)</f>
        <v>0.45860805906184399</v>
      </c>
      <c r="AB679" s="17">
        <f ca="1">IFERROR(__xludf.DUMMYFUNCTION("""COMPUTED_VALUE"""),0.658534300203686)</f>
        <v>0.65853430020368597</v>
      </c>
      <c r="AC679" s="17">
        <f ca="1">IFERROR(__xludf.DUMMYFUNCTION("""COMPUTED_VALUE"""),0.949297541282292)</f>
        <v>0.94929754128229205</v>
      </c>
      <c r="AD679" s="17">
        <f ca="1">IFERROR(__xludf.DUMMYFUNCTION("""COMPUTED_VALUE"""),0.66678713251822)</f>
        <v>0.66678713251821997</v>
      </c>
      <c r="AE679" s="17">
        <f ca="1">IFERROR(__xludf.DUMMYFUNCTION("""COMPUTED_VALUE"""),1.32578494192778)</f>
        <v>1.3257849419277801</v>
      </c>
      <c r="AF679" s="17">
        <f ca="1">IFERROR(__xludf.DUMMYFUNCTION("""COMPUTED_VALUE"""),0.604947114368794)</f>
        <v>0.604947114368794</v>
      </c>
      <c r="AG679" s="17">
        <f ca="1">IFERROR(__xludf.DUMMYFUNCTION("""COMPUTED_VALUE"""),0.454703418351095)</f>
        <v>0.45470341835109501</v>
      </c>
      <c r="AH679" s="17">
        <f ca="1">IFERROR(__xludf.DUMMYFUNCTION("""COMPUTED_VALUE"""),0.397009156512808)</f>
        <v>0.39700915651280799</v>
      </c>
      <c r="AI679" s="17">
        <f ca="1">IFERROR(__xludf.DUMMYFUNCTION("""COMPUTED_VALUE"""),0.422671029549792)</f>
        <v>0.42267102954979202</v>
      </c>
      <c r="AJ679" s="17">
        <f ca="1">IFERROR(__xludf.DUMMYFUNCTION("""COMPUTED_VALUE"""),0.453121851764057)</f>
        <v>0.453121851764057</v>
      </c>
    </row>
    <row r="680" spans="2:36" ht="15.75" customHeight="1" x14ac:dyDescent="0.45">
      <c r="B680" s="10" t="str">
        <f ca="1">IFERROR(__xludf.DUMMYFUNCTION("""COMPUTED_VALUE"""),"Rock")</f>
        <v>Rock</v>
      </c>
      <c r="C680" s="10" t="str">
        <f ca="1">IFERROR(__xludf.DUMMYFUNCTION("""COMPUTED_VALUE"""),"aligned_series")</f>
        <v>aligned_series</v>
      </c>
      <c r="D680" s="10">
        <f ca="1">IFERROR(__xludf.DUMMYFUNCTION("""COMPUTED_VALUE"""),0.6)</f>
        <v>0.6</v>
      </c>
      <c r="E680" s="17">
        <f ca="1">IFERROR(__xludf.DUMMYFUNCTION("""COMPUTED_VALUE"""),1.22487063082331)</f>
        <v>1.2248706308233099</v>
      </c>
      <c r="F680" s="17">
        <f ca="1">IFERROR(__xludf.DUMMYFUNCTION("""COMPUTED_VALUE"""),0.514469432883107)</f>
        <v>0.51446943288310698</v>
      </c>
      <c r="G680" s="17">
        <f ca="1">IFERROR(__xludf.DUMMYFUNCTION("""COMPUTED_VALUE"""),0.586880177577139)</f>
        <v>0.58688017757713895</v>
      </c>
      <c r="H680" s="17">
        <f ca="1">IFERROR(__xludf.DUMMYFUNCTION("""COMPUTED_VALUE"""),1.58610232174647)</f>
        <v>1.58610232174647</v>
      </c>
      <c r="I680" s="17">
        <f ca="1">IFERROR(__xludf.DUMMYFUNCTION("""COMPUTED_VALUE"""),0.785861741076865)</f>
        <v>0.78586174107686502</v>
      </c>
      <c r="J680" s="17">
        <f ca="1">IFERROR(__xludf.DUMMYFUNCTION("""COMPUTED_VALUE"""),0.990226110297032)</f>
        <v>0.990226110297032</v>
      </c>
      <c r="K680" s="17" t="str">
        <f ca="1">IFERROR(__xludf.DUMMYFUNCTION("""COMPUTED_VALUE"""),"nan")</f>
        <v>nan</v>
      </c>
      <c r="L680" s="17">
        <f ca="1">IFERROR(__xludf.DUMMYFUNCTION("""COMPUTED_VALUE"""),0.728202128494372)</f>
        <v>0.72820212849437205</v>
      </c>
      <c r="M680" s="17">
        <f ca="1">IFERROR(__xludf.DUMMYFUNCTION("""COMPUTED_VALUE"""),0.731265793876819)</f>
        <v>0.731265793876819</v>
      </c>
      <c r="N680" s="17">
        <f ca="1">IFERROR(__xludf.DUMMYFUNCTION("""COMPUTED_VALUE"""),1.18839575193279)</f>
        <v>1.1883957519327899</v>
      </c>
      <c r="O680" s="17">
        <f ca="1">IFERROR(__xludf.DUMMYFUNCTION("""COMPUTED_VALUE"""),0.475485164323045)</f>
        <v>0.475485164323045</v>
      </c>
      <c r="P680" s="17">
        <f ca="1">IFERROR(__xludf.DUMMYFUNCTION("""COMPUTED_VALUE"""),1.25807444473666)</f>
        <v>1.2580744447366601</v>
      </c>
      <c r="Q680" s="17">
        <f ca="1">IFERROR(__xludf.DUMMYFUNCTION("""COMPUTED_VALUE"""),1.37093620025905)</f>
        <v>1.3709362002590499</v>
      </c>
      <c r="R680" s="17">
        <f ca="1">IFERROR(__xludf.DUMMYFUNCTION("""COMPUTED_VALUE"""),4.19700643415106)</f>
        <v>4.19700643415106</v>
      </c>
      <c r="S680" s="17">
        <f ca="1">IFERROR(__xludf.DUMMYFUNCTION("""COMPUTED_VALUE"""),1.06592072322948)</f>
        <v>1.0659207232294801</v>
      </c>
      <c r="T680" s="17">
        <f ca="1">IFERROR(__xludf.DUMMYFUNCTION("""COMPUTED_VALUE"""),0.763055825759587)</f>
        <v>0.76305582575958697</v>
      </c>
      <c r="U680" s="17">
        <f ca="1">IFERROR(__xludf.DUMMYFUNCTION("""COMPUTED_VALUE"""),0.658982797346305)</f>
        <v>0.65898279734630505</v>
      </c>
      <c r="V680" s="17">
        <f ca="1">IFERROR(__xludf.DUMMYFUNCTION("""COMPUTED_VALUE"""),0.713165873513181)</f>
        <v>0.71316587351318095</v>
      </c>
      <c r="W680" s="17">
        <f ca="1">IFERROR(__xludf.DUMMYFUNCTION("""COMPUTED_VALUE"""),0.390803879003167)</f>
        <v>0.39080387900316699</v>
      </c>
      <c r="X680" s="17">
        <f ca="1">IFERROR(__xludf.DUMMYFUNCTION("""COMPUTED_VALUE"""),0.506819324456698)</f>
        <v>0.50681932445669797</v>
      </c>
      <c r="Y680" s="17">
        <f ca="1">IFERROR(__xludf.DUMMYFUNCTION("""COMPUTED_VALUE"""),0.512580207581297)</f>
        <v>0.51258020758129696</v>
      </c>
      <c r="Z680" s="17">
        <f ca="1">IFERROR(__xludf.DUMMYFUNCTION("""COMPUTED_VALUE"""),0.493186591890229)</f>
        <v>0.49318659189022901</v>
      </c>
      <c r="AA680" s="17">
        <f ca="1">IFERROR(__xludf.DUMMYFUNCTION("""COMPUTED_VALUE"""),0.307241790660518)</f>
        <v>0.30724179066051799</v>
      </c>
      <c r="AB680" s="17">
        <f ca="1">IFERROR(__xludf.DUMMYFUNCTION("""COMPUTED_VALUE"""),0.859674026615206)</f>
        <v>0.85967402661520598</v>
      </c>
      <c r="AC680" s="17">
        <f ca="1">IFERROR(__xludf.DUMMYFUNCTION("""COMPUTED_VALUE"""),0.991586203966654)</f>
        <v>0.99158620396665398</v>
      </c>
      <c r="AD680" s="17">
        <f ca="1">IFERROR(__xludf.DUMMYFUNCTION("""COMPUTED_VALUE"""),0.75051484425856)</f>
        <v>0.75051484425855997</v>
      </c>
      <c r="AE680" s="17">
        <f ca="1">IFERROR(__xludf.DUMMYFUNCTION("""COMPUTED_VALUE"""),1.44175667264367)</f>
        <v>1.4417566726436699</v>
      </c>
      <c r="AF680" s="17">
        <f ca="1">IFERROR(__xludf.DUMMYFUNCTION("""COMPUTED_VALUE"""),0.569741566081911)</f>
        <v>0.56974156608191096</v>
      </c>
      <c r="AG680" s="17">
        <f ca="1">IFERROR(__xludf.DUMMYFUNCTION("""COMPUTED_VALUE"""),0.431838114063611)</f>
        <v>0.431838114063611</v>
      </c>
      <c r="AH680" s="17">
        <f ca="1">IFERROR(__xludf.DUMMYFUNCTION("""COMPUTED_VALUE"""),0.388899230969383)</f>
        <v>0.388899230969383</v>
      </c>
      <c r="AI680" s="17">
        <f ca="1">IFERROR(__xludf.DUMMYFUNCTION("""COMPUTED_VALUE"""),0.391512095587096)</f>
        <v>0.39151209558709599</v>
      </c>
      <c r="AJ680" s="17">
        <f ca="1">IFERROR(__xludf.DUMMYFUNCTION("""COMPUTED_VALUE"""),0.417851368642056)</f>
        <v>0.41785136864205602</v>
      </c>
    </row>
    <row r="681" spans="2:36" ht="15.75" customHeight="1" x14ac:dyDescent="0.45">
      <c r="B681" s="10" t="str">
        <f ca="1">IFERROR(__xludf.DUMMYFUNCTION("""COMPUTED_VALUE"""),"Rock")</f>
        <v>Rock</v>
      </c>
      <c r="C681" s="10" t="str">
        <f ca="1">IFERROR(__xludf.DUMMYFUNCTION("""COMPUTED_VALUE"""),"aligned_series")</f>
        <v>aligned_series</v>
      </c>
      <c r="D681" s="10">
        <f ca="1">IFERROR(__xludf.DUMMYFUNCTION("""COMPUTED_VALUE"""),0.8)</f>
        <v>0.8</v>
      </c>
      <c r="E681" s="17">
        <f ca="1">IFERROR(__xludf.DUMMYFUNCTION("""COMPUTED_VALUE"""),1.23715313485724)</f>
        <v>1.23715313485724</v>
      </c>
      <c r="F681" s="17">
        <f ca="1">IFERROR(__xludf.DUMMYFUNCTION("""COMPUTED_VALUE"""),0.809609648364334)</f>
        <v>0.80960964836433402</v>
      </c>
      <c r="G681" s="17">
        <f ca="1">IFERROR(__xludf.DUMMYFUNCTION("""COMPUTED_VALUE"""),0.823977240587842)</f>
        <v>0.82397724058784205</v>
      </c>
      <c r="H681" s="17">
        <f ca="1">IFERROR(__xludf.DUMMYFUNCTION("""COMPUTED_VALUE"""),1.00552845085143)</f>
        <v>1.0055284508514299</v>
      </c>
      <c r="I681" s="17">
        <f ca="1">IFERROR(__xludf.DUMMYFUNCTION("""COMPUTED_VALUE"""),0.947538609077272)</f>
        <v>0.94753860907727205</v>
      </c>
      <c r="J681" s="17">
        <f ca="1">IFERROR(__xludf.DUMMYFUNCTION("""COMPUTED_VALUE"""),0.972168943271994)</f>
        <v>0.97216894327199399</v>
      </c>
      <c r="K681" s="17" t="str">
        <f ca="1">IFERROR(__xludf.DUMMYFUNCTION("""COMPUTED_VALUE"""),"nan")</f>
        <v>nan</v>
      </c>
      <c r="L681" s="17">
        <f ca="1">IFERROR(__xludf.DUMMYFUNCTION("""COMPUTED_VALUE"""),0.900817878996717)</f>
        <v>0.90081787899671695</v>
      </c>
      <c r="M681" s="17">
        <f ca="1">IFERROR(__xludf.DUMMYFUNCTION("""COMPUTED_VALUE"""),0.433084013502187)</f>
        <v>0.433084013502187</v>
      </c>
      <c r="N681" s="17">
        <f ca="1">IFERROR(__xludf.DUMMYFUNCTION("""COMPUTED_VALUE"""),1.10877250694925)</f>
        <v>1.10877250694925</v>
      </c>
      <c r="O681" s="17">
        <f ca="1">IFERROR(__xludf.DUMMYFUNCTION("""COMPUTED_VALUE"""),0.458799524533506)</f>
        <v>0.45879952453350598</v>
      </c>
      <c r="P681" s="17">
        <f ca="1">IFERROR(__xludf.DUMMYFUNCTION("""COMPUTED_VALUE"""),1.6116948035626)</f>
        <v>1.6116948035626</v>
      </c>
      <c r="Q681" s="17">
        <f ca="1">IFERROR(__xludf.DUMMYFUNCTION("""COMPUTED_VALUE"""),1.39902996873194)</f>
        <v>1.3990299687319401</v>
      </c>
      <c r="R681" s="17">
        <f ca="1">IFERROR(__xludf.DUMMYFUNCTION("""COMPUTED_VALUE"""),2.06855834794862)</f>
        <v>2.06855834794862</v>
      </c>
      <c r="S681" s="17">
        <f ca="1">IFERROR(__xludf.DUMMYFUNCTION("""COMPUTED_VALUE"""),1.02227265988147)</f>
        <v>1.02227265988147</v>
      </c>
      <c r="T681" s="17">
        <f ca="1">IFERROR(__xludf.DUMMYFUNCTION("""COMPUTED_VALUE"""),0.695333023216367)</f>
        <v>0.69533302321636703</v>
      </c>
      <c r="U681" s="17">
        <f ca="1">IFERROR(__xludf.DUMMYFUNCTION("""COMPUTED_VALUE"""),0.688121850718465)</f>
        <v>0.68812185071846499</v>
      </c>
      <c r="V681" s="17">
        <f ca="1">IFERROR(__xludf.DUMMYFUNCTION("""COMPUTED_VALUE"""),0.852006785998802)</f>
        <v>0.85200678599880197</v>
      </c>
      <c r="W681" s="17">
        <f ca="1">IFERROR(__xludf.DUMMYFUNCTION("""COMPUTED_VALUE"""),0.441875780265159)</f>
        <v>0.441875780265159</v>
      </c>
      <c r="X681" s="17">
        <f ca="1">IFERROR(__xludf.DUMMYFUNCTION("""COMPUTED_VALUE"""),0.547215375251997)</f>
        <v>0.54721537525199704</v>
      </c>
      <c r="Y681" s="17">
        <f ca="1">IFERROR(__xludf.DUMMYFUNCTION("""COMPUTED_VALUE"""),0.543281671512536)</f>
        <v>0.54328167151253604</v>
      </c>
      <c r="Z681" s="17">
        <f ca="1">IFERROR(__xludf.DUMMYFUNCTION("""COMPUTED_VALUE"""),0.535775749364784)</f>
        <v>0.535775749364784</v>
      </c>
      <c r="AA681" s="17">
        <f ca="1">IFERROR(__xludf.DUMMYFUNCTION("""COMPUTED_VALUE"""),0.357377210511007)</f>
        <v>0.35737721051100702</v>
      </c>
      <c r="AB681" s="17">
        <f ca="1">IFERROR(__xludf.DUMMYFUNCTION("""COMPUTED_VALUE"""),1.1283070400845)</f>
        <v>1.1283070400844999</v>
      </c>
      <c r="AC681" s="17">
        <f ca="1">IFERROR(__xludf.DUMMYFUNCTION("""COMPUTED_VALUE"""),1.13133728093827)</f>
        <v>1.13133728093827</v>
      </c>
      <c r="AD681" s="17">
        <f ca="1">IFERROR(__xludf.DUMMYFUNCTION("""COMPUTED_VALUE"""),0.895598578309104)</f>
        <v>0.89559857830910405</v>
      </c>
      <c r="AE681" s="17">
        <f ca="1">IFERROR(__xludf.DUMMYFUNCTION("""COMPUTED_VALUE"""),1.44413247525784)</f>
        <v>1.4441324752578399</v>
      </c>
      <c r="AF681" s="17">
        <f ca="1">IFERROR(__xludf.DUMMYFUNCTION("""COMPUTED_VALUE"""),0.661358358773242)</f>
        <v>0.66135835877324201</v>
      </c>
      <c r="AG681" s="17">
        <f ca="1">IFERROR(__xludf.DUMMYFUNCTION("""COMPUTED_VALUE"""),0.367965698383901)</f>
        <v>0.36796569838390097</v>
      </c>
      <c r="AH681" s="17">
        <f ca="1">IFERROR(__xludf.DUMMYFUNCTION("""COMPUTED_VALUE"""),0.373545012247577)</f>
        <v>0.37354501224757702</v>
      </c>
      <c r="AI681" s="17">
        <f ca="1">IFERROR(__xludf.DUMMYFUNCTION("""COMPUTED_VALUE"""),0.367980246577983)</f>
        <v>0.36798024657798301</v>
      </c>
      <c r="AJ681" s="17">
        <f ca="1">IFERROR(__xludf.DUMMYFUNCTION("""COMPUTED_VALUE"""),0.379824936029809)</f>
        <v>0.37982493602980899</v>
      </c>
    </row>
    <row r="682" spans="2:36" ht="15.75" customHeight="1" x14ac:dyDescent="0.45">
      <c r="B682" s="10" t="str">
        <f ca="1">IFERROR(__xludf.DUMMYFUNCTION("""COMPUTED_VALUE"""),"Rock")</f>
        <v>Rock</v>
      </c>
      <c r="C682" s="10" t="str">
        <f ca="1">IFERROR(__xludf.DUMMYFUNCTION("""COMPUTED_VALUE"""),"aligned_timestamps")</f>
        <v>aligned_timestamps</v>
      </c>
      <c r="D682" s="10">
        <f ca="1">IFERROR(__xludf.DUMMYFUNCTION("""COMPUTED_VALUE"""),0.1)</f>
        <v>0.1</v>
      </c>
      <c r="E682" s="17">
        <f ca="1">IFERROR(__xludf.DUMMYFUNCTION("""COMPUTED_VALUE"""),1.35921200379058)</f>
        <v>1.3592120037905799</v>
      </c>
      <c r="F682" s="17">
        <f ca="1">IFERROR(__xludf.DUMMYFUNCTION("""COMPUTED_VALUE"""),0.227659719548409)</f>
        <v>0.227659719548409</v>
      </c>
      <c r="G682" s="17">
        <f ca="1">IFERROR(__xludf.DUMMYFUNCTION("""COMPUTED_VALUE"""),0.250329449736194)</f>
        <v>0.25032944973619398</v>
      </c>
      <c r="H682" s="17">
        <f ca="1">IFERROR(__xludf.DUMMYFUNCTION("""COMPUTED_VALUE"""),0.261952122299293)</f>
        <v>0.26195212229929299</v>
      </c>
      <c r="I682" s="17">
        <f ca="1">IFERROR(__xludf.DUMMYFUNCTION("""COMPUTED_VALUE"""),0.407087453757271)</f>
        <v>0.40708745375727101</v>
      </c>
      <c r="J682" s="17">
        <f ca="1">IFERROR(__xludf.DUMMYFUNCTION("""COMPUTED_VALUE"""),0.498965202490484)</f>
        <v>0.49896520249048398</v>
      </c>
      <c r="K682" s="17" t="str">
        <f ca="1">IFERROR(__xludf.DUMMYFUNCTION("""COMPUTED_VALUE"""),"nan")</f>
        <v>nan</v>
      </c>
      <c r="L682" s="17">
        <f ca="1">IFERROR(__xludf.DUMMYFUNCTION("""COMPUTED_VALUE"""),0.299725347488624)</f>
        <v>0.29972534748862401</v>
      </c>
      <c r="M682" s="17">
        <f ca="1">IFERROR(__xludf.DUMMYFUNCTION("""COMPUTED_VALUE"""),0.251418424505344)</f>
        <v>0.25141842450534402</v>
      </c>
      <c r="N682" s="17">
        <f ca="1">IFERROR(__xludf.DUMMYFUNCTION("""COMPUTED_VALUE"""),0.664286472493985)</f>
        <v>0.66428647249398498</v>
      </c>
      <c r="O682" s="17">
        <f ca="1">IFERROR(__xludf.DUMMYFUNCTION("""COMPUTED_VALUE"""),0.264127753537273)</f>
        <v>0.26412775353727302</v>
      </c>
      <c r="P682" s="17">
        <f ca="1">IFERROR(__xludf.DUMMYFUNCTION("""COMPUTED_VALUE"""),0.890242038903809)</f>
        <v>0.89024203890380904</v>
      </c>
      <c r="Q682" s="17">
        <f ca="1">IFERROR(__xludf.DUMMYFUNCTION("""COMPUTED_VALUE"""),0.712690864490494)</f>
        <v>0.71269086449049401</v>
      </c>
      <c r="R682" s="17">
        <f ca="1">IFERROR(__xludf.DUMMYFUNCTION("""COMPUTED_VALUE"""),0.278256917546221)</f>
        <v>0.27825691754622101</v>
      </c>
      <c r="S682" s="17">
        <f ca="1">IFERROR(__xludf.DUMMYFUNCTION("""COMPUTED_VALUE"""),0.486935082085229)</f>
        <v>0.48693508208522901</v>
      </c>
      <c r="T682" s="17">
        <f ca="1">IFERROR(__xludf.DUMMYFUNCTION("""COMPUTED_VALUE"""),0.984055007791063)</f>
        <v>0.98405500779106303</v>
      </c>
      <c r="U682" s="17">
        <f ca="1">IFERROR(__xludf.DUMMYFUNCTION("""COMPUTED_VALUE"""),0.349380510899491)</f>
        <v>0.34938051089949101</v>
      </c>
      <c r="V682" s="17">
        <f ca="1">IFERROR(__xludf.DUMMYFUNCTION("""COMPUTED_VALUE"""),0.402476119724291)</f>
        <v>0.40247611972429098</v>
      </c>
      <c r="W682" s="17">
        <f ca="1">IFERROR(__xludf.DUMMYFUNCTION("""COMPUTED_VALUE"""),0.306242400104071)</f>
        <v>0.306242400104071</v>
      </c>
      <c r="X682" s="17">
        <f ca="1">IFERROR(__xludf.DUMMYFUNCTION("""COMPUTED_VALUE"""),0.335876089137645)</f>
        <v>0.335876089137645</v>
      </c>
      <c r="Y682" s="17">
        <f ca="1">IFERROR(__xludf.DUMMYFUNCTION("""COMPUTED_VALUE"""),0.160298587654826)</f>
        <v>0.16029858765482599</v>
      </c>
      <c r="Z682" s="17">
        <f ca="1">IFERROR(__xludf.DUMMYFUNCTION("""COMPUTED_VALUE"""),0.499061209143906)</f>
        <v>0.499061209143906</v>
      </c>
      <c r="AA682" s="17">
        <f ca="1">IFERROR(__xludf.DUMMYFUNCTION("""COMPUTED_VALUE"""),0.176822052996176)</f>
        <v>0.17682205299617601</v>
      </c>
      <c r="AB682" s="17">
        <f ca="1">IFERROR(__xludf.DUMMYFUNCTION("""COMPUTED_VALUE"""),0.492400092557392)</f>
        <v>0.49240009255739198</v>
      </c>
      <c r="AC682" s="17">
        <f ca="1">IFERROR(__xludf.DUMMYFUNCTION("""COMPUTED_VALUE"""),1.06963336552807)</f>
        <v>1.0696333655280701</v>
      </c>
      <c r="AD682" s="17">
        <f ca="1">IFERROR(__xludf.DUMMYFUNCTION("""COMPUTED_VALUE"""),0.564131935129143)</f>
        <v>0.56413193512914295</v>
      </c>
      <c r="AE682" s="17">
        <f ca="1">IFERROR(__xludf.DUMMYFUNCTION("""COMPUTED_VALUE"""),1.44990597002456)</f>
        <v>1.44990597002456</v>
      </c>
      <c r="AF682" s="17">
        <f ca="1">IFERROR(__xludf.DUMMYFUNCTION("""COMPUTED_VALUE"""),0.19388910817801)</f>
        <v>0.19388910817801</v>
      </c>
      <c r="AG682" s="17">
        <f ca="1">IFERROR(__xludf.DUMMYFUNCTION("""COMPUTED_VALUE"""),0.277036729517416)</f>
        <v>0.27703672951741598</v>
      </c>
      <c r="AH682" s="17">
        <f ca="1">IFERROR(__xludf.DUMMYFUNCTION("""COMPUTED_VALUE"""),0.270946148318289)</f>
        <v>0.270946148318289</v>
      </c>
      <c r="AI682" s="17">
        <f ca="1">IFERROR(__xludf.DUMMYFUNCTION("""COMPUTED_VALUE"""),0.239075229450573)</f>
        <v>0.239075229450573</v>
      </c>
      <c r="AJ682" s="17">
        <f ca="1">IFERROR(__xludf.DUMMYFUNCTION("""COMPUTED_VALUE"""),0.286535799354846)</f>
        <v>0.28653579935484602</v>
      </c>
    </row>
    <row r="683" spans="2:36" ht="15.75" customHeight="1" x14ac:dyDescent="0.45">
      <c r="B683" s="10" t="str">
        <f ca="1">IFERROR(__xludf.DUMMYFUNCTION("""COMPUTED_VALUE"""),"Rock")</f>
        <v>Rock</v>
      </c>
      <c r="C683" s="10" t="str">
        <f ca="1">IFERROR(__xludf.DUMMYFUNCTION("""COMPUTED_VALUE"""),"aligned_timestamps")</f>
        <v>aligned_timestamps</v>
      </c>
      <c r="D683" s="10">
        <f ca="1">IFERROR(__xludf.DUMMYFUNCTION("""COMPUTED_VALUE"""),0.2)</f>
        <v>0.2</v>
      </c>
      <c r="E683" s="17">
        <f ca="1">IFERROR(__xludf.DUMMYFUNCTION("""COMPUTED_VALUE"""),1.17354904557191)</f>
        <v>1.17354904557191</v>
      </c>
      <c r="F683" s="17">
        <f ca="1">IFERROR(__xludf.DUMMYFUNCTION("""COMPUTED_VALUE"""),0.224464063666485)</f>
        <v>0.224464063666485</v>
      </c>
      <c r="G683" s="17">
        <f ca="1">IFERROR(__xludf.DUMMYFUNCTION("""COMPUTED_VALUE"""),0.251847294008218)</f>
        <v>0.25184729400821798</v>
      </c>
      <c r="H683" s="17">
        <f ca="1">IFERROR(__xludf.DUMMYFUNCTION("""COMPUTED_VALUE"""),0.466697426673535)</f>
        <v>0.46669742667353498</v>
      </c>
      <c r="I683" s="17">
        <f ca="1">IFERROR(__xludf.DUMMYFUNCTION("""COMPUTED_VALUE"""),0.364542647062291)</f>
        <v>0.364542647062291</v>
      </c>
      <c r="J683" s="17">
        <f ca="1">IFERROR(__xludf.DUMMYFUNCTION("""COMPUTED_VALUE"""),0.88707698964397)</f>
        <v>0.88707698964396997</v>
      </c>
      <c r="K683" s="17" t="str">
        <f ca="1">IFERROR(__xludf.DUMMYFUNCTION("""COMPUTED_VALUE"""),"nan")</f>
        <v>nan</v>
      </c>
      <c r="L683" s="17">
        <f ca="1">IFERROR(__xludf.DUMMYFUNCTION("""COMPUTED_VALUE"""),0.27304215441554)</f>
        <v>0.27304215441553997</v>
      </c>
      <c r="M683" s="17">
        <f ca="1">IFERROR(__xludf.DUMMYFUNCTION("""COMPUTED_VALUE"""),0.241600450954773)</f>
        <v>0.24160045095477301</v>
      </c>
      <c r="N683" s="17">
        <f ca="1">IFERROR(__xludf.DUMMYFUNCTION("""COMPUTED_VALUE"""),0.767180898833796)</f>
        <v>0.76718089883379603</v>
      </c>
      <c r="O683" s="17">
        <f ca="1">IFERROR(__xludf.DUMMYFUNCTION("""COMPUTED_VALUE"""),0.267843650434778)</f>
        <v>0.26784365043477798</v>
      </c>
      <c r="P683" s="17">
        <f ca="1">IFERROR(__xludf.DUMMYFUNCTION("""COMPUTED_VALUE"""),0.923368031245947)</f>
        <v>0.92336803124594702</v>
      </c>
      <c r="Q683" s="17">
        <f ca="1">IFERROR(__xludf.DUMMYFUNCTION("""COMPUTED_VALUE"""),1.02001978677286)</f>
        <v>1.02001978677286</v>
      </c>
      <c r="R683" s="17">
        <f ca="1">IFERROR(__xludf.DUMMYFUNCTION("""COMPUTED_VALUE"""),0.304531140910107)</f>
        <v>0.30453114091010702</v>
      </c>
      <c r="S683" s="17">
        <f ca="1">IFERROR(__xludf.DUMMYFUNCTION("""COMPUTED_VALUE"""),0.510322318797017)</f>
        <v>0.51032231879701695</v>
      </c>
      <c r="T683" s="17">
        <f ca="1">IFERROR(__xludf.DUMMYFUNCTION("""COMPUTED_VALUE"""),0.878437002248463)</f>
        <v>0.87843700224846299</v>
      </c>
      <c r="U683" s="17">
        <f ca="1">IFERROR(__xludf.DUMMYFUNCTION("""COMPUTED_VALUE"""),0.462663651259801)</f>
        <v>0.46266365125980102</v>
      </c>
      <c r="V683" s="17">
        <f ca="1">IFERROR(__xludf.DUMMYFUNCTION("""COMPUTED_VALUE"""),0.259061549154963)</f>
        <v>0.25906154915496299</v>
      </c>
      <c r="W683" s="17">
        <f ca="1">IFERROR(__xludf.DUMMYFUNCTION("""COMPUTED_VALUE"""),0.348841541386369)</f>
        <v>0.34884154138636903</v>
      </c>
      <c r="X683" s="17">
        <f ca="1">IFERROR(__xludf.DUMMYFUNCTION("""COMPUTED_VALUE"""),0.263052047592237)</f>
        <v>0.26305204759223699</v>
      </c>
      <c r="Y683" s="17">
        <f ca="1">IFERROR(__xludf.DUMMYFUNCTION("""COMPUTED_VALUE"""),0.281104929567668)</f>
        <v>0.28110492956766803</v>
      </c>
      <c r="Z683" s="17">
        <f ca="1">IFERROR(__xludf.DUMMYFUNCTION("""COMPUTED_VALUE"""),0.45317391187681)</f>
        <v>0.45317391187681</v>
      </c>
      <c r="AA683" s="17">
        <f ca="1">IFERROR(__xludf.DUMMYFUNCTION("""COMPUTED_VALUE"""),0.254485899292605)</f>
        <v>0.25448589929260501</v>
      </c>
      <c r="AB683" s="17">
        <f ca="1">IFERROR(__xludf.DUMMYFUNCTION("""COMPUTED_VALUE"""),0.624218509817886)</f>
        <v>0.62421850981788596</v>
      </c>
      <c r="AC683" s="17">
        <f ca="1">IFERROR(__xludf.DUMMYFUNCTION("""COMPUTED_VALUE"""),0.967536309935505)</f>
        <v>0.96753630993550499</v>
      </c>
      <c r="AD683" s="17">
        <f ca="1">IFERROR(__xludf.DUMMYFUNCTION("""COMPUTED_VALUE"""),0.501477605175167)</f>
        <v>0.50147760517516704</v>
      </c>
      <c r="AE683" s="17">
        <f ca="1">IFERROR(__xludf.DUMMYFUNCTION("""COMPUTED_VALUE"""),1.43963208060357)</f>
        <v>1.4396320806035701</v>
      </c>
      <c r="AF683" s="17">
        <f ca="1">IFERROR(__xludf.DUMMYFUNCTION("""COMPUTED_VALUE"""),0.510640718474558)</f>
        <v>0.51064071847455805</v>
      </c>
      <c r="AG683" s="17">
        <f ca="1">IFERROR(__xludf.DUMMYFUNCTION("""COMPUTED_VALUE"""),0.423040745885913)</f>
        <v>0.42304074588591301</v>
      </c>
      <c r="AH683" s="17">
        <f ca="1">IFERROR(__xludf.DUMMYFUNCTION("""COMPUTED_VALUE"""),0.423417063305139)</f>
        <v>0.42341706330513901</v>
      </c>
      <c r="AI683" s="17">
        <f ca="1">IFERROR(__xludf.DUMMYFUNCTION("""COMPUTED_VALUE"""),0.3869281751294)</f>
        <v>0.38692817512939998</v>
      </c>
      <c r="AJ683" s="17">
        <f ca="1">IFERROR(__xludf.DUMMYFUNCTION("""COMPUTED_VALUE"""),0.439923917439298)</f>
        <v>0.43992391743929798</v>
      </c>
    </row>
    <row r="684" spans="2:36" ht="15.75" customHeight="1" x14ac:dyDescent="0.45">
      <c r="B684" s="10" t="str">
        <f ca="1">IFERROR(__xludf.DUMMYFUNCTION("""COMPUTED_VALUE"""),"Rock")</f>
        <v>Rock</v>
      </c>
      <c r="C684" s="10" t="str">
        <f ca="1">IFERROR(__xludf.DUMMYFUNCTION("""COMPUTED_VALUE"""),"aligned_timestamps")</f>
        <v>aligned_timestamps</v>
      </c>
      <c r="D684" s="10">
        <f ca="1">IFERROR(__xludf.DUMMYFUNCTION("""COMPUTED_VALUE"""),0.4)</f>
        <v>0.4</v>
      </c>
      <c r="E684" s="17">
        <f ca="1">IFERROR(__xludf.DUMMYFUNCTION("""COMPUTED_VALUE"""),1.02833829828892)</f>
        <v>1.02833829828892</v>
      </c>
      <c r="F684" s="17">
        <f ca="1">IFERROR(__xludf.DUMMYFUNCTION("""COMPUTED_VALUE"""),0.252631463952744)</f>
        <v>0.252631463952744</v>
      </c>
      <c r="G684" s="17">
        <f ca="1">IFERROR(__xludf.DUMMYFUNCTION("""COMPUTED_VALUE"""),0.255179500578769)</f>
        <v>0.25517950057876898</v>
      </c>
      <c r="H684" s="17">
        <f ca="1">IFERROR(__xludf.DUMMYFUNCTION("""COMPUTED_VALUE"""),0.650566576530931)</f>
        <v>0.65056657653093097</v>
      </c>
      <c r="I684" s="17">
        <f ca="1">IFERROR(__xludf.DUMMYFUNCTION("""COMPUTED_VALUE"""),0.377724063481708)</f>
        <v>0.37772406348170801</v>
      </c>
      <c r="J684" s="17">
        <f ca="1">IFERROR(__xludf.DUMMYFUNCTION("""COMPUTED_VALUE"""),1.15626956971162)</f>
        <v>1.1562695697116201</v>
      </c>
      <c r="K684" s="17" t="str">
        <f ca="1">IFERROR(__xludf.DUMMYFUNCTION("""COMPUTED_VALUE"""),"nan")</f>
        <v>nan</v>
      </c>
      <c r="L684" s="17">
        <f ca="1">IFERROR(__xludf.DUMMYFUNCTION("""COMPUTED_VALUE"""),0.331836359317039)</f>
        <v>0.33183635931703898</v>
      </c>
      <c r="M684" s="17">
        <f ca="1">IFERROR(__xludf.DUMMYFUNCTION("""COMPUTED_VALUE"""),0.281518985834651)</f>
        <v>0.28151898583465101</v>
      </c>
      <c r="N684" s="17">
        <f ca="1">IFERROR(__xludf.DUMMYFUNCTION("""COMPUTED_VALUE"""),0.814912657323374)</f>
        <v>0.81491265732337403</v>
      </c>
      <c r="O684" s="17">
        <f ca="1">IFERROR(__xludf.DUMMYFUNCTION("""COMPUTED_VALUE"""),0.397400926044208)</f>
        <v>0.39740092604420801</v>
      </c>
      <c r="P684" s="17">
        <f ca="1">IFERROR(__xludf.DUMMYFUNCTION("""COMPUTED_VALUE"""),1.10156318571988)</f>
        <v>1.10156318571988</v>
      </c>
      <c r="Q684" s="17">
        <f ca="1">IFERROR(__xludf.DUMMYFUNCTION("""COMPUTED_VALUE"""),1.1248533659377)</f>
        <v>1.1248533659377</v>
      </c>
      <c r="R684" s="17">
        <f ca="1">IFERROR(__xludf.DUMMYFUNCTION("""COMPUTED_VALUE"""),0.299599634227823)</f>
        <v>0.29959963422782299</v>
      </c>
      <c r="S684" s="17">
        <f ca="1">IFERROR(__xludf.DUMMYFUNCTION("""COMPUTED_VALUE"""),0.658591516601687)</f>
        <v>0.65859151660168702</v>
      </c>
      <c r="T684" s="17">
        <f ca="1">IFERROR(__xludf.DUMMYFUNCTION("""COMPUTED_VALUE"""),1.10899752316768)</f>
        <v>1.1089975231676801</v>
      </c>
      <c r="U684" s="17">
        <f ca="1">IFERROR(__xludf.DUMMYFUNCTION("""COMPUTED_VALUE"""),1.12659922571153)</f>
        <v>1.12659922571153</v>
      </c>
      <c r="V684" s="17">
        <f ca="1">IFERROR(__xludf.DUMMYFUNCTION("""COMPUTED_VALUE"""),0.373297672142381)</f>
        <v>0.37329767214238102</v>
      </c>
      <c r="W684" s="17">
        <f ca="1">IFERROR(__xludf.DUMMYFUNCTION("""COMPUTED_VALUE"""),0.499731238021001)</f>
        <v>0.499731238021001</v>
      </c>
      <c r="X684" s="17">
        <f ca="1">IFERROR(__xludf.DUMMYFUNCTION("""COMPUTED_VALUE"""),0.247661716726781)</f>
        <v>0.247661716726781</v>
      </c>
      <c r="Y684" s="17">
        <f ca="1">IFERROR(__xludf.DUMMYFUNCTION("""COMPUTED_VALUE"""),0.422611794132415)</f>
        <v>0.42261179413241501</v>
      </c>
      <c r="Z684" s="17">
        <f ca="1">IFERROR(__xludf.DUMMYFUNCTION("""COMPUTED_VALUE"""),0.856069190766039)</f>
        <v>0.85606919076603905</v>
      </c>
      <c r="AA684" s="17">
        <f ca="1">IFERROR(__xludf.DUMMYFUNCTION("""COMPUTED_VALUE"""),0.230688465586953)</f>
        <v>0.230688465586953</v>
      </c>
      <c r="AB684" s="17">
        <f ca="1">IFERROR(__xludf.DUMMYFUNCTION("""COMPUTED_VALUE"""),0.831912285863528)</f>
        <v>0.83191228586352794</v>
      </c>
      <c r="AC684" s="17">
        <f ca="1">IFERROR(__xludf.DUMMYFUNCTION("""COMPUTED_VALUE"""),0.825475617592216)</f>
        <v>0.82547561759221599</v>
      </c>
      <c r="AD684" s="17">
        <f ca="1">IFERROR(__xludf.DUMMYFUNCTION("""COMPUTED_VALUE"""),0.715334107833014)</f>
        <v>0.71533410783301399</v>
      </c>
      <c r="AE684" s="17" t="str">
        <f ca="1">IFERROR(__xludf.DUMMYFUNCTION("""COMPUTED_VALUE"""),"nan")</f>
        <v>nan</v>
      </c>
      <c r="AF684" s="17">
        <f ca="1">IFERROR(__xludf.DUMMYFUNCTION("""COMPUTED_VALUE"""),0.854852781212217)</f>
        <v>0.85485278121221697</v>
      </c>
      <c r="AG684" s="17">
        <f ca="1">IFERROR(__xludf.DUMMYFUNCTION("""COMPUTED_VALUE"""),0.413429790650894)</f>
        <v>0.41342979065089402</v>
      </c>
      <c r="AH684" s="17">
        <f ca="1">IFERROR(__xludf.DUMMYFUNCTION("""COMPUTED_VALUE"""),0.416090997076924)</f>
        <v>0.41609099707692399</v>
      </c>
      <c r="AI684" s="17">
        <f ca="1">IFERROR(__xludf.DUMMYFUNCTION("""COMPUTED_VALUE"""),0.41775361150252)</f>
        <v>0.41775361150251999</v>
      </c>
      <c r="AJ684" s="17">
        <f ca="1">IFERROR(__xludf.DUMMYFUNCTION("""COMPUTED_VALUE"""),0.544789923208426)</f>
        <v>0.54478992320842601</v>
      </c>
    </row>
    <row r="685" spans="2:36" ht="15.75" customHeight="1" x14ac:dyDescent="0.45">
      <c r="B685" s="10" t="str">
        <f ca="1">IFERROR(__xludf.DUMMYFUNCTION("""COMPUTED_VALUE"""),"Rock")</f>
        <v>Rock</v>
      </c>
      <c r="C685" s="10" t="str">
        <f ca="1">IFERROR(__xludf.DUMMYFUNCTION("""COMPUTED_VALUE"""),"aligned_timestamps")</f>
        <v>aligned_timestamps</v>
      </c>
      <c r="D685" s="10">
        <f ca="1">IFERROR(__xludf.DUMMYFUNCTION("""COMPUTED_VALUE"""),0.6)</f>
        <v>0.6</v>
      </c>
      <c r="E685" s="17">
        <f ca="1">IFERROR(__xludf.DUMMYFUNCTION("""COMPUTED_VALUE"""),0.928089665375552)</f>
        <v>0.92808966537555204</v>
      </c>
      <c r="F685" s="17">
        <f ca="1">IFERROR(__xludf.DUMMYFUNCTION("""COMPUTED_VALUE"""),0.261745356372281)</f>
        <v>0.26174535637228102</v>
      </c>
      <c r="G685" s="17">
        <f ca="1">IFERROR(__xludf.DUMMYFUNCTION("""COMPUTED_VALUE"""),0.26057958337865)</f>
        <v>0.26057958337865</v>
      </c>
      <c r="H685" s="17">
        <f ca="1">IFERROR(__xludf.DUMMYFUNCTION("""COMPUTED_VALUE"""),0.573551655710738)</f>
        <v>0.57355165571073796</v>
      </c>
      <c r="I685" s="17">
        <f ca="1">IFERROR(__xludf.DUMMYFUNCTION("""COMPUTED_VALUE"""),0.400164160983799)</f>
        <v>0.40016416098379898</v>
      </c>
      <c r="J685" s="17">
        <f ca="1">IFERROR(__xludf.DUMMYFUNCTION("""COMPUTED_VALUE"""),1.51683655613432)</f>
        <v>1.51683655613432</v>
      </c>
      <c r="K685" s="17" t="str">
        <f ca="1">IFERROR(__xludf.DUMMYFUNCTION("""COMPUTED_VALUE"""),"nan")</f>
        <v>nan</v>
      </c>
      <c r="L685" s="17">
        <f ca="1">IFERROR(__xludf.DUMMYFUNCTION("""COMPUTED_VALUE"""),0.31818971425568)</f>
        <v>0.31818971425567999</v>
      </c>
      <c r="M685" s="17">
        <f ca="1">IFERROR(__xludf.DUMMYFUNCTION("""COMPUTED_VALUE"""),0.294076258857817)</f>
        <v>0.29407625885781702</v>
      </c>
      <c r="N685" s="17">
        <f ca="1">IFERROR(__xludf.DUMMYFUNCTION("""COMPUTED_VALUE"""),0.723283731923408)</f>
        <v>0.723283731923408</v>
      </c>
      <c r="O685" s="17">
        <f ca="1">IFERROR(__xludf.DUMMYFUNCTION("""COMPUTED_VALUE"""),0.493165105860004)</f>
        <v>0.493165105860004</v>
      </c>
      <c r="P685" s="17">
        <f ca="1">IFERROR(__xludf.DUMMYFUNCTION("""COMPUTED_VALUE"""),0.9492441790977)</f>
        <v>0.94924417909769998</v>
      </c>
      <c r="Q685" s="17">
        <f ca="1">IFERROR(__xludf.DUMMYFUNCTION("""COMPUTED_VALUE"""),1.00015330830551)</f>
        <v>1.0001533083055101</v>
      </c>
      <c r="R685" s="17">
        <f ca="1">IFERROR(__xludf.DUMMYFUNCTION("""COMPUTED_VALUE"""),0.5591051783869)</f>
        <v>0.55910517838689999</v>
      </c>
      <c r="S685" s="17">
        <f ca="1">IFERROR(__xludf.DUMMYFUNCTION("""COMPUTED_VALUE"""),0.91750332397912)</f>
        <v>0.91750332397912004</v>
      </c>
      <c r="T685" s="17">
        <f ca="1">IFERROR(__xludf.DUMMYFUNCTION("""COMPUTED_VALUE"""),0.503059419132321)</f>
        <v>0.503059419132321</v>
      </c>
      <c r="U685" s="17">
        <f ca="1">IFERROR(__xludf.DUMMYFUNCTION("""COMPUTED_VALUE"""),0.407534464992021)</f>
        <v>0.40753446499202101</v>
      </c>
      <c r="V685" s="17">
        <f ca="1">IFERROR(__xludf.DUMMYFUNCTION("""COMPUTED_VALUE"""),0.735996550429252)</f>
        <v>0.73599655042925205</v>
      </c>
      <c r="W685" s="17">
        <f ca="1">IFERROR(__xludf.DUMMYFUNCTION("""COMPUTED_VALUE"""),0.610453635532002)</f>
        <v>0.61045363553200205</v>
      </c>
      <c r="X685" s="17">
        <f ca="1">IFERROR(__xludf.DUMMYFUNCTION("""COMPUTED_VALUE"""),0.265012594705718)</f>
        <v>0.26501259470571797</v>
      </c>
      <c r="Y685" s="17">
        <f ca="1">IFERROR(__xludf.DUMMYFUNCTION("""COMPUTED_VALUE"""),0.598672934859599)</f>
        <v>0.59867293485959905</v>
      </c>
      <c r="Z685" s="17">
        <f ca="1">IFERROR(__xludf.DUMMYFUNCTION("""COMPUTED_VALUE"""),0.666887750441159)</f>
        <v>0.666887750441159</v>
      </c>
      <c r="AA685" s="17">
        <f ca="1">IFERROR(__xludf.DUMMYFUNCTION("""COMPUTED_VALUE"""),0.342578529927201)</f>
        <v>0.342578529927201</v>
      </c>
      <c r="AB685" s="17">
        <f ca="1">IFERROR(__xludf.DUMMYFUNCTION("""COMPUTED_VALUE"""),0.606517426882865)</f>
        <v>0.60651742688286503</v>
      </c>
      <c r="AC685" s="17">
        <f ca="1">IFERROR(__xludf.DUMMYFUNCTION("""COMPUTED_VALUE"""),0.846287798899092)</f>
        <v>0.846287798899092</v>
      </c>
      <c r="AD685" s="17">
        <f ca="1">IFERROR(__xludf.DUMMYFUNCTION("""COMPUTED_VALUE"""),0.71767686254205)</f>
        <v>0.71767686254204999</v>
      </c>
      <c r="AE685" s="17" t="str">
        <f ca="1">IFERROR(__xludf.DUMMYFUNCTION("""COMPUTED_VALUE"""),"nan")</f>
        <v>nan</v>
      </c>
      <c r="AF685" s="17">
        <f ca="1">IFERROR(__xludf.DUMMYFUNCTION("""COMPUTED_VALUE"""),1.18312114199671)</f>
        <v>1.18312114199671</v>
      </c>
      <c r="AG685" s="17">
        <f ca="1">IFERROR(__xludf.DUMMYFUNCTION("""COMPUTED_VALUE"""),0.852159082281039)</f>
        <v>0.85215908228103898</v>
      </c>
      <c r="AH685" s="17">
        <f ca="1">IFERROR(__xludf.DUMMYFUNCTION("""COMPUTED_VALUE"""),0.671977713839958)</f>
        <v>0.67197771383995797</v>
      </c>
      <c r="AI685" s="17">
        <f ca="1">IFERROR(__xludf.DUMMYFUNCTION("""COMPUTED_VALUE"""),0.869842131480143)</f>
        <v>0.869842131480143</v>
      </c>
      <c r="AJ685" s="17">
        <f ca="1">IFERROR(__xludf.DUMMYFUNCTION("""COMPUTED_VALUE"""),0.713558915747014)</f>
        <v>0.71355891574701402</v>
      </c>
    </row>
    <row r="686" spans="2:36" ht="15.75" customHeight="1" x14ac:dyDescent="0.45">
      <c r="B686" s="10" t="str">
        <f ca="1">IFERROR(__xludf.DUMMYFUNCTION("""COMPUTED_VALUE"""),"Rock")</f>
        <v>Rock</v>
      </c>
      <c r="C686" s="10" t="str">
        <f ca="1">IFERROR(__xludf.DUMMYFUNCTION("""COMPUTED_VALUE"""),"aligned_timestamps")</f>
        <v>aligned_timestamps</v>
      </c>
      <c r="D686" s="10">
        <f ca="1">IFERROR(__xludf.DUMMYFUNCTION("""COMPUTED_VALUE"""),0.8)</f>
        <v>0.8</v>
      </c>
      <c r="E686" s="17">
        <f ca="1">IFERROR(__xludf.DUMMYFUNCTION("""COMPUTED_VALUE"""),0.95247526655533)</f>
        <v>0.95247526655532999</v>
      </c>
      <c r="F686" s="17">
        <f ca="1">IFERROR(__xludf.DUMMYFUNCTION("""COMPUTED_VALUE"""),0.337824786119515)</f>
        <v>0.337824786119515</v>
      </c>
      <c r="G686" s="17">
        <f ca="1">IFERROR(__xludf.DUMMYFUNCTION("""COMPUTED_VALUE"""),0.343648951004156)</f>
        <v>0.34364895100415599</v>
      </c>
      <c r="H686" s="17">
        <f ca="1">IFERROR(__xludf.DUMMYFUNCTION("""COMPUTED_VALUE"""),0.651350708522272)</f>
        <v>0.65135070852227195</v>
      </c>
      <c r="I686" s="17">
        <f ca="1">IFERROR(__xludf.DUMMYFUNCTION("""COMPUTED_VALUE"""),0.571633550161777)</f>
        <v>0.57163355016177697</v>
      </c>
      <c r="J686" s="17">
        <f ca="1">IFERROR(__xludf.DUMMYFUNCTION("""COMPUTED_VALUE"""),1.90224123109232)</f>
        <v>1.90224123109232</v>
      </c>
      <c r="K686" s="17" t="str">
        <f ca="1">IFERROR(__xludf.DUMMYFUNCTION("""COMPUTED_VALUE"""),"nan")</f>
        <v>nan</v>
      </c>
      <c r="L686" s="17">
        <f ca="1">IFERROR(__xludf.DUMMYFUNCTION("""COMPUTED_VALUE"""),0.366818955340601)</f>
        <v>0.36681895534060099</v>
      </c>
      <c r="M686" s="17">
        <f ca="1">IFERROR(__xludf.DUMMYFUNCTION("""COMPUTED_VALUE"""),0.346127280291692)</f>
        <v>0.34612728029169199</v>
      </c>
      <c r="N686" s="17">
        <f ca="1">IFERROR(__xludf.DUMMYFUNCTION("""COMPUTED_VALUE"""),0.771926847430768)</f>
        <v>0.771926847430768</v>
      </c>
      <c r="O686" s="17">
        <f ca="1">IFERROR(__xludf.DUMMYFUNCTION("""COMPUTED_VALUE"""),0.484152706065151)</f>
        <v>0.48415270606515098</v>
      </c>
      <c r="P686" s="17">
        <f ca="1">IFERROR(__xludf.DUMMYFUNCTION("""COMPUTED_VALUE"""),0.835411977236934)</f>
        <v>0.83541197723693394</v>
      </c>
      <c r="Q686" s="17">
        <f ca="1">IFERROR(__xludf.DUMMYFUNCTION("""COMPUTED_VALUE"""),1.033359885933)</f>
        <v>1.033359885933</v>
      </c>
      <c r="R686" s="17">
        <f ca="1">IFERROR(__xludf.DUMMYFUNCTION("""COMPUTED_VALUE"""),0.63933089954572)</f>
        <v>0.63933089954571998</v>
      </c>
      <c r="S686" s="17">
        <f ca="1">IFERROR(__xludf.DUMMYFUNCTION("""COMPUTED_VALUE"""),0.816580599669712)</f>
        <v>0.81658059966971197</v>
      </c>
      <c r="T686" s="17">
        <f ca="1">IFERROR(__xludf.DUMMYFUNCTION("""COMPUTED_VALUE"""),0.462378576291536)</f>
        <v>0.462378576291536</v>
      </c>
      <c r="U686" s="17">
        <f ca="1">IFERROR(__xludf.DUMMYFUNCTION("""COMPUTED_VALUE"""),1.03973572459889)</f>
        <v>1.0397357245988901</v>
      </c>
      <c r="V686" s="17">
        <f ca="1">IFERROR(__xludf.DUMMYFUNCTION("""COMPUTED_VALUE"""),1.21868307037558)</f>
        <v>1.21868307037558</v>
      </c>
      <c r="W686" s="17">
        <f ca="1">IFERROR(__xludf.DUMMYFUNCTION("""COMPUTED_VALUE"""),1.11425108266709)</f>
        <v>1.1142510826670899</v>
      </c>
      <c r="X686" s="17">
        <f ca="1">IFERROR(__xludf.DUMMYFUNCTION("""COMPUTED_VALUE"""),0.305728016168606)</f>
        <v>0.30572801616860601</v>
      </c>
      <c r="Y686" s="17">
        <f ca="1">IFERROR(__xludf.DUMMYFUNCTION("""COMPUTED_VALUE"""),0.803536095309841)</f>
        <v>0.80353609530984105</v>
      </c>
      <c r="Z686" s="17">
        <f ca="1">IFERROR(__xludf.DUMMYFUNCTION("""COMPUTED_VALUE"""),0.862716429881771)</f>
        <v>0.862716429881771</v>
      </c>
      <c r="AA686" s="17">
        <f ca="1">IFERROR(__xludf.DUMMYFUNCTION("""COMPUTED_VALUE"""),1.12467336834823)</f>
        <v>1.12467336834823</v>
      </c>
      <c r="AB686" s="17">
        <f ca="1">IFERROR(__xludf.DUMMYFUNCTION("""COMPUTED_VALUE"""),0.981275192768735)</f>
        <v>0.98127519276873498</v>
      </c>
      <c r="AC686" s="17">
        <f ca="1">IFERROR(__xludf.DUMMYFUNCTION("""COMPUTED_VALUE"""),1.23086070919597)</f>
        <v>1.23086070919597</v>
      </c>
      <c r="AD686" s="17">
        <f ca="1">IFERROR(__xludf.DUMMYFUNCTION("""COMPUTED_VALUE"""),0.959681054649024)</f>
        <v>0.95968105464902398</v>
      </c>
      <c r="AE686" s="17" t="str">
        <f ca="1">IFERROR(__xludf.DUMMYFUNCTION("""COMPUTED_VALUE"""),"nan")</f>
        <v>nan</v>
      </c>
      <c r="AF686" s="17">
        <f ca="1">IFERROR(__xludf.DUMMYFUNCTION("""COMPUTED_VALUE"""),0.971386081631008)</f>
        <v>0.97138608163100804</v>
      </c>
      <c r="AG686" s="17">
        <f ca="1">IFERROR(__xludf.DUMMYFUNCTION("""COMPUTED_VALUE"""),0.797954129919819)</f>
        <v>0.79795412991981896</v>
      </c>
      <c r="AH686" s="17">
        <f ca="1">IFERROR(__xludf.DUMMYFUNCTION("""COMPUTED_VALUE"""),0.861243336562466)</f>
        <v>0.86124333656246599</v>
      </c>
      <c r="AI686" s="17">
        <f ca="1">IFERROR(__xludf.DUMMYFUNCTION("""COMPUTED_VALUE"""),0.932019094943986)</f>
        <v>0.93201909494398605</v>
      </c>
      <c r="AJ686" s="17">
        <f ca="1">IFERROR(__xludf.DUMMYFUNCTION("""COMPUTED_VALUE"""),0.79564883062247)</f>
        <v>0.79564883062247005</v>
      </c>
    </row>
    <row r="687" spans="2:36" ht="15.75" customHeight="1" x14ac:dyDescent="0.45">
      <c r="B687" s="10" t="str">
        <f ca="1">IFERROR(__xludf.DUMMYFUNCTION("""COMPUTED_VALUE"""),"Rock")</f>
        <v>Rock</v>
      </c>
      <c r="C687" s="10" t="str">
        <f ca="1">IFERROR(__xludf.DUMMYFUNCTION("""COMPUTED_VALUE"""),"mcar")</f>
        <v>mcar</v>
      </c>
      <c r="D687" s="10">
        <f ca="1">IFERROR(__xludf.DUMMYFUNCTION("""COMPUTED_VALUE"""),0.1)</f>
        <v>0.1</v>
      </c>
      <c r="E687" s="17">
        <f ca="1">IFERROR(__xludf.DUMMYFUNCTION("""COMPUTED_VALUE"""),0.767766248505898)</f>
        <v>0.76776624850589803</v>
      </c>
      <c r="F687" s="17">
        <f ca="1">IFERROR(__xludf.DUMMYFUNCTION("""COMPUTED_VALUE"""),0.548270013494368)</f>
        <v>0.54827001349436799</v>
      </c>
      <c r="G687" s="17">
        <f ca="1">IFERROR(__xludf.DUMMYFUNCTION("""COMPUTED_VALUE"""),0.610736711079176)</f>
        <v>0.61073671107917604</v>
      </c>
      <c r="H687" s="17">
        <f ca="1">IFERROR(__xludf.DUMMYFUNCTION("""COMPUTED_VALUE"""),0.997274090301923)</f>
        <v>0.99727409030192304</v>
      </c>
      <c r="I687" s="17">
        <f ca="1">IFERROR(__xludf.DUMMYFUNCTION("""COMPUTED_VALUE"""),0.513777896802011)</f>
        <v>0.51377789680201102</v>
      </c>
      <c r="J687" s="17">
        <f ca="1">IFERROR(__xludf.DUMMYFUNCTION("""COMPUTED_VALUE"""),0.4593302870813)</f>
        <v>0.45933028708130003</v>
      </c>
      <c r="K687" s="17" t="str">
        <f ca="1">IFERROR(__xludf.DUMMYFUNCTION("""COMPUTED_VALUE"""),"nan")</f>
        <v>nan</v>
      </c>
      <c r="L687" s="17">
        <f ca="1">IFERROR(__xludf.DUMMYFUNCTION("""COMPUTED_VALUE"""),0.694565474398138)</f>
        <v>0.69456547439813798</v>
      </c>
      <c r="M687" s="17">
        <f ca="1">IFERROR(__xludf.DUMMYFUNCTION("""COMPUTED_VALUE"""),0.577991171229413)</f>
        <v>0.57799117122941301</v>
      </c>
      <c r="N687" s="17">
        <f ca="1">IFERROR(__xludf.DUMMYFUNCTION("""COMPUTED_VALUE"""),0.461403546275654)</f>
        <v>0.461403546275654</v>
      </c>
      <c r="O687" s="17">
        <f ca="1">IFERROR(__xludf.DUMMYFUNCTION("""COMPUTED_VALUE"""),0.282558276891067)</f>
        <v>0.282558276891067</v>
      </c>
      <c r="P687" s="17">
        <f ca="1">IFERROR(__xludf.DUMMYFUNCTION("""COMPUTED_VALUE"""),0.433130267058289)</f>
        <v>0.433130267058289</v>
      </c>
      <c r="Q687" s="17">
        <f ca="1">IFERROR(__xludf.DUMMYFUNCTION("""COMPUTED_VALUE"""),1.02255894788947)</f>
        <v>1.0225589478894701</v>
      </c>
      <c r="R687" s="17">
        <f ca="1">IFERROR(__xludf.DUMMYFUNCTION("""COMPUTED_VALUE"""),0.438888332628878)</f>
        <v>0.438888332628878</v>
      </c>
      <c r="S687" s="17">
        <f ca="1">IFERROR(__xludf.DUMMYFUNCTION("""COMPUTED_VALUE"""),0.549086304210326)</f>
        <v>0.549086304210326</v>
      </c>
      <c r="T687" s="17">
        <f ca="1">IFERROR(__xludf.DUMMYFUNCTION("""COMPUTED_VALUE"""),0.483835213175439)</f>
        <v>0.48383521317543898</v>
      </c>
      <c r="U687" s="17">
        <f ca="1">IFERROR(__xludf.DUMMYFUNCTION("""COMPUTED_VALUE"""),0.324947702377016)</f>
        <v>0.32494770237701598</v>
      </c>
      <c r="V687" s="17">
        <f ca="1">IFERROR(__xludf.DUMMYFUNCTION("""COMPUTED_VALUE"""),0.262913844099604)</f>
        <v>0.262913844099604</v>
      </c>
      <c r="W687" s="17">
        <f ca="1">IFERROR(__xludf.DUMMYFUNCTION("""COMPUTED_VALUE"""),0.226216988587304)</f>
        <v>0.22621698858730399</v>
      </c>
      <c r="X687" s="17">
        <f ca="1">IFERROR(__xludf.DUMMYFUNCTION("""COMPUTED_VALUE"""),0.549041374321859)</f>
        <v>0.54904137432185895</v>
      </c>
      <c r="Y687" s="17">
        <f ca="1">IFERROR(__xludf.DUMMYFUNCTION("""COMPUTED_VALUE"""),0.213890756701634)</f>
        <v>0.21389075670163399</v>
      </c>
      <c r="Z687" s="17">
        <f ca="1">IFERROR(__xludf.DUMMYFUNCTION("""COMPUTED_VALUE"""),0.340749237770308)</f>
        <v>0.34074923777030802</v>
      </c>
      <c r="AA687" s="17">
        <f ca="1">IFERROR(__xludf.DUMMYFUNCTION("""COMPUTED_VALUE"""),0.131891903064519)</f>
        <v>0.13189190306451901</v>
      </c>
      <c r="AB687" s="17">
        <f ca="1">IFERROR(__xludf.DUMMYFUNCTION("""COMPUTED_VALUE"""),0.664608370821193)</f>
        <v>0.66460837082119295</v>
      </c>
      <c r="AC687" s="17">
        <f ca="1">IFERROR(__xludf.DUMMYFUNCTION("""COMPUTED_VALUE"""),0.177525310076571)</f>
        <v>0.17752531007657099</v>
      </c>
      <c r="AD687" s="17">
        <f ca="1">IFERROR(__xludf.DUMMYFUNCTION("""COMPUTED_VALUE"""),0.199095918266092)</f>
        <v>0.19909591826609199</v>
      </c>
      <c r="AE687" s="17">
        <f ca="1">IFERROR(__xludf.DUMMYFUNCTION("""COMPUTED_VALUE"""),1.34671119279955)</f>
        <v>1.3467111927995501</v>
      </c>
      <c r="AF687" s="17">
        <f ca="1">IFERROR(__xludf.DUMMYFUNCTION("""COMPUTED_VALUE"""),0.245422163673665)</f>
        <v>0.24542216367366501</v>
      </c>
      <c r="AG687" s="17">
        <f ca="1">IFERROR(__xludf.DUMMYFUNCTION("""COMPUTED_VALUE"""),0.238462473582911)</f>
        <v>0.23846247358291101</v>
      </c>
      <c r="AH687" s="17">
        <f ca="1">IFERROR(__xludf.DUMMYFUNCTION("""COMPUTED_VALUE"""),0.200982796025026)</f>
        <v>0.200982796025026</v>
      </c>
      <c r="AI687" s="17">
        <f ca="1">IFERROR(__xludf.DUMMYFUNCTION("""COMPUTED_VALUE"""),0.282517278841616)</f>
        <v>0.28251727884161598</v>
      </c>
      <c r="AJ687" s="17">
        <f ca="1">IFERROR(__xludf.DUMMYFUNCTION("""COMPUTED_VALUE"""),0.247938881214998)</f>
        <v>0.24793888121499799</v>
      </c>
    </row>
    <row r="688" spans="2:36" ht="15.75" customHeight="1" x14ac:dyDescent="0.45">
      <c r="B688" s="10" t="str">
        <f ca="1">IFERROR(__xludf.DUMMYFUNCTION("""COMPUTED_VALUE"""),"Rock")</f>
        <v>Rock</v>
      </c>
      <c r="C688" s="10" t="str">
        <f ca="1">IFERROR(__xludf.DUMMYFUNCTION("""COMPUTED_VALUE"""),"mcar")</f>
        <v>mcar</v>
      </c>
      <c r="D688" s="10">
        <f ca="1">IFERROR(__xludf.DUMMYFUNCTION("""COMPUTED_VALUE"""),0.2)</f>
        <v>0.2</v>
      </c>
      <c r="E688" s="17">
        <f ca="1">IFERROR(__xludf.DUMMYFUNCTION("""COMPUTED_VALUE"""),0.886668178859863)</f>
        <v>0.88666817885986304</v>
      </c>
      <c r="F688" s="17">
        <f ca="1">IFERROR(__xludf.DUMMYFUNCTION("""COMPUTED_VALUE"""),0.534071712828773)</f>
        <v>0.53407171282877297</v>
      </c>
      <c r="G688" s="17">
        <f ca="1">IFERROR(__xludf.DUMMYFUNCTION("""COMPUTED_VALUE"""),0.579058127702993)</f>
        <v>0.57905812770299303</v>
      </c>
      <c r="H688" s="17">
        <f ca="1">IFERROR(__xludf.DUMMYFUNCTION("""COMPUTED_VALUE"""),1.09417224682514)</f>
        <v>1.09417224682514</v>
      </c>
      <c r="I688" s="17">
        <f ca="1">IFERROR(__xludf.DUMMYFUNCTION("""COMPUTED_VALUE"""),0.586663942482147)</f>
        <v>0.58666394248214704</v>
      </c>
      <c r="J688" s="17">
        <f ca="1">IFERROR(__xludf.DUMMYFUNCTION("""COMPUTED_VALUE"""),0.445303352448128)</f>
        <v>0.44530335244812802</v>
      </c>
      <c r="K688" s="17" t="str">
        <f ca="1">IFERROR(__xludf.DUMMYFUNCTION("""COMPUTED_VALUE"""),"nan")</f>
        <v>nan</v>
      </c>
      <c r="L688" s="17">
        <f ca="1">IFERROR(__xludf.DUMMYFUNCTION("""COMPUTED_VALUE"""),0.710333061049723)</f>
        <v>0.71033306104972305</v>
      </c>
      <c r="M688" s="17">
        <f ca="1">IFERROR(__xludf.DUMMYFUNCTION("""COMPUTED_VALUE"""),0.572721261925361)</f>
        <v>0.57272126192536099</v>
      </c>
      <c r="N688" s="17">
        <f ca="1">IFERROR(__xludf.DUMMYFUNCTION("""COMPUTED_VALUE"""),0.545297579818763)</f>
        <v>0.54529757981876303</v>
      </c>
      <c r="O688" s="17">
        <f ca="1">IFERROR(__xludf.DUMMYFUNCTION("""COMPUTED_VALUE"""),0.286351535009647)</f>
        <v>0.286351535009647</v>
      </c>
      <c r="P688" s="17">
        <f ca="1">IFERROR(__xludf.DUMMYFUNCTION("""COMPUTED_VALUE"""),0.477931640286945)</f>
        <v>0.47793164028694501</v>
      </c>
      <c r="Q688" s="17">
        <f ca="1">IFERROR(__xludf.DUMMYFUNCTION("""COMPUTED_VALUE"""),1.14617638153038)</f>
        <v>1.14617638153038</v>
      </c>
      <c r="R688" s="17">
        <f ca="1">IFERROR(__xludf.DUMMYFUNCTION("""COMPUTED_VALUE"""),0.409830813429685)</f>
        <v>0.40983081342968503</v>
      </c>
      <c r="S688" s="17">
        <f ca="1">IFERROR(__xludf.DUMMYFUNCTION("""COMPUTED_VALUE"""),0.630106037718213)</f>
        <v>0.63010603771821305</v>
      </c>
      <c r="T688" s="17">
        <f ca="1">IFERROR(__xludf.DUMMYFUNCTION("""COMPUTED_VALUE"""),0.466228126050728)</f>
        <v>0.466228126050728</v>
      </c>
      <c r="U688" s="17">
        <f ca="1">IFERROR(__xludf.DUMMYFUNCTION("""COMPUTED_VALUE"""),0.361299726100553)</f>
        <v>0.361299726100553</v>
      </c>
      <c r="V688" s="17">
        <f ca="1">IFERROR(__xludf.DUMMYFUNCTION("""COMPUTED_VALUE"""),0.295077478071321)</f>
        <v>0.29507747807132101</v>
      </c>
      <c r="W688" s="17">
        <f ca="1">IFERROR(__xludf.DUMMYFUNCTION("""COMPUTED_VALUE"""),0.314067037073168)</f>
        <v>0.31406703707316802</v>
      </c>
      <c r="X688" s="17">
        <f ca="1">IFERROR(__xludf.DUMMYFUNCTION("""COMPUTED_VALUE"""),0.632110153351744)</f>
        <v>0.63211015335174403</v>
      </c>
      <c r="Y688" s="17">
        <f ca="1">IFERROR(__xludf.DUMMYFUNCTION("""COMPUTED_VALUE"""),0.224357623833981)</f>
        <v>0.224357623833981</v>
      </c>
      <c r="Z688" s="17">
        <f ca="1">IFERROR(__xludf.DUMMYFUNCTION("""COMPUTED_VALUE"""),0.411739136269621)</f>
        <v>0.411739136269621</v>
      </c>
      <c r="AA688" s="17">
        <f ca="1">IFERROR(__xludf.DUMMYFUNCTION("""COMPUTED_VALUE"""),0.133521727154218)</f>
        <v>0.13352172715421801</v>
      </c>
      <c r="AB688" s="17">
        <f ca="1">IFERROR(__xludf.DUMMYFUNCTION("""COMPUTED_VALUE"""),0.816670349594526)</f>
        <v>0.816670349594526</v>
      </c>
      <c r="AC688" s="17">
        <f ca="1">IFERROR(__xludf.DUMMYFUNCTION("""COMPUTED_VALUE"""),0.195556513484198)</f>
        <v>0.195556513484198</v>
      </c>
      <c r="AD688" s="17">
        <f ca="1">IFERROR(__xludf.DUMMYFUNCTION("""COMPUTED_VALUE"""),0.173293363862885)</f>
        <v>0.17329336386288499</v>
      </c>
      <c r="AE688" s="17">
        <f ca="1">IFERROR(__xludf.DUMMYFUNCTION("""COMPUTED_VALUE"""),1.26527909593927)</f>
        <v>1.2652790959392699</v>
      </c>
      <c r="AF688" s="17">
        <f ca="1">IFERROR(__xludf.DUMMYFUNCTION("""COMPUTED_VALUE"""),0.355465389191773)</f>
        <v>0.35546538919177301</v>
      </c>
      <c r="AG688" s="17">
        <f ca="1">IFERROR(__xludf.DUMMYFUNCTION("""COMPUTED_VALUE"""),0.340613898934521)</f>
        <v>0.34061389893452099</v>
      </c>
      <c r="AH688" s="17">
        <f ca="1">IFERROR(__xludf.DUMMYFUNCTION("""COMPUTED_VALUE"""),0.172790605961849)</f>
        <v>0.172790605961849</v>
      </c>
      <c r="AI688" s="17">
        <f ca="1">IFERROR(__xludf.DUMMYFUNCTION("""COMPUTED_VALUE"""),0.449782637623555)</f>
        <v>0.44978263762355503</v>
      </c>
      <c r="AJ688" s="17">
        <f ca="1">IFERROR(__xludf.DUMMYFUNCTION("""COMPUTED_VALUE"""),0.346887677498036)</f>
        <v>0.34688767749803601</v>
      </c>
    </row>
    <row r="689" spans="2:36" ht="15.75" customHeight="1" x14ac:dyDescent="0.45">
      <c r="B689" s="10" t="str">
        <f ca="1">IFERROR(__xludf.DUMMYFUNCTION("""COMPUTED_VALUE"""),"Rock")</f>
        <v>Rock</v>
      </c>
      <c r="C689" s="10" t="str">
        <f ca="1">IFERROR(__xludf.DUMMYFUNCTION("""COMPUTED_VALUE"""),"mcar")</f>
        <v>mcar</v>
      </c>
      <c r="D689" s="10">
        <f ca="1">IFERROR(__xludf.DUMMYFUNCTION("""COMPUTED_VALUE"""),0.4)</f>
        <v>0.4</v>
      </c>
      <c r="E689" s="17">
        <f ca="1">IFERROR(__xludf.DUMMYFUNCTION("""COMPUTED_VALUE"""),0.931563284696195)</f>
        <v>0.93156328469619498</v>
      </c>
      <c r="F689" s="17">
        <f ca="1">IFERROR(__xludf.DUMMYFUNCTION("""COMPUTED_VALUE"""),0.562040342961119)</f>
        <v>0.56204034296111904</v>
      </c>
      <c r="G689" s="17">
        <f ca="1">IFERROR(__xludf.DUMMYFUNCTION("""COMPUTED_VALUE"""),0.619673722384567)</f>
        <v>0.61967372238456697</v>
      </c>
      <c r="H689" s="17">
        <f ca="1">IFERROR(__xludf.DUMMYFUNCTION("""COMPUTED_VALUE"""),1.13980833599691)</f>
        <v>1.13980833599691</v>
      </c>
      <c r="I689" s="17">
        <f ca="1">IFERROR(__xludf.DUMMYFUNCTION("""COMPUTED_VALUE"""),0.635294079270609)</f>
        <v>0.63529407927060899</v>
      </c>
      <c r="J689" s="17">
        <f ca="1">IFERROR(__xludf.DUMMYFUNCTION("""COMPUTED_VALUE"""),0.43515421574499)</f>
        <v>0.43515421574499002</v>
      </c>
      <c r="K689" s="17" t="str">
        <f ca="1">IFERROR(__xludf.DUMMYFUNCTION("""COMPUTED_VALUE"""),"nan")</f>
        <v>nan</v>
      </c>
      <c r="L689" s="17">
        <f ca="1">IFERROR(__xludf.DUMMYFUNCTION("""COMPUTED_VALUE"""),0.717463558437917)</f>
        <v>0.71746355843791698</v>
      </c>
      <c r="M689" s="17">
        <f ca="1">IFERROR(__xludf.DUMMYFUNCTION("""COMPUTED_VALUE"""),0.655617246923756)</f>
        <v>0.655617246923756</v>
      </c>
      <c r="N689" s="17">
        <f ca="1">IFERROR(__xludf.DUMMYFUNCTION("""COMPUTED_VALUE"""),0.720082675161677)</f>
        <v>0.72008267516167701</v>
      </c>
      <c r="O689" s="17">
        <f ca="1">IFERROR(__xludf.DUMMYFUNCTION("""COMPUTED_VALUE"""),0.403971845086371)</f>
        <v>0.40397184508637102</v>
      </c>
      <c r="P689" s="17">
        <f ca="1">IFERROR(__xludf.DUMMYFUNCTION("""COMPUTED_VALUE"""),0.520911845758426)</f>
        <v>0.52091184575842597</v>
      </c>
      <c r="Q689" s="17">
        <f ca="1">IFERROR(__xludf.DUMMYFUNCTION("""COMPUTED_VALUE"""),1.18126164029109)</f>
        <v>1.18126164029109</v>
      </c>
      <c r="R689" s="17">
        <f ca="1">IFERROR(__xludf.DUMMYFUNCTION("""COMPUTED_VALUE"""),0.450405032623347)</f>
        <v>0.45040503262334702</v>
      </c>
      <c r="S689" s="17">
        <f ca="1">IFERROR(__xludf.DUMMYFUNCTION("""COMPUTED_VALUE"""),0.648256342869429)</f>
        <v>0.64825634286942901</v>
      </c>
      <c r="T689" s="17">
        <f ca="1">IFERROR(__xludf.DUMMYFUNCTION("""COMPUTED_VALUE"""),0.44340360733455)</f>
        <v>0.44340360733454998</v>
      </c>
      <c r="U689" s="17">
        <f ca="1">IFERROR(__xludf.DUMMYFUNCTION("""COMPUTED_VALUE"""),0.400159711045022)</f>
        <v>0.40015971104502202</v>
      </c>
      <c r="V689" s="17">
        <f ca="1">IFERROR(__xludf.DUMMYFUNCTION("""COMPUTED_VALUE"""),0.431006425675584)</f>
        <v>0.431006425675584</v>
      </c>
      <c r="W689" s="17">
        <f ca="1">IFERROR(__xludf.DUMMYFUNCTION("""COMPUTED_VALUE"""),0.285702621235232)</f>
        <v>0.28570262123523199</v>
      </c>
      <c r="X689" s="17">
        <f ca="1">IFERROR(__xludf.DUMMYFUNCTION("""COMPUTED_VALUE"""),0.592153531069992)</f>
        <v>0.59215353106999202</v>
      </c>
      <c r="Y689" s="17">
        <f ca="1">IFERROR(__xludf.DUMMYFUNCTION("""COMPUTED_VALUE"""),0.244633944045504)</f>
        <v>0.24463394404550401</v>
      </c>
      <c r="Z689" s="17">
        <f ca="1">IFERROR(__xludf.DUMMYFUNCTION("""COMPUTED_VALUE"""),0.416014499287087)</f>
        <v>0.416014499287087</v>
      </c>
      <c r="AA689" s="17">
        <f ca="1">IFERROR(__xludf.DUMMYFUNCTION("""COMPUTED_VALUE"""),0.200905857617484)</f>
        <v>0.200905857617484</v>
      </c>
      <c r="AB689" s="17">
        <f ca="1">IFERROR(__xludf.DUMMYFUNCTION("""COMPUTED_VALUE"""),0.669257555215919)</f>
        <v>0.66925755521591901</v>
      </c>
      <c r="AC689" s="17">
        <f ca="1">IFERROR(__xludf.DUMMYFUNCTION("""COMPUTED_VALUE"""),0.216432962818316)</f>
        <v>0.216432962818316</v>
      </c>
      <c r="AD689" s="17">
        <f ca="1">IFERROR(__xludf.DUMMYFUNCTION("""COMPUTED_VALUE"""),0.331085253306639)</f>
        <v>0.33108525330663902</v>
      </c>
      <c r="AE689" s="17">
        <f ca="1">IFERROR(__xludf.DUMMYFUNCTION("""COMPUTED_VALUE"""),1.24790507297072)</f>
        <v>1.24790507297072</v>
      </c>
      <c r="AF689" s="17">
        <f ca="1">IFERROR(__xludf.DUMMYFUNCTION("""COMPUTED_VALUE"""),0.43717673059416)</f>
        <v>0.43717673059416001</v>
      </c>
      <c r="AG689" s="17">
        <f ca="1">IFERROR(__xludf.DUMMYFUNCTION("""COMPUTED_VALUE"""),0.533762182558467)</f>
        <v>0.53376218255846697</v>
      </c>
      <c r="AH689" s="17">
        <f ca="1">IFERROR(__xludf.DUMMYFUNCTION("""COMPUTED_VALUE"""),0.203283307726107)</f>
        <v>0.203283307726107</v>
      </c>
      <c r="AI689" s="17">
        <f ca="1">IFERROR(__xludf.DUMMYFUNCTION("""COMPUTED_VALUE"""),0.668529381425733)</f>
        <v>0.66852938142573304</v>
      </c>
      <c r="AJ689" s="17">
        <f ca="1">IFERROR(__xludf.DUMMYFUNCTION("""COMPUTED_VALUE"""),0.562941561725976)</f>
        <v>0.56294156172597598</v>
      </c>
    </row>
    <row r="690" spans="2:36" ht="15.75" customHeight="1" x14ac:dyDescent="0.45">
      <c r="B690" s="10" t="str">
        <f ca="1">IFERROR(__xludf.DUMMYFUNCTION("""COMPUTED_VALUE"""),"Rock")</f>
        <v>Rock</v>
      </c>
      <c r="C690" s="10" t="str">
        <f ca="1">IFERROR(__xludf.DUMMYFUNCTION("""COMPUTED_VALUE"""),"mcar")</f>
        <v>mcar</v>
      </c>
      <c r="D690" s="10">
        <f ca="1">IFERROR(__xludf.DUMMYFUNCTION("""COMPUTED_VALUE"""),0.6)</f>
        <v>0.6</v>
      </c>
      <c r="E690" s="17">
        <f ca="1">IFERROR(__xludf.DUMMYFUNCTION("""COMPUTED_VALUE"""),0.932201646281356)</f>
        <v>0.93220164628135604</v>
      </c>
      <c r="F690" s="17">
        <f ca="1">IFERROR(__xludf.DUMMYFUNCTION("""COMPUTED_VALUE"""),0.570087232194385)</f>
        <v>0.57008723219438495</v>
      </c>
      <c r="G690" s="17">
        <f ca="1">IFERROR(__xludf.DUMMYFUNCTION("""COMPUTED_VALUE"""),0.606332410165052)</f>
        <v>0.60633241016505202</v>
      </c>
      <c r="H690" s="17">
        <f ca="1">IFERROR(__xludf.DUMMYFUNCTION("""COMPUTED_VALUE"""),1.2637159231053)</f>
        <v>1.2637159231052999</v>
      </c>
      <c r="I690" s="17">
        <f ca="1">IFERROR(__xludf.DUMMYFUNCTION("""COMPUTED_VALUE"""),0.685319618136198)</f>
        <v>0.68531961813619802</v>
      </c>
      <c r="J690" s="17">
        <f ca="1">IFERROR(__xludf.DUMMYFUNCTION("""COMPUTED_VALUE"""),0.432862488021451)</f>
        <v>0.432862488021451</v>
      </c>
      <c r="K690" s="17" t="str">
        <f ca="1">IFERROR(__xludf.DUMMYFUNCTION("""COMPUTED_VALUE"""),"nan")</f>
        <v>nan</v>
      </c>
      <c r="L690" s="17">
        <f ca="1">IFERROR(__xludf.DUMMYFUNCTION("""COMPUTED_VALUE"""),0.784569909973443)</f>
        <v>0.784569909973443</v>
      </c>
      <c r="M690" s="17">
        <f ca="1">IFERROR(__xludf.DUMMYFUNCTION("""COMPUTED_VALUE"""),0.641147368414405)</f>
        <v>0.64114736841440501</v>
      </c>
      <c r="N690" s="17">
        <f ca="1">IFERROR(__xludf.DUMMYFUNCTION("""COMPUTED_VALUE"""),0.877520335940141)</f>
        <v>0.87752033594014101</v>
      </c>
      <c r="O690" s="17">
        <f ca="1">IFERROR(__xludf.DUMMYFUNCTION("""COMPUTED_VALUE"""),0.490745919183776)</f>
        <v>0.49074591918377602</v>
      </c>
      <c r="P690" s="17">
        <f ca="1">IFERROR(__xludf.DUMMYFUNCTION("""COMPUTED_VALUE"""),0.54454333944357)</f>
        <v>0.54454333944357003</v>
      </c>
      <c r="Q690" s="17">
        <f ca="1">IFERROR(__xludf.DUMMYFUNCTION("""COMPUTED_VALUE"""),1.18370134775779)</f>
        <v>1.18370134775779</v>
      </c>
      <c r="R690" s="17">
        <f ca="1">IFERROR(__xludf.DUMMYFUNCTION("""COMPUTED_VALUE"""),0.427958302388785)</f>
        <v>0.42795830238878502</v>
      </c>
      <c r="S690" s="17">
        <f ca="1">IFERROR(__xludf.DUMMYFUNCTION("""COMPUTED_VALUE"""),0.683214233692979)</f>
        <v>0.68321423369297896</v>
      </c>
      <c r="T690" s="17">
        <f ca="1">IFERROR(__xludf.DUMMYFUNCTION("""COMPUTED_VALUE"""),0.487471383160065)</f>
        <v>0.487471383160065</v>
      </c>
      <c r="U690" s="17">
        <f ca="1">IFERROR(__xludf.DUMMYFUNCTION("""COMPUTED_VALUE"""),0.478801443987186)</f>
        <v>0.47880144398718599</v>
      </c>
      <c r="V690" s="17">
        <f ca="1">IFERROR(__xludf.DUMMYFUNCTION("""COMPUTED_VALUE"""),0.492614875299115)</f>
        <v>0.49261487529911502</v>
      </c>
      <c r="W690" s="17">
        <f ca="1">IFERROR(__xludf.DUMMYFUNCTION("""COMPUTED_VALUE"""),0.276872316307272)</f>
        <v>0.27687231630727199</v>
      </c>
      <c r="X690" s="17">
        <f ca="1">IFERROR(__xludf.DUMMYFUNCTION("""COMPUTED_VALUE"""),0.608877297534206)</f>
        <v>0.60887729753420605</v>
      </c>
      <c r="Y690" s="17">
        <f ca="1">IFERROR(__xludf.DUMMYFUNCTION("""COMPUTED_VALUE"""),0.321970036589201)</f>
        <v>0.32197003658920098</v>
      </c>
      <c r="Z690" s="17">
        <f ca="1">IFERROR(__xludf.DUMMYFUNCTION("""COMPUTED_VALUE"""),0.432034131632758)</f>
        <v>0.432034131632758</v>
      </c>
      <c r="AA690" s="17">
        <f ca="1">IFERROR(__xludf.DUMMYFUNCTION("""COMPUTED_VALUE"""),0.22245114713099)</f>
        <v>0.22245114713099001</v>
      </c>
      <c r="AB690" s="17">
        <f ca="1">IFERROR(__xludf.DUMMYFUNCTION("""COMPUTED_VALUE"""),0.59569905828288)</f>
        <v>0.59569905828287995</v>
      </c>
      <c r="AC690" s="17">
        <f ca="1">IFERROR(__xludf.DUMMYFUNCTION("""COMPUTED_VALUE"""),0.430038723795343)</f>
        <v>0.43003872379534303</v>
      </c>
      <c r="AD690" s="17">
        <f ca="1">IFERROR(__xludf.DUMMYFUNCTION("""COMPUTED_VALUE"""),0.426935899006753)</f>
        <v>0.42693589900675299</v>
      </c>
      <c r="AE690" s="17">
        <f ca="1">IFERROR(__xludf.DUMMYFUNCTION("""COMPUTED_VALUE"""),1.31008417838663)</f>
        <v>1.3100841783866299</v>
      </c>
      <c r="AF690" s="17">
        <f ca="1">IFERROR(__xludf.DUMMYFUNCTION("""COMPUTED_VALUE"""),0.80663566586452)</f>
        <v>0.80663566586451996</v>
      </c>
      <c r="AG690" s="17">
        <f ca="1">IFERROR(__xludf.DUMMYFUNCTION("""COMPUTED_VALUE"""),0.850604602817372)</f>
        <v>0.85060460281737205</v>
      </c>
      <c r="AH690" s="17">
        <f ca="1">IFERROR(__xludf.DUMMYFUNCTION("""COMPUTED_VALUE"""),0.298116009582386)</f>
        <v>0.29811600958238599</v>
      </c>
      <c r="AI690" s="17">
        <f ca="1">IFERROR(__xludf.DUMMYFUNCTION("""COMPUTED_VALUE"""),0.870526779831081)</f>
        <v>0.87052677983108095</v>
      </c>
      <c r="AJ690" s="17">
        <f ca="1">IFERROR(__xludf.DUMMYFUNCTION("""COMPUTED_VALUE"""),0.74216112189462)</f>
        <v>0.74216112189462002</v>
      </c>
    </row>
    <row r="691" spans="2:36" ht="15.75" customHeight="1" x14ac:dyDescent="0.45">
      <c r="B691" s="10" t="str">
        <f ca="1">IFERROR(__xludf.DUMMYFUNCTION("""COMPUTED_VALUE"""),"Rock")</f>
        <v>Rock</v>
      </c>
      <c r="C691" s="10" t="str">
        <f ca="1">IFERROR(__xludf.DUMMYFUNCTION("""COMPUTED_VALUE"""),"mcar")</f>
        <v>mcar</v>
      </c>
      <c r="D691" s="10">
        <f ca="1">IFERROR(__xludf.DUMMYFUNCTION("""COMPUTED_VALUE"""),0.8)</f>
        <v>0.8</v>
      </c>
      <c r="E691" s="17">
        <f ca="1">IFERROR(__xludf.DUMMYFUNCTION("""COMPUTED_VALUE"""),0.970540620311203)</f>
        <v>0.97054062031120303</v>
      </c>
      <c r="F691" s="17">
        <f ca="1">IFERROR(__xludf.DUMMYFUNCTION("""COMPUTED_VALUE"""),0.613879163819991)</f>
        <v>0.61387916381999097</v>
      </c>
      <c r="G691" s="17">
        <f ca="1">IFERROR(__xludf.DUMMYFUNCTION("""COMPUTED_VALUE"""),0.623376647667145)</f>
        <v>0.62337664766714496</v>
      </c>
      <c r="H691" s="17">
        <f ca="1">IFERROR(__xludf.DUMMYFUNCTION("""COMPUTED_VALUE"""),1.34478465311814)</f>
        <v>1.34478465311814</v>
      </c>
      <c r="I691" s="17">
        <f ca="1">IFERROR(__xludf.DUMMYFUNCTION("""COMPUTED_VALUE"""),0.780198937285114)</f>
        <v>0.78019893728511402</v>
      </c>
      <c r="J691" s="17">
        <f ca="1">IFERROR(__xludf.DUMMYFUNCTION("""COMPUTED_VALUE"""),0.560501874286916)</f>
        <v>0.560501874286916</v>
      </c>
      <c r="K691" s="17" t="str">
        <f ca="1">IFERROR(__xludf.DUMMYFUNCTION("""COMPUTED_VALUE"""),"nan")</f>
        <v>nan</v>
      </c>
      <c r="L691" s="17">
        <f ca="1">IFERROR(__xludf.DUMMYFUNCTION("""COMPUTED_VALUE"""),0.83276899363412)</f>
        <v>0.83276899363412005</v>
      </c>
      <c r="M691" s="17">
        <f ca="1">IFERROR(__xludf.DUMMYFUNCTION("""COMPUTED_VALUE"""),0.67226638417425)</f>
        <v>0.67226638417425</v>
      </c>
      <c r="N691" s="17">
        <f ca="1">IFERROR(__xludf.DUMMYFUNCTION("""COMPUTED_VALUE"""),1.03369941040951)</f>
        <v>1.0336994104095101</v>
      </c>
      <c r="O691" s="17">
        <f ca="1">IFERROR(__xludf.DUMMYFUNCTION("""COMPUTED_VALUE"""),0.719379312288203)</f>
        <v>0.71937931228820295</v>
      </c>
      <c r="P691" s="17">
        <f ca="1">IFERROR(__xludf.DUMMYFUNCTION("""COMPUTED_VALUE"""),0.671791760285705)</f>
        <v>0.67179176028570498</v>
      </c>
      <c r="Q691" s="17">
        <f ca="1">IFERROR(__xludf.DUMMYFUNCTION("""COMPUTED_VALUE"""),1.21278925903738)</f>
        <v>1.2127892590373801</v>
      </c>
      <c r="R691" s="17">
        <f ca="1">IFERROR(__xludf.DUMMYFUNCTION("""COMPUTED_VALUE"""),0.665065535958164)</f>
        <v>0.66506553595816398</v>
      </c>
      <c r="S691" s="17">
        <f ca="1">IFERROR(__xludf.DUMMYFUNCTION("""COMPUTED_VALUE"""),0.702858035717769)</f>
        <v>0.70285803571776895</v>
      </c>
      <c r="T691" s="17">
        <f ca="1">IFERROR(__xludf.DUMMYFUNCTION("""COMPUTED_VALUE"""),0.511238888910336)</f>
        <v>0.51123888891033598</v>
      </c>
      <c r="U691" s="17">
        <f ca="1">IFERROR(__xludf.DUMMYFUNCTION("""COMPUTED_VALUE"""),1.14800290036609)</f>
        <v>1.1480029003660901</v>
      </c>
      <c r="V691" s="17">
        <f ca="1">IFERROR(__xludf.DUMMYFUNCTION("""COMPUTED_VALUE"""),0.747974165426538)</f>
        <v>0.74797416542653805</v>
      </c>
      <c r="W691" s="17">
        <f ca="1">IFERROR(__xludf.DUMMYFUNCTION("""COMPUTED_VALUE"""),0.693163277280923)</f>
        <v>0.69316327728092297</v>
      </c>
      <c r="X691" s="17">
        <f ca="1">IFERROR(__xludf.DUMMYFUNCTION("""COMPUTED_VALUE"""),0.62285844440162)</f>
        <v>0.62285844440161997</v>
      </c>
      <c r="Y691" s="17">
        <f ca="1">IFERROR(__xludf.DUMMYFUNCTION("""COMPUTED_VALUE"""),0.653389818756699)</f>
        <v>0.65338981875669899</v>
      </c>
      <c r="Z691" s="17">
        <f ca="1">IFERROR(__xludf.DUMMYFUNCTION("""COMPUTED_VALUE"""),0.59057267958741)</f>
        <v>0.59057267958741</v>
      </c>
      <c r="AA691" s="17">
        <f ca="1">IFERROR(__xludf.DUMMYFUNCTION("""COMPUTED_VALUE"""),0.454619572255259)</f>
        <v>0.45461957225525901</v>
      </c>
      <c r="AB691" s="17">
        <f ca="1">IFERROR(__xludf.DUMMYFUNCTION("""COMPUTED_VALUE"""),1.46256366729774)</f>
        <v>1.46256366729774</v>
      </c>
      <c r="AC691" s="17">
        <f ca="1">IFERROR(__xludf.DUMMYFUNCTION("""COMPUTED_VALUE"""),0.64314767944581)</f>
        <v>0.64314767944580997</v>
      </c>
      <c r="AD691" s="17">
        <f ca="1">IFERROR(__xludf.DUMMYFUNCTION("""COMPUTED_VALUE"""),0.625099785436754)</f>
        <v>0.62509978543675404</v>
      </c>
      <c r="AE691" s="17">
        <f ca="1">IFERROR(__xludf.DUMMYFUNCTION("""COMPUTED_VALUE"""),1.11010063987547)</f>
        <v>1.11010063987547</v>
      </c>
      <c r="AF691" s="17">
        <f ca="1">IFERROR(__xludf.DUMMYFUNCTION("""COMPUTED_VALUE"""),1.07017297589648)</f>
        <v>1.07017297589648</v>
      </c>
      <c r="AG691" s="17">
        <f ca="1">IFERROR(__xludf.DUMMYFUNCTION("""COMPUTED_VALUE"""),1.04581848973212)</f>
        <v>1.0458184897321201</v>
      </c>
      <c r="AH691" s="17">
        <f ca="1">IFERROR(__xludf.DUMMYFUNCTION("""COMPUTED_VALUE"""),0.656410572204826)</f>
        <v>0.65641057220482601</v>
      </c>
      <c r="AI691" s="17">
        <f ca="1">IFERROR(__xludf.DUMMYFUNCTION("""COMPUTED_VALUE"""),1.01731640947451)</f>
        <v>1.01731640947451</v>
      </c>
      <c r="AJ691" s="17">
        <f ca="1">IFERROR(__xludf.DUMMYFUNCTION("""COMPUTED_VALUE"""),1.1552085461303)</f>
        <v>1.1552085461303001</v>
      </c>
    </row>
    <row r="692" spans="2:36" ht="15.75" customHeight="1" x14ac:dyDescent="0.45">
      <c r="B692" s="10" t="str">
        <f ca="1">IFERROR(__xludf.DUMMYFUNCTION("""COMPUTED_VALUE"""),"ScreenType")</f>
        <v>ScreenType</v>
      </c>
      <c r="C692" s="10" t="str">
        <f ca="1">IFERROR(__xludf.DUMMYFUNCTION("""COMPUTED_VALUE"""),"aligned_series")</f>
        <v>aligned_series</v>
      </c>
      <c r="D692" s="10">
        <f ca="1">IFERROR(__xludf.DUMMYFUNCTION("""COMPUTED_VALUE"""),0.1)</f>
        <v>0.1</v>
      </c>
      <c r="E692" s="17">
        <f ca="1">IFERROR(__xludf.DUMMYFUNCTION("""COMPUTED_VALUE"""),0.858235747207933)</f>
        <v>0.85823574720793305</v>
      </c>
      <c r="F692" s="17">
        <f ca="1">IFERROR(__xludf.DUMMYFUNCTION("""COMPUTED_VALUE"""),0.573418514449385)</f>
        <v>0.57341851444938496</v>
      </c>
      <c r="G692" s="17">
        <f ca="1">IFERROR(__xludf.DUMMYFUNCTION("""COMPUTED_VALUE"""),0.573530162412146)</f>
        <v>0.57353016241214605</v>
      </c>
      <c r="H692" s="17">
        <f ca="1">IFERROR(__xludf.DUMMYFUNCTION("""COMPUTED_VALUE"""),0.564288473427026)</f>
        <v>0.56428847342702604</v>
      </c>
      <c r="I692" s="17">
        <f ca="1">IFERROR(__xludf.DUMMYFUNCTION("""COMPUTED_VALUE"""),0.563798783403574)</f>
        <v>0.56379878340357403</v>
      </c>
      <c r="J692" s="17">
        <f ca="1">IFERROR(__xludf.DUMMYFUNCTION("""COMPUTED_VALUE"""),0.619256282364242)</f>
        <v>0.61925628236424202</v>
      </c>
      <c r="K692" s="17" t="str">
        <f ca="1">IFERROR(__xludf.DUMMYFUNCTION("""COMPUTED_VALUE"""),"nan")</f>
        <v>nan</v>
      </c>
      <c r="L692" s="17">
        <f ca="1">IFERROR(__xludf.DUMMYFUNCTION("""COMPUTED_VALUE"""),0.554372812443341)</f>
        <v>0.55437281244334102</v>
      </c>
      <c r="M692" s="17">
        <f ca="1">IFERROR(__xludf.DUMMYFUNCTION("""COMPUTED_VALUE"""),0.61089339037291)</f>
        <v>0.61089339037291002</v>
      </c>
      <c r="N692" s="17">
        <f ca="1">IFERROR(__xludf.DUMMYFUNCTION("""COMPUTED_VALUE"""),0.66510398208582)</f>
        <v>0.66510398208582</v>
      </c>
      <c r="O692" s="17">
        <f ca="1">IFERROR(__xludf.DUMMYFUNCTION("""COMPUTED_VALUE"""),0.564854780923808)</f>
        <v>0.56485478092380803</v>
      </c>
      <c r="P692" s="17">
        <f ca="1">IFERROR(__xludf.DUMMYFUNCTION("""COMPUTED_VALUE"""),1.06999496562352)</f>
        <v>1.0699949656235199</v>
      </c>
      <c r="Q692" s="17">
        <f ca="1">IFERROR(__xludf.DUMMYFUNCTION("""COMPUTED_VALUE"""),0.919156929207409)</f>
        <v>0.91915692920740899</v>
      </c>
      <c r="R692" s="17">
        <f ca="1">IFERROR(__xludf.DUMMYFUNCTION("""COMPUTED_VALUE"""),0.736986368163367)</f>
        <v>0.73698636816336704</v>
      </c>
      <c r="S692" s="17">
        <f ca="1">IFERROR(__xludf.DUMMYFUNCTION("""COMPUTED_VALUE"""),0.693122517122984)</f>
        <v>0.69312251712298401</v>
      </c>
      <c r="T692" s="17">
        <f ca="1">IFERROR(__xludf.DUMMYFUNCTION("""COMPUTED_VALUE"""),0.564634411532816)</f>
        <v>0.56463441153281602</v>
      </c>
      <c r="U692" s="17">
        <f ca="1">IFERROR(__xludf.DUMMYFUNCTION("""COMPUTED_VALUE"""),0.658137596654201)</f>
        <v>0.65813759665420102</v>
      </c>
      <c r="V692" s="17">
        <f ca="1">IFERROR(__xludf.DUMMYFUNCTION("""COMPUTED_VALUE"""),0.631194247345368)</f>
        <v>0.631194247345368</v>
      </c>
      <c r="W692" s="17">
        <f ca="1">IFERROR(__xludf.DUMMYFUNCTION("""COMPUTED_VALUE"""),0.729469960901112)</f>
        <v>0.72946996090111205</v>
      </c>
      <c r="X692" s="17">
        <f ca="1">IFERROR(__xludf.DUMMYFUNCTION("""COMPUTED_VALUE"""),0.626908617438803)</f>
        <v>0.626908617438803</v>
      </c>
      <c r="Y692" s="17">
        <f ca="1">IFERROR(__xludf.DUMMYFUNCTION("""COMPUTED_VALUE"""),0.734978759478981)</f>
        <v>0.73497875947898095</v>
      </c>
      <c r="Z692" s="17">
        <f ca="1">IFERROR(__xludf.DUMMYFUNCTION("""COMPUTED_VALUE"""),0.67019014981821)</f>
        <v>0.67019014981821001</v>
      </c>
      <c r="AA692" s="17">
        <f ca="1">IFERROR(__xludf.DUMMYFUNCTION("""COMPUTED_VALUE"""),0.541462514134843)</f>
        <v>0.54146251413484303</v>
      </c>
      <c r="AB692" s="17">
        <f ca="1">IFERROR(__xludf.DUMMYFUNCTION("""COMPUTED_VALUE"""),0.786324163538382)</f>
        <v>0.78632416353838197</v>
      </c>
      <c r="AC692" s="17">
        <f ca="1">IFERROR(__xludf.DUMMYFUNCTION("""COMPUTED_VALUE"""),1.3762544828459)</f>
        <v>1.3762544828459</v>
      </c>
      <c r="AD692" s="17">
        <f ca="1">IFERROR(__xludf.DUMMYFUNCTION("""COMPUTED_VALUE"""),0.74260162792469)</f>
        <v>0.74260162792468998</v>
      </c>
      <c r="AE692" s="17">
        <f ca="1">IFERROR(__xludf.DUMMYFUNCTION("""COMPUTED_VALUE"""),1.22221563139953)</f>
        <v>1.22221563139953</v>
      </c>
      <c r="AF692" s="17">
        <f ca="1">IFERROR(__xludf.DUMMYFUNCTION("""COMPUTED_VALUE"""),0.731735964900299)</f>
        <v>0.73173596490029902</v>
      </c>
      <c r="AG692" s="17">
        <f ca="1">IFERROR(__xludf.DUMMYFUNCTION("""COMPUTED_VALUE"""),0.69737677204821)</f>
        <v>0.69737677204821003</v>
      </c>
      <c r="AH692" s="17">
        <f ca="1">IFERROR(__xludf.DUMMYFUNCTION("""COMPUTED_VALUE"""),0.554714512159336)</f>
        <v>0.55471451215933598</v>
      </c>
      <c r="AI692" s="17" t="str">
        <f ca="1">IFERROR(__xludf.DUMMYFUNCTION("""COMPUTED_VALUE"""),"nan")</f>
        <v>nan</v>
      </c>
      <c r="AJ692" s="17">
        <f ca="1">IFERROR(__xludf.DUMMYFUNCTION("""COMPUTED_VALUE"""),0.650373386366239)</f>
        <v>0.65037338636623898</v>
      </c>
    </row>
    <row r="693" spans="2:36" ht="15.75" customHeight="1" x14ac:dyDescent="0.45">
      <c r="B693" s="10" t="str">
        <f ca="1">IFERROR(__xludf.DUMMYFUNCTION("""COMPUTED_VALUE"""),"ScreenType")</f>
        <v>ScreenType</v>
      </c>
      <c r="C693" s="10" t="str">
        <f ca="1">IFERROR(__xludf.DUMMYFUNCTION("""COMPUTED_VALUE"""),"aligned_series")</f>
        <v>aligned_series</v>
      </c>
      <c r="D693" s="10">
        <f ca="1">IFERROR(__xludf.DUMMYFUNCTION("""COMPUTED_VALUE"""),0.2)</f>
        <v>0.2</v>
      </c>
      <c r="E693" s="17">
        <f ca="1">IFERROR(__xludf.DUMMYFUNCTION("""COMPUTED_VALUE"""),0.767543738520127)</f>
        <v>0.76754373852012703</v>
      </c>
      <c r="F693" s="17">
        <f ca="1">IFERROR(__xludf.DUMMYFUNCTION("""COMPUTED_VALUE"""),0.554766338919868)</f>
        <v>0.55476633891986804</v>
      </c>
      <c r="G693" s="17">
        <f ca="1">IFERROR(__xludf.DUMMYFUNCTION("""COMPUTED_VALUE"""),0.560507600184097)</f>
        <v>0.56050760018409695</v>
      </c>
      <c r="H693" s="17">
        <f ca="1">IFERROR(__xludf.DUMMYFUNCTION("""COMPUTED_VALUE"""),0.551692895030689)</f>
        <v>0.55169289503068897</v>
      </c>
      <c r="I693" s="17">
        <f ca="1">IFERROR(__xludf.DUMMYFUNCTION("""COMPUTED_VALUE"""),0.531175192187713)</f>
        <v>0.53117519218771303</v>
      </c>
      <c r="J693" s="17">
        <f ca="1">IFERROR(__xludf.DUMMYFUNCTION("""COMPUTED_VALUE"""),0.583578997174594)</f>
        <v>0.58357899717459405</v>
      </c>
      <c r="K693" s="17" t="str">
        <f ca="1">IFERROR(__xludf.DUMMYFUNCTION("""COMPUTED_VALUE"""),"nan")</f>
        <v>nan</v>
      </c>
      <c r="L693" s="17">
        <f ca="1">IFERROR(__xludf.DUMMYFUNCTION("""COMPUTED_VALUE"""),0.533727293925562)</f>
        <v>0.53372729392556195</v>
      </c>
      <c r="M693" s="17">
        <f ca="1">IFERROR(__xludf.DUMMYFUNCTION("""COMPUTED_VALUE"""),0.587133099888242)</f>
        <v>0.58713309988824203</v>
      </c>
      <c r="N693" s="17">
        <f ca="1">IFERROR(__xludf.DUMMYFUNCTION("""COMPUTED_VALUE"""),0.598855358917078)</f>
        <v>0.59885535891707797</v>
      </c>
      <c r="O693" s="17">
        <f ca="1">IFERROR(__xludf.DUMMYFUNCTION("""COMPUTED_VALUE"""),0.538442889641442)</f>
        <v>0.53844288964144205</v>
      </c>
      <c r="P693" s="17">
        <f ca="1">IFERROR(__xludf.DUMMYFUNCTION("""COMPUTED_VALUE"""),1.00716744808058)</f>
        <v>1.0071674480805799</v>
      </c>
      <c r="Q693" s="17">
        <f ca="1">IFERROR(__xludf.DUMMYFUNCTION("""COMPUTED_VALUE"""),0.809419227256852)</f>
        <v>0.809419227256852</v>
      </c>
      <c r="R693" s="17">
        <f ca="1">IFERROR(__xludf.DUMMYFUNCTION("""COMPUTED_VALUE"""),0.716538189248808)</f>
        <v>0.71653818924880797</v>
      </c>
      <c r="S693" s="17">
        <f ca="1">IFERROR(__xludf.DUMMYFUNCTION("""COMPUTED_VALUE"""),0.609166837692388)</f>
        <v>0.609166837692388</v>
      </c>
      <c r="T693" s="17">
        <f ca="1">IFERROR(__xludf.DUMMYFUNCTION("""COMPUTED_VALUE"""),0.587019948439461)</f>
        <v>0.58701994843946104</v>
      </c>
      <c r="U693" s="17">
        <f ca="1">IFERROR(__xludf.DUMMYFUNCTION("""COMPUTED_VALUE"""),0.599127886724645)</f>
        <v>0.59912788672464501</v>
      </c>
      <c r="V693" s="17">
        <f ca="1">IFERROR(__xludf.DUMMYFUNCTION("""COMPUTED_VALUE"""),0.588732663928953)</f>
        <v>0.58873266392895296</v>
      </c>
      <c r="W693" s="17">
        <f ca="1">IFERROR(__xludf.DUMMYFUNCTION("""COMPUTED_VALUE"""),0.645776093627532)</f>
        <v>0.64577609362753197</v>
      </c>
      <c r="X693" s="17">
        <f ca="1">IFERROR(__xludf.DUMMYFUNCTION("""COMPUTED_VALUE"""),0.553156007997356)</f>
        <v>0.55315600799735598</v>
      </c>
      <c r="Y693" s="17">
        <f ca="1">IFERROR(__xludf.DUMMYFUNCTION("""COMPUTED_VALUE"""),0.666806574261399)</f>
        <v>0.666806574261399</v>
      </c>
      <c r="Z693" s="17">
        <f ca="1">IFERROR(__xludf.DUMMYFUNCTION("""COMPUTED_VALUE"""),0.598788090083789)</f>
        <v>0.59878809008378897</v>
      </c>
      <c r="AA693" s="17">
        <f ca="1">IFERROR(__xludf.DUMMYFUNCTION("""COMPUTED_VALUE"""),0.954297695822455)</f>
        <v>0.95429769582245505</v>
      </c>
      <c r="AB693" s="17">
        <f ca="1">IFERROR(__xludf.DUMMYFUNCTION("""COMPUTED_VALUE"""),0.940346072496995)</f>
        <v>0.94034607249699498</v>
      </c>
      <c r="AC693" s="17">
        <f ca="1">IFERROR(__xludf.DUMMYFUNCTION("""COMPUTED_VALUE"""),1.31215731097725)</f>
        <v>1.31215731097725</v>
      </c>
      <c r="AD693" s="17">
        <f ca="1">IFERROR(__xludf.DUMMYFUNCTION("""COMPUTED_VALUE"""),0.682601719416095)</f>
        <v>0.68260171941609504</v>
      </c>
      <c r="AE693" s="17">
        <f ca="1">IFERROR(__xludf.DUMMYFUNCTION("""COMPUTED_VALUE"""),1.12880402598405)</f>
        <v>1.1288040259840499</v>
      </c>
      <c r="AF693" s="17">
        <f ca="1">IFERROR(__xludf.DUMMYFUNCTION("""COMPUTED_VALUE"""),0.662575391562105)</f>
        <v>0.66257539156210499</v>
      </c>
      <c r="AG693" s="17">
        <f ca="1">IFERROR(__xludf.DUMMYFUNCTION("""COMPUTED_VALUE"""),0.600069611826455)</f>
        <v>0.60006961182645502</v>
      </c>
      <c r="AH693" s="17">
        <f ca="1">IFERROR(__xludf.DUMMYFUNCTION("""COMPUTED_VALUE"""),0.511584096647807)</f>
        <v>0.51158409664780702</v>
      </c>
      <c r="AI693" s="17" t="str">
        <f ca="1">IFERROR(__xludf.DUMMYFUNCTION("""COMPUTED_VALUE"""),"nan")</f>
        <v>nan</v>
      </c>
      <c r="AJ693" s="17">
        <f ca="1">IFERROR(__xludf.DUMMYFUNCTION("""COMPUTED_VALUE"""),0.575543212452886)</f>
        <v>0.57554321245288598</v>
      </c>
    </row>
    <row r="694" spans="2:36" ht="15.75" customHeight="1" x14ac:dyDescent="0.45">
      <c r="B694" s="10" t="str">
        <f ca="1">IFERROR(__xludf.DUMMYFUNCTION("""COMPUTED_VALUE"""),"ScreenType")</f>
        <v>ScreenType</v>
      </c>
      <c r="C694" s="10" t="str">
        <f ca="1">IFERROR(__xludf.DUMMYFUNCTION("""COMPUTED_VALUE"""),"aligned_series")</f>
        <v>aligned_series</v>
      </c>
      <c r="D694" s="10">
        <f ca="1">IFERROR(__xludf.DUMMYFUNCTION("""COMPUTED_VALUE"""),0.4)</f>
        <v>0.4</v>
      </c>
      <c r="E694" s="17">
        <f ca="1">IFERROR(__xludf.DUMMYFUNCTION("""COMPUTED_VALUE"""),0.733824941162575)</f>
        <v>0.73382494116257502</v>
      </c>
      <c r="F694" s="17">
        <f ca="1">IFERROR(__xludf.DUMMYFUNCTION("""COMPUTED_VALUE"""),0.601559657667478)</f>
        <v>0.60155965766747799</v>
      </c>
      <c r="G694" s="17">
        <f ca="1">IFERROR(__xludf.DUMMYFUNCTION("""COMPUTED_VALUE"""),0.618653841466537)</f>
        <v>0.61865384146653701</v>
      </c>
      <c r="H694" s="17">
        <f ca="1">IFERROR(__xludf.DUMMYFUNCTION("""COMPUTED_VALUE"""),0.576720579136)</f>
        <v>0.57672057913599994</v>
      </c>
      <c r="I694" s="17">
        <f ca="1">IFERROR(__xludf.DUMMYFUNCTION("""COMPUTED_VALUE"""),0.532494158587826)</f>
        <v>0.53249415858782601</v>
      </c>
      <c r="J694" s="17">
        <f ca="1">IFERROR(__xludf.DUMMYFUNCTION("""COMPUTED_VALUE"""),0.580079471465793)</f>
        <v>0.58007947146579297</v>
      </c>
      <c r="K694" s="17" t="str">
        <f ca="1">IFERROR(__xludf.DUMMYFUNCTION("""COMPUTED_VALUE"""),"nan")</f>
        <v>nan</v>
      </c>
      <c r="L694" s="17">
        <f ca="1">IFERROR(__xludf.DUMMYFUNCTION("""COMPUTED_VALUE"""),0.551776153005549)</f>
        <v>0.55177615300554905</v>
      </c>
      <c r="M694" s="17">
        <f ca="1">IFERROR(__xludf.DUMMYFUNCTION("""COMPUTED_VALUE"""),0.639924563184681)</f>
        <v>0.63992456318468105</v>
      </c>
      <c r="N694" s="17">
        <f ca="1">IFERROR(__xludf.DUMMYFUNCTION("""COMPUTED_VALUE"""),0.589658141929354)</f>
        <v>0.58965814192935395</v>
      </c>
      <c r="O694" s="17">
        <f ca="1">IFERROR(__xludf.DUMMYFUNCTION("""COMPUTED_VALUE"""),0.56067012222369)</f>
        <v>0.56067012222368995</v>
      </c>
      <c r="P694" s="17">
        <f ca="1">IFERROR(__xludf.DUMMYFUNCTION("""COMPUTED_VALUE"""),1.24042913788346)</f>
        <v>1.24042913788346</v>
      </c>
      <c r="Q694" s="17">
        <f ca="1">IFERROR(__xludf.DUMMYFUNCTION("""COMPUTED_VALUE"""),0.844705898953529)</f>
        <v>0.84470589895352899</v>
      </c>
      <c r="R694" s="17">
        <f ca="1">IFERROR(__xludf.DUMMYFUNCTION("""COMPUTED_VALUE"""),0.703227873929913)</f>
        <v>0.70322787392991304</v>
      </c>
      <c r="S694" s="17">
        <f ca="1">IFERROR(__xludf.DUMMYFUNCTION("""COMPUTED_VALUE"""),0.56116628972144)</f>
        <v>0.56116628972144</v>
      </c>
      <c r="T694" s="17">
        <f ca="1">IFERROR(__xludf.DUMMYFUNCTION("""COMPUTED_VALUE"""),0.560192487986825)</f>
        <v>0.56019248798682497</v>
      </c>
      <c r="U694" s="17">
        <f ca="1">IFERROR(__xludf.DUMMYFUNCTION("""COMPUTED_VALUE"""),0.576853063155216)</f>
        <v>0.57685306315521601</v>
      </c>
      <c r="V694" s="17">
        <f ca="1">IFERROR(__xludf.DUMMYFUNCTION("""COMPUTED_VALUE"""),0.56695782596726)</f>
        <v>0.56695782596725997</v>
      </c>
      <c r="W694" s="17">
        <f ca="1">IFERROR(__xludf.DUMMYFUNCTION("""COMPUTED_VALUE"""),0.59179117709632)</f>
        <v>0.59179117709632001</v>
      </c>
      <c r="X694" s="17">
        <f ca="1">IFERROR(__xludf.DUMMYFUNCTION("""COMPUTED_VALUE"""),0.541106091840284)</f>
        <v>0.54110609184028402</v>
      </c>
      <c r="Y694" s="17">
        <f ca="1">IFERROR(__xludf.DUMMYFUNCTION("""COMPUTED_VALUE"""),0.653891611417437)</f>
        <v>0.65389161141743701</v>
      </c>
      <c r="Z694" s="17">
        <f ca="1">IFERROR(__xludf.DUMMYFUNCTION("""COMPUTED_VALUE"""),0.560399507807096)</f>
        <v>0.56039950780709602</v>
      </c>
      <c r="AA694" s="17">
        <f ca="1">IFERROR(__xludf.DUMMYFUNCTION("""COMPUTED_VALUE"""),0.733300562557248)</f>
        <v>0.73330056255724796</v>
      </c>
      <c r="AB694" s="17">
        <f ca="1">IFERROR(__xludf.DUMMYFUNCTION("""COMPUTED_VALUE"""),2.00037546812629)</f>
        <v>2.0003754681262902</v>
      </c>
      <c r="AC694" s="17">
        <f ca="1">IFERROR(__xludf.DUMMYFUNCTION("""COMPUTED_VALUE"""),0.975275720591725)</f>
        <v>0.97527572059172496</v>
      </c>
      <c r="AD694" s="17">
        <f ca="1">IFERROR(__xludf.DUMMYFUNCTION("""COMPUTED_VALUE"""),0.633237307539678)</f>
        <v>0.633237307539678</v>
      </c>
      <c r="AE694" s="17">
        <f ca="1">IFERROR(__xludf.DUMMYFUNCTION("""COMPUTED_VALUE"""),1.17321322248584)</f>
        <v>1.17321322248584</v>
      </c>
      <c r="AF694" s="17">
        <f ca="1">IFERROR(__xludf.DUMMYFUNCTION("""COMPUTED_VALUE"""),0.682442978612795)</f>
        <v>0.68244297861279501</v>
      </c>
      <c r="AG694" s="17">
        <f ca="1">IFERROR(__xludf.DUMMYFUNCTION("""COMPUTED_VALUE"""),0.61047096997012)</f>
        <v>0.61047096997011996</v>
      </c>
      <c r="AH694" s="17">
        <f ca="1">IFERROR(__xludf.DUMMYFUNCTION("""COMPUTED_VALUE"""),0.501146688441468)</f>
        <v>0.50114668844146804</v>
      </c>
      <c r="AI694" s="17" t="str">
        <f ca="1">IFERROR(__xludf.DUMMYFUNCTION("""COMPUTED_VALUE"""),"nan")</f>
        <v>nan</v>
      </c>
      <c r="AJ694" s="17">
        <f ca="1">IFERROR(__xludf.DUMMYFUNCTION("""COMPUTED_VALUE"""),0.533574274945341)</f>
        <v>0.53357427494534104</v>
      </c>
    </row>
    <row r="695" spans="2:36" ht="15.75" customHeight="1" x14ac:dyDescent="0.45">
      <c r="B695" s="10" t="str">
        <f ca="1">IFERROR(__xludf.DUMMYFUNCTION("""COMPUTED_VALUE"""),"ScreenType")</f>
        <v>ScreenType</v>
      </c>
      <c r="C695" s="10" t="str">
        <f ca="1">IFERROR(__xludf.DUMMYFUNCTION("""COMPUTED_VALUE"""),"aligned_series")</f>
        <v>aligned_series</v>
      </c>
      <c r="D695" s="10">
        <f ca="1">IFERROR(__xludf.DUMMYFUNCTION("""COMPUTED_VALUE"""),0.6)</f>
        <v>0.6</v>
      </c>
      <c r="E695" s="17">
        <f ca="1">IFERROR(__xludf.DUMMYFUNCTION("""COMPUTED_VALUE"""),0.754729088251764)</f>
        <v>0.75472908825176399</v>
      </c>
      <c r="F695" s="17">
        <f ca="1">IFERROR(__xludf.DUMMYFUNCTION("""COMPUTED_VALUE"""),0.595531932255771)</f>
        <v>0.59553193225577095</v>
      </c>
      <c r="G695" s="17">
        <f ca="1">IFERROR(__xludf.DUMMYFUNCTION("""COMPUTED_VALUE"""),0.615843543072304)</f>
        <v>0.61584354307230404</v>
      </c>
      <c r="H695" s="17">
        <f ca="1">IFERROR(__xludf.DUMMYFUNCTION("""COMPUTED_VALUE"""),0.574496030344299)</f>
        <v>0.57449603034429897</v>
      </c>
      <c r="I695" s="17">
        <f ca="1">IFERROR(__xludf.DUMMYFUNCTION("""COMPUTED_VALUE"""),0.557282298974006)</f>
        <v>0.55728229897400605</v>
      </c>
      <c r="J695" s="17">
        <f ca="1">IFERROR(__xludf.DUMMYFUNCTION("""COMPUTED_VALUE"""),0.585579936144246)</f>
        <v>0.58557993614424597</v>
      </c>
      <c r="K695" s="17" t="str">
        <f ca="1">IFERROR(__xludf.DUMMYFUNCTION("""COMPUTED_VALUE"""),"nan")</f>
        <v>nan</v>
      </c>
      <c r="L695" s="17">
        <f ca="1">IFERROR(__xludf.DUMMYFUNCTION("""COMPUTED_VALUE"""),0.541007149531305)</f>
        <v>0.54100714953130502</v>
      </c>
      <c r="M695" s="17">
        <f ca="1">IFERROR(__xludf.DUMMYFUNCTION("""COMPUTED_VALUE"""),0.646266140965097)</f>
        <v>0.64626614096509705</v>
      </c>
      <c r="N695" s="17">
        <f ca="1">IFERROR(__xludf.DUMMYFUNCTION("""COMPUTED_VALUE"""),0.665841966894152)</f>
        <v>0.66584196689415198</v>
      </c>
      <c r="O695" s="17">
        <f ca="1">IFERROR(__xludf.DUMMYFUNCTION("""COMPUTED_VALUE"""),0.54331270599757)</f>
        <v>0.54331270599756998</v>
      </c>
      <c r="P695" s="17">
        <f ca="1">IFERROR(__xludf.DUMMYFUNCTION("""COMPUTED_VALUE"""),1.3206745754076)</f>
        <v>1.3206745754075999</v>
      </c>
      <c r="Q695" s="17">
        <f ca="1">IFERROR(__xludf.DUMMYFUNCTION("""COMPUTED_VALUE"""),0.860014347445666)</f>
        <v>0.86001434744566596</v>
      </c>
      <c r="R695" s="17">
        <f ca="1">IFERROR(__xludf.DUMMYFUNCTION("""COMPUTED_VALUE"""),0.733464169588804)</f>
        <v>0.733464169588804</v>
      </c>
      <c r="S695" s="17">
        <f ca="1">IFERROR(__xludf.DUMMYFUNCTION("""COMPUTED_VALUE"""),0.557590631820103)</f>
        <v>0.55759063182010304</v>
      </c>
      <c r="T695" s="17">
        <f ca="1">IFERROR(__xludf.DUMMYFUNCTION("""COMPUTED_VALUE"""),0.538975009583162)</f>
        <v>0.53897500958316202</v>
      </c>
      <c r="U695" s="17">
        <f ca="1">IFERROR(__xludf.DUMMYFUNCTION("""COMPUTED_VALUE"""),0.543729137818744)</f>
        <v>0.54372913781874399</v>
      </c>
      <c r="V695" s="17">
        <f ca="1">IFERROR(__xludf.DUMMYFUNCTION("""COMPUTED_VALUE"""),0.561621272030544)</f>
        <v>0.56162127203054402</v>
      </c>
      <c r="W695" s="17">
        <f ca="1">IFERROR(__xludf.DUMMYFUNCTION("""COMPUTED_VALUE"""),0.577850934485744)</f>
        <v>0.57785093448574398</v>
      </c>
      <c r="X695" s="17">
        <f ca="1">IFERROR(__xludf.DUMMYFUNCTION("""COMPUTED_VALUE"""),0.552437983500316)</f>
        <v>0.55243798350031603</v>
      </c>
      <c r="Y695" s="17">
        <f ca="1">IFERROR(__xludf.DUMMYFUNCTION("""COMPUTED_VALUE"""),0.64094339692622)</f>
        <v>0.64094339692622004</v>
      </c>
      <c r="Z695" s="17">
        <f ca="1">IFERROR(__xludf.DUMMYFUNCTION("""COMPUTED_VALUE"""),0.573171077639836)</f>
        <v>0.57317107763983599</v>
      </c>
      <c r="AA695" s="17">
        <f ca="1">IFERROR(__xludf.DUMMYFUNCTION("""COMPUTED_VALUE"""),0.706243016686214)</f>
        <v>0.70624301668621403</v>
      </c>
      <c r="AB695" s="17">
        <f ca="1">IFERROR(__xludf.DUMMYFUNCTION("""COMPUTED_VALUE"""),1.25133232652415)</f>
        <v>1.2513323265241501</v>
      </c>
      <c r="AC695" s="17">
        <f ca="1">IFERROR(__xludf.DUMMYFUNCTION("""COMPUTED_VALUE"""),0.907246231306404)</f>
        <v>0.90724623130640403</v>
      </c>
      <c r="AD695" s="17">
        <f ca="1">IFERROR(__xludf.DUMMYFUNCTION("""COMPUTED_VALUE"""),0.636210009244893)</f>
        <v>0.63621000924489302</v>
      </c>
      <c r="AE695" s="17">
        <f ca="1">IFERROR(__xludf.DUMMYFUNCTION("""COMPUTED_VALUE"""),1.18101035876718)</f>
        <v>1.1810103587671801</v>
      </c>
      <c r="AF695" s="17">
        <f ca="1">IFERROR(__xludf.DUMMYFUNCTION("""COMPUTED_VALUE"""),0.655400497236427)</f>
        <v>0.65540049723642702</v>
      </c>
      <c r="AG695" s="17">
        <f ca="1">IFERROR(__xludf.DUMMYFUNCTION("""COMPUTED_VALUE"""),0.607390631704264)</f>
        <v>0.60739063170426399</v>
      </c>
      <c r="AH695" s="17">
        <f ca="1">IFERROR(__xludf.DUMMYFUNCTION("""COMPUTED_VALUE"""),0.48286131615242)</f>
        <v>0.48286131615242001</v>
      </c>
      <c r="AI695" s="17" t="str">
        <f ca="1">IFERROR(__xludf.DUMMYFUNCTION("""COMPUTED_VALUE"""),"nan")</f>
        <v>nan</v>
      </c>
      <c r="AJ695" s="17">
        <f ca="1">IFERROR(__xludf.DUMMYFUNCTION("""COMPUTED_VALUE"""),0.539149265708283)</f>
        <v>0.53914926570828303</v>
      </c>
    </row>
    <row r="696" spans="2:36" ht="15.75" customHeight="1" x14ac:dyDescent="0.45">
      <c r="B696" s="10" t="str">
        <f ca="1">IFERROR(__xludf.DUMMYFUNCTION("""COMPUTED_VALUE"""),"ScreenType")</f>
        <v>ScreenType</v>
      </c>
      <c r="C696" s="10" t="str">
        <f ca="1">IFERROR(__xludf.DUMMYFUNCTION("""COMPUTED_VALUE"""),"aligned_series")</f>
        <v>aligned_series</v>
      </c>
      <c r="D696" s="10">
        <f ca="1">IFERROR(__xludf.DUMMYFUNCTION("""COMPUTED_VALUE"""),0.8)</f>
        <v>0.8</v>
      </c>
      <c r="E696" s="17">
        <f ca="1">IFERROR(__xludf.DUMMYFUNCTION("""COMPUTED_VALUE"""),0.789638049929323)</f>
        <v>0.78963804992932296</v>
      </c>
      <c r="F696" s="17">
        <f ca="1">IFERROR(__xludf.DUMMYFUNCTION("""COMPUTED_VALUE"""),0.664243255816193)</f>
        <v>0.66424325581619303</v>
      </c>
      <c r="G696" s="17">
        <f ca="1">IFERROR(__xludf.DUMMYFUNCTION("""COMPUTED_VALUE"""),0.783097774186415)</f>
        <v>0.78309777418641502</v>
      </c>
      <c r="H696" s="17">
        <f ca="1">IFERROR(__xludf.DUMMYFUNCTION("""COMPUTED_VALUE"""),0.736251306331219)</f>
        <v>0.73625130633121905</v>
      </c>
      <c r="I696" s="17">
        <f ca="1">IFERROR(__xludf.DUMMYFUNCTION("""COMPUTED_VALUE"""),0.650901850201003)</f>
        <v>0.650901850201003</v>
      </c>
      <c r="J696" s="17">
        <f ca="1">IFERROR(__xludf.DUMMYFUNCTION("""COMPUTED_VALUE"""),0.5691395309037)</f>
        <v>0.56913953090369995</v>
      </c>
      <c r="K696" s="17" t="str">
        <f ca="1">IFERROR(__xludf.DUMMYFUNCTION("""COMPUTED_VALUE"""),"nan")</f>
        <v>nan</v>
      </c>
      <c r="L696" s="17">
        <f ca="1">IFERROR(__xludf.DUMMYFUNCTION("""COMPUTED_VALUE"""),0.715607922037034)</f>
        <v>0.71560792203703405</v>
      </c>
      <c r="M696" s="17">
        <f ca="1">IFERROR(__xludf.DUMMYFUNCTION("""COMPUTED_VALUE"""),0.817397235076207)</f>
        <v>0.81739723507620698</v>
      </c>
      <c r="N696" s="17">
        <f ca="1">IFERROR(__xludf.DUMMYFUNCTION("""COMPUTED_VALUE"""),0.644923919157029)</f>
        <v>0.64492391915702896</v>
      </c>
      <c r="O696" s="17">
        <f ca="1">IFERROR(__xludf.DUMMYFUNCTION("""COMPUTED_VALUE"""),0.7103982990291)</f>
        <v>0.71039829902910001</v>
      </c>
      <c r="P696" s="17">
        <f ca="1">IFERROR(__xludf.DUMMYFUNCTION("""COMPUTED_VALUE"""),1.34218125588046)</f>
        <v>1.34218125588046</v>
      </c>
      <c r="Q696" s="17">
        <f ca="1">IFERROR(__xludf.DUMMYFUNCTION("""COMPUTED_VALUE"""),0.828503980374362)</f>
        <v>0.82850398037436201</v>
      </c>
      <c r="R696" s="17">
        <f ca="1">IFERROR(__xludf.DUMMYFUNCTION("""COMPUTED_VALUE"""),0.824416600813815)</f>
        <v>0.82441660081381496</v>
      </c>
      <c r="S696" s="17">
        <f ca="1">IFERROR(__xludf.DUMMYFUNCTION("""COMPUTED_VALUE"""),0.63620711016607)</f>
        <v>0.63620711016607001</v>
      </c>
      <c r="T696" s="17">
        <f ca="1">IFERROR(__xludf.DUMMYFUNCTION("""COMPUTED_VALUE"""),0.610462228165892)</f>
        <v>0.61046222816589202</v>
      </c>
      <c r="U696" s="17">
        <f ca="1">IFERROR(__xludf.DUMMYFUNCTION("""COMPUTED_VALUE"""),0.58342589016151)</f>
        <v>0.58342589016151003</v>
      </c>
      <c r="V696" s="17">
        <f ca="1">IFERROR(__xludf.DUMMYFUNCTION("""COMPUTED_VALUE"""),0.66336567955595)</f>
        <v>0.66336567955595005</v>
      </c>
      <c r="W696" s="17">
        <f ca="1">IFERROR(__xludf.DUMMYFUNCTION("""COMPUTED_VALUE"""),0.603785813768802)</f>
        <v>0.60378581376880203</v>
      </c>
      <c r="X696" s="17">
        <f ca="1">IFERROR(__xludf.DUMMYFUNCTION("""COMPUTED_VALUE"""),0.701074853707723)</f>
        <v>0.70107485370772304</v>
      </c>
      <c r="Y696" s="17">
        <f ca="1">IFERROR(__xludf.DUMMYFUNCTION("""COMPUTED_VALUE"""),0.697163082151902)</f>
        <v>0.69716308215190204</v>
      </c>
      <c r="Z696" s="17">
        <f ca="1">IFERROR(__xludf.DUMMYFUNCTION("""COMPUTED_VALUE"""),0.587584240841399)</f>
        <v>0.58758424084139904</v>
      </c>
      <c r="AA696" s="17">
        <f ca="1">IFERROR(__xludf.DUMMYFUNCTION("""COMPUTED_VALUE"""),0.618868860622512)</f>
        <v>0.61886886062251201</v>
      </c>
      <c r="AB696" s="17">
        <f ca="1">IFERROR(__xludf.DUMMYFUNCTION("""COMPUTED_VALUE"""),1.39140484718715)</f>
        <v>1.3914048471871501</v>
      </c>
      <c r="AC696" s="17">
        <f ca="1">IFERROR(__xludf.DUMMYFUNCTION("""COMPUTED_VALUE"""),0.793369840191308)</f>
        <v>0.79336984019130796</v>
      </c>
      <c r="AD696" s="17">
        <f ca="1">IFERROR(__xludf.DUMMYFUNCTION("""COMPUTED_VALUE"""),0.688156463894858)</f>
        <v>0.68815646389485796</v>
      </c>
      <c r="AE696" s="17">
        <f ca="1">IFERROR(__xludf.DUMMYFUNCTION("""COMPUTED_VALUE"""),1.18641762105337)</f>
        <v>1.1864176210533699</v>
      </c>
      <c r="AF696" s="17">
        <f ca="1">IFERROR(__xludf.DUMMYFUNCTION("""COMPUTED_VALUE"""),0.692192076273307)</f>
        <v>0.69219207627330703</v>
      </c>
      <c r="AG696" s="17">
        <f ca="1">IFERROR(__xludf.DUMMYFUNCTION("""COMPUTED_VALUE"""),0.607535480059081)</f>
        <v>0.60753548005908098</v>
      </c>
      <c r="AH696" s="17">
        <f ca="1">IFERROR(__xludf.DUMMYFUNCTION("""COMPUTED_VALUE"""),0.495748664547756)</f>
        <v>0.49574866454775601</v>
      </c>
      <c r="AI696" s="17" t="str">
        <f ca="1">IFERROR(__xludf.DUMMYFUNCTION("""COMPUTED_VALUE"""),"nan")</f>
        <v>nan</v>
      </c>
      <c r="AJ696" s="17">
        <f ca="1">IFERROR(__xludf.DUMMYFUNCTION("""COMPUTED_VALUE"""),0.557154283168636)</f>
        <v>0.55715428316863602</v>
      </c>
    </row>
    <row r="697" spans="2:36" ht="15.75" customHeight="1" x14ac:dyDescent="0.45">
      <c r="B697" s="10" t="str">
        <f ca="1">IFERROR(__xludf.DUMMYFUNCTION("""COMPUTED_VALUE"""),"ScreenType")</f>
        <v>ScreenType</v>
      </c>
      <c r="C697" s="10" t="str">
        <f ca="1">IFERROR(__xludf.DUMMYFUNCTION("""COMPUTED_VALUE"""),"aligned_timestamps")</f>
        <v>aligned_timestamps</v>
      </c>
      <c r="D697" s="10">
        <f ca="1">IFERROR(__xludf.DUMMYFUNCTION("""COMPUTED_VALUE"""),0.1)</f>
        <v>0.1</v>
      </c>
      <c r="E697" s="17">
        <f ca="1">IFERROR(__xludf.DUMMYFUNCTION("""COMPUTED_VALUE"""),0.758431698464464)</f>
        <v>0.75843169846446401</v>
      </c>
      <c r="F697" s="17">
        <f ca="1">IFERROR(__xludf.DUMMYFUNCTION("""COMPUTED_VALUE"""),0.528766050183483)</f>
        <v>0.52876605018348299</v>
      </c>
      <c r="G697" s="17">
        <f ca="1">IFERROR(__xludf.DUMMYFUNCTION("""COMPUTED_VALUE"""),0.532321989365526)</f>
        <v>0.53232198936552599</v>
      </c>
      <c r="H697" s="17">
        <f ca="1">IFERROR(__xludf.DUMMYFUNCTION("""COMPUTED_VALUE"""),0.535233711310012)</f>
        <v>0.53523371131001196</v>
      </c>
      <c r="I697" s="17">
        <f ca="1">IFERROR(__xludf.DUMMYFUNCTION("""COMPUTED_VALUE"""),0.507091456595268)</f>
        <v>0.507091456595268</v>
      </c>
      <c r="J697" s="17">
        <f ca="1">IFERROR(__xludf.DUMMYFUNCTION("""COMPUTED_VALUE"""),0.58838684436168)</f>
        <v>0.58838684436167998</v>
      </c>
      <c r="K697" s="17" t="str">
        <f ca="1">IFERROR(__xludf.DUMMYFUNCTION("""COMPUTED_VALUE"""),"nan")</f>
        <v>nan</v>
      </c>
      <c r="L697" s="17">
        <f ca="1">IFERROR(__xludf.DUMMYFUNCTION("""COMPUTED_VALUE"""),0.520240247972395)</f>
        <v>0.52024024797239499</v>
      </c>
      <c r="M697" s="17">
        <f ca="1">IFERROR(__xludf.DUMMYFUNCTION("""COMPUTED_VALUE"""),0.547650081566068)</f>
        <v>0.54765008156606798</v>
      </c>
      <c r="N697" s="17">
        <f ca="1">IFERROR(__xludf.DUMMYFUNCTION("""COMPUTED_VALUE"""),0.625738472548492)</f>
        <v>0.62573847254849202</v>
      </c>
      <c r="O697" s="17">
        <f ca="1">IFERROR(__xludf.DUMMYFUNCTION("""COMPUTED_VALUE"""),0.520897349053563)</f>
        <v>0.520897349053563</v>
      </c>
      <c r="P697" s="17">
        <f ca="1">IFERROR(__xludf.DUMMYFUNCTION("""COMPUTED_VALUE"""),1.04332995188248)</f>
        <v>1.0433299518824799</v>
      </c>
      <c r="Q697" s="17">
        <f ca="1">IFERROR(__xludf.DUMMYFUNCTION("""COMPUTED_VALUE"""),0.859179848331599)</f>
        <v>0.85917984833159899</v>
      </c>
      <c r="R697" s="17">
        <f ca="1">IFERROR(__xludf.DUMMYFUNCTION("""COMPUTED_VALUE"""),0.580840181926916)</f>
        <v>0.580840181926916</v>
      </c>
      <c r="S697" s="17">
        <f ca="1">IFERROR(__xludf.DUMMYFUNCTION("""COMPUTED_VALUE"""),0.56577250115634)</f>
        <v>0.56577250115634004</v>
      </c>
      <c r="T697" s="17">
        <f ca="1">IFERROR(__xludf.DUMMYFUNCTION("""COMPUTED_VALUE"""),0.601252763208859)</f>
        <v>0.60125276320885901</v>
      </c>
      <c r="U697" s="17">
        <f ca="1">IFERROR(__xludf.DUMMYFUNCTION("""COMPUTED_VALUE"""),0.531849954785252)</f>
        <v>0.53184995478525199</v>
      </c>
      <c r="V697" s="17">
        <f ca="1">IFERROR(__xludf.DUMMYFUNCTION("""COMPUTED_VALUE"""),0.545648196961163)</f>
        <v>0.54564819696116296</v>
      </c>
      <c r="W697" s="17">
        <f ca="1">IFERROR(__xludf.DUMMYFUNCTION("""COMPUTED_VALUE"""),0.601017153620806)</f>
        <v>0.60101715362080599</v>
      </c>
      <c r="X697" s="17">
        <f ca="1">IFERROR(__xludf.DUMMYFUNCTION("""COMPUTED_VALUE"""),0.56405047961809)</f>
        <v>0.56405047961808996</v>
      </c>
      <c r="Y697" s="17">
        <f ca="1">IFERROR(__xludf.DUMMYFUNCTION("""COMPUTED_VALUE"""),0.63116973856706)</f>
        <v>0.63116973856706005</v>
      </c>
      <c r="Z697" s="17">
        <f ca="1">IFERROR(__xludf.DUMMYFUNCTION("""COMPUTED_VALUE"""),0.583573931354189)</f>
        <v>0.583573931354189</v>
      </c>
      <c r="AA697" s="17">
        <f ca="1">IFERROR(__xludf.DUMMYFUNCTION("""COMPUTED_VALUE"""),0.860832341548427)</f>
        <v>0.86083234154842703</v>
      </c>
      <c r="AB697" s="17">
        <f ca="1">IFERROR(__xludf.DUMMYFUNCTION("""COMPUTED_VALUE"""),0.828377236432421)</f>
        <v>0.828377236432421</v>
      </c>
      <c r="AC697" s="17">
        <f ca="1">IFERROR(__xludf.DUMMYFUNCTION("""COMPUTED_VALUE"""),1.09350139630381)</f>
        <v>1.09350139630381</v>
      </c>
      <c r="AD697" s="17">
        <f ca="1">IFERROR(__xludf.DUMMYFUNCTION("""COMPUTED_VALUE"""),0.649592569076245)</f>
        <v>0.64959256907624496</v>
      </c>
      <c r="AE697" s="17">
        <f ca="1">IFERROR(__xludf.DUMMYFUNCTION("""COMPUTED_VALUE"""),0.991480891823403)</f>
        <v>0.99148089182340304</v>
      </c>
      <c r="AF697" s="17">
        <f ca="1">IFERROR(__xludf.DUMMYFUNCTION("""COMPUTED_VALUE"""),0.541865952857091)</f>
        <v>0.54186595285709105</v>
      </c>
      <c r="AG697" s="17">
        <f ca="1">IFERROR(__xludf.DUMMYFUNCTION("""COMPUTED_VALUE"""),0.521755654627665)</f>
        <v>0.52175565462766504</v>
      </c>
      <c r="AH697" s="17">
        <f ca="1">IFERROR(__xludf.DUMMYFUNCTION("""COMPUTED_VALUE"""),0.466084059851911)</f>
        <v>0.46608405985191098</v>
      </c>
      <c r="AI697" s="17" t="str">
        <f ca="1">IFERROR(__xludf.DUMMYFUNCTION("""COMPUTED_VALUE"""),"nan")</f>
        <v>nan</v>
      </c>
      <c r="AJ697" s="17">
        <f ca="1">IFERROR(__xludf.DUMMYFUNCTION("""COMPUTED_VALUE"""),0.501992961781693)</f>
        <v>0.50199296178169295</v>
      </c>
    </row>
    <row r="698" spans="2:36" ht="15.75" customHeight="1" x14ac:dyDescent="0.45">
      <c r="B698" s="10" t="str">
        <f ca="1">IFERROR(__xludf.DUMMYFUNCTION("""COMPUTED_VALUE"""),"ScreenType")</f>
        <v>ScreenType</v>
      </c>
      <c r="C698" s="10" t="str">
        <f ca="1">IFERROR(__xludf.DUMMYFUNCTION("""COMPUTED_VALUE"""),"aligned_timestamps")</f>
        <v>aligned_timestamps</v>
      </c>
      <c r="D698" s="10">
        <f ca="1">IFERROR(__xludf.DUMMYFUNCTION("""COMPUTED_VALUE"""),0.2)</f>
        <v>0.2</v>
      </c>
      <c r="E698" s="17">
        <f ca="1">IFERROR(__xludf.DUMMYFUNCTION("""COMPUTED_VALUE"""),0.767543738520127)</f>
        <v>0.76754373852012703</v>
      </c>
      <c r="F698" s="17">
        <f ca="1">IFERROR(__xludf.DUMMYFUNCTION("""COMPUTED_VALUE"""),0.554766338919868)</f>
        <v>0.55476633891986804</v>
      </c>
      <c r="G698" s="17">
        <f ca="1">IFERROR(__xludf.DUMMYFUNCTION("""COMPUTED_VALUE"""),0.560507600184097)</f>
        <v>0.56050760018409695</v>
      </c>
      <c r="H698" s="17">
        <f ca="1">IFERROR(__xludf.DUMMYFUNCTION("""COMPUTED_VALUE"""),0.551692895030689)</f>
        <v>0.55169289503068897</v>
      </c>
      <c r="I698" s="17">
        <f ca="1">IFERROR(__xludf.DUMMYFUNCTION("""COMPUTED_VALUE"""),0.531175192187713)</f>
        <v>0.53117519218771303</v>
      </c>
      <c r="J698" s="17">
        <f ca="1">IFERROR(__xludf.DUMMYFUNCTION("""COMPUTED_VALUE"""),0.583578997174594)</f>
        <v>0.58357899717459405</v>
      </c>
      <c r="K698" s="17" t="str">
        <f ca="1">IFERROR(__xludf.DUMMYFUNCTION("""COMPUTED_VALUE"""),"nan")</f>
        <v>nan</v>
      </c>
      <c r="L698" s="17">
        <f ca="1">IFERROR(__xludf.DUMMYFUNCTION("""COMPUTED_VALUE"""),0.533727293925562)</f>
        <v>0.53372729392556195</v>
      </c>
      <c r="M698" s="17">
        <f ca="1">IFERROR(__xludf.DUMMYFUNCTION("""COMPUTED_VALUE"""),0.587133099888242)</f>
        <v>0.58713309988824203</v>
      </c>
      <c r="N698" s="17">
        <f ca="1">IFERROR(__xludf.DUMMYFUNCTION("""COMPUTED_VALUE"""),0.598855358917078)</f>
        <v>0.59885535891707797</v>
      </c>
      <c r="O698" s="17">
        <f ca="1">IFERROR(__xludf.DUMMYFUNCTION("""COMPUTED_VALUE"""),0.538442889641442)</f>
        <v>0.53844288964144205</v>
      </c>
      <c r="P698" s="17">
        <f ca="1">IFERROR(__xludf.DUMMYFUNCTION("""COMPUTED_VALUE"""),1.00716744808058)</f>
        <v>1.0071674480805799</v>
      </c>
      <c r="Q698" s="17">
        <f ca="1">IFERROR(__xludf.DUMMYFUNCTION("""COMPUTED_VALUE"""),0.809419227256852)</f>
        <v>0.809419227256852</v>
      </c>
      <c r="R698" s="17">
        <f ca="1">IFERROR(__xludf.DUMMYFUNCTION("""COMPUTED_VALUE"""),0.716538189248808)</f>
        <v>0.71653818924880797</v>
      </c>
      <c r="S698" s="17">
        <f ca="1">IFERROR(__xludf.DUMMYFUNCTION("""COMPUTED_VALUE"""),0.609166837692388)</f>
        <v>0.609166837692388</v>
      </c>
      <c r="T698" s="17">
        <f ca="1">IFERROR(__xludf.DUMMYFUNCTION("""COMPUTED_VALUE"""),0.587019948439461)</f>
        <v>0.58701994843946104</v>
      </c>
      <c r="U698" s="17">
        <f ca="1">IFERROR(__xludf.DUMMYFUNCTION("""COMPUTED_VALUE"""),0.599127886724645)</f>
        <v>0.59912788672464501</v>
      </c>
      <c r="V698" s="17">
        <f ca="1">IFERROR(__xludf.DUMMYFUNCTION("""COMPUTED_VALUE"""),0.588732663928953)</f>
        <v>0.58873266392895296</v>
      </c>
      <c r="W698" s="17">
        <f ca="1">IFERROR(__xludf.DUMMYFUNCTION("""COMPUTED_VALUE"""),0.634259023176071)</f>
        <v>0.63425902317607097</v>
      </c>
      <c r="X698" s="17">
        <f ca="1">IFERROR(__xludf.DUMMYFUNCTION("""COMPUTED_VALUE"""),0.606139182423412)</f>
        <v>0.60613918242341203</v>
      </c>
      <c r="Y698" s="17">
        <f ca="1">IFERROR(__xludf.DUMMYFUNCTION("""COMPUTED_VALUE"""),0.666806574261399)</f>
        <v>0.666806574261399</v>
      </c>
      <c r="Z698" s="17">
        <f ca="1">IFERROR(__xludf.DUMMYFUNCTION("""COMPUTED_VALUE"""),0.598788090083789)</f>
        <v>0.59878809008378897</v>
      </c>
      <c r="AA698" s="17">
        <f ca="1">IFERROR(__xludf.DUMMYFUNCTION("""COMPUTED_VALUE"""),0.954297695822455)</f>
        <v>0.95429769582245505</v>
      </c>
      <c r="AB698" s="17">
        <f ca="1">IFERROR(__xludf.DUMMYFUNCTION("""COMPUTED_VALUE"""),0.867438103544658)</f>
        <v>0.867438103544658</v>
      </c>
      <c r="AC698" s="17">
        <f ca="1">IFERROR(__xludf.DUMMYFUNCTION("""COMPUTED_VALUE"""),1.13374920573958)</f>
        <v>1.1337492057395799</v>
      </c>
      <c r="AD698" s="17">
        <f ca="1">IFERROR(__xludf.DUMMYFUNCTION("""COMPUTED_VALUE"""),0.673208997026083)</f>
        <v>0.67320899702608294</v>
      </c>
      <c r="AE698" s="17">
        <f ca="1">IFERROR(__xludf.DUMMYFUNCTION("""COMPUTED_VALUE"""),1.12723945438936)</f>
        <v>1.12723945438936</v>
      </c>
      <c r="AF698" s="17">
        <f ca="1">IFERROR(__xludf.DUMMYFUNCTION("""COMPUTED_VALUE"""),0.662575391562105)</f>
        <v>0.66257539156210499</v>
      </c>
      <c r="AG698" s="17">
        <f ca="1">IFERROR(__xludf.DUMMYFUNCTION("""COMPUTED_VALUE"""),0.605316858926292)</f>
        <v>0.60531685892629195</v>
      </c>
      <c r="AH698" s="17">
        <f ca="1">IFERROR(__xludf.DUMMYFUNCTION("""COMPUTED_VALUE"""),0.511584096647807)</f>
        <v>0.51158409664780702</v>
      </c>
      <c r="AI698" s="17" t="str">
        <f ca="1">IFERROR(__xludf.DUMMYFUNCTION("""COMPUTED_VALUE"""),"nan")</f>
        <v>nan</v>
      </c>
      <c r="AJ698" s="17">
        <f ca="1">IFERROR(__xludf.DUMMYFUNCTION("""COMPUTED_VALUE"""),0.566605233579622)</f>
        <v>0.566605233579622</v>
      </c>
    </row>
    <row r="699" spans="2:36" ht="15.75" customHeight="1" x14ac:dyDescent="0.45">
      <c r="B699" s="10" t="str">
        <f ca="1">IFERROR(__xludf.DUMMYFUNCTION("""COMPUTED_VALUE"""),"ScreenType")</f>
        <v>ScreenType</v>
      </c>
      <c r="C699" s="10" t="str">
        <f ca="1">IFERROR(__xludf.DUMMYFUNCTION("""COMPUTED_VALUE"""),"aligned_timestamps")</f>
        <v>aligned_timestamps</v>
      </c>
      <c r="D699" s="10">
        <f ca="1">IFERROR(__xludf.DUMMYFUNCTION("""COMPUTED_VALUE"""),0.4)</f>
        <v>0.4</v>
      </c>
      <c r="E699" s="17">
        <f ca="1">IFERROR(__xludf.DUMMYFUNCTION("""COMPUTED_VALUE"""),0.857613949978787)</f>
        <v>0.85761394997878704</v>
      </c>
      <c r="F699" s="17">
        <f ca="1">IFERROR(__xludf.DUMMYFUNCTION("""COMPUTED_VALUE"""),0.785378343740388)</f>
        <v>0.78537834374038795</v>
      </c>
      <c r="G699" s="17">
        <f ca="1">IFERROR(__xludf.DUMMYFUNCTION("""COMPUTED_VALUE"""),0.798946767460185)</f>
        <v>0.798946767460185</v>
      </c>
      <c r="H699" s="17">
        <f ca="1">IFERROR(__xludf.DUMMYFUNCTION("""COMPUTED_VALUE"""),0.790968393784756)</f>
        <v>0.79096839378475603</v>
      </c>
      <c r="I699" s="17">
        <f ca="1">IFERROR(__xludf.DUMMYFUNCTION("""COMPUTED_VALUE"""),0.71671065847777)</f>
        <v>0.71671065847777005</v>
      </c>
      <c r="J699" s="17">
        <f ca="1">IFERROR(__xludf.DUMMYFUNCTION("""COMPUTED_VALUE"""),0.923558921805818)</f>
        <v>0.923558921805818</v>
      </c>
      <c r="K699" s="17" t="str">
        <f ca="1">IFERROR(__xludf.DUMMYFUNCTION("""COMPUTED_VALUE"""),"nan")</f>
        <v>nan</v>
      </c>
      <c r="L699" s="17">
        <f ca="1">IFERROR(__xludf.DUMMYFUNCTION("""COMPUTED_VALUE"""),0.896080069601458)</f>
        <v>0.89608006960145803</v>
      </c>
      <c r="M699" s="17">
        <f ca="1">IFERROR(__xludf.DUMMYFUNCTION("""COMPUTED_VALUE"""),0.810931635381126)</f>
        <v>0.810931635381126</v>
      </c>
      <c r="N699" s="17">
        <f ca="1">IFERROR(__xludf.DUMMYFUNCTION("""COMPUTED_VALUE"""),0.952525294476061)</f>
        <v>0.95252529447606105</v>
      </c>
      <c r="O699" s="17">
        <f ca="1">IFERROR(__xludf.DUMMYFUNCTION("""COMPUTED_VALUE"""),0.885780699573074)</f>
        <v>0.88578069957307404</v>
      </c>
      <c r="P699" s="17">
        <f ca="1">IFERROR(__xludf.DUMMYFUNCTION("""COMPUTED_VALUE"""),1.13392542627294)</f>
        <v>1.1339254262729399</v>
      </c>
      <c r="Q699" s="17">
        <f ca="1">IFERROR(__xludf.DUMMYFUNCTION("""COMPUTED_VALUE"""),1.07649481457199)</f>
        <v>1.0764948145719899</v>
      </c>
      <c r="R699" s="17">
        <f ca="1">IFERROR(__xludf.DUMMYFUNCTION("""COMPUTED_VALUE"""),0.979512553820023)</f>
        <v>0.979512553820023</v>
      </c>
      <c r="S699" s="17">
        <f ca="1">IFERROR(__xludf.DUMMYFUNCTION("""COMPUTED_VALUE"""),0.870078468734742)</f>
        <v>0.87007846873474204</v>
      </c>
      <c r="T699" s="17">
        <f ca="1">IFERROR(__xludf.DUMMYFUNCTION("""COMPUTED_VALUE"""),0.871628490367426)</f>
        <v>0.87162849036742596</v>
      </c>
      <c r="U699" s="17">
        <f ca="1">IFERROR(__xludf.DUMMYFUNCTION("""COMPUTED_VALUE"""),0.807667631735664)</f>
        <v>0.80766763173566403</v>
      </c>
      <c r="V699" s="17">
        <f ca="1">IFERROR(__xludf.DUMMYFUNCTION("""COMPUTED_VALUE"""),0.890292672001372)</f>
        <v>0.89029267200137197</v>
      </c>
      <c r="W699" s="17">
        <f ca="1">IFERROR(__xludf.DUMMYFUNCTION("""COMPUTED_VALUE"""),0.803208375699226)</f>
        <v>0.80320837569922598</v>
      </c>
      <c r="X699" s="17">
        <f ca="1">IFERROR(__xludf.DUMMYFUNCTION("""COMPUTED_VALUE"""),0.777754000409053)</f>
        <v>0.77775400040905296</v>
      </c>
      <c r="Y699" s="17">
        <f ca="1">IFERROR(__xludf.DUMMYFUNCTION("""COMPUTED_VALUE"""),0.928615086599016)</f>
        <v>0.92861508659901604</v>
      </c>
      <c r="Z699" s="17">
        <f ca="1">IFERROR(__xludf.DUMMYFUNCTION("""COMPUTED_VALUE"""),0.813698120711039)</f>
        <v>0.81369812071103897</v>
      </c>
      <c r="AA699" s="17">
        <f ca="1">IFERROR(__xludf.DUMMYFUNCTION("""COMPUTED_VALUE"""),3.06692567007744)</f>
        <v>3.0669256700774401</v>
      </c>
      <c r="AB699" s="17">
        <f ca="1">IFERROR(__xludf.DUMMYFUNCTION("""COMPUTED_VALUE"""),1.11702673235204)</f>
        <v>1.11702673235204</v>
      </c>
      <c r="AC699" s="17">
        <f ca="1">IFERROR(__xludf.DUMMYFUNCTION("""COMPUTED_VALUE"""),1.10784727600171)</f>
        <v>1.10784727600171</v>
      </c>
      <c r="AD699" s="17">
        <f ca="1">IFERROR(__xludf.DUMMYFUNCTION("""COMPUTED_VALUE"""),0.811237580087112)</f>
        <v>0.811237580087112</v>
      </c>
      <c r="AE699" s="17" t="str">
        <f ca="1">IFERROR(__xludf.DUMMYFUNCTION("""COMPUTED_VALUE"""),"nan")</f>
        <v>nan</v>
      </c>
      <c r="AF699" s="17">
        <f ca="1">IFERROR(__xludf.DUMMYFUNCTION("""COMPUTED_VALUE"""),1.02582397263371)</f>
        <v>1.0258239726337099</v>
      </c>
      <c r="AG699" s="17">
        <f ca="1">IFERROR(__xludf.DUMMYFUNCTION("""COMPUTED_VALUE"""),0.933292323355534)</f>
        <v>0.93329232335553403</v>
      </c>
      <c r="AH699" s="17">
        <f ca="1">IFERROR(__xludf.DUMMYFUNCTION("""COMPUTED_VALUE"""),0.857213642728131)</f>
        <v>0.85721364272813105</v>
      </c>
      <c r="AI699" s="17" t="str">
        <f ca="1">IFERROR(__xludf.DUMMYFUNCTION("""COMPUTED_VALUE"""),"nan")</f>
        <v>nan</v>
      </c>
      <c r="AJ699" s="17">
        <f ca="1">IFERROR(__xludf.DUMMYFUNCTION("""COMPUTED_VALUE"""),1.0144046479393)</f>
        <v>1.0144046479393001</v>
      </c>
    </row>
    <row r="700" spans="2:36" ht="15.75" customHeight="1" x14ac:dyDescent="0.45">
      <c r="B700" s="10" t="str">
        <f ca="1">IFERROR(__xludf.DUMMYFUNCTION("""COMPUTED_VALUE"""),"ScreenType")</f>
        <v>ScreenType</v>
      </c>
      <c r="C700" s="10" t="str">
        <f ca="1">IFERROR(__xludf.DUMMYFUNCTION("""COMPUTED_VALUE"""),"aligned_timestamps")</f>
        <v>aligned_timestamps</v>
      </c>
      <c r="D700" s="10">
        <f ca="1">IFERROR(__xludf.DUMMYFUNCTION("""COMPUTED_VALUE"""),0.6)</f>
        <v>0.6</v>
      </c>
      <c r="E700" s="17">
        <f ca="1">IFERROR(__xludf.DUMMYFUNCTION("""COMPUTED_VALUE"""),0.917056013700643)</f>
        <v>0.91705601370064305</v>
      </c>
      <c r="F700" s="17">
        <f ca="1">IFERROR(__xludf.DUMMYFUNCTION("""COMPUTED_VALUE"""),0.929417368817798)</f>
        <v>0.92941736881779802</v>
      </c>
      <c r="G700" s="17">
        <f ca="1">IFERROR(__xludf.DUMMYFUNCTION("""COMPUTED_VALUE"""),0.962220289952511)</f>
        <v>0.96222028995251097</v>
      </c>
      <c r="H700" s="17">
        <f ca="1">IFERROR(__xludf.DUMMYFUNCTION("""COMPUTED_VALUE"""),0.915085672060604)</f>
        <v>0.91508567206060398</v>
      </c>
      <c r="I700" s="17">
        <f ca="1">IFERROR(__xludf.DUMMYFUNCTION("""COMPUTED_VALUE"""),0.858099057458774)</f>
        <v>0.85809905745877402</v>
      </c>
      <c r="J700" s="17">
        <f ca="1">IFERROR(__xludf.DUMMYFUNCTION("""COMPUTED_VALUE"""),1.08915618733472)</f>
        <v>1.08915618733472</v>
      </c>
      <c r="K700" s="17" t="str">
        <f ca="1">IFERROR(__xludf.DUMMYFUNCTION("""COMPUTED_VALUE"""),"nan")</f>
        <v>nan</v>
      </c>
      <c r="L700" s="17">
        <f ca="1">IFERROR(__xludf.DUMMYFUNCTION("""COMPUTED_VALUE"""),1.23336651960987)</f>
        <v>1.23336651960987</v>
      </c>
      <c r="M700" s="17">
        <f ca="1">IFERROR(__xludf.DUMMYFUNCTION("""COMPUTED_VALUE"""),0.913061653471418)</f>
        <v>0.91306165347141799</v>
      </c>
      <c r="N700" s="17">
        <f ca="1">IFERROR(__xludf.DUMMYFUNCTION("""COMPUTED_VALUE"""),1.02699559256211)</f>
        <v>1.0269955925621099</v>
      </c>
      <c r="O700" s="17">
        <f ca="1">IFERROR(__xludf.DUMMYFUNCTION("""COMPUTED_VALUE"""),1.17527898439921)</f>
        <v>1.17527898439921</v>
      </c>
      <c r="P700" s="17">
        <f ca="1">IFERROR(__xludf.DUMMYFUNCTION("""COMPUTED_VALUE"""),1.16651531178146)</f>
        <v>1.16651531178146</v>
      </c>
      <c r="Q700" s="17">
        <f ca="1">IFERROR(__xludf.DUMMYFUNCTION("""COMPUTED_VALUE"""),1.19606975011705)</f>
        <v>1.1960697501170501</v>
      </c>
      <c r="R700" s="17">
        <f ca="1">IFERROR(__xludf.DUMMYFUNCTION("""COMPUTED_VALUE"""),1.08059330453781)</f>
        <v>1.08059330453781</v>
      </c>
      <c r="S700" s="17">
        <f ca="1">IFERROR(__xludf.DUMMYFUNCTION("""COMPUTED_VALUE"""),1.02143867050725)</f>
        <v>1.02143867050725</v>
      </c>
      <c r="T700" s="17">
        <f ca="1">IFERROR(__xludf.DUMMYFUNCTION("""COMPUTED_VALUE"""),0.957602446733127)</f>
        <v>0.957602446733127</v>
      </c>
      <c r="U700" s="17">
        <f ca="1">IFERROR(__xludf.DUMMYFUNCTION("""COMPUTED_VALUE"""),0.932691391463038)</f>
        <v>0.93269139146303803</v>
      </c>
      <c r="V700" s="17">
        <f ca="1">IFERROR(__xludf.DUMMYFUNCTION("""COMPUTED_VALUE"""),0.965986953390396)</f>
        <v>0.96598695339039597</v>
      </c>
      <c r="W700" s="17">
        <f ca="1">IFERROR(__xludf.DUMMYFUNCTION("""COMPUTED_VALUE"""),0.930762084189275)</f>
        <v>0.93076208418927497</v>
      </c>
      <c r="X700" s="17">
        <f ca="1">IFERROR(__xludf.DUMMYFUNCTION("""COMPUTED_VALUE"""),0.946001465899401)</f>
        <v>0.94600146589940104</v>
      </c>
      <c r="Y700" s="17">
        <f ca="1">IFERROR(__xludf.DUMMYFUNCTION("""COMPUTED_VALUE"""),0.971596321186521)</f>
        <v>0.97159632118652095</v>
      </c>
      <c r="Z700" s="17">
        <f ca="1">IFERROR(__xludf.DUMMYFUNCTION("""COMPUTED_VALUE"""),0.886203883267348)</f>
        <v>0.886203883267348</v>
      </c>
      <c r="AA700" s="17">
        <f ca="1">IFERROR(__xludf.DUMMYFUNCTION("""COMPUTED_VALUE"""),3.10948914378369)</f>
        <v>3.1094891437836898</v>
      </c>
      <c r="AB700" s="17">
        <f ca="1">IFERROR(__xludf.DUMMYFUNCTION("""COMPUTED_VALUE"""),1.20996486705808)</f>
        <v>1.20996486705808</v>
      </c>
      <c r="AC700" s="17">
        <f ca="1">IFERROR(__xludf.DUMMYFUNCTION("""COMPUTED_VALUE"""),1.0950900126908)</f>
        <v>1.0950900126908001</v>
      </c>
      <c r="AD700" s="17">
        <f ca="1">IFERROR(__xludf.DUMMYFUNCTION("""COMPUTED_VALUE"""),0.938869265722323)</f>
        <v>0.93886926572232299</v>
      </c>
      <c r="AE700" s="17" t="str">
        <f ca="1">IFERROR(__xludf.DUMMYFUNCTION("""COMPUTED_VALUE"""),"nan")</f>
        <v>nan</v>
      </c>
      <c r="AF700" s="17">
        <f ca="1">IFERROR(__xludf.DUMMYFUNCTION("""COMPUTED_VALUE"""),1.06060234019282)</f>
        <v>1.06060234019282</v>
      </c>
      <c r="AG700" s="17">
        <f ca="1">IFERROR(__xludf.DUMMYFUNCTION("""COMPUTED_VALUE"""),1.08206730187462)</f>
        <v>1.0820673018746201</v>
      </c>
      <c r="AH700" s="17">
        <f ca="1">IFERROR(__xludf.DUMMYFUNCTION("""COMPUTED_VALUE"""),0.925346610705646)</f>
        <v>0.92534661070564606</v>
      </c>
      <c r="AI700" s="17" t="str">
        <f ca="1">IFERROR(__xludf.DUMMYFUNCTION("""COMPUTED_VALUE"""),"nan")</f>
        <v>nan</v>
      </c>
      <c r="AJ700" s="17">
        <f ca="1">IFERROR(__xludf.DUMMYFUNCTION("""COMPUTED_VALUE"""),1.14092170284924)</f>
        <v>1.14092170284924</v>
      </c>
    </row>
    <row r="701" spans="2:36" ht="15.75" customHeight="1" x14ac:dyDescent="0.45">
      <c r="B701" s="10" t="str">
        <f ca="1">IFERROR(__xludf.DUMMYFUNCTION("""COMPUTED_VALUE"""),"ScreenType")</f>
        <v>ScreenType</v>
      </c>
      <c r="C701" s="10" t="str">
        <f ca="1">IFERROR(__xludf.DUMMYFUNCTION("""COMPUTED_VALUE"""),"aligned_timestamps")</f>
        <v>aligned_timestamps</v>
      </c>
      <c r="D701" s="10">
        <f ca="1">IFERROR(__xludf.DUMMYFUNCTION("""COMPUTED_VALUE"""),0.8)</f>
        <v>0.8</v>
      </c>
      <c r="E701" s="17">
        <f ca="1">IFERROR(__xludf.DUMMYFUNCTION("""COMPUTED_VALUE"""),0.99053870294638)</f>
        <v>0.99053870294638002</v>
      </c>
      <c r="F701" s="17">
        <f ca="1">IFERROR(__xludf.DUMMYFUNCTION("""COMPUTED_VALUE"""),1.01746834054986)</f>
        <v>1.0174683405498599</v>
      </c>
      <c r="G701" s="17">
        <f ca="1">IFERROR(__xludf.DUMMYFUNCTION("""COMPUTED_VALUE"""),1.12168365907709)</f>
        <v>1.12168365907709</v>
      </c>
      <c r="H701" s="17">
        <f ca="1">IFERROR(__xludf.DUMMYFUNCTION("""COMPUTED_VALUE"""),0.976837545811003)</f>
        <v>0.97683754581100302</v>
      </c>
      <c r="I701" s="17">
        <f ca="1">IFERROR(__xludf.DUMMYFUNCTION("""COMPUTED_VALUE"""),0.942620345959463)</f>
        <v>0.94262034595946298</v>
      </c>
      <c r="J701" s="17">
        <f ca="1">IFERROR(__xludf.DUMMYFUNCTION("""COMPUTED_VALUE"""),1.2101884671228)</f>
        <v>1.2101884671228</v>
      </c>
      <c r="K701" s="17" t="str">
        <f ca="1">IFERROR(__xludf.DUMMYFUNCTION("""COMPUTED_VALUE"""),"nan")</f>
        <v>nan</v>
      </c>
      <c r="L701" s="17">
        <f ca="1">IFERROR(__xludf.DUMMYFUNCTION("""COMPUTED_VALUE"""),1.33711400385184)</f>
        <v>1.3371140038518401</v>
      </c>
      <c r="M701" s="17">
        <f ca="1">IFERROR(__xludf.DUMMYFUNCTION("""COMPUTED_VALUE"""),1.13108829434932)</f>
        <v>1.1310882943493199</v>
      </c>
      <c r="N701" s="17">
        <f ca="1">IFERROR(__xludf.DUMMYFUNCTION("""COMPUTED_VALUE"""),1.08567053913612)</f>
        <v>1.0856705391361201</v>
      </c>
      <c r="O701" s="17">
        <f ca="1">IFERROR(__xludf.DUMMYFUNCTION("""COMPUTED_VALUE"""),1.24571605765253)</f>
        <v>1.2457160576525299</v>
      </c>
      <c r="P701" s="17">
        <f ca="1">IFERROR(__xludf.DUMMYFUNCTION("""COMPUTED_VALUE"""),1.14407317905647)</f>
        <v>1.14407317905647</v>
      </c>
      <c r="Q701" s="17">
        <f ca="1">IFERROR(__xludf.DUMMYFUNCTION("""COMPUTED_VALUE"""),1.27314322550884)</f>
        <v>1.27314322550884</v>
      </c>
      <c r="R701" s="17">
        <f ca="1">IFERROR(__xludf.DUMMYFUNCTION("""COMPUTED_VALUE"""),1.16882185201002)</f>
        <v>1.16882185201002</v>
      </c>
      <c r="S701" s="17">
        <f ca="1">IFERROR(__xludf.DUMMYFUNCTION("""COMPUTED_VALUE"""),1.10282986363969)</f>
        <v>1.10282986363969</v>
      </c>
      <c r="T701" s="17">
        <f ca="1">IFERROR(__xludf.DUMMYFUNCTION("""COMPUTED_VALUE"""),1.03949538051683)</f>
        <v>1.0394953805168301</v>
      </c>
      <c r="U701" s="17">
        <f ca="1">IFERROR(__xludf.DUMMYFUNCTION("""COMPUTED_VALUE"""),1.05401446005202)</f>
        <v>1.05401446005202</v>
      </c>
      <c r="V701" s="17">
        <f ca="1">IFERROR(__xludf.DUMMYFUNCTION("""COMPUTED_VALUE"""),1.17420817344523)</f>
        <v>1.1742081734452301</v>
      </c>
      <c r="W701" s="17">
        <f ca="1">IFERROR(__xludf.DUMMYFUNCTION("""COMPUTED_VALUE"""),1.09140969099063)</f>
        <v>1.0914096909906299</v>
      </c>
      <c r="X701" s="17">
        <f ca="1">IFERROR(__xludf.DUMMYFUNCTION("""COMPUTED_VALUE"""),0.994361927750157)</f>
        <v>0.99436192775015697</v>
      </c>
      <c r="Y701" s="17">
        <f ca="1">IFERROR(__xludf.DUMMYFUNCTION("""COMPUTED_VALUE"""),1.19363620260483)</f>
        <v>1.1936362026048299</v>
      </c>
      <c r="Z701" s="17">
        <f ca="1">IFERROR(__xludf.DUMMYFUNCTION("""COMPUTED_VALUE"""),0.967115192913069)</f>
        <v>0.96711519291306902</v>
      </c>
      <c r="AA701" s="17">
        <f ca="1">IFERROR(__xludf.DUMMYFUNCTION("""COMPUTED_VALUE"""),4.13305413747893)</f>
        <v>4.13305413747893</v>
      </c>
      <c r="AB701" s="17">
        <f ca="1">IFERROR(__xludf.DUMMYFUNCTION("""COMPUTED_VALUE"""),1.35009401326885)</f>
        <v>1.3500940132688499</v>
      </c>
      <c r="AC701" s="17">
        <f ca="1">IFERROR(__xludf.DUMMYFUNCTION("""COMPUTED_VALUE"""),1.12312224770245)</f>
        <v>1.1231222477024501</v>
      </c>
      <c r="AD701" s="17">
        <f ca="1">IFERROR(__xludf.DUMMYFUNCTION("""COMPUTED_VALUE"""),1.03405362174883)</f>
        <v>1.0340536217488301</v>
      </c>
      <c r="AE701" s="17" t="str">
        <f ca="1">IFERROR(__xludf.DUMMYFUNCTION("""COMPUTED_VALUE"""),"nan")</f>
        <v>nan</v>
      </c>
      <c r="AF701" s="17">
        <f ca="1">IFERROR(__xludf.DUMMYFUNCTION("""COMPUTED_VALUE"""),1.15869571405975)</f>
        <v>1.15869571405975</v>
      </c>
      <c r="AG701" s="17">
        <f ca="1">IFERROR(__xludf.DUMMYFUNCTION("""COMPUTED_VALUE"""),1.15648958254338)</f>
        <v>1.1564895825433801</v>
      </c>
      <c r="AH701" s="17">
        <f ca="1">IFERROR(__xludf.DUMMYFUNCTION("""COMPUTED_VALUE"""),1.02629103816916)</f>
        <v>1.0262910381691599</v>
      </c>
      <c r="AI701" s="17" t="str">
        <f ca="1">IFERROR(__xludf.DUMMYFUNCTION("""COMPUTED_VALUE"""),"nan")</f>
        <v>nan</v>
      </c>
      <c r="AJ701" s="17">
        <f ca="1">IFERROR(__xludf.DUMMYFUNCTION("""COMPUTED_VALUE"""),1.25437008175843)</f>
        <v>1.25437008175843</v>
      </c>
    </row>
    <row r="702" spans="2:36" ht="15.75" customHeight="1" x14ac:dyDescent="0.45">
      <c r="B702" s="10" t="str">
        <f ca="1">IFERROR(__xludf.DUMMYFUNCTION("""COMPUTED_VALUE"""),"ScreenType")</f>
        <v>ScreenType</v>
      </c>
      <c r="C702" s="10" t="str">
        <f ca="1">IFERROR(__xludf.DUMMYFUNCTION("""COMPUTED_VALUE"""),"mcar")</f>
        <v>mcar</v>
      </c>
      <c r="D702" s="10">
        <f ca="1">IFERROR(__xludf.DUMMYFUNCTION("""COMPUTED_VALUE"""),0.1)</f>
        <v>0.1</v>
      </c>
      <c r="E702" s="17">
        <f ca="1">IFERROR(__xludf.DUMMYFUNCTION("""COMPUTED_VALUE"""),1.02245289466346)</f>
        <v>1.0224528946634599</v>
      </c>
      <c r="F702" s="17">
        <f ca="1">IFERROR(__xludf.DUMMYFUNCTION("""COMPUTED_VALUE"""),0.866720843369943)</f>
        <v>0.86672084336994304</v>
      </c>
      <c r="G702" s="17">
        <f ca="1">IFERROR(__xludf.DUMMYFUNCTION("""COMPUTED_VALUE"""),0.866684854362973)</f>
        <v>0.86668485436297305</v>
      </c>
      <c r="H702" s="17">
        <f ca="1">IFERROR(__xludf.DUMMYFUNCTION("""COMPUTED_VALUE"""),0.889278709422603)</f>
        <v>0.88927870942260301</v>
      </c>
      <c r="I702" s="17">
        <f ca="1">IFERROR(__xludf.DUMMYFUNCTION("""COMPUTED_VALUE"""),0.608243106056361)</f>
        <v>0.608243106056361</v>
      </c>
      <c r="J702" s="17">
        <f ca="1">IFERROR(__xludf.DUMMYFUNCTION("""COMPUTED_VALUE"""),0.932308428751423)</f>
        <v>0.93230842875142295</v>
      </c>
      <c r="K702" s="17" t="str">
        <f ca="1">IFERROR(__xludf.DUMMYFUNCTION("""COMPUTED_VALUE"""),"nan")</f>
        <v>nan</v>
      </c>
      <c r="L702" s="17">
        <f ca="1">IFERROR(__xludf.DUMMYFUNCTION("""COMPUTED_VALUE"""),0.797268315878654)</f>
        <v>0.79726831587865399</v>
      </c>
      <c r="M702" s="17">
        <f ca="1">IFERROR(__xludf.DUMMYFUNCTION("""COMPUTED_VALUE"""),0.881559080510509)</f>
        <v>0.88155908051050902</v>
      </c>
      <c r="N702" s="17">
        <f ca="1">IFERROR(__xludf.DUMMYFUNCTION("""COMPUTED_VALUE"""),0.649328098734221)</f>
        <v>0.64932809873422104</v>
      </c>
      <c r="O702" s="17">
        <f ca="1">IFERROR(__xludf.DUMMYFUNCTION("""COMPUTED_VALUE"""),0.822007900678526)</f>
        <v>0.82200790067852603</v>
      </c>
      <c r="P702" s="17">
        <f ca="1">IFERROR(__xludf.DUMMYFUNCTION("""COMPUTED_VALUE"""),0.740067898263501)</f>
        <v>0.74006789826350095</v>
      </c>
      <c r="Q702" s="17">
        <f ca="1">IFERROR(__xludf.DUMMYFUNCTION("""COMPUTED_VALUE"""),1.40619575699102)</f>
        <v>1.40619575699102</v>
      </c>
      <c r="R702" s="17">
        <f ca="1">IFERROR(__xludf.DUMMYFUNCTION("""COMPUTED_VALUE"""),0.643311584416189)</f>
        <v>0.64331158441618896</v>
      </c>
      <c r="S702" s="17">
        <f ca="1">IFERROR(__xludf.DUMMYFUNCTION("""COMPUTED_VALUE"""),0.902878297179241)</f>
        <v>0.90287829717924095</v>
      </c>
      <c r="T702" s="17">
        <f ca="1">IFERROR(__xludf.DUMMYFUNCTION("""COMPUTED_VALUE"""),0.755706369084811)</f>
        <v>0.75570636908481104</v>
      </c>
      <c r="U702" s="17">
        <f ca="1">IFERROR(__xludf.DUMMYFUNCTION("""COMPUTED_VALUE"""),0.696206116997511)</f>
        <v>0.696206116997511</v>
      </c>
      <c r="V702" s="17">
        <f ca="1">IFERROR(__xludf.DUMMYFUNCTION("""COMPUTED_VALUE"""),0.888353937934548)</f>
        <v>0.88835393793454798</v>
      </c>
      <c r="W702" s="17">
        <f ca="1">IFERROR(__xludf.DUMMYFUNCTION("""COMPUTED_VALUE"""),0.640134542607627)</f>
        <v>0.64013454260762703</v>
      </c>
      <c r="X702" s="17">
        <f ca="1">IFERROR(__xludf.DUMMYFUNCTION("""COMPUTED_VALUE"""),0.646138730351322)</f>
        <v>0.64613873035132197</v>
      </c>
      <c r="Y702" s="17">
        <f ca="1">IFERROR(__xludf.DUMMYFUNCTION("""COMPUTED_VALUE"""),0.671618667068584)</f>
        <v>0.67161866706858397</v>
      </c>
      <c r="Z702" s="17">
        <f ca="1">IFERROR(__xludf.DUMMYFUNCTION("""COMPUTED_VALUE"""),0.810529266505436)</f>
        <v>0.810529266505436</v>
      </c>
      <c r="AA702" s="17">
        <f ca="1">IFERROR(__xludf.DUMMYFUNCTION("""COMPUTED_VALUE"""),0.743104295503334)</f>
        <v>0.74310429550333401</v>
      </c>
      <c r="AB702" s="17">
        <f ca="1">IFERROR(__xludf.DUMMYFUNCTION("""COMPUTED_VALUE"""),0.901987126948816)</f>
        <v>0.901987126948816</v>
      </c>
      <c r="AC702" s="17">
        <f ca="1">IFERROR(__xludf.DUMMYFUNCTION("""COMPUTED_VALUE"""),0.784751821465325)</f>
        <v>0.78475182146532496</v>
      </c>
      <c r="AD702" s="17">
        <f ca="1">IFERROR(__xludf.DUMMYFUNCTION("""COMPUTED_VALUE"""),0.744127576477665)</f>
        <v>0.74412757647766503</v>
      </c>
      <c r="AE702" s="17">
        <f ca="1">IFERROR(__xludf.DUMMYFUNCTION("""COMPUTED_VALUE"""),1.04298648546121)</f>
        <v>1.0429864854612101</v>
      </c>
      <c r="AF702" s="17">
        <f ca="1">IFERROR(__xludf.DUMMYFUNCTION("""COMPUTED_VALUE"""),0.621539832746525)</f>
        <v>0.62153983274652502</v>
      </c>
      <c r="AG702" s="17">
        <f ca="1">IFERROR(__xludf.DUMMYFUNCTION("""COMPUTED_VALUE"""),0.71234900679602)</f>
        <v>0.71234900679601998</v>
      </c>
      <c r="AH702" s="17">
        <f ca="1">IFERROR(__xludf.DUMMYFUNCTION("""COMPUTED_VALUE"""),0.630008564444335)</f>
        <v>0.63000856444433495</v>
      </c>
      <c r="AI702" s="17" t="str">
        <f ca="1">IFERROR(__xludf.DUMMYFUNCTION("""COMPUTED_VALUE"""),"nan")</f>
        <v>nan</v>
      </c>
      <c r="AJ702" s="17">
        <f ca="1">IFERROR(__xludf.DUMMYFUNCTION("""COMPUTED_VALUE"""),0.683856277303804)</f>
        <v>0.68385627730380405</v>
      </c>
    </row>
    <row r="703" spans="2:36" ht="15.75" customHeight="1" x14ac:dyDescent="0.45">
      <c r="B703" s="10" t="str">
        <f ca="1">IFERROR(__xludf.DUMMYFUNCTION("""COMPUTED_VALUE"""),"ScreenType")</f>
        <v>ScreenType</v>
      </c>
      <c r="C703" s="10" t="str">
        <f ca="1">IFERROR(__xludf.DUMMYFUNCTION("""COMPUTED_VALUE"""),"mcar")</f>
        <v>mcar</v>
      </c>
      <c r="D703" s="10">
        <f ca="1">IFERROR(__xludf.DUMMYFUNCTION("""COMPUTED_VALUE"""),0.2)</f>
        <v>0.2</v>
      </c>
      <c r="E703" s="17">
        <f ca="1">IFERROR(__xludf.DUMMYFUNCTION("""COMPUTED_VALUE"""),0.996506850319722)</f>
        <v>0.99650685031972197</v>
      </c>
      <c r="F703" s="17">
        <f ca="1">IFERROR(__xludf.DUMMYFUNCTION("""COMPUTED_VALUE"""),0.849351700051969)</f>
        <v>0.84935170005196903</v>
      </c>
      <c r="G703" s="17">
        <f ca="1">IFERROR(__xludf.DUMMYFUNCTION("""COMPUTED_VALUE"""),0.849908824012335)</f>
        <v>0.84990882401233503</v>
      </c>
      <c r="H703" s="17">
        <f ca="1">IFERROR(__xludf.DUMMYFUNCTION("""COMPUTED_VALUE"""),0.860711355175436)</f>
        <v>0.86071135517543595</v>
      </c>
      <c r="I703" s="17">
        <f ca="1">IFERROR(__xludf.DUMMYFUNCTION("""COMPUTED_VALUE"""),0.616050484140505)</f>
        <v>0.61605048414050501</v>
      </c>
      <c r="J703" s="17">
        <f ca="1">IFERROR(__xludf.DUMMYFUNCTION("""COMPUTED_VALUE"""),0.907015534721616)</f>
        <v>0.907015534721616</v>
      </c>
      <c r="K703" s="17" t="str">
        <f ca="1">IFERROR(__xludf.DUMMYFUNCTION("""COMPUTED_VALUE"""),"nan")</f>
        <v>nan</v>
      </c>
      <c r="L703" s="17">
        <f ca="1">IFERROR(__xludf.DUMMYFUNCTION("""COMPUTED_VALUE"""),0.793133841874166)</f>
        <v>0.79313384187416602</v>
      </c>
      <c r="M703" s="17">
        <f ca="1">IFERROR(__xludf.DUMMYFUNCTION("""COMPUTED_VALUE"""),0.863345315072556)</f>
        <v>0.86334531507255596</v>
      </c>
      <c r="N703" s="17">
        <f ca="1">IFERROR(__xludf.DUMMYFUNCTION("""COMPUTED_VALUE"""),0.640639414877727)</f>
        <v>0.64063941487772702</v>
      </c>
      <c r="O703" s="17">
        <f ca="1">IFERROR(__xludf.DUMMYFUNCTION("""COMPUTED_VALUE"""),0.813728460876825)</f>
        <v>0.81372846087682504</v>
      </c>
      <c r="P703" s="17">
        <f ca="1">IFERROR(__xludf.DUMMYFUNCTION("""COMPUTED_VALUE"""),0.738303026782514)</f>
        <v>0.73830302678251403</v>
      </c>
      <c r="Q703" s="17">
        <f ca="1">IFERROR(__xludf.DUMMYFUNCTION("""COMPUTED_VALUE"""),1.30412314248864)</f>
        <v>1.3041231424886399</v>
      </c>
      <c r="R703" s="17">
        <f ca="1">IFERROR(__xludf.DUMMYFUNCTION("""COMPUTED_VALUE"""),0.638592794057707)</f>
        <v>0.63859279405770697</v>
      </c>
      <c r="S703" s="17">
        <f ca="1">IFERROR(__xludf.DUMMYFUNCTION("""COMPUTED_VALUE"""),1.14977745117306)</f>
        <v>1.1497774511730601</v>
      </c>
      <c r="T703" s="17">
        <f ca="1">IFERROR(__xludf.DUMMYFUNCTION("""COMPUTED_VALUE"""),0.733461458895591)</f>
        <v>0.733461458895591</v>
      </c>
      <c r="U703" s="17">
        <f ca="1">IFERROR(__xludf.DUMMYFUNCTION("""COMPUTED_VALUE"""),0.699378378601884)</f>
        <v>0.69937837860188401</v>
      </c>
      <c r="V703" s="17">
        <f ca="1">IFERROR(__xludf.DUMMYFUNCTION("""COMPUTED_VALUE"""),0.872426179277661)</f>
        <v>0.87242617927766097</v>
      </c>
      <c r="W703" s="17">
        <f ca="1">IFERROR(__xludf.DUMMYFUNCTION("""COMPUTED_VALUE"""),0.647238717536346)</f>
        <v>0.64723871753634599</v>
      </c>
      <c r="X703" s="17">
        <f ca="1">IFERROR(__xludf.DUMMYFUNCTION("""COMPUTED_VALUE"""),0.645111814898259)</f>
        <v>0.64511181489825897</v>
      </c>
      <c r="Y703" s="17">
        <f ca="1">IFERROR(__xludf.DUMMYFUNCTION("""COMPUTED_VALUE"""),0.671862994689839)</f>
        <v>0.67186299468983901</v>
      </c>
      <c r="Z703" s="17">
        <f ca="1">IFERROR(__xludf.DUMMYFUNCTION("""COMPUTED_VALUE"""),0.786904679322906)</f>
        <v>0.78690467932290598</v>
      </c>
      <c r="AA703" s="17">
        <f ca="1">IFERROR(__xludf.DUMMYFUNCTION("""COMPUTED_VALUE"""),0.93058176459034)</f>
        <v>0.93058176459034003</v>
      </c>
      <c r="AB703" s="17">
        <f ca="1">IFERROR(__xludf.DUMMYFUNCTION("""COMPUTED_VALUE"""),0.871266536230891)</f>
        <v>0.87126653623089101</v>
      </c>
      <c r="AC703" s="17">
        <f ca="1">IFERROR(__xludf.DUMMYFUNCTION("""COMPUTED_VALUE"""),0.839327881473379)</f>
        <v>0.839327881473379</v>
      </c>
      <c r="AD703" s="17">
        <f ca="1">IFERROR(__xludf.DUMMYFUNCTION("""COMPUTED_VALUE"""),0.746317454850628)</f>
        <v>0.74631745485062795</v>
      </c>
      <c r="AE703" s="17">
        <f ca="1">IFERROR(__xludf.DUMMYFUNCTION("""COMPUTED_VALUE"""),0.962415662254939)</f>
        <v>0.96241566225493902</v>
      </c>
      <c r="AF703" s="17">
        <f ca="1">IFERROR(__xludf.DUMMYFUNCTION("""COMPUTED_VALUE"""),0.595787390146187)</f>
        <v>0.59578739014618698</v>
      </c>
      <c r="AG703" s="17">
        <f ca="1">IFERROR(__xludf.DUMMYFUNCTION("""COMPUTED_VALUE"""),0.871746804203935)</f>
        <v>0.87174680420393502</v>
      </c>
      <c r="AH703" s="17">
        <f ca="1">IFERROR(__xludf.DUMMYFUNCTION("""COMPUTED_VALUE"""),0.655606111899106)</f>
        <v>0.655606111899106</v>
      </c>
      <c r="AI703" s="17" t="str">
        <f ca="1">IFERROR(__xludf.DUMMYFUNCTION("""COMPUTED_VALUE"""),"nan")</f>
        <v>nan</v>
      </c>
      <c r="AJ703" s="17">
        <f ca="1">IFERROR(__xludf.DUMMYFUNCTION("""COMPUTED_VALUE"""),0.771241030689617)</f>
        <v>0.77124103068961702</v>
      </c>
    </row>
    <row r="704" spans="2:36" ht="15.75" customHeight="1" x14ac:dyDescent="0.45">
      <c r="B704" s="10" t="str">
        <f ca="1">IFERROR(__xludf.DUMMYFUNCTION("""COMPUTED_VALUE"""),"ScreenType")</f>
        <v>ScreenType</v>
      </c>
      <c r="C704" s="10" t="str">
        <f ca="1">IFERROR(__xludf.DUMMYFUNCTION("""COMPUTED_VALUE"""),"mcar")</f>
        <v>mcar</v>
      </c>
      <c r="D704" s="10">
        <f ca="1">IFERROR(__xludf.DUMMYFUNCTION("""COMPUTED_VALUE"""),0.4)</f>
        <v>0.4</v>
      </c>
      <c r="E704" s="17">
        <f ca="1">IFERROR(__xludf.DUMMYFUNCTION("""COMPUTED_VALUE"""),0.996711350392709)</f>
        <v>0.99671135039270897</v>
      </c>
      <c r="F704" s="17">
        <f ca="1">IFERROR(__xludf.DUMMYFUNCTION("""COMPUTED_VALUE"""),0.868925834470098)</f>
        <v>0.86892583447009797</v>
      </c>
      <c r="G704" s="17">
        <f ca="1">IFERROR(__xludf.DUMMYFUNCTION("""COMPUTED_VALUE"""),0.8715669388181)</f>
        <v>0.87156693881809999</v>
      </c>
      <c r="H704" s="17">
        <f ca="1">IFERROR(__xludf.DUMMYFUNCTION("""COMPUTED_VALUE"""),0.880793177381826)</f>
        <v>0.88079317738182605</v>
      </c>
      <c r="I704" s="17">
        <f ca="1">IFERROR(__xludf.DUMMYFUNCTION("""COMPUTED_VALUE"""),0.691685687768656)</f>
        <v>0.69168568776865602</v>
      </c>
      <c r="J704" s="17">
        <f ca="1">IFERROR(__xludf.DUMMYFUNCTION("""COMPUTED_VALUE"""),0.924591063703423)</f>
        <v>0.92459106370342303</v>
      </c>
      <c r="K704" s="17" t="str">
        <f ca="1">IFERROR(__xludf.DUMMYFUNCTION("""COMPUTED_VALUE"""),"nan")</f>
        <v>nan</v>
      </c>
      <c r="L704" s="17">
        <f ca="1">IFERROR(__xludf.DUMMYFUNCTION("""COMPUTED_VALUE"""),0.85078825089506)</f>
        <v>0.85078825089506005</v>
      </c>
      <c r="M704" s="17">
        <f ca="1">IFERROR(__xludf.DUMMYFUNCTION("""COMPUTED_VALUE"""),0.882925901471735)</f>
        <v>0.882925901471735</v>
      </c>
      <c r="N704" s="17">
        <f ca="1">IFERROR(__xludf.DUMMYFUNCTION("""COMPUTED_VALUE"""),0.757008921487249)</f>
        <v>0.75700892148724896</v>
      </c>
      <c r="O704" s="17">
        <f ca="1">IFERROR(__xludf.DUMMYFUNCTION("""COMPUTED_VALUE"""),0.857223684842411)</f>
        <v>0.85722368484241096</v>
      </c>
      <c r="P704" s="17">
        <f ca="1">IFERROR(__xludf.DUMMYFUNCTION("""COMPUTED_VALUE"""),0.788849162079001)</f>
        <v>0.78884916207900102</v>
      </c>
      <c r="Q704" s="17">
        <f ca="1">IFERROR(__xludf.DUMMYFUNCTION("""COMPUTED_VALUE"""),1.30253355692127)</f>
        <v>1.3025335569212699</v>
      </c>
      <c r="R704" s="17">
        <f ca="1">IFERROR(__xludf.DUMMYFUNCTION("""COMPUTED_VALUE"""),0.747507830038109)</f>
        <v>0.74750783003810894</v>
      </c>
      <c r="S704" s="17">
        <f ca="1">IFERROR(__xludf.DUMMYFUNCTION("""COMPUTED_VALUE"""),1.20166508969769)</f>
        <v>1.2016650896976899</v>
      </c>
      <c r="T704" s="17">
        <f ca="1">IFERROR(__xludf.DUMMYFUNCTION("""COMPUTED_VALUE"""),0.768897130384079)</f>
        <v>0.76889713038407903</v>
      </c>
      <c r="U704" s="17">
        <f ca="1">IFERROR(__xludf.DUMMYFUNCTION("""COMPUTED_VALUE"""),0.762814514463696)</f>
        <v>0.76281451446369597</v>
      </c>
      <c r="V704" s="17">
        <f ca="1">IFERROR(__xludf.DUMMYFUNCTION("""COMPUTED_VALUE"""),0.88891763306232)</f>
        <v>0.88891763306231997</v>
      </c>
      <c r="W704" s="17">
        <f ca="1">IFERROR(__xludf.DUMMYFUNCTION("""COMPUTED_VALUE"""),0.763861348184806)</f>
        <v>0.763861348184806</v>
      </c>
      <c r="X704" s="17">
        <f ca="1">IFERROR(__xludf.DUMMYFUNCTION("""COMPUTED_VALUE"""),0.725181207757537)</f>
        <v>0.72518120775753703</v>
      </c>
      <c r="Y704" s="17">
        <f ca="1">IFERROR(__xludf.DUMMYFUNCTION("""COMPUTED_VALUE"""),0.818068767500449)</f>
        <v>0.81806876750044899</v>
      </c>
      <c r="Z704" s="17">
        <f ca="1">IFERROR(__xludf.DUMMYFUNCTION("""COMPUTED_VALUE"""),0.8223458452445)</f>
        <v>0.82234584524450005</v>
      </c>
      <c r="AA704" s="17">
        <f ca="1">IFERROR(__xludf.DUMMYFUNCTION("""COMPUTED_VALUE"""),1.12445430506023)</f>
        <v>1.12445430506023</v>
      </c>
      <c r="AB704" s="17">
        <f ca="1">IFERROR(__xludf.DUMMYFUNCTION("""COMPUTED_VALUE"""),0.912060493838514)</f>
        <v>0.91206049383851395</v>
      </c>
      <c r="AC704" s="17">
        <f ca="1">IFERROR(__xludf.DUMMYFUNCTION("""COMPUTED_VALUE"""),0.98385778647937)</f>
        <v>0.98385778647936994</v>
      </c>
      <c r="AD704" s="17">
        <f ca="1">IFERROR(__xludf.DUMMYFUNCTION("""COMPUTED_VALUE"""),0.836034247257144)</f>
        <v>0.83603424725714404</v>
      </c>
      <c r="AE704" s="17">
        <f ca="1">IFERROR(__xludf.DUMMYFUNCTION("""COMPUTED_VALUE"""),1.03621260918763)</f>
        <v>1.03621260918763</v>
      </c>
      <c r="AF704" s="17">
        <f ca="1">IFERROR(__xludf.DUMMYFUNCTION("""COMPUTED_VALUE"""),0.758101354276568)</f>
        <v>0.758101354276568</v>
      </c>
      <c r="AG704" s="17">
        <f ca="1">IFERROR(__xludf.DUMMYFUNCTION("""COMPUTED_VALUE"""),0.984629182353524)</f>
        <v>0.98462918235352404</v>
      </c>
      <c r="AH704" s="17">
        <f ca="1">IFERROR(__xludf.DUMMYFUNCTION("""COMPUTED_VALUE"""),0.786894852130286)</f>
        <v>0.78689485213028598</v>
      </c>
      <c r="AI704" s="17" t="str">
        <f ca="1">IFERROR(__xludf.DUMMYFUNCTION("""COMPUTED_VALUE"""),"nan")</f>
        <v>nan</v>
      </c>
      <c r="AJ704" s="17">
        <f ca="1">IFERROR(__xludf.DUMMYFUNCTION("""COMPUTED_VALUE"""),0.959604824894605)</f>
        <v>0.95960482489460497</v>
      </c>
    </row>
    <row r="705" spans="2:36" ht="15.75" customHeight="1" x14ac:dyDescent="0.45">
      <c r="B705" s="10" t="str">
        <f ca="1">IFERROR(__xludf.DUMMYFUNCTION("""COMPUTED_VALUE"""),"ScreenType")</f>
        <v>ScreenType</v>
      </c>
      <c r="C705" s="10" t="str">
        <f ca="1">IFERROR(__xludf.DUMMYFUNCTION("""COMPUTED_VALUE"""),"mcar")</f>
        <v>mcar</v>
      </c>
      <c r="D705" s="10">
        <f ca="1">IFERROR(__xludf.DUMMYFUNCTION("""COMPUTED_VALUE"""),0.6)</f>
        <v>0.6</v>
      </c>
      <c r="E705" s="17">
        <f ca="1">IFERROR(__xludf.DUMMYFUNCTION("""COMPUTED_VALUE"""),1.00592311561894)</f>
        <v>1.0059231156189401</v>
      </c>
      <c r="F705" s="17">
        <f ca="1">IFERROR(__xludf.DUMMYFUNCTION("""COMPUTED_VALUE"""),0.897285873853974)</f>
        <v>0.89728587385397396</v>
      </c>
      <c r="G705" s="17">
        <f ca="1">IFERROR(__xludf.DUMMYFUNCTION("""COMPUTED_VALUE"""),0.904242453655571)</f>
        <v>0.90424245365557099</v>
      </c>
      <c r="H705" s="17">
        <f ca="1">IFERROR(__xludf.DUMMYFUNCTION("""COMPUTED_VALUE"""),0.91381568866108)</f>
        <v>0.91381568866107998</v>
      </c>
      <c r="I705" s="17">
        <f ca="1">IFERROR(__xludf.DUMMYFUNCTION("""COMPUTED_VALUE"""),0.774643616647559)</f>
        <v>0.77464361664755899</v>
      </c>
      <c r="J705" s="17">
        <f ca="1">IFERROR(__xludf.DUMMYFUNCTION("""COMPUTED_VALUE"""),0.949798392710446)</f>
        <v>0.94979839271044597</v>
      </c>
      <c r="K705" s="17" t="str">
        <f ca="1">IFERROR(__xludf.DUMMYFUNCTION("""COMPUTED_VALUE"""),"nan")</f>
        <v>nan</v>
      </c>
      <c r="L705" s="17">
        <f ca="1">IFERROR(__xludf.DUMMYFUNCTION("""COMPUTED_VALUE"""),0.898020109700371)</f>
        <v>0.89802010970037105</v>
      </c>
      <c r="M705" s="17">
        <f ca="1">IFERROR(__xludf.DUMMYFUNCTION("""COMPUTED_VALUE"""),0.918912194418541)</f>
        <v>0.918912194418541</v>
      </c>
      <c r="N705" s="17">
        <f ca="1">IFERROR(__xludf.DUMMYFUNCTION("""COMPUTED_VALUE"""),0.868536204014722)</f>
        <v>0.86853620401472198</v>
      </c>
      <c r="O705" s="17">
        <f ca="1">IFERROR(__xludf.DUMMYFUNCTION("""COMPUTED_VALUE"""),0.904761965729279)</f>
        <v>0.90476196572927903</v>
      </c>
      <c r="P705" s="17">
        <f ca="1">IFERROR(__xludf.DUMMYFUNCTION("""COMPUTED_VALUE"""),0.875787403866293)</f>
        <v>0.87578740386629295</v>
      </c>
      <c r="Q705" s="17">
        <f ca="1">IFERROR(__xludf.DUMMYFUNCTION("""COMPUTED_VALUE"""),1.29081408305398)</f>
        <v>1.29081408305398</v>
      </c>
      <c r="R705" s="17">
        <f ca="1">IFERROR(__xludf.DUMMYFUNCTION("""COMPUTED_VALUE"""),0.86927969927545)</f>
        <v>0.86927969927545001</v>
      </c>
      <c r="S705" s="17">
        <f ca="1">IFERROR(__xludf.DUMMYFUNCTION("""COMPUTED_VALUE"""),1.20309119982082)</f>
        <v>1.20309119982082</v>
      </c>
      <c r="T705" s="17">
        <f ca="1">IFERROR(__xludf.DUMMYFUNCTION("""COMPUTED_VALUE"""),0.832703213920351)</f>
        <v>0.83270321392035096</v>
      </c>
      <c r="U705" s="17">
        <f ca="1">IFERROR(__xludf.DUMMYFUNCTION("""COMPUTED_VALUE"""),0.801700928387575)</f>
        <v>0.80170092838757501</v>
      </c>
      <c r="V705" s="17">
        <f ca="1">IFERROR(__xludf.DUMMYFUNCTION("""COMPUTED_VALUE"""),0.920318744127325)</f>
        <v>0.92031874412732495</v>
      </c>
      <c r="W705" s="17">
        <f ca="1">IFERROR(__xludf.DUMMYFUNCTION("""COMPUTED_VALUE"""),0.883449011805241)</f>
        <v>0.88344901180524105</v>
      </c>
      <c r="X705" s="17">
        <f ca="1">IFERROR(__xludf.DUMMYFUNCTION("""COMPUTED_VALUE"""),1.0883386358014)</f>
        <v>1.0883386358014</v>
      </c>
      <c r="Y705" s="17">
        <f ca="1">IFERROR(__xludf.DUMMYFUNCTION("""COMPUTED_VALUE"""),0.970321984733514)</f>
        <v>0.97032198473351405</v>
      </c>
      <c r="Z705" s="17">
        <f ca="1">IFERROR(__xludf.DUMMYFUNCTION("""COMPUTED_VALUE"""),0.86089793926614)</f>
        <v>0.86089793926614</v>
      </c>
      <c r="AA705" s="17">
        <f ca="1">IFERROR(__xludf.DUMMYFUNCTION("""COMPUTED_VALUE"""),1.23151742393367)</f>
        <v>1.2315174239336699</v>
      </c>
      <c r="AB705" s="17">
        <f ca="1">IFERROR(__xludf.DUMMYFUNCTION("""COMPUTED_VALUE"""),1.06607054858059)</f>
        <v>1.0660705485805899</v>
      </c>
      <c r="AC705" s="17">
        <f ca="1">IFERROR(__xludf.DUMMYFUNCTION("""COMPUTED_VALUE"""),1.0305588351495)</f>
        <v>1.0305588351495001</v>
      </c>
      <c r="AD705" s="17">
        <f ca="1">IFERROR(__xludf.DUMMYFUNCTION("""COMPUTED_VALUE"""),0.931113236175464)</f>
        <v>0.93111323617546404</v>
      </c>
      <c r="AE705" s="17" t="str">
        <f ca="1">IFERROR(__xludf.DUMMYFUNCTION("""COMPUTED_VALUE"""),"nan")</f>
        <v>nan</v>
      </c>
      <c r="AF705" s="17">
        <f ca="1">IFERROR(__xludf.DUMMYFUNCTION("""COMPUTED_VALUE"""),1.00734118138951)</f>
        <v>1.0073411813895099</v>
      </c>
      <c r="AG705" s="17">
        <f ca="1">IFERROR(__xludf.DUMMYFUNCTION("""COMPUTED_VALUE"""),1.07389978788998)</f>
        <v>1.0738997878899801</v>
      </c>
      <c r="AH705" s="17">
        <f ca="1">IFERROR(__xludf.DUMMYFUNCTION("""COMPUTED_VALUE"""),0.872817035444793)</f>
        <v>0.87281703544479305</v>
      </c>
      <c r="AI705" s="17" t="str">
        <f ca="1">IFERROR(__xludf.DUMMYFUNCTION("""COMPUTED_VALUE"""),"nan")</f>
        <v>nan</v>
      </c>
      <c r="AJ705" s="17">
        <f ca="1">IFERROR(__xludf.DUMMYFUNCTION("""COMPUTED_VALUE"""),1.06777160259122)</f>
        <v>1.0677716025912201</v>
      </c>
    </row>
    <row r="706" spans="2:36" ht="15.75" customHeight="1" x14ac:dyDescent="0.45">
      <c r="B706" s="10" t="str">
        <f ca="1">IFERROR(__xludf.DUMMYFUNCTION("""COMPUTED_VALUE"""),"ScreenType")</f>
        <v>ScreenType</v>
      </c>
      <c r="C706" s="10" t="str">
        <f ca="1">IFERROR(__xludf.DUMMYFUNCTION("""COMPUTED_VALUE"""),"mcar")</f>
        <v>mcar</v>
      </c>
      <c r="D706" s="10">
        <f ca="1">IFERROR(__xludf.DUMMYFUNCTION("""COMPUTED_VALUE"""),0.8)</f>
        <v>0.8</v>
      </c>
      <c r="E706" s="17">
        <f ca="1">IFERROR(__xludf.DUMMYFUNCTION("""COMPUTED_VALUE"""),1.01367129766089)</f>
        <v>1.0136712976608899</v>
      </c>
      <c r="F706" s="17">
        <f ca="1">IFERROR(__xludf.DUMMYFUNCTION("""COMPUTED_VALUE"""),0.935399059119768)</f>
        <v>0.93539905911976795</v>
      </c>
      <c r="G706" s="17">
        <f ca="1">IFERROR(__xludf.DUMMYFUNCTION("""COMPUTED_VALUE"""),0.984763677324108)</f>
        <v>0.98476367732410797</v>
      </c>
      <c r="H706" s="17">
        <f ca="1">IFERROR(__xludf.DUMMYFUNCTION("""COMPUTED_VALUE"""),0.965124184095367)</f>
        <v>0.96512418409536704</v>
      </c>
      <c r="I706" s="17">
        <f ca="1">IFERROR(__xludf.DUMMYFUNCTION("""COMPUTED_VALUE"""),0.861898945879013)</f>
        <v>0.86189894587901295</v>
      </c>
      <c r="J706" s="17">
        <f ca="1">IFERROR(__xludf.DUMMYFUNCTION("""COMPUTED_VALUE"""),1.08068661182118)</f>
        <v>1.08068661182118</v>
      </c>
      <c r="K706" s="17" t="str">
        <f ca="1">IFERROR(__xludf.DUMMYFUNCTION("""COMPUTED_VALUE"""),"nan")</f>
        <v>nan</v>
      </c>
      <c r="L706" s="17">
        <f ca="1">IFERROR(__xludf.DUMMYFUNCTION("""COMPUTED_VALUE"""),1.0628647752804)</f>
        <v>1.0628647752803999</v>
      </c>
      <c r="M706" s="17">
        <f ca="1">IFERROR(__xludf.DUMMYFUNCTION("""COMPUTED_VALUE"""),0.970140959260461)</f>
        <v>0.97014095926046096</v>
      </c>
      <c r="N706" s="17">
        <f ca="1">IFERROR(__xludf.DUMMYFUNCTION("""COMPUTED_VALUE"""),0.967044770372015)</f>
        <v>0.96704477037201497</v>
      </c>
      <c r="O706" s="17">
        <f ca="1">IFERROR(__xludf.DUMMYFUNCTION("""COMPUTED_VALUE"""),1.01141352998469)</f>
        <v>1.01141352998469</v>
      </c>
      <c r="P706" s="17">
        <f ca="1">IFERROR(__xludf.DUMMYFUNCTION("""COMPUTED_VALUE"""),0.98490185536591)</f>
        <v>0.98490185536591002</v>
      </c>
      <c r="Q706" s="17">
        <f ca="1">IFERROR(__xludf.DUMMYFUNCTION("""COMPUTED_VALUE"""),1.29667593133368)</f>
        <v>1.29667593133368</v>
      </c>
      <c r="R706" s="17">
        <f ca="1">IFERROR(__xludf.DUMMYFUNCTION("""COMPUTED_VALUE"""),0.978681008157107)</f>
        <v>0.97868100815710701</v>
      </c>
      <c r="S706" s="17">
        <f ca="1">IFERROR(__xludf.DUMMYFUNCTION("""COMPUTED_VALUE"""),1.21585899460308)</f>
        <v>1.21585899460308</v>
      </c>
      <c r="T706" s="17">
        <f ca="1">IFERROR(__xludf.DUMMYFUNCTION("""COMPUTED_VALUE"""),0.924077771698691)</f>
        <v>0.92407777169869099</v>
      </c>
      <c r="U706" s="17">
        <f ca="1">IFERROR(__xludf.DUMMYFUNCTION("""COMPUTED_VALUE"""),0.890264077500227)</f>
        <v>0.89026407750022696</v>
      </c>
      <c r="V706" s="17">
        <f ca="1">IFERROR(__xludf.DUMMYFUNCTION("""COMPUTED_VALUE"""),1.02419192712325)</f>
        <v>1.02419192712325</v>
      </c>
      <c r="W706" s="17">
        <f ca="1">IFERROR(__xludf.DUMMYFUNCTION("""COMPUTED_VALUE"""),1.03032601770768)</f>
        <v>1.0303260177076801</v>
      </c>
      <c r="X706" s="17">
        <f ca="1">IFERROR(__xludf.DUMMYFUNCTION("""COMPUTED_VALUE"""),0.868140586101882)</f>
        <v>0.86814058610188205</v>
      </c>
      <c r="Y706" s="17">
        <f ca="1">IFERROR(__xludf.DUMMYFUNCTION("""COMPUTED_VALUE"""),1.11422123521412)</f>
        <v>1.1142212352141201</v>
      </c>
      <c r="Z706" s="17">
        <f ca="1">IFERROR(__xludf.DUMMYFUNCTION("""COMPUTED_VALUE"""),0.92674339764364)</f>
        <v>0.92674339764364</v>
      </c>
      <c r="AA706" s="17">
        <f ca="1">IFERROR(__xludf.DUMMYFUNCTION("""COMPUTED_VALUE"""),1.41238312873384)</f>
        <v>1.41238312873384</v>
      </c>
      <c r="AB706" s="17">
        <f ca="1">IFERROR(__xludf.DUMMYFUNCTION("""COMPUTED_VALUE"""),1.20411616775501)</f>
        <v>1.2041161677550101</v>
      </c>
      <c r="AC706" s="17">
        <f ca="1">IFERROR(__xludf.DUMMYFUNCTION("""COMPUTED_VALUE"""),1.12540162010128)</f>
        <v>1.12540162010128</v>
      </c>
      <c r="AD706" s="17">
        <f ca="1">IFERROR(__xludf.DUMMYFUNCTION("""COMPUTED_VALUE"""),1.01724188715919)</f>
        <v>1.01724188715919</v>
      </c>
      <c r="AE706" s="17" t="str">
        <f ca="1">IFERROR(__xludf.DUMMYFUNCTION("""COMPUTED_VALUE"""),"nan")</f>
        <v>nan</v>
      </c>
      <c r="AF706" s="17">
        <f ca="1">IFERROR(__xludf.DUMMYFUNCTION("""COMPUTED_VALUE"""),1.04555192415011)</f>
        <v>1.0455519241501099</v>
      </c>
      <c r="AG706" s="17">
        <f ca="1">IFERROR(__xludf.DUMMYFUNCTION("""COMPUTED_VALUE"""),1.11669651202856)</f>
        <v>1.1166965120285599</v>
      </c>
      <c r="AH706" s="17">
        <f ca="1">IFERROR(__xludf.DUMMYFUNCTION("""COMPUTED_VALUE"""),0.976941048984721)</f>
        <v>0.97694104898472101</v>
      </c>
      <c r="AI706" s="17" t="str">
        <f ca="1">IFERROR(__xludf.DUMMYFUNCTION("""COMPUTED_VALUE"""),"nan")</f>
        <v>nan</v>
      </c>
      <c r="AJ706" s="17">
        <f ca="1">IFERROR(__xludf.DUMMYFUNCTION("""COMPUTED_VALUE"""),1.08775099605467)</f>
        <v>1.0877509960546701</v>
      </c>
    </row>
    <row r="707" spans="2:36" ht="15.75" customHeight="1" x14ac:dyDescent="0.45">
      <c r="B707" s="10" t="str">
        <f ca="1">IFERROR(__xludf.DUMMYFUNCTION("""COMPUTED_VALUE"""),"SemgHandGenderCh2")</f>
        <v>SemgHandGenderCh2</v>
      </c>
      <c r="C707" s="10" t="str">
        <f ca="1">IFERROR(__xludf.DUMMYFUNCTION("""COMPUTED_VALUE"""),"aligned_series")</f>
        <v>aligned_series</v>
      </c>
      <c r="D707" s="10">
        <f ca="1">IFERROR(__xludf.DUMMYFUNCTION("""COMPUTED_VALUE"""),0.1)</f>
        <v>0.1</v>
      </c>
      <c r="E707" s="17">
        <f ca="1">IFERROR(__xludf.DUMMYFUNCTION("""COMPUTED_VALUE"""),0.842961029562009)</f>
        <v>0.84296102956200902</v>
      </c>
      <c r="F707" s="17">
        <f ca="1">IFERROR(__xludf.DUMMYFUNCTION("""COMPUTED_VALUE"""),0.616391458448962)</f>
        <v>0.61639145844896204</v>
      </c>
      <c r="G707" s="17">
        <f ca="1">IFERROR(__xludf.DUMMYFUNCTION("""COMPUTED_VALUE"""),0.616317273111541)</f>
        <v>0.61631727311154105</v>
      </c>
      <c r="H707" s="17">
        <f ca="1">IFERROR(__xludf.DUMMYFUNCTION("""COMPUTED_VALUE"""),0.624577295752658)</f>
        <v>0.62457729575265797</v>
      </c>
      <c r="I707" s="17">
        <f ca="1">IFERROR(__xludf.DUMMYFUNCTION("""COMPUTED_VALUE"""),0.623256402342366)</f>
        <v>0.62325640234236601</v>
      </c>
      <c r="J707" s="17">
        <f ca="1">IFERROR(__xludf.DUMMYFUNCTION("""COMPUTED_VALUE"""),0.661819941471293)</f>
        <v>0.66181994147129297</v>
      </c>
      <c r="K707" s="17" t="str">
        <f ca="1">IFERROR(__xludf.DUMMYFUNCTION("""COMPUTED_VALUE"""),"nan")</f>
        <v>nan</v>
      </c>
      <c r="L707" s="17">
        <f ca="1">IFERROR(__xludf.DUMMYFUNCTION("""COMPUTED_VALUE"""),0.580497713613821)</f>
        <v>0.58049771361382096</v>
      </c>
      <c r="M707" s="17">
        <f ca="1">IFERROR(__xludf.DUMMYFUNCTION("""COMPUTED_VALUE"""),0.582908723517776)</f>
        <v>0.58290872351777601</v>
      </c>
      <c r="N707" s="17">
        <f ca="1">IFERROR(__xludf.DUMMYFUNCTION("""COMPUTED_VALUE"""),0.658300069289927)</f>
        <v>0.65830006928992701</v>
      </c>
      <c r="O707" s="17">
        <f ca="1">IFERROR(__xludf.DUMMYFUNCTION("""COMPUTED_VALUE"""),0.602462504944223)</f>
        <v>0.60246250494422304</v>
      </c>
      <c r="P707" s="17">
        <f ca="1">IFERROR(__xludf.DUMMYFUNCTION("""COMPUTED_VALUE"""),0.84113355229981)</f>
        <v>0.84113355229981002</v>
      </c>
      <c r="Q707" s="17">
        <f ca="1">IFERROR(__xludf.DUMMYFUNCTION("""COMPUTED_VALUE"""),0.847308401046762)</f>
        <v>0.84730840104676197</v>
      </c>
      <c r="R707" s="17">
        <f ca="1">IFERROR(__xludf.DUMMYFUNCTION("""COMPUTED_VALUE"""),0.597260666849876)</f>
        <v>0.597260666849876</v>
      </c>
      <c r="S707" s="17">
        <f ca="1">IFERROR(__xludf.DUMMYFUNCTION("""COMPUTED_VALUE"""),0.73873448770138)</f>
        <v>0.73873448770137995</v>
      </c>
      <c r="T707" s="17">
        <f ca="1">IFERROR(__xludf.DUMMYFUNCTION("""COMPUTED_VALUE"""),0.588205912729853)</f>
        <v>0.58820591272985301</v>
      </c>
      <c r="U707" s="17">
        <f ca="1">IFERROR(__xludf.DUMMYFUNCTION("""COMPUTED_VALUE"""),0.593763717951693)</f>
        <v>0.59376371795169303</v>
      </c>
      <c r="V707" s="17">
        <f ca="1">IFERROR(__xludf.DUMMYFUNCTION("""COMPUTED_VALUE"""),0.59257112780283)</f>
        <v>0.59257112780283006</v>
      </c>
      <c r="W707" s="17">
        <f ca="1">IFERROR(__xludf.DUMMYFUNCTION("""COMPUTED_VALUE"""),0.643470388218833)</f>
        <v>0.64347038821883296</v>
      </c>
      <c r="X707" s="17">
        <f ca="1">IFERROR(__xludf.DUMMYFUNCTION("""COMPUTED_VALUE"""),0.62544325317683)</f>
        <v>0.62544325317683003</v>
      </c>
      <c r="Y707" s="17">
        <f ca="1">IFERROR(__xludf.DUMMYFUNCTION("""COMPUTED_VALUE"""),0.598789317517989)</f>
        <v>0.59878931751798903</v>
      </c>
      <c r="Z707" s="17">
        <f ca="1">IFERROR(__xludf.DUMMYFUNCTION("""COMPUTED_VALUE"""),0.600419419916043)</f>
        <v>0.60041941991604297</v>
      </c>
      <c r="AA707" s="17">
        <f ca="1">IFERROR(__xludf.DUMMYFUNCTION("""COMPUTED_VALUE"""),0.595874670754011)</f>
        <v>0.59587467075401102</v>
      </c>
      <c r="AB707" s="17">
        <f ca="1">IFERROR(__xludf.DUMMYFUNCTION("""COMPUTED_VALUE"""),0.65203170620081)</f>
        <v>0.65203170620080997</v>
      </c>
      <c r="AC707" s="17">
        <f ca="1">IFERROR(__xludf.DUMMYFUNCTION("""COMPUTED_VALUE"""),0.799271285847824)</f>
        <v>0.79927128584782403</v>
      </c>
      <c r="AD707" s="17">
        <f ca="1">IFERROR(__xludf.DUMMYFUNCTION("""COMPUTED_VALUE"""),0.628985731341209)</f>
        <v>0.62898573134120905</v>
      </c>
      <c r="AE707" s="17">
        <f ca="1">IFERROR(__xludf.DUMMYFUNCTION("""COMPUTED_VALUE"""),1.11318913146552)</f>
        <v>1.11318913146552</v>
      </c>
      <c r="AF707" s="17">
        <f ca="1">IFERROR(__xludf.DUMMYFUNCTION("""COMPUTED_VALUE"""),0.635951126565827)</f>
        <v>0.63595112656582697</v>
      </c>
      <c r="AG707" s="17">
        <f ca="1">IFERROR(__xludf.DUMMYFUNCTION("""COMPUTED_VALUE"""),0.683649467573876)</f>
        <v>0.68364946757387601</v>
      </c>
      <c r="AH707" s="17">
        <f ca="1">IFERROR(__xludf.DUMMYFUNCTION("""COMPUTED_VALUE"""),0.681063843705174)</f>
        <v>0.68106384370517403</v>
      </c>
      <c r="AI707" s="17" t="str">
        <f ca="1">IFERROR(__xludf.DUMMYFUNCTION("""COMPUTED_VALUE"""),"nan")</f>
        <v>nan</v>
      </c>
      <c r="AJ707" s="17">
        <f ca="1">IFERROR(__xludf.DUMMYFUNCTION("""COMPUTED_VALUE"""),0.597772952198848)</f>
        <v>0.59777295219884796</v>
      </c>
    </row>
    <row r="708" spans="2:36" ht="15.75" customHeight="1" x14ac:dyDescent="0.45">
      <c r="B708" s="10" t="str">
        <f ca="1">IFERROR(__xludf.DUMMYFUNCTION("""COMPUTED_VALUE"""),"SemgHandGenderCh2")</f>
        <v>SemgHandGenderCh2</v>
      </c>
      <c r="C708" s="10" t="str">
        <f ca="1">IFERROR(__xludf.DUMMYFUNCTION("""COMPUTED_VALUE"""),"aligned_series")</f>
        <v>aligned_series</v>
      </c>
      <c r="D708" s="10">
        <f ca="1">IFERROR(__xludf.DUMMYFUNCTION("""COMPUTED_VALUE"""),0.2)</f>
        <v>0.2</v>
      </c>
      <c r="E708" s="17">
        <f ca="1">IFERROR(__xludf.DUMMYFUNCTION("""COMPUTED_VALUE"""),0.837205915685291)</f>
        <v>0.83720591568529101</v>
      </c>
      <c r="F708" s="17">
        <f ca="1">IFERROR(__xludf.DUMMYFUNCTION("""COMPUTED_VALUE"""),0.59180259884933)</f>
        <v>0.59180259884932995</v>
      </c>
      <c r="G708" s="17">
        <f ca="1">IFERROR(__xludf.DUMMYFUNCTION("""COMPUTED_VALUE"""),0.591415437406001)</f>
        <v>0.591415437406001</v>
      </c>
      <c r="H708" s="17">
        <f ca="1">IFERROR(__xludf.DUMMYFUNCTION("""COMPUTED_VALUE"""),0.600274134246637)</f>
        <v>0.600274134246637</v>
      </c>
      <c r="I708" s="17">
        <f ca="1">IFERROR(__xludf.DUMMYFUNCTION("""COMPUTED_VALUE"""),0.595641169334681)</f>
        <v>0.59564116933468103</v>
      </c>
      <c r="J708" s="17">
        <f ca="1">IFERROR(__xludf.DUMMYFUNCTION("""COMPUTED_VALUE"""),0.955467406444664)</f>
        <v>0.95546740644466399</v>
      </c>
      <c r="K708" s="17" t="str">
        <f ca="1">IFERROR(__xludf.DUMMYFUNCTION("""COMPUTED_VALUE"""),"nan")</f>
        <v>nan</v>
      </c>
      <c r="L708" s="17">
        <f ca="1">IFERROR(__xludf.DUMMYFUNCTION("""COMPUTED_VALUE"""),0.552730099791092)</f>
        <v>0.552730099791092</v>
      </c>
      <c r="M708" s="17">
        <f ca="1">IFERROR(__xludf.DUMMYFUNCTION("""COMPUTED_VALUE"""),0.555850649615416)</f>
        <v>0.55585064961541597</v>
      </c>
      <c r="N708" s="17">
        <f ca="1">IFERROR(__xludf.DUMMYFUNCTION("""COMPUTED_VALUE"""),0.624040835763165)</f>
        <v>0.62404083576316505</v>
      </c>
      <c r="O708" s="17">
        <f ca="1">IFERROR(__xludf.DUMMYFUNCTION("""COMPUTED_VALUE"""),0.567586973076434)</f>
        <v>0.56758697307643402</v>
      </c>
      <c r="P708" s="17">
        <f ca="1">IFERROR(__xludf.DUMMYFUNCTION("""COMPUTED_VALUE"""),1.09185969992297)</f>
        <v>1.0918596999229699</v>
      </c>
      <c r="Q708" s="17">
        <f ca="1">IFERROR(__xludf.DUMMYFUNCTION("""COMPUTED_VALUE"""),0.812716557826379)</f>
        <v>0.81271655782637897</v>
      </c>
      <c r="R708" s="17">
        <f ca="1">IFERROR(__xludf.DUMMYFUNCTION("""COMPUTED_VALUE"""),0.579298979594759)</f>
        <v>0.57929897959475896</v>
      </c>
      <c r="S708" s="17">
        <f ca="1">IFERROR(__xludf.DUMMYFUNCTION("""COMPUTED_VALUE"""),0.702609584435195)</f>
        <v>0.70260958443519494</v>
      </c>
      <c r="T708" s="17">
        <f ca="1">IFERROR(__xludf.DUMMYFUNCTION("""COMPUTED_VALUE"""),0.555445553908604)</f>
        <v>0.55544555390860395</v>
      </c>
      <c r="U708" s="17">
        <f ca="1">IFERROR(__xludf.DUMMYFUNCTION("""COMPUTED_VALUE"""),0.563665595487462)</f>
        <v>0.56366559548746198</v>
      </c>
      <c r="V708" s="17">
        <f ca="1">IFERROR(__xludf.DUMMYFUNCTION("""COMPUTED_VALUE"""),0.572913359691114)</f>
        <v>0.57291335969111401</v>
      </c>
      <c r="W708" s="17">
        <f ca="1">IFERROR(__xludf.DUMMYFUNCTION("""COMPUTED_VALUE"""),0.578772350993279)</f>
        <v>0.57877235099327895</v>
      </c>
      <c r="X708" s="17">
        <f ca="1">IFERROR(__xludf.DUMMYFUNCTION("""COMPUTED_VALUE"""),0.656056126653177)</f>
        <v>0.65605612665317703</v>
      </c>
      <c r="Y708" s="17">
        <f ca="1">IFERROR(__xludf.DUMMYFUNCTION("""COMPUTED_VALUE"""),0.569888195883572)</f>
        <v>0.56988819588357198</v>
      </c>
      <c r="Z708" s="17">
        <f ca="1">IFERROR(__xludf.DUMMYFUNCTION("""COMPUTED_VALUE"""),0.569406715813629)</f>
        <v>0.56940671581362901</v>
      </c>
      <c r="AA708" s="17">
        <f ca="1">IFERROR(__xludf.DUMMYFUNCTION("""COMPUTED_VALUE"""),0.564386164058658)</f>
        <v>0.56438616405865805</v>
      </c>
      <c r="AB708" s="17">
        <f ca="1">IFERROR(__xludf.DUMMYFUNCTION("""COMPUTED_VALUE"""),0.983082052593883)</f>
        <v>0.98308205259388304</v>
      </c>
      <c r="AC708" s="17">
        <f ca="1">IFERROR(__xludf.DUMMYFUNCTION("""COMPUTED_VALUE"""),0.778543466718014)</f>
        <v>0.778543466718014</v>
      </c>
      <c r="AD708" s="17">
        <f ca="1">IFERROR(__xludf.DUMMYFUNCTION("""COMPUTED_VALUE"""),0.608651162804488)</f>
        <v>0.60865116280448806</v>
      </c>
      <c r="AE708" s="17">
        <f ca="1">IFERROR(__xludf.DUMMYFUNCTION("""COMPUTED_VALUE"""),1.17462038630038)</f>
        <v>1.1746203863003799</v>
      </c>
      <c r="AF708" s="17">
        <f ca="1">IFERROR(__xludf.DUMMYFUNCTION("""COMPUTED_VALUE"""),0.586216005218842)</f>
        <v>0.58621600521884198</v>
      </c>
      <c r="AG708" s="17">
        <f ca="1">IFERROR(__xludf.DUMMYFUNCTION("""COMPUTED_VALUE"""),0.656921588457477)</f>
        <v>0.65692158845747695</v>
      </c>
      <c r="AH708" s="17">
        <f ca="1">IFERROR(__xludf.DUMMYFUNCTION("""COMPUTED_VALUE"""),0.640585737736791)</f>
        <v>0.64058573773679095</v>
      </c>
      <c r="AI708" s="17" t="str">
        <f ca="1">IFERROR(__xludf.DUMMYFUNCTION("""COMPUTED_VALUE"""),"nan")</f>
        <v>nan</v>
      </c>
      <c r="AJ708" s="17">
        <f ca="1">IFERROR(__xludf.DUMMYFUNCTION("""COMPUTED_VALUE"""),0.580688107132729)</f>
        <v>0.580688107132729</v>
      </c>
    </row>
    <row r="709" spans="2:36" ht="15.75" customHeight="1" x14ac:dyDescent="0.45">
      <c r="B709" s="10" t="str">
        <f ca="1">IFERROR(__xludf.DUMMYFUNCTION("""COMPUTED_VALUE"""),"SemgHandGenderCh2")</f>
        <v>SemgHandGenderCh2</v>
      </c>
      <c r="C709" s="10" t="str">
        <f ca="1">IFERROR(__xludf.DUMMYFUNCTION("""COMPUTED_VALUE"""),"aligned_series")</f>
        <v>aligned_series</v>
      </c>
      <c r="D709" s="10">
        <f ca="1">IFERROR(__xludf.DUMMYFUNCTION("""COMPUTED_VALUE"""),0.4)</f>
        <v>0.4</v>
      </c>
      <c r="E709" s="17">
        <f ca="1">IFERROR(__xludf.DUMMYFUNCTION("""COMPUTED_VALUE"""),0.848866670702054)</f>
        <v>0.84886667070205402</v>
      </c>
      <c r="F709" s="17">
        <f ca="1">IFERROR(__xludf.DUMMYFUNCTION("""COMPUTED_VALUE"""),0.597961420897335)</f>
        <v>0.59796142089733495</v>
      </c>
      <c r="G709" s="17">
        <f ca="1">IFERROR(__xludf.DUMMYFUNCTION("""COMPUTED_VALUE"""),0.597581198060457)</f>
        <v>0.59758119806045695</v>
      </c>
      <c r="H709" s="17">
        <f ca="1">IFERROR(__xludf.DUMMYFUNCTION("""COMPUTED_VALUE"""),0.606497178908434)</f>
        <v>0.60649717890843402</v>
      </c>
      <c r="I709" s="17">
        <f ca="1">IFERROR(__xludf.DUMMYFUNCTION("""COMPUTED_VALUE"""),0.610118125414315)</f>
        <v>0.61011812541431498</v>
      </c>
      <c r="J709" s="17">
        <f ca="1">IFERROR(__xludf.DUMMYFUNCTION("""COMPUTED_VALUE"""),0.943059098747305)</f>
        <v>0.94305909874730498</v>
      </c>
      <c r="K709" s="17" t="str">
        <f ca="1">IFERROR(__xludf.DUMMYFUNCTION("""COMPUTED_VALUE"""),"nan")</f>
        <v>nan</v>
      </c>
      <c r="L709" s="17">
        <f ca="1">IFERROR(__xludf.DUMMYFUNCTION("""COMPUTED_VALUE"""),0.559154174495034)</f>
        <v>0.55915417449503402</v>
      </c>
      <c r="M709" s="17">
        <f ca="1">IFERROR(__xludf.DUMMYFUNCTION("""COMPUTED_VALUE"""),0.557809756251297)</f>
        <v>0.55780975625129703</v>
      </c>
      <c r="N709" s="17">
        <f ca="1">IFERROR(__xludf.DUMMYFUNCTION("""COMPUTED_VALUE"""),0.623352631945296)</f>
        <v>0.623352631945296</v>
      </c>
      <c r="O709" s="17">
        <f ca="1">IFERROR(__xludf.DUMMYFUNCTION("""COMPUTED_VALUE"""),0.570612329060319)</f>
        <v>0.570612329060319</v>
      </c>
      <c r="P709" s="17">
        <f ca="1">IFERROR(__xludf.DUMMYFUNCTION("""COMPUTED_VALUE"""),2.14615642209008)</f>
        <v>2.1461564220900802</v>
      </c>
      <c r="Q709" s="17">
        <f ca="1">IFERROR(__xludf.DUMMYFUNCTION("""COMPUTED_VALUE"""),0.82268204336283)</f>
        <v>0.82268204336283002</v>
      </c>
      <c r="R709" s="17">
        <f ca="1">IFERROR(__xludf.DUMMYFUNCTION("""COMPUTED_VALUE"""),0.620127467319218)</f>
        <v>0.62012746731921797</v>
      </c>
      <c r="S709" s="17">
        <f ca="1">IFERROR(__xludf.DUMMYFUNCTION("""COMPUTED_VALUE"""),0.717523425210706)</f>
        <v>0.717523425210706</v>
      </c>
      <c r="T709" s="17">
        <f ca="1">IFERROR(__xludf.DUMMYFUNCTION("""COMPUTED_VALUE"""),0.584303690081613)</f>
        <v>0.58430369008161298</v>
      </c>
      <c r="U709" s="17">
        <f ca="1">IFERROR(__xludf.DUMMYFUNCTION("""COMPUTED_VALUE"""),0.569574954656096)</f>
        <v>0.56957495465609598</v>
      </c>
      <c r="V709" s="17">
        <f ca="1">IFERROR(__xludf.DUMMYFUNCTION("""COMPUTED_VALUE"""),0.570804725178889)</f>
        <v>0.57080472517888903</v>
      </c>
      <c r="W709" s="17">
        <f ca="1">IFERROR(__xludf.DUMMYFUNCTION("""COMPUTED_VALUE"""),0.5814471760208)</f>
        <v>0.58144717602079998</v>
      </c>
      <c r="X709" s="17">
        <f ca="1">IFERROR(__xludf.DUMMYFUNCTION("""COMPUTED_VALUE"""),0.606497205019409)</f>
        <v>0.60649720501940896</v>
      </c>
      <c r="Y709" s="17">
        <f ca="1">IFERROR(__xludf.DUMMYFUNCTION("""COMPUTED_VALUE"""),0.572347217513296)</f>
        <v>0.57234721751329598</v>
      </c>
      <c r="Z709" s="17">
        <f ca="1">IFERROR(__xludf.DUMMYFUNCTION("""COMPUTED_VALUE"""),0.571211289574966)</f>
        <v>0.57121128957496603</v>
      </c>
      <c r="AA709" s="17">
        <f ca="1">IFERROR(__xludf.DUMMYFUNCTION("""COMPUTED_VALUE"""),0.569043666168714)</f>
        <v>0.56904366616871405</v>
      </c>
      <c r="AB709" s="17">
        <f ca="1">IFERROR(__xludf.DUMMYFUNCTION("""COMPUTED_VALUE"""),1.82679072016926)</f>
        <v>1.8267907201692599</v>
      </c>
      <c r="AC709" s="17">
        <f ca="1">IFERROR(__xludf.DUMMYFUNCTION("""COMPUTED_VALUE"""),0.740803832093029)</f>
        <v>0.74080383209302902</v>
      </c>
      <c r="AD709" s="17">
        <f ca="1">IFERROR(__xludf.DUMMYFUNCTION("""COMPUTED_VALUE"""),0.596679533950472)</f>
        <v>0.59667953395047202</v>
      </c>
      <c r="AE709" s="17">
        <f ca="1">IFERROR(__xludf.DUMMYFUNCTION("""COMPUTED_VALUE"""),1.17622541599653)</f>
        <v>1.17622541599653</v>
      </c>
      <c r="AF709" s="17">
        <f ca="1">IFERROR(__xludf.DUMMYFUNCTION("""COMPUTED_VALUE"""),0.599649036585007)</f>
        <v>0.59964903658500701</v>
      </c>
      <c r="AG709" s="17">
        <f ca="1">IFERROR(__xludf.DUMMYFUNCTION("""COMPUTED_VALUE"""),0.687743812181838)</f>
        <v>0.687743812181838</v>
      </c>
      <c r="AH709" s="17">
        <f ca="1">IFERROR(__xludf.DUMMYFUNCTION("""COMPUTED_VALUE"""),0.657744084422561)</f>
        <v>0.65774408442256105</v>
      </c>
      <c r="AI709" s="17" t="str">
        <f ca="1">IFERROR(__xludf.DUMMYFUNCTION("""COMPUTED_VALUE"""),"nan")</f>
        <v>nan</v>
      </c>
      <c r="AJ709" s="17">
        <f ca="1">IFERROR(__xludf.DUMMYFUNCTION("""COMPUTED_VALUE"""),0.600578122348209)</f>
        <v>0.60057812234820895</v>
      </c>
    </row>
    <row r="710" spans="2:36" ht="15.75" customHeight="1" x14ac:dyDescent="0.45">
      <c r="B710" s="10" t="str">
        <f ca="1">IFERROR(__xludf.DUMMYFUNCTION("""COMPUTED_VALUE"""),"SemgHandGenderCh2")</f>
        <v>SemgHandGenderCh2</v>
      </c>
      <c r="C710" s="10" t="str">
        <f ca="1">IFERROR(__xludf.DUMMYFUNCTION("""COMPUTED_VALUE"""),"aligned_series")</f>
        <v>aligned_series</v>
      </c>
      <c r="D710" s="10">
        <f ca="1">IFERROR(__xludf.DUMMYFUNCTION("""COMPUTED_VALUE"""),0.6)</f>
        <v>0.6</v>
      </c>
      <c r="E710" s="17">
        <f ca="1">IFERROR(__xludf.DUMMYFUNCTION("""COMPUTED_VALUE"""),0.861149203648949)</f>
        <v>0.86114920364894898</v>
      </c>
      <c r="F710" s="17">
        <f ca="1">IFERROR(__xludf.DUMMYFUNCTION("""COMPUTED_VALUE"""),0.59950097174429)</f>
        <v>0.59950097174428996</v>
      </c>
      <c r="G710" s="17">
        <f ca="1">IFERROR(__xludf.DUMMYFUNCTION("""COMPUTED_VALUE"""),0.597903505309505)</f>
        <v>0.59790350530950498</v>
      </c>
      <c r="H710" s="17">
        <f ca="1">IFERROR(__xludf.DUMMYFUNCTION("""COMPUTED_VALUE"""),0.609433707961109)</f>
        <v>0.60943370796110896</v>
      </c>
      <c r="I710" s="17">
        <f ca="1">IFERROR(__xludf.DUMMYFUNCTION("""COMPUTED_VALUE"""),0.633977290666401)</f>
        <v>0.63397729066640096</v>
      </c>
      <c r="J710" s="17">
        <f ca="1">IFERROR(__xludf.DUMMYFUNCTION("""COMPUTED_VALUE"""),0.940557112890188)</f>
        <v>0.94055711289018795</v>
      </c>
      <c r="K710" s="17" t="str">
        <f ca="1">IFERROR(__xludf.DUMMYFUNCTION("""COMPUTED_VALUE"""),"nan")</f>
        <v>nan</v>
      </c>
      <c r="L710" s="17">
        <f ca="1">IFERROR(__xludf.DUMMYFUNCTION("""COMPUTED_VALUE"""),0.571455743224267)</f>
        <v>0.57145574322426695</v>
      </c>
      <c r="M710" s="17">
        <f ca="1">IFERROR(__xludf.DUMMYFUNCTION("""COMPUTED_VALUE"""),0.561931418705034)</f>
        <v>0.56193141870503405</v>
      </c>
      <c r="N710" s="17">
        <f ca="1">IFERROR(__xludf.DUMMYFUNCTION("""COMPUTED_VALUE"""),0.618128056095499)</f>
        <v>0.61812805609549903</v>
      </c>
      <c r="O710" s="17">
        <f ca="1">IFERROR(__xludf.DUMMYFUNCTION("""COMPUTED_VALUE"""),0.568300915643739)</f>
        <v>0.56830091564373897</v>
      </c>
      <c r="P710" s="17">
        <f ca="1">IFERROR(__xludf.DUMMYFUNCTION("""COMPUTED_VALUE"""),2.1209311769678)</f>
        <v>2.1209311769678001</v>
      </c>
      <c r="Q710" s="17">
        <f ca="1">IFERROR(__xludf.DUMMYFUNCTION("""COMPUTED_VALUE"""),0.815873354586618)</f>
        <v>0.81587335458661803</v>
      </c>
      <c r="R710" s="17">
        <f ca="1">IFERROR(__xludf.DUMMYFUNCTION("""COMPUTED_VALUE"""),0.681519764244621)</f>
        <v>0.68151976424462102</v>
      </c>
      <c r="S710" s="17">
        <f ca="1">IFERROR(__xludf.DUMMYFUNCTION("""COMPUTED_VALUE"""),0.866966923379035)</f>
        <v>0.86696692337903503</v>
      </c>
      <c r="T710" s="17">
        <f ca="1">IFERROR(__xludf.DUMMYFUNCTION("""COMPUTED_VALUE"""),0.597370810894773)</f>
        <v>0.59737081089477295</v>
      </c>
      <c r="U710" s="17">
        <f ca="1">IFERROR(__xludf.DUMMYFUNCTION("""COMPUTED_VALUE"""),0.568136794878406)</f>
        <v>0.56813679487840596</v>
      </c>
      <c r="V710" s="17">
        <f ca="1">IFERROR(__xludf.DUMMYFUNCTION("""COMPUTED_VALUE"""),0.577342620858346)</f>
        <v>0.57734262085834598</v>
      </c>
      <c r="W710" s="17">
        <f ca="1">IFERROR(__xludf.DUMMYFUNCTION("""COMPUTED_VALUE"""),0.607004837166569)</f>
        <v>0.60700483716656894</v>
      </c>
      <c r="X710" s="17">
        <f ca="1">IFERROR(__xludf.DUMMYFUNCTION("""COMPUTED_VALUE"""),0.613986613392235)</f>
        <v>0.61398661339223504</v>
      </c>
      <c r="Y710" s="17">
        <f ca="1">IFERROR(__xludf.DUMMYFUNCTION("""COMPUTED_VALUE"""),0.577375445137353)</f>
        <v>0.57737544513735295</v>
      </c>
      <c r="Z710" s="17">
        <f ca="1">IFERROR(__xludf.DUMMYFUNCTION("""COMPUTED_VALUE"""),0.566623278612811)</f>
        <v>0.56662327861281103</v>
      </c>
      <c r="AA710" s="17">
        <f ca="1">IFERROR(__xludf.DUMMYFUNCTION("""COMPUTED_VALUE"""),0.560254464358235)</f>
        <v>0.560254464358235</v>
      </c>
      <c r="AB710" s="17">
        <f ca="1">IFERROR(__xludf.DUMMYFUNCTION("""COMPUTED_VALUE"""),3.29960781193387)</f>
        <v>3.2996078119338699</v>
      </c>
      <c r="AC710" s="17">
        <f ca="1">IFERROR(__xludf.DUMMYFUNCTION("""COMPUTED_VALUE"""),0.742979186271425)</f>
        <v>0.74297918627142501</v>
      </c>
      <c r="AD710" s="17">
        <f ca="1">IFERROR(__xludf.DUMMYFUNCTION("""COMPUTED_VALUE"""),0.587919279395167)</f>
        <v>0.58791927939516697</v>
      </c>
      <c r="AE710" s="17">
        <f ca="1">IFERROR(__xludf.DUMMYFUNCTION("""COMPUTED_VALUE"""),1.18070046214686)</f>
        <v>1.18070046214686</v>
      </c>
      <c r="AF710" s="17">
        <f ca="1">IFERROR(__xludf.DUMMYFUNCTION("""COMPUTED_VALUE"""),0.603345154929193)</f>
        <v>0.60334515492919305</v>
      </c>
      <c r="AG710" s="17">
        <f ca="1">IFERROR(__xludf.DUMMYFUNCTION("""COMPUTED_VALUE"""),0.680124198943566)</f>
        <v>0.68012419894356602</v>
      </c>
      <c r="AH710" s="17">
        <f ca="1">IFERROR(__xludf.DUMMYFUNCTION("""COMPUTED_VALUE"""),0.656710316332672)</f>
        <v>0.65671031633267196</v>
      </c>
      <c r="AI710" s="17" t="str">
        <f ca="1">IFERROR(__xludf.DUMMYFUNCTION("""COMPUTED_VALUE"""),"nan")</f>
        <v>nan</v>
      </c>
      <c r="AJ710" s="17">
        <f ca="1">IFERROR(__xludf.DUMMYFUNCTION("""COMPUTED_VALUE"""),0.618646622480358)</f>
        <v>0.61864662248035795</v>
      </c>
    </row>
    <row r="711" spans="2:36" ht="15.75" customHeight="1" x14ac:dyDescent="0.45">
      <c r="B711" s="10" t="str">
        <f ca="1">IFERROR(__xludf.DUMMYFUNCTION("""COMPUTED_VALUE"""),"SemgHandGenderCh2")</f>
        <v>SemgHandGenderCh2</v>
      </c>
      <c r="C711" s="10" t="str">
        <f ca="1">IFERROR(__xludf.DUMMYFUNCTION("""COMPUTED_VALUE"""),"aligned_series")</f>
        <v>aligned_series</v>
      </c>
      <c r="D711" s="10">
        <f ca="1">IFERROR(__xludf.DUMMYFUNCTION("""COMPUTED_VALUE"""),0.8)</f>
        <v>0.8</v>
      </c>
      <c r="E711" s="17">
        <f ca="1">IFERROR(__xludf.DUMMYFUNCTION("""COMPUTED_VALUE"""),0.875685933706885)</f>
        <v>0.87568593370688497</v>
      </c>
      <c r="F711" s="17">
        <f ca="1">IFERROR(__xludf.DUMMYFUNCTION("""COMPUTED_VALUE"""),0.611569585186042)</f>
        <v>0.61156958518604199</v>
      </c>
      <c r="G711" s="17">
        <f ca="1">IFERROR(__xludf.DUMMYFUNCTION("""COMPUTED_VALUE"""),0.611986408349833)</f>
        <v>0.61198640834983298</v>
      </c>
      <c r="H711" s="17">
        <f ca="1">IFERROR(__xludf.DUMMYFUNCTION("""COMPUTED_VALUE"""),0.626678346025103)</f>
        <v>0.62667834602510297</v>
      </c>
      <c r="I711" s="17">
        <f ca="1">IFERROR(__xludf.DUMMYFUNCTION("""COMPUTED_VALUE"""),0.677514501379774)</f>
        <v>0.67751450137977398</v>
      </c>
      <c r="J711" s="17">
        <f ca="1">IFERROR(__xludf.DUMMYFUNCTION("""COMPUTED_VALUE"""),0.949221747858906)</f>
        <v>0.94922174785890601</v>
      </c>
      <c r="K711" s="17" t="str">
        <f ca="1">IFERROR(__xludf.DUMMYFUNCTION("""COMPUTED_VALUE"""),"nan")</f>
        <v>nan</v>
      </c>
      <c r="L711" s="17">
        <f ca="1">IFERROR(__xludf.DUMMYFUNCTION("""COMPUTED_VALUE"""),0.591435310610151)</f>
        <v>0.59143531061015098</v>
      </c>
      <c r="M711" s="17">
        <f ca="1">IFERROR(__xludf.DUMMYFUNCTION("""COMPUTED_VALUE"""),0.574263657626949)</f>
        <v>0.57426365762694898</v>
      </c>
      <c r="N711" s="17">
        <f ca="1">IFERROR(__xludf.DUMMYFUNCTION("""COMPUTED_VALUE"""),0.630334238602957)</f>
        <v>0.63033423860295701</v>
      </c>
      <c r="O711" s="17">
        <f ca="1">IFERROR(__xludf.DUMMYFUNCTION("""COMPUTED_VALUE"""),0.579469255769405)</f>
        <v>0.579469255769405</v>
      </c>
      <c r="P711" s="17">
        <f ca="1">IFERROR(__xludf.DUMMYFUNCTION("""COMPUTED_VALUE"""),2.22124389928396)</f>
        <v>2.22124389928396</v>
      </c>
      <c r="Q711" s="17">
        <f ca="1">IFERROR(__xludf.DUMMYFUNCTION("""COMPUTED_VALUE"""),0.819711421320256)</f>
        <v>0.81971142132025598</v>
      </c>
      <c r="R711" s="17">
        <f ca="1">IFERROR(__xludf.DUMMYFUNCTION("""COMPUTED_VALUE"""),0.773546374528338)</f>
        <v>0.77354637452833797</v>
      </c>
      <c r="S711" s="17">
        <f ca="1">IFERROR(__xludf.DUMMYFUNCTION("""COMPUTED_VALUE"""),0.855823143705438)</f>
        <v>0.85582314370543799</v>
      </c>
      <c r="T711" s="17">
        <f ca="1">IFERROR(__xludf.DUMMYFUNCTION("""COMPUTED_VALUE"""),0.675470149000677)</f>
        <v>0.67547014900067703</v>
      </c>
      <c r="U711" s="17">
        <f ca="1">IFERROR(__xludf.DUMMYFUNCTION("""COMPUTED_VALUE"""),0.585213764298479)</f>
        <v>0.58521376429847904</v>
      </c>
      <c r="V711" s="17">
        <f ca="1">IFERROR(__xludf.DUMMYFUNCTION("""COMPUTED_VALUE"""),0.599526401970378)</f>
        <v>0.59952640197037799</v>
      </c>
      <c r="W711" s="17">
        <f ca="1">IFERROR(__xludf.DUMMYFUNCTION("""COMPUTED_VALUE"""),0.597847917128699)</f>
        <v>0.597847917128699</v>
      </c>
      <c r="X711" s="17">
        <f ca="1">IFERROR(__xludf.DUMMYFUNCTION("""COMPUTED_VALUE"""),0.748229578810104)</f>
        <v>0.74822957881010399</v>
      </c>
      <c r="Y711" s="17">
        <f ca="1">IFERROR(__xludf.DUMMYFUNCTION("""COMPUTED_VALUE"""),0.5774775823793)</f>
        <v>0.57747758237930003</v>
      </c>
      <c r="Z711" s="17">
        <f ca="1">IFERROR(__xludf.DUMMYFUNCTION("""COMPUTED_VALUE"""),0.57643320161265)</f>
        <v>0.57643320161264999</v>
      </c>
      <c r="AA711" s="17">
        <f ca="1">IFERROR(__xludf.DUMMYFUNCTION("""COMPUTED_VALUE"""),0.562456215000216)</f>
        <v>0.56245621500021603</v>
      </c>
      <c r="AB711" s="17">
        <f ca="1">IFERROR(__xludf.DUMMYFUNCTION("""COMPUTED_VALUE"""),4.24544071163788)</f>
        <v>4.2454407116378796</v>
      </c>
      <c r="AC711" s="17">
        <f ca="1">IFERROR(__xludf.DUMMYFUNCTION("""COMPUTED_VALUE"""),1.01172135870708)</f>
        <v>1.0117213587070799</v>
      </c>
      <c r="AD711" s="17">
        <f ca="1">IFERROR(__xludf.DUMMYFUNCTION("""COMPUTED_VALUE"""),0.584626748767751)</f>
        <v>0.584626748767751</v>
      </c>
      <c r="AE711" s="17">
        <f ca="1">IFERROR(__xludf.DUMMYFUNCTION("""COMPUTED_VALUE"""),1.17510375136796)</f>
        <v>1.1751037513679601</v>
      </c>
      <c r="AF711" s="17">
        <f ca="1">IFERROR(__xludf.DUMMYFUNCTION("""COMPUTED_VALUE"""),0.608510607583478)</f>
        <v>0.60851060758347797</v>
      </c>
      <c r="AG711" s="17">
        <f ca="1">IFERROR(__xludf.DUMMYFUNCTION("""COMPUTED_VALUE"""),0.684116822860082)</f>
        <v>0.68411682286008202</v>
      </c>
      <c r="AH711" s="17">
        <f ca="1">IFERROR(__xludf.DUMMYFUNCTION("""COMPUTED_VALUE"""),0.661836999331502)</f>
        <v>0.66183699933150197</v>
      </c>
      <c r="AI711" s="17" t="str">
        <f ca="1">IFERROR(__xludf.DUMMYFUNCTION("""COMPUTED_VALUE"""),"nan")</f>
        <v>nan</v>
      </c>
      <c r="AJ711" s="17">
        <f ca="1">IFERROR(__xludf.DUMMYFUNCTION("""COMPUTED_VALUE"""),0.649340382041008)</f>
        <v>0.64934038204100797</v>
      </c>
    </row>
    <row r="712" spans="2:36" ht="15.75" customHeight="1" x14ac:dyDescent="0.45">
      <c r="B712" s="10" t="str">
        <f ca="1">IFERROR(__xludf.DUMMYFUNCTION("""COMPUTED_VALUE"""),"SemgHandGenderCh2")</f>
        <v>SemgHandGenderCh2</v>
      </c>
      <c r="C712" s="10" t="str">
        <f ca="1">IFERROR(__xludf.DUMMYFUNCTION("""COMPUTED_VALUE"""),"aligned_timestamps")</f>
        <v>aligned_timestamps</v>
      </c>
      <c r="D712" s="10">
        <f ca="1">IFERROR(__xludf.DUMMYFUNCTION("""COMPUTED_VALUE"""),0.1)</f>
        <v>0.1</v>
      </c>
      <c r="E712" s="17">
        <f ca="1">IFERROR(__xludf.DUMMYFUNCTION("""COMPUTED_VALUE"""),0.906823357760315)</f>
        <v>0.90682335776031497</v>
      </c>
      <c r="F712" s="17">
        <f ca="1">IFERROR(__xludf.DUMMYFUNCTION("""COMPUTED_VALUE"""),0.400877903414863)</f>
        <v>0.40087790341486301</v>
      </c>
      <c r="G712" s="17">
        <f ca="1">IFERROR(__xludf.DUMMYFUNCTION("""COMPUTED_VALUE"""),0.399764017062938)</f>
        <v>0.39976401706293802</v>
      </c>
      <c r="H712" s="17">
        <f ca="1">IFERROR(__xludf.DUMMYFUNCTION("""COMPUTED_VALUE"""),0.427104341866976)</f>
        <v>0.42710434186697599</v>
      </c>
      <c r="I712" s="17">
        <f ca="1">IFERROR(__xludf.DUMMYFUNCTION("""COMPUTED_VALUE"""),0.403167185358546)</f>
        <v>0.40316718535854601</v>
      </c>
      <c r="J712" s="17">
        <f ca="1">IFERROR(__xludf.DUMMYFUNCTION("""COMPUTED_VALUE"""),0.351449361966012)</f>
        <v>0.35144936196601201</v>
      </c>
      <c r="K712" s="17" t="str">
        <f ca="1">IFERROR(__xludf.DUMMYFUNCTION("""COMPUTED_VALUE"""),"nan")</f>
        <v>nan</v>
      </c>
      <c r="L712" s="17">
        <f ca="1">IFERROR(__xludf.DUMMYFUNCTION("""COMPUTED_VALUE"""),0.30358370540201)</f>
        <v>0.30358370540201002</v>
      </c>
      <c r="M712" s="17">
        <f ca="1">IFERROR(__xludf.DUMMYFUNCTION("""COMPUTED_VALUE"""),0.333068147760078)</f>
        <v>0.33306814776007798</v>
      </c>
      <c r="N712" s="17">
        <f ca="1">IFERROR(__xludf.DUMMYFUNCTION("""COMPUTED_VALUE"""),0.453731038254275)</f>
        <v>0.45373103825427502</v>
      </c>
      <c r="O712" s="17">
        <f ca="1">IFERROR(__xludf.DUMMYFUNCTION("""COMPUTED_VALUE"""),0.359092690147648)</f>
        <v>0.359092690147648</v>
      </c>
      <c r="P712" s="17">
        <f ca="1">IFERROR(__xludf.DUMMYFUNCTION("""COMPUTED_VALUE"""),1.13461951392618)</f>
        <v>1.1346195139261801</v>
      </c>
      <c r="Q712" s="17">
        <f ca="1">IFERROR(__xludf.DUMMYFUNCTION("""COMPUTED_VALUE"""),0.524885278965244)</f>
        <v>0.52488527896524395</v>
      </c>
      <c r="R712" s="17">
        <f ca="1">IFERROR(__xludf.DUMMYFUNCTION("""COMPUTED_VALUE"""),0.35729834276563)</f>
        <v>0.35729834276562999</v>
      </c>
      <c r="S712" s="17">
        <f ca="1">IFERROR(__xludf.DUMMYFUNCTION("""COMPUTED_VALUE"""),0.412456244960687)</f>
        <v>0.412456244960687</v>
      </c>
      <c r="T712" s="17">
        <f ca="1">IFERROR(__xludf.DUMMYFUNCTION("""COMPUTED_VALUE"""),0.358266741334897)</f>
        <v>0.358266741334897</v>
      </c>
      <c r="U712" s="17">
        <f ca="1">IFERROR(__xludf.DUMMYFUNCTION("""COMPUTED_VALUE"""),0.306712114955616)</f>
        <v>0.30671211495561601</v>
      </c>
      <c r="V712" s="17">
        <f ca="1">IFERROR(__xludf.DUMMYFUNCTION("""COMPUTED_VALUE"""),0.31461727674156)</f>
        <v>0.31461727674155998</v>
      </c>
      <c r="W712" s="17">
        <f ca="1">IFERROR(__xludf.DUMMYFUNCTION("""COMPUTED_VALUE"""),0.363550357125058)</f>
        <v>0.36355035712505801</v>
      </c>
      <c r="X712" s="17">
        <f ca="1">IFERROR(__xludf.DUMMYFUNCTION("""COMPUTED_VALUE"""),0.456920963166246)</f>
        <v>0.45692096316624597</v>
      </c>
      <c r="Y712" s="17">
        <f ca="1">IFERROR(__xludf.DUMMYFUNCTION("""COMPUTED_VALUE"""),0.29650587192002)</f>
        <v>0.29650587192001998</v>
      </c>
      <c r="Z712" s="17">
        <f ca="1">IFERROR(__xludf.DUMMYFUNCTION("""COMPUTED_VALUE"""),0.311469301127448)</f>
        <v>0.31146930112744797</v>
      </c>
      <c r="AA712" s="17">
        <f ca="1">IFERROR(__xludf.DUMMYFUNCTION("""COMPUTED_VALUE"""),0.292550746630999)</f>
        <v>0.292550746630999</v>
      </c>
      <c r="AB712" s="17">
        <f ca="1">IFERROR(__xludf.DUMMYFUNCTION("""COMPUTED_VALUE"""),0.454535134398183)</f>
        <v>0.45453513439818299</v>
      </c>
      <c r="AC712" s="17">
        <f ca="1">IFERROR(__xludf.DUMMYFUNCTION("""COMPUTED_VALUE"""),0.797349725721961)</f>
        <v>0.79734972572196094</v>
      </c>
      <c r="AD712" s="17">
        <f ca="1">IFERROR(__xludf.DUMMYFUNCTION("""COMPUTED_VALUE"""),0.377706852681319)</f>
        <v>0.37770685268131898</v>
      </c>
      <c r="AE712" s="17">
        <f ca="1">IFERROR(__xludf.DUMMYFUNCTION("""COMPUTED_VALUE"""),1.17866126453278)</f>
        <v>1.1786612645327801</v>
      </c>
      <c r="AF712" s="17">
        <f ca="1">IFERROR(__xludf.DUMMYFUNCTION("""COMPUTED_VALUE"""),0.329949892997178)</f>
        <v>0.32994989299717797</v>
      </c>
      <c r="AG712" s="17">
        <f ca="1">IFERROR(__xludf.DUMMYFUNCTION("""COMPUTED_VALUE"""),0.338085283918152)</f>
        <v>0.33808528391815201</v>
      </c>
      <c r="AH712" s="17">
        <f ca="1">IFERROR(__xludf.DUMMYFUNCTION("""COMPUTED_VALUE"""),0.352406223093912)</f>
        <v>0.35240622309391201</v>
      </c>
      <c r="AI712" s="17" t="str">
        <f ca="1">IFERROR(__xludf.DUMMYFUNCTION("""COMPUTED_VALUE"""),"nan")</f>
        <v>nan</v>
      </c>
      <c r="AJ712" s="17">
        <f ca="1">IFERROR(__xludf.DUMMYFUNCTION("""COMPUTED_VALUE"""),0.332065895883034)</f>
        <v>0.33206589588303398</v>
      </c>
    </row>
    <row r="713" spans="2:36" ht="15.75" customHeight="1" x14ac:dyDescent="0.45">
      <c r="B713" s="10" t="str">
        <f ca="1">IFERROR(__xludf.DUMMYFUNCTION("""COMPUTED_VALUE"""),"SemgHandGenderCh2")</f>
        <v>SemgHandGenderCh2</v>
      </c>
      <c r="C713" s="10" t="str">
        <f ca="1">IFERROR(__xludf.DUMMYFUNCTION("""COMPUTED_VALUE"""),"aligned_timestamps")</f>
        <v>aligned_timestamps</v>
      </c>
      <c r="D713" s="10">
        <f ca="1">IFERROR(__xludf.DUMMYFUNCTION("""COMPUTED_VALUE"""),0.2)</f>
        <v>0.2</v>
      </c>
      <c r="E713" s="17">
        <f ca="1">IFERROR(__xludf.DUMMYFUNCTION("""COMPUTED_VALUE"""),0.837205915685291)</f>
        <v>0.83720591568529101</v>
      </c>
      <c r="F713" s="17">
        <f ca="1">IFERROR(__xludf.DUMMYFUNCTION("""COMPUTED_VALUE"""),0.59180259884933)</f>
        <v>0.59180259884932995</v>
      </c>
      <c r="G713" s="17">
        <f ca="1">IFERROR(__xludf.DUMMYFUNCTION("""COMPUTED_VALUE"""),0.591415437406001)</f>
        <v>0.591415437406001</v>
      </c>
      <c r="H713" s="17">
        <f ca="1">IFERROR(__xludf.DUMMYFUNCTION("""COMPUTED_VALUE"""),0.600274134246637)</f>
        <v>0.600274134246637</v>
      </c>
      <c r="I713" s="17">
        <f ca="1">IFERROR(__xludf.DUMMYFUNCTION("""COMPUTED_VALUE"""),0.595641169334681)</f>
        <v>0.59564116933468103</v>
      </c>
      <c r="J713" s="17">
        <f ca="1">IFERROR(__xludf.DUMMYFUNCTION("""COMPUTED_VALUE"""),0.955467406444664)</f>
        <v>0.95546740644466399</v>
      </c>
      <c r="K713" s="17" t="str">
        <f ca="1">IFERROR(__xludf.DUMMYFUNCTION("""COMPUTED_VALUE"""),"nan")</f>
        <v>nan</v>
      </c>
      <c r="L713" s="17">
        <f ca="1">IFERROR(__xludf.DUMMYFUNCTION("""COMPUTED_VALUE"""),0.552730099791092)</f>
        <v>0.552730099791092</v>
      </c>
      <c r="M713" s="17">
        <f ca="1">IFERROR(__xludf.DUMMYFUNCTION("""COMPUTED_VALUE"""),0.555850649615416)</f>
        <v>0.55585064961541597</v>
      </c>
      <c r="N713" s="17">
        <f ca="1">IFERROR(__xludf.DUMMYFUNCTION("""COMPUTED_VALUE"""),0.624040835763165)</f>
        <v>0.62404083576316505</v>
      </c>
      <c r="O713" s="17">
        <f ca="1">IFERROR(__xludf.DUMMYFUNCTION("""COMPUTED_VALUE"""),0.567586973076434)</f>
        <v>0.56758697307643402</v>
      </c>
      <c r="P713" s="17">
        <f ca="1">IFERROR(__xludf.DUMMYFUNCTION("""COMPUTED_VALUE"""),1.09185969992297)</f>
        <v>1.0918596999229699</v>
      </c>
      <c r="Q713" s="17">
        <f ca="1">IFERROR(__xludf.DUMMYFUNCTION("""COMPUTED_VALUE"""),0.812716557826379)</f>
        <v>0.81271655782637897</v>
      </c>
      <c r="R713" s="17">
        <f ca="1">IFERROR(__xludf.DUMMYFUNCTION("""COMPUTED_VALUE"""),0.579298979594759)</f>
        <v>0.57929897959475896</v>
      </c>
      <c r="S713" s="17">
        <f ca="1">IFERROR(__xludf.DUMMYFUNCTION("""COMPUTED_VALUE"""),0.702609584435195)</f>
        <v>0.70260958443519494</v>
      </c>
      <c r="T713" s="17">
        <f ca="1">IFERROR(__xludf.DUMMYFUNCTION("""COMPUTED_VALUE"""),0.555445553908604)</f>
        <v>0.55544555390860395</v>
      </c>
      <c r="U713" s="17">
        <f ca="1">IFERROR(__xludf.DUMMYFUNCTION("""COMPUTED_VALUE"""),0.563665595487462)</f>
        <v>0.56366559548746198</v>
      </c>
      <c r="V713" s="17">
        <f ca="1">IFERROR(__xludf.DUMMYFUNCTION("""COMPUTED_VALUE"""),0.572913359691114)</f>
        <v>0.57291335969111401</v>
      </c>
      <c r="W713" s="17">
        <f ca="1">IFERROR(__xludf.DUMMYFUNCTION("""COMPUTED_VALUE"""),0.569518151263928)</f>
        <v>0.56951815126392802</v>
      </c>
      <c r="X713" s="17">
        <f ca="1">IFERROR(__xludf.DUMMYFUNCTION("""COMPUTED_VALUE"""),0.611195573740323)</f>
        <v>0.61119557374032296</v>
      </c>
      <c r="Y713" s="17">
        <f ca="1">IFERROR(__xludf.DUMMYFUNCTION("""COMPUTED_VALUE"""),0.569888195883572)</f>
        <v>0.56988819588357198</v>
      </c>
      <c r="Z713" s="17">
        <f ca="1">IFERROR(__xludf.DUMMYFUNCTION("""COMPUTED_VALUE"""),0.569406715813629)</f>
        <v>0.56940671581362901</v>
      </c>
      <c r="AA713" s="17">
        <f ca="1">IFERROR(__xludf.DUMMYFUNCTION("""COMPUTED_VALUE"""),0.564386164058658)</f>
        <v>0.56438616405865805</v>
      </c>
      <c r="AB713" s="17">
        <f ca="1">IFERROR(__xludf.DUMMYFUNCTION("""COMPUTED_VALUE"""),0.654803743448381)</f>
        <v>0.65480374344838099</v>
      </c>
      <c r="AC713" s="17">
        <f ca="1">IFERROR(__xludf.DUMMYFUNCTION("""COMPUTED_VALUE"""),0.778543466718014)</f>
        <v>0.778543466718014</v>
      </c>
      <c r="AD713" s="17">
        <f ca="1">IFERROR(__xludf.DUMMYFUNCTION("""COMPUTED_VALUE"""),0.595862380637513)</f>
        <v>0.59586238063751296</v>
      </c>
      <c r="AE713" s="17">
        <f ca="1">IFERROR(__xludf.DUMMYFUNCTION("""COMPUTED_VALUE"""),1.16954624838978)</f>
        <v>1.1695462483897801</v>
      </c>
      <c r="AF713" s="17">
        <f ca="1">IFERROR(__xludf.DUMMYFUNCTION("""COMPUTED_VALUE"""),0.586216005218842)</f>
        <v>0.58621600521884198</v>
      </c>
      <c r="AG713" s="17">
        <f ca="1">IFERROR(__xludf.DUMMYFUNCTION("""COMPUTED_VALUE"""),0.654839858975171)</f>
        <v>0.65483985897517105</v>
      </c>
      <c r="AH713" s="17">
        <f ca="1">IFERROR(__xludf.DUMMYFUNCTION("""COMPUTED_VALUE"""),0.640585737736791)</f>
        <v>0.64058573773679095</v>
      </c>
      <c r="AI713" s="17" t="str">
        <f ca="1">IFERROR(__xludf.DUMMYFUNCTION("""COMPUTED_VALUE"""),"nan")</f>
        <v>nan</v>
      </c>
      <c r="AJ713" s="17">
        <f ca="1">IFERROR(__xludf.DUMMYFUNCTION("""COMPUTED_VALUE"""),0.569350250239549)</f>
        <v>0.56935025023954899</v>
      </c>
    </row>
    <row r="714" spans="2:36" ht="15.75" customHeight="1" x14ac:dyDescent="0.45">
      <c r="B714" s="10" t="str">
        <f ca="1">IFERROR(__xludf.DUMMYFUNCTION("""COMPUTED_VALUE"""),"SemgHandGenderCh2")</f>
        <v>SemgHandGenderCh2</v>
      </c>
      <c r="C714" s="10" t="str">
        <f ca="1">IFERROR(__xludf.DUMMYFUNCTION("""COMPUTED_VALUE"""),"aligned_timestamps")</f>
        <v>aligned_timestamps</v>
      </c>
      <c r="D714" s="10">
        <f ca="1">IFERROR(__xludf.DUMMYFUNCTION("""COMPUTED_VALUE"""),0.4)</f>
        <v>0.4</v>
      </c>
      <c r="E714" s="17">
        <f ca="1">IFERROR(__xludf.DUMMYFUNCTION("""COMPUTED_VALUE"""),1.14936501670508)</f>
        <v>1.14936501670508</v>
      </c>
      <c r="F714" s="17">
        <f ca="1">IFERROR(__xludf.DUMMYFUNCTION("""COMPUTED_VALUE"""),0.903071652462518)</f>
        <v>0.90307165246251797</v>
      </c>
      <c r="G714" s="17">
        <f ca="1">IFERROR(__xludf.DUMMYFUNCTION("""COMPUTED_VALUE"""),1.05176236863668)</f>
        <v>1.0517623686366799</v>
      </c>
      <c r="H714" s="17">
        <f ca="1">IFERROR(__xludf.DUMMYFUNCTION("""COMPUTED_VALUE"""),0.956647642767647)</f>
        <v>0.95664764276764702</v>
      </c>
      <c r="I714" s="17">
        <f ca="1">IFERROR(__xludf.DUMMYFUNCTION("""COMPUTED_VALUE"""),0.92858019555727)</f>
        <v>0.92858019555727001</v>
      </c>
      <c r="J714" s="17">
        <f ca="1">IFERROR(__xludf.DUMMYFUNCTION("""COMPUTED_VALUE"""),1.59973534865884)</f>
        <v>1.5997353486588399</v>
      </c>
      <c r="K714" s="17" t="str">
        <f ca="1">IFERROR(__xludf.DUMMYFUNCTION("""COMPUTED_VALUE"""),"nan")</f>
        <v>nan</v>
      </c>
      <c r="L714" s="17">
        <f ca="1">IFERROR(__xludf.DUMMYFUNCTION("""COMPUTED_VALUE"""),0.911513771185946)</f>
        <v>0.91151377118594601</v>
      </c>
      <c r="M714" s="17">
        <f ca="1">IFERROR(__xludf.DUMMYFUNCTION("""COMPUTED_VALUE"""),0.899531504139764)</f>
        <v>0.89953150413976402</v>
      </c>
      <c r="N714" s="17">
        <f ca="1">IFERROR(__xludf.DUMMYFUNCTION("""COMPUTED_VALUE"""),1.00355407105818)</f>
        <v>1.0035540710581801</v>
      </c>
      <c r="O714" s="17">
        <f ca="1">IFERROR(__xludf.DUMMYFUNCTION("""COMPUTED_VALUE"""),0.890559668127404)</f>
        <v>0.89055966812740395</v>
      </c>
      <c r="P714" s="17">
        <f ca="1">IFERROR(__xludf.DUMMYFUNCTION("""COMPUTED_VALUE"""),1.56795092831451)</f>
        <v>1.5679509283145101</v>
      </c>
      <c r="Q714" s="17">
        <f ca="1">IFERROR(__xludf.DUMMYFUNCTION("""COMPUTED_VALUE"""),1.22790268335555)</f>
        <v>1.22790268335555</v>
      </c>
      <c r="R714" s="17">
        <f ca="1">IFERROR(__xludf.DUMMYFUNCTION("""COMPUTED_VALUE"""),0.885075487882551)</f>
        <v>0.88507548788255097</v>
      </c>
      <c r="S714" s="17">
        <f ca="1">IFERROR(__xludf.DUMMYFUNCTION("""COMPUTED_VALUE"""),1.10246358402926)</f>
        <v>1.10246358402926</v>
      </c>
      <c r="T714" s="17">
        <f ca="1">IFERROR(__xludf.DUMMYFUNCTION("""COMPUTED_VALUE"""),0.998336234051634)</f>
        <v>0.99833623405163396</v>
      </c>
      <c r="U714" s="17">
        <f ca="1">IFERROR(__xludf.DUMMYFUNCTION("""COMPUTED_VALUE"""),0.945171687187319)</f>
        <v>0.94517168718731903</v>
      </c>
      <c r="V714" s="17">
        <f ca="1">IFERROR(__xludf.DUMMYFUNCTION("""COMPUTED_VALUE"""),0.971972430858958)</f>
        <v>0.97197243085895801</v>
      </c>
      <c r="W714" s="17">
        <f ca="1">IFERROR(__xludf.DUMMYFUNCTION("""COMPUTED_VALUE"""),1.04115866240617)</f>
        <v>1.0411586624061699</v>
      </c>
      <c r="X714" s="17">
        <f ca="1">IFERROR(__xludf.DUMMYFUNCTION("""COMPUTED_VALUE"""),0.916797092389977)</f>
        <v>0.91679709238997698</v>
      </c>
      <c r="Y714" s="17">
        <f ca="1">IFERROR(__xludf.DUMMYFUNCTION("""COMPUTED_VALUE"""),1.35850999300739)</f>
        <v>1.3585099930073901</v>
      </c>
      <c r="Z714" s="17">
        <f ca="1">IFERROR(__xludf.DUMMYFUNCTION("""COMPUTED_VALUE"""),1.05892215696352)</f>
        <v>1.0589221569635201</v>
      </c>
      <c r="AA714" s="17">
        <f ca="1">IFERROR(__xludf.DUMMYFUNCTION("""COMPUTED_VALUE"""),1.34428215561273)</f>
        <v>1.34428215561273</v>
      </c>
      <c r="AB714" s="17">
        <f ca="1">IFERROR(__xludf.DUMMYFUNCTION("""COMPUTED_VALUE"""),1.42708638265885)</f>
        <v>1.42708638265885</v>
      </c>
      <c r="AC714" s="17">
        <f ca="1">IFERROR(__xludf.DUMMYFUNCTION("""COMPUTED_VALUE"""),1.05999905874944)</f>
        <v>1.0599990587494399</v>
      </c>
      <c r="AD714" s="17">
        <f ca="1">IFERROR(__xludf.DUMMYFUNCTION("""COMPUTED_VALUE"""),1.01978763408197)</f>
        <v>1.01978763408197</v>
      </c>
      <c r="AE714" s="17" t="str">
        <f ca="1">IFERROR(__xludf.DUMMYFUNCTION("""COMPUTED_VALUE"""),"nan")</f>
        <v>nan</v>
      </c>
      <c r="AF714" s="17">
        <f ca="1">IFERROR(__xludf.DUMMYFUNCTION("""COMPUTED_VALUE"""),1.06173124791451)</f>
        <v>1.06173124791451</v>
      </c>
      <c r="AG714" s="17">
        <f ca="1">IFERROR(__xludf.DUMMYFUNCTION("""COMPUTED_VALUE"""),1.12909172177789)</f>
        <v>1.12909172177789</v>
      </c>
      <c r="AH714" s="17">
        <f ca="1">IFERROR(__xludf.DUMMYFUNCTION("""COMPUTED_VALUE"""),1.05503630774425)</f>
        <v>1.0550363077442499</v>
      </c>
      <c r="AI714" s="17" t="str">
        <f ca="1">IFERROR(__xludf.DUMMYFUNCTION("""COMPUTED_VALUE"""),"nan")</f>
        <v>nan</v>
      </c>
      <c r="AJ714" s="17">
        <f ca="1">IFERROR(__xludf.DUMMYFUNCTION("""COMPUTED_VALUE"""),0.990395894129114)</f>
        <v>0.990395894129114</v>
      </c>
    </row>
    <row r="715" spans="2:36" ht="15.75" customHeight="1" x14ac:dyDescent="0.45">
      <c r="B715" s="10" t="str">
        <f ca="1">IFERROR(__xludf.DUMMYFUNCTION("""COMPUTED_VALUE"""),"SemgHandGenderCh2")</f>
        <v>SemgHandGenderCh2</v>
      </c>
      <c r="C715" s="10" t="str">
        <f ca="1">IFERROR(__xludf.DUMMYFUNCTION("""COMPUTED_VALUE"""),"aligned_timestamps")</f>
        <v>aligned_timestamps</v>
      </c>
      <c r="D715" s="10">
        <f ca="1">IFERROR(__xludf.DUMMYFUNCTION("""COMPUTED_VALUE"""),0.6)</f>
        <v>0.6</v>
      </c>
      <c r="E715" s="17">
        <f ca="1">IFERROR(__xludf.DUMMYFUNCTION("""COMPUTED_VALUE"""),1.13259878498641)</f>
        <v>1.1325987849864101</v>
      </c>
      <c r="F715" s="17">
        <f ca="1">IFERROR(__xludf.DUMMYFUNCTION("""COMPUTED_VALUE"""),0.965569571996492)</f>
        <v>0.96556957199649196</v>
      </c>
      <c r="G715" s="17">
        <f ca="1">IFERROR(__xludf.DUMMYFUNCTION("""COMPUTED_VALUE"""),1.17207539780076)</f>
        <v>1.1720753978007601</v>
      </c>
      <c r="H715" s="17">
        <f ca="1">IFERROR(__xludf.DUMMYFUNCTION("""COMPUTED_VALUE"""),0.987799872581663)</f>
        <v>0.98779987258166302</v>
      </c>
      <c r="I715" s="17">
        <f ca="1">IFERROR(__xludf.DUMMYFUNCTION("""COMPUTED_VALUE"""),0.970511100993141)</f>
        <v>0.97051110099314097</v>
      </c>
      <c r="J715" s="17">
        <f ca="1">IFERROR(__xludf.DUMMYFUNCTION("""COMPUTED_VALUE"""),1.73895692696929)</f>
        <v>1.7389569269692899</v>
      </c>
      <c r="K715" s="17" t="str">
        <f ca="1">IFERROR(__xludf.DUMMYFUNCTION("""COMPUTED_VALUE"""),"nan")</f>
        <v>nan</v>
      </c>
      <c r="L715" s="17">
        <f ca="1">IFERROR(__xludf.DUMMYFUNCTION("""COMPUTED_VALUE"""),1.002186437173)</f>
        <v>1.002186437173</v>
      </c>
      <c r="M715" s="17">
        <f ca="1">IFERROR(__xludf.DUMMYFUNCTION("""COMPUTED_VALUE"""),0.933422843582772)</f>
        <v>0.93342284358277205</v>
      </c>
      <c r="N715" s="17">
        <f ca="1">IFERROR(__xludf.DUMMYFUNCTION("""COMPUTED_VALUE"""),1.02216953581055)</f>
        <v>1.02216953581055</v>
      </c>
      <c r="O715" s="17">
        <f ca="1">IFERROR(__xludf.DUMMYFUNCTION("""COMPUTED_VALUE"""),0.952046553235163)</f>
        <v>0.95204655323516296</v>
      </c>
      <c r="P715" s="17">
        <f ca="1">IFERROR(__xludf.DUMMYFUNCTION("""COMPUTED_VALUE"""),1.14421847171135)</f>
        <v>1.1442184717113499</v>
      </c>
      <c r="Q715" s="17">
        <f ca="1">IFERROR(__xludf.DUMMYFUNCTION("""COMPUTED_VALUE"""),1.27209618292749)</f>
        <v>1.2720961829274899</v>
      </c>
      <c r="R715" s="17">
        <f ca="1">IFERROR(__xludf.DUMMYFUNCTION("""COMPUTED_VALUE"""),0.95221377589014)</f>
        <v>0.95221377589014</v>
      </c>
      <c r="S715" s="17">
        <f ca="1">IFERROR(__xludf.DUMMYFUNCTION("""COMPUTED_VALUE"""),1.14906385277977)</f>
        <v>1.1490638527797701</v>
      </c>
      <c r="T715" s="17">
        <f ca="1">IFERROR(__xludf.DUMMYFUNCTION("""COMPUTED_VALUE"""),1.06186233262673)</f>
        <v>1.06186233262673</v>
      </c>
      <c r="U715" s="17">
        <f ca="1">IFERROR(__xludf.DUMMYFUNCTION("""COMPUTED_VALUE"""),0.978973074275435)</f>
        <v>0.97897307427543501</v>
      </c>
      <c r="V715" s="17">
        <f ca="1">IFERROR(__xludf.DUMMYFUNCTION("""COMPUTED_VALUE"""),1.08126086628618)</f>
        <v>1.08126086628618</v>
      </c>
      <c r="W715" s="17">
        <f ca="1">IFERROR(__xludf.DUMMYFUNCTION("""COMPUTED_VALUE"""),1.06458214484275)</f>
        <v>1.0645821448427499</v>
      </c>
      <c r="X715" s="17">
        <f ca="1">IFERROR(__xludf.DUMMYFUNCTION("""COMPUTED_VALUE"""),0.945198334596001)</f>
        <v>0.945198334596001</v>
      </c>
      <c r="Y715" s="17">
        <f ca="1">IFERROR(__xludf.DUMMYFUNCTION("""COMPUTED_VALUE"""),1.57042399967874)</f>
        <v>1.5704239996787399</v>
      </c>
      <c r="Z715" s="17">
        <f ca="1">IFERROR(__xludf.DUMMYFUNCTION("""COMPUTED_VALUE"""),1.07757661041597)</f>
        <v>1.0775766104159701</v>
      </c>
      <c r="AA715" s="17">
        <f ca="1">IFERROR(__xludf.DUMMYFUNCTION("""COMPUTED_VALUE"""),2.45039459638686)</f>
        <v>2.4503945963868601</v>
      </c>
      <c r="AB715" s="17">
        <f ca="1">IFERROR(__xludf.DUMMYFUNCTION("""COMPUTED_VALUE"""),1.70735071869283)</f>
        <v>1.7073507186928301</v>
      </c>
      <c r="AC715" s="17">
        <f ca="1">IFERROR(__xludf.DUMMYFUNCTION("""COMPUTED_VALUE"""),1.04549820477803)</f>
        <v>1.0454982047780299</v>
      </c>
      <c r="AD715" s="17">
        <f ca="1">IFERROR(__xludf.DUMMYFUNCTION("""COMPUTED_VALUE"""),1.02659913660133)</f>
        <v>1.0265991366013301</v>
      </c>
      <c r="AE715" s="17" t="str">
        <f ca="1">IFERROR(__xludf.DUMMYFUNCTION("""COMPUTED_VALUE"""),"nan")</f>
        <v>nan</v>
      </c>
      <c r="AF715" s="17">
        <f ca="1">IFERROR(__xludf.DUMMYFUNCTION("""COMPUTED_VALUE"""),1.07141123177978)</f>
        <v>1.0714112317797799</v>
      </c>
      <c r="AG715" s="17">
        <f ca="1">IFERROR(__xludf.DUMMYFUNCTION("""COMPUTED_VALUE"""),1.22054193631659)</f>
        <v>1.2205419363165899</v>
      </c>
      <c r="AH715" s="17">
        <f ca="1">IFERROR(__xludf.DUMMYFUNCTION("""COMPUTED_VALUE"""),1.06161199748687)</f>
        <v>1.0616119974868701</v>
      </c>
      <c r="AI715" s="17" t="str">
        <f ca="1">IFERROR(__xludf.DUMMYFUNCTION("""COMPUTED_VALUE"""),"nan")</f>
        <v>nan</v>
      </c>
      <c r="AJ715" s="17">
        <f ca="1">IFERROR(__xludf.DUMMYFUNCTION("""COMPUTED_VALUE"""),1.22275129982477)</f>
        <v>1.22275129982477</v>
      </c>
    </row>
    <row r="716" spans="2:36" ht="15.75" customHeight="1" x14ac:dyDescent="0.45">
      <c r="B716" s="10" t="str">
        <f ca="1">IFERROR(__xludf.DUMMYFUNCTION("""COMPUTED_VALUE"""),"SemgHandGenderCh2")</f>
        <v>SemgHandGenderCh2</v>
      </c>
      <c r="C716" s="10" t="str">
        <f ca="1">IFERROR(__xludf.DUMMYFUNCTION("""COMPUTED_VALUE"""),"aligned_timestamps")</f>
        <v>aligned_timestamps</v>
      </c>
      <c r="D716" s="10">
        <f ca="1">IFERROR(__xludf.DUMMYFUNCTION("""COMPUTED_VALUE"""),0.8)</f>
        <v>0.8</v>
      </c>
      <c r="E716" s="17">
        <f ca="1">IFERROR(__xludf.DUMMYFUNCTION("""COMPUTED_VALUE"""),1.04489058873802)</f>
        <v>1.04489058873802</v>
      </c>
      <c r="F716" s="17">
        <f ca="1">IFERROR(__xludf.DUMMYFUNCTION("""COMPUTED_VALUE"""),0.887359017291896)</f>
        <v>0.88735901729189604</v>
      </c>
      <c r="G716" s="17">
        <f ca="1">IFERROR(__xludf.DUMMYFUNCTION("""COMPUTED_VALUE"""),0.998519458463816)</f>
        <v>0.99851945846381596</v>
      </c>
      <c r="H716" s="17">
        <f ca="1">IFERROR(__xludf.DUMMYFUNCTION("""COMPUTED_VALUE"""),0.928824641493689)</f>
        <v>0.92882464149368904</v>
      </c>
      <c r="I716" s="17">
        <f ca="1">IFERROR(__xludf.DUMMYFUNCTION("""COMPUTED_VALUE"""),0.909694242691495)</f>
        <v>0.90969424269149501</v>
      </c>
      <c r="J716" s="17">
        <f ca="1">IFERROR(__xludf.DUMMYFUNCTION("""COMPUTED_VALUE"""),1.57751580734676)</f>
        <v>1.5775158073467599</v>
      </c>
      <c r="K716" s="17" t="str">
        <f ca="1">IFERROR(__xludf.DUMMYFUNCTION("""COMPUTED_VALUE"""),"nan")</f>
        <v>nan</v>
      </c>
      <c r="L716" s="17">
        <f ca="1">IFERROR(__xludf.DUMMYFUNCTION("""COMPUTED_VALUE"""),0.878176739332187)</f>
        <v>0.87817673933218698</v>
      </c>
      <c r="M716" s="17">
        <f ca="1">IFERROR(__xludf.DUMMYFUNCTION("""COMPUTED_VALUE"""),0.884953862958794)</f>
        <v>0.88495386295879397</v>
      </c>
      <c r="N716" s="17">
        <f ca="1">IFERROR(__xludf.DUMMYFUNCTION("""COMPUTED_VALUE"""),1.02258187445154)</f>
        <v>1.02258187445154</v>
      </c>
      <c r="O716" s="17">
        <f ca="1">IFERROR(__xludf.DUMMYFUNCTION("""COMPUTED_VALUE"""),0.877364726920585)</f>
        <v>0.87736472692058498</v>
      </c>
      <c r="P716" s="17">
        <f ca="1">IFERROR(__xludf.DUMMYFUNCTION("""COMPUTED_VALUE"""),1.1289889642295)</f>
        <v>1.1289889642294999</v>
      </c>
      <c r="Q716" s="17">
        <f ca="1">IFERROR(__xludf.DUMMYFUNCTION("""COMPUTED_VALUE"""),1.21246437491917)</f>
        <v>1.2124643749191699</v>
      </c>
      <c r="R716" s="17">
        <f ca="1">IFERROR(__xludf.DUMMYFUNCTION("""COMPUTED_VALUE"""),0.954386918056388)</f>
        <v>0.95438691805638798</v>
      </c>
      <c r="S716" s="17">
        <f ca="1">IFERROR(__xludf.DUMMYFUNCTION("""COMPUTED_VALUE"""),1.11027557101676)</f>
        <v>1.11027557101676</v>
      </c>
      <c r="T716" s="17">
        <f ca="1">IFERROR(__xludf.DUMMYFUNCTION("""COMPUTED_VALUE"""),0.97298766898493)</f>
        <v>0.97298766898493005</v>
      </c>
      <c r="U716" s="17">
        <f ca="1">IFERROR(__xludf.DUMMYFUNCTION("""COMPUTED_VALUE"""),0.922120731017804)</f>
        <v>0.92212073101780401</v>
      </c>
      <c r="V716" s="17">
        <f ca="1">IFERROR(__xludf.DUMMYFUNCTION("""COMPUTED_VALUE"""),1.04139174969168)</f>
        <v>1.04139174969168</v>
      </c>
      <c r="W716" s="17">
        <f ca="1">IFERROR(__xludf.DUMMYFUNCTION("""COMPUTED_VALUE"""),1.01629983710114)</f>
        <v>1.01629983710114</v>
      </c>
      <c r="X716" s="17">
        <f ca="1">IFERROR(__xludf.DUMMYFUNCTION("""COMPUTED_VALUE"""),0.880387421263591)</f>
        <v>0.88038742126359104</v>
      </c>
      <c r="Y716" s="17">
        <f ca="1">IFERROR(__xludf.DUMMYFUNCTION("""COMPUTED_VALUE"""),1.70092185893741)</f>
        <v>1.70092185893741</v>
      </c>
      <c r="Z716" s="17">
        <f ca="1">IFERROR(__xludf.DUMMYFUNCTION("""COMPUTED_VALUE"""),0.997503862863788)</f>
        <v>0.997503862863788</v>
      </c>
      <c r="AA716" s="17">
        <f ca="1">IFERROR(__xludf.DUMMYFUNCTION("""COMPUTED_VALUE"""),5.02691739302215)</f>
        <v>5.02691739302215</v>
      </c>
      <c r="AB716" s="17">
        <f ca="1">IFERROR(__xludf.DUMMYFUNCTION("""COMPUTED_VALUE"""),1.49039924737027)</f>
        <v>1.4903992473702701</v>
      </c>
      <c r="AC716" s="17">
        <f ca="1">IFERROR(__xludf.DUMMYFUNCTION("""COMPUTED_VALUE"""),0.999380358478851)</f>
        <v>0.99938035847885098</v>
      </c>
      <c r="AD716" s="17">
        <f ca="1">IFERROR(__xludf.DUMMYFUNCTION("""COMPUTED_VALUE"""),0.962507883557443)</f>
        <v>0.96250788355744299</v>
      </c>
      <c r="AE716" s="17" t="str">
        <f ca="1">IFERROR(__xludf.DUMMYFUNCTION("""COMPUTED_VALUE"""),"nan")</f>
        <v>nan</v>
      </c>
      <c r="AF716" s="17">
        <f ca="1">IFERROR(__xludf.DUMMYFUNCTION("""COMPUTED_VALUE"""),1.07893966793623)</f>
        <v>1.07893966793623</v>
      </c>
      <c r="AG716" s="17">
        <f ca="1">IFERROR(__xludf.DUMMYFUNCTION("""COMPUTED_VALUE"""),1.11710704732132)</f>
        <v>1.11710704732132</v>
      </c>
      <c r="AH716" s="17">
        <f ca="1">IFERROR(__xludf.DUMMYFUNCTION("""COMPUTED_VALUE"""),1.0090050297035)</f>
        <v>1.0090050297035</v>
      </c>
      <c r="AI716" s="17" t="str">
        <f ca="1">IFERROR(__xludf.DUMMYFUNCTION("""COMPUTED_VALUE"""),"nan")</f>
        <v>nan</v>
      </c>
      <c r="AJ716" s="17">
        <f ca="1">IFERROR(__xludf.DUMMYFUNCTION("""COMPUTED_VALUE"""),1.0698975238783)</f>
        <v>1.0698975238782999</v>
      </c>
    </row>
    <row r="717" spans="2:36" ht="15.75" customHeight="1" x14ac:dyDescent="0.45">
      <c r="B717" s="10" t="str">
        <f ca="1">IFERROR(__xludf.DUMMYFUNCTION("""COMPUTED_VALUE"""),"SemgHandGenderCh2")</f>
        <v>SemgHandGenderCh2</v>
      </c>
      <c r="C717" s="10" t="str">
        <f ca="1">IFERROR(__xludf.DUMMYFUNCTION("""COMPUTED_VALUE"""),"mcar")</f>
        <v>mcar</v>
      </c>
      <c r="D717" s="10">
        <f ca="1">IFERROR(__xludf.DUMMYFUNCTION("""COMPUTED_VALUE"""),0.1)</f>
        <v>0.1</v>
      </c>
      <c r="E717" s="17">
        <f ca="1">IFERROR(__xludf.DUMMYFUNCTION("""COMPUTED_VALUE"""),1.01392840108854)</f>
        <v>1.0139284010885401</v>
      </c>
      <c r="F717" s="17">
        <f ca="1">IFERROR(__xludf.DUMMYFUNCTION("""COMPUTED_VALUE"""),0.899233152570053)</f>
        <v>0.89923315257005298</v>
      </c>
      <c r="G717" s="17">
        <f ca="1">IFERROR(__xludf.DUMMYFUNCTION("""COMPUTED_VALUE"""),0.994434019032857)</f>
        <v>0.994434019032857</v>
      </c>
      <c r="H717" s="17">
        <f ca="1">IFERROR(__xludf.DUMMYFUNCTION("""COMPUTED_VALUE"""),0.949050336422972)</f>
        <v>0.94905033642297199</v>
      </c>
      <c r="I717" s="17">
        <f ca="1">IFERROR(__xludf.DUMMYFUNCTION("""COMPUTED_VALUE"""),0.857526092110731)</f>
        <v>0.85752609211073105</v>
      </c>
      <c r="J717" s="17">
        <f ca="1">IFERROR(__xludf.DUMMYFUNCTION("""COMPUTED_VALUE"""),0.857899929502804)</f>
        <v>0.85789992950280403</v>
      </c>
      <c r="K717" s="17" t="str">
        <f ca="1">IFERROR(__xludf.DUMMYFUNCTION("""COMPUTED_VALUE"""),"nan")</f>
        <v>nan</v>
      </c>
      <c r="L717" s="17">
        <f ca="1">IFERROR(__xludf.DUMMYFUNCTION("""COMPUTED_VALUE"""),0.817724782798672)</f>
        <v>0.817724782798672</v>
      </c>
      <c r="M717" s="17">
        <f ca="1">IFERROR(__xludf.DUMMYFUNCTION("""COMPUTED_VALUE"""),0.88233483495991)</f>
        <v>0.88233483495991005</v>
      </c>
      <c r="N717" s="17">
        <f ca="1">IFERROR(__xludf.DUMMYFUNCTION("""COMPUTED_VALUE"""),0.877582192090627)</f>
        <v>0.87758219209062704</v>
      </c>
      <c r="O717" s="17">
        <f ca="1">IFERROR(__xludf.DUMMYFUNCTION("""COMPUTED_VALUE"""),0.797472279424194)</f>
        <v>0.79747227942419396</v>
      </c>
      <c r="P717" s="17">
        <f ca="1">IFERROR(__xludf.DUMMYFUNCTION("""COMPUTED_VALUE"""),0.938046451890485)</f>
        <v>0.93804645189048497</v>
      </c>
      <c r="Q717" s="17">
        <f ca="1">IFERROR(__xludf.DUMMYFUNCTION("""COMPUTED_VALUE"""),1.18268810694006)</f>
        <v>1.1826881069400601</v>
      </c>
      <c r="R717" s="17">
        <f ca="1">IFERROR(__xludf.DUMMYFUNCTION("""COMPUTED_VALUE"""),0.813266805072187)</f>
        <v>0.81326680507218696</v>
      </c>
      <c r="S717" s="17">
        <f ca="1">IFERROR(__xludf.DUMMYFUNCTION("""COMPUTED_VALUE"""),1.04750045610577)</f>
        <v>1.0475004561057699</v>
      </c>
      <c r="T717" s="17">
        <f ca="1">IFERROR(__xludf.DUMMYFUNCTION("""COMPUTED_VALUE"""),0.868926956886083)</f>
        <v>0.86892695688608301</v>
      </c>
      <c r="U717" s="17">
        <f ca="1">IFERROR(__xludf.DUMMYFUNCTION("""COMPUTED_VALUE"""),0.828943930106208)</f>
        <v>0.82894393010620804</v>
      </c>
      <c r="V717" s="17">
        <f ca="1">IFERROR(__xludf.DUMMYFUNCTION("""COMPUTED_VALUE"""),0.898906158649611)</f>
        <v>0.89890615864961099</v>
      </c>
      <c r="W717" s="17">
        <f ca="1">IFERROR(__xludf.DUMMYFUNCTION("""COMPUTED_VALUE"""),0.911943114411791)</f>
        <v>0.91194311441179099</v>
      </c>
      <c r="X717" s="17">
        <f ca="1">IFERROR(__xludf.DUMMYFUNCTION("""COMPUTED_VALUE"""),0.840128579944)</f>
        <v>0.84012857994400003</v>
      </c>
      <c r="Y717" s="17">
        <f ca="1">IFERROR(__xludf.DUMMYFUNCTION("""COMPUTED_VALUE"""),0.855699165785442)</f>
        <v>0.85569916578544203</v>
      </c>
      <c r="Z717" s="17">
        <f ca="1">IFERROR(__xludf.DUMMYFUNCTION("""COMPUTED_VALUE"""),0.913672227967934)</f>
        <v>0.91367222796793401</v>
      </c>
      <c r="AA717" s="17">
        <f ca="1">IFERROR(__xludf.DUMMYFUNCTION("""COMPUTED_VALUE"""),0.853542775579625)</f>
        <v>0.85354277557962499</v>
      </c>
      <c r="AB717" s="17">
        <f ca="1">IFERROR(__xludf.DUMMYFUNCTION("""COMPUTED_VALUE"""),0.916822662892948)</f>
        <v>0.916822662892948</v>
      </c>
      <c r="AC717" s="17">
        <f ca="1">IFERROR(__xludf.DUMMYFUNCTION("""COMPUTED_VALUE"""),0.908711574818169)</f>
        <v>0.908711574818169</v>
      </c>
      <c r="AD717" s="17">
        <f ca="1">IFERROR(__xludf.DUMMYFUNCTION("""COMPUTED_VALUE"""),0.901616106464633)</f>
        <v>0.90161610646463297</v>
      </c>
      <c r="AE717" s="17">
        <f ca="1">IFERROR(__xludf.DUMMYFUNCTION("""COMPUTED_VALUE"""),1.12672771398586)</f>
        <v>1.12672771398586</v>
      </c>
      <c r="AF717" s="17">
        <f ca="1">IFERROR(__xludf.DUMMYFUNCTION("""COMPUTED_VALUE"""),0.917726244608575)</f>
        <v>0.91772624460857499</v>
      </c>
      <c r="AG717" s="17">
        <f ca="1">IFERROR(__xludf.DUMMYFUNCTION("""COMPUTED_VALUE"""),0.897739006031393)</f>
        <v>0.89773900603139301</v>
      </c>
      <c r="AH717" s="17">
        <f ca="1">IFERROR(__xludf.DUMMYFUNCTION("""COMPUTED_VALUE"""),0.918266430094348)</f>
        <v>0.91826643009434805</v>
      </c>
      <c r="AI717" s="17" t="str">
        <f ca="1">IFERROR(__xludf.DUMMYFUNCTION("""COMPUTED_VALUE"""),"nan")</f>
        <v>nan</v>
      </c>
      <c r="AJ717" s="17">
        <f ca="1">IFERROR(__xludf.DUMMYFUNCTION("""COMPUTED_VALUE"""),0.838889404735825)</f>
        <v>0.83888940473582496</v>
      </c>
    </row>
    <row r="718" spans="2:36" ht="15.75" customHeight="1" x14ac:dyDescent="0.45">
      <c r="B718" s="10" t="str">
        <f ca="1">IFERROR(__xludf.DUMMYFUNCTION("""COMPUTED_VALUE"""),"SemgHandGenderCh2")</f>
        <v>SemgHandGenderCh2</v>
      </c>
      <c r="C718" s="10" t="str">
        <f ca="1">IFERROR(__xludf.DUMMYFUNCTION("""COMPUTED_VALUE"""),"mcar")</f>
        <v>mcar</v>
      </c>
      <c r="D718" s="10">
        <f ca="1">IFERROR(__xludf.DUMMYFUNCTION("""COMPUTED_VALUE"""),0.2)</f>
        <v>0.2</v>
      </c>
      <c r="E718" s="17">
        <f ca="1">IFERROR(__xludf.DUMMYFUNCTION("""COMPUTED_VALUE"""),1.1004542994366)</f>
        <v>1.1004542994366</v>
      </c>
      <c r="F718" s="17">
        <f ca="1">IFERROR(__xludf.DUMMYFUNCTION("""COMPUTED_VALUE"""),0.917684015562286)</f>
        <v>0.91768401556228596</v>
      </c>
      <c r="G718" s="17">
        <f ca="1">IFERROR(__xludf.DUMMYFUNCTION("""COMPUTED_VALUE"""),0.996420679270568)</f>
        <v>0.99642067927056799</v>
      </c>
      <c r="H718" s="17">
        <f ca="1">IFERROR(__xludf.DUMMYFUNCTION("""COMPUTED_VALUE"""),0.972175049352626)</f>
        <v>0.972175049352626</v>
      </c>
      <c r="I718" s="17">
        <f ca="1">IFERROR(__xludf.DUMMYFUNCTION("""COMPUTED_VALUE"""),0.917436860488879)</f>
        <v>0.91743686048887896</v>
      </c>
      <c r="J718" s="17">
        <f ca="1">IFERROR(__xludf.DUMMYFUNCTION("""COMPUTED_VALUE"""),0.946521929942207)</f>
        <v>0.94652192994220696</v>
      </c>
      <c r="K718" s="17" t="str">
        <f ca="1">IFERROR(__xludf.DUMMYFUNCTION("""COMPUTED_VALUE"""),"nan")</f>
        <v>nan</v>
      </c>
      <c r="L718" s="17">
        <f ca="1">IFERROR(__xludf.DUMMYFUNCTION("""COMPUTED_VALUE"""),0.905766333768891)</f>
        <v>0.90576633376889104</v>
      </c>
      <c r="M718" s="17">
        <f ca="1">IFERROR(__xludf.DUMMYFUNCTION("""COMPUTED_VALUE"""),0.911397545905023)</f>
        <v>0.91139754590502298</v>
      </c>
      <c r="N718" s="17">
        <f ca="1">IFERROR(__xludf.DUMMYFUNCTION("""COMPUTED_VALUE"""),0.925498248027004)</f>
        <v>0.92549824802700398</v>
      </c>
      <c r="O718" s="17">
        <f ca="1">IFERROR(__xludf.DUMMYFUNCTION("""COMPUTED_VALUE"""),0.865279599336)</f>
        <v>0.86527959933599996</v>
      </c>
      <c r="P718" s="17">
        <f ca="1">IFERROR(__xludf.DUMMYFUNCTION("""COMPUTED_VALUE"""),1.02920431851987)</f>
        <v>1.02920431851987</v>
      </c>
      <c r="Q718" s="17">
        <f ca="1">IFERROR(__xludf.DUMMYFUNCTION("""COMPUTED_VALUE"""),1.21815226820343)</f>
        <v>1.21815226820343</v>
      </c>
      <c r="R718" s="17">
        <f ca="1">IFERROR(__xludf.DUMMYFUNCTION("""COMPUTED_VALUE"""),0.858199649833209)</f>
        <v>0.85819964983320896</v>
      </c>
      <c r="S718" s="17">
        <f ca="1">IFERROR(__xludf.DUMMYFUNCTION("""COMPUTED_VALUE"""),1.25273801344797)</f>
        <v>1.25273801344797</v>
      </c>
      <c r="T718" s="17">
        <f ca="1">IFERROR(__xludf.DUMMYFUNCTION("""COMPUTED_VALUE"""),0.975745144871631)</f>
        <v>0.975745144871631</v>
      </c>
      <c r="U718" s="17">
        <f ca="1">IFERROR(__xludf.DUMMYFUNCTION("""COMPUTED_VALUE"""),0.924414427055807)</f>
        <v>0.92441442705580701</v>
      </c>
      <c r="V718" s="17">
        <f ca="1">IFERROR(__xludf.DUMMYFUNCTION("""COMPUTED_VALUE"""),0.973601534239828)</f>
        <v>0.97360153423982798</v>
      </c>
      <c r="W718" s="17">
        <f ca="1">IFERROR(__xludf.DUMMYFUNCTION("""COMPUTED_VALUE"""),1.02625170328567)</f>
        <v>1.0262517032856699</v>
      </c>
      <c r="X718" s="17">
        <f ca="1">IFERROR(__xludf.DUMMYFUNCTION("""COMPUTED_VALUE"""),0.895989809196828)</f>
        <v>0.89598980919682802</v>
      </c>
      <c r="Y718" s="17">
        <f ca="1">IFERROR(__xludf.DUMMYFUNCTION("""COMPUTED_VALUE"""),0.887506248510585)</f>
        <v>0.88750624851058502</v>
      </c>
      <c r="Z718" s="17">
        <f ca="1">IFERROR(__xludf.DUMMYFUNCTION("""COMPUTED_VALUE"""),1.00211356786759)</f>
        <v>1.0021135678675901</v>
      </c>
      <c r="AA718" s="17">
        <f ca="1">IFERROR(__xludf.DUMMYFUNCTION("""COMPUTED_VALUE"""),0.9082297308933)</f>
        <v>0.90822973089329995</v>
      </c>
      <c r="AB718" s="17">
        <f ca="1">IFERROR(__xludf.DUMMYFUNCTION("""COMPUTED_VALUE"""),1.02387587980185)</f>
        <v>1.0238758798018499</v>
      </c>
      <c r="AC718" s="17">
        <f ca="1">IFERROR(__xludf.DUMMYFUNCTION("""COMPUTED_VALUE"""),0.976701599543131)</f>
        <v>0.97670159954313096</v>
      </c>
      <c r="AD718" s="17">
        <f ca="1">IFERROR(__xludf.DUMMYFUNCTION("""COMPUTED_VALUE"""),0.994929790806253)</f>
        <v>0.99492979080625299</v>
      </c>
      <c r="AE718" s="17">
        <f ca="1">IFERROR(__xludf.DUMMYFUNCTION("""COMPUTED_VALUE"""),1.16762461188136)</f>
        <v>1.16762461188136</v>
      </c>
      <c r="AF718" s="17">
        <f ca="1">IFERROR(__xludf.DUMMYFUNCTION("""COMPUTED_VALUE"""),0.942168172363687)</f>
        <v>0.942168172363687</v>
      </c>
      <c r="AG718" s="17">
        <f ca="1">IFERROR(__xludf.DUMMYFUNCTION("""COMPUTED_VALUE"""),1.02408352503985)</f>
        <v>1.0240835250398499</v>
      </c>
      <c r="AH718" s="17">
        <f ca="1">IFERROR(__xludf.DUMMYFUNCTION("""COMPUTED_VALUE"""),1.00470276149102)</f>
        <v>1.00470276149102</v>
      </c>
      <c r="AI718" s="17" t="str">
        <f ca="1">IFERROR(__xludf.DUMMYFUNCTION("""COMPUTED_VALUE"""),"nan")</f>
        <v>nan</v>
      </c>
      <c r="AJ718" s="17">
        <f ca="1">IFERROR(__xludf.DUMMYFUNCTION("""COMPUTED_VALUE"""),0.93734786264275)</f>
        <v>0.93734786264275005</v>
      </c>
    </row>
    <row r="719" spans="2:36" ht="15.75" customHeight="1" x14ac:dyDescent="0.45">
      <c r="B719" s="10" t="str">
        <f ca="1">IFERROR(__xludf.DUMMYFUNCTION("""COMPUTED_VALUE"""),"SemgHandGenderCh2")</f>
        <v>SemgHandGenderCh2</v>
      </c>
      <c r="C719" s="10" t="str">
        <f ca="1">IFERROR(__xludf.DUMMYFUNCTION("""COMPUTED_VALUE"""),"mcar")</f>
        <v>mcar</v>
      </c>
      <c r="D719" s="10">
        <f ca="1">IFERROR(__xludf.DUMMYFUNCTION("""COMPUTED_VALUE"""),0.4)</f>
        <v>0.4</v>
      </c>
      <c r="E719" s="17">
        <f ca="1">IFERROR(__xludf.DUMMYFUNCTION("""COMPUTED_VALUE"""),1.0697606732046)</f>
        <v>1.0697606732046001</v>
      </c>
      <c r="F719" s="17">
        <f ca="1">IFERROR(__xludf.DUMMYFUNCTION("""COMPUTED_VALUE"""),0.893629813116824)</f>
        <v>0.89362981311682399</v>
      </c>
      <c r="G719" s="17">
        <f ca="1">IFERROR(__xludf.DUMMYFUNCTION("""COMPUTED_VALUE"""),1.02964538714807)</f>
        <v>1.02964538714807</v>
      </c>
      <c r="H719" s="17">
        <f ca="1">IFERROR(__xludf.DUMMYFUNCTION("""COMPUTED_VALUE"""),0.930665363401347)</f>
        <v>0.93066536340134698</v>
      </c>
      <c r="I719" s="17">
        <f ca="1">IFERROR(__xludf.DUMMYFUNCTION("""COMPUTED_VALUE"""),0.895984909377548)</f>
        <v>0.89598490937754804</v>
      </c>
      <c r="J719" s="17">
        <f ca="1">IFERROR(__xludf.DUMMYFUNCTION("""COMPUTED_VALUE"""),0.954288918496095)</f>
        <v>0.95428891849609498</v>
      </c>
      <c r="K719" s="17" t="str">
        <f ca="1">IFERROR(__xludf.DUMMYFUNCTION("""COMPUTED_VALUE"""),"nan")</f>
        <v>nan</v>
      </c>
      <c r="L719" s="17">
        <f ca="1">IFERROR(__xludf.DUMMYFUNCTION("""COMPUTED_VALUE"""),0.882215000577217)</f>
        <v>0.88221500057721702</v>
      </c>
      <c r="M719" s="17">
        <f ca="1">IFERROR(__xludf.DUMMYFUNCTION("""COMPUTED_VALUE"""),0.882834304078643)</f>
        <v>0.88283430407864305</v>
      </c>
      <c r="N719" s="17">
        <f ca="1">IFERROR(__xludf.DUMMYFUNCTION("""COMPUTED_VALUE"""),0.890806478521469)</f>
        <v>0.89080647852146899</v>
      </c>
      <c r="O719" s="17">
        <f ca="1">IFERROR(__xludf.DUMMYFUNCTION("""COMPUTED_VALUE"""),0.847213151622301)</f>
        <v>0.84721315162230104</v>
      </c>
      <c r="P719" s="17">
        <f ca="1">IFERROR(__xludf.DUMMYFUNCTION("""COMPUTED_VALUE"""),1.00237290485069)</f>
        <v>1.00237290485069</v>
      </c>
      <c r="Q719" s="17">
        <f ca="1">IFERROR(__xludf.DUMMYFUNCTION("""COMPUTED_VALUE"""),1.1802519444829)</f>
        <v>1.1802519444829001</v>
      </c>
      <c r="R719" s="17">
        <f ca="1">IFERROR(__xludf.DUMMYFUNCTION("""COMPUTED_VALUE"""),0.842167278702167)</f>
        <v>0.84216727870216701</v>
      </c>
      <c r="S719" s="17">
        <f ca="1">IFERROR(__xludf.DUMMYFUNCTION("""COMPUTED_VALUE"""),1.46787096752349)</f>
        <v>1.46787096752349</v>
      </c>
      <c r="T719" s="17">
        <f ca="1">IFERROR(__xludf.DUMMYFUNCTION("""COMPUTED_VALUE"""),0.948150992814108)</f>
        <v>0.94815099281410797</v>
      </c>
      <c r="U719" s="17">
        <f ca="1">IFERROR(__xludf.DUMMYFUNCTION("""COMPUTED_VALUE"""),0.902865510773946)</f>
        <v>0.90286551077394595</v>
      </c>
      <c r="V719" s="17">
        <f ca="1">IFERROR(__xludf.DUMMYFUNCTION("""COMPUTED_VALUE"""),0.963446295355983)</f>
        <v>0.96344629535598303</v>
      </c>
      <c r="W719" s="17">
        <f ca="1">IFERROR(__xludf.DUMMYFUNCTION("""COMPUTED_VALUE"""),0.968266602515744)</f>
        <v>0.96826660251574403</v>
      </c>
      <c r="X719" s="17">
        <f ca="1">IFERROR(__xludf.DUMMYFUNCTION("""COMPUTED_VALUE"""),0.874441721749158)</f>
        <v>0.87444172174915802</v>
      </c>
      <c r="Y719" s="17">
        <f ca="1">IFERROR(__xludf.DUMMYFUNCTION("""COMPUTED_VALUE"""),0.868420463792479)</f>
        <v>0.86842046379247895</v>
      </c>
      <c r="Z719" s="17">
        <f ca="1">IFERROR(__xludf.DUMMYFUNCTION("""COMPUTED_VALUE"""),0.970885066270179)</f>
        <v>0.97088506627017901</v>
      </c>
      <c r="AA719" s="17">
        <f ca="1">IFERROR(__xludf.DUMMYFUNCTION("""COMPUTED_VALUE"""),0.894304775832092)</f>
        <v>0.894304775832092</v>
      </c>
      <c r="AB719" s="17">
        <f ca="1">IFERROR(__xludf.DUMMYFUNCTION("""COMPUTED_VALUE"""),0.986279486228246)</f>
        <v>0.98627948622824602</v>
      </c>
      <c r="AC719" s="17">
        <f ca="1">IFERROR(__xludf.DUMMYFUNCTION("""COMPUTED_VALUE"""),0.955138440726285)</f>
        <v>0.95513844072628495</v>
      </c>
      <c r="AD719" s="17">
        <f ca="1">IFERROR(__xludf.DUMMYFUNCTION("""COMPUTED_VALUE"""),0.951711833911534)</f>
        <v>0.95171183391153402</v>
      </c>
      <c r="AE719" s="17">
        <f ca="1">IFERROR(__xludf.DUMMYFUNCTION("""COMPUTED_VALUE"""),1.11155200302134)</f>
        <v>1.1115520030213399</v>
      </c>
      <c r="AF719" s="17">
        <f ca="1">IFERROR(__xludf.DUMMYFUNCTION("""COMPUTED_VALUE"""),0.916682031475345)</f>
        <v>0.91668203147534499</v>
      </c>
      <c r="AG719" s="17">
        <f ca="1">IFERROR(__xludf.DUMMYFUNCTION("""COMPUTED_VALUE"""),1.0705054362371)</f>
        <v>1.0705054362371</v>
      </c>
      <c r="AH719" s="17">
        <f ca="1">IFERROR(__xludf.DUMMYFUNCTION("""COMPUTED_VALUE"""),0.970674963273178)</f>
        <v>0.97067496327317804</v>
      </c>
      <c r="AI719" s="17" t="str">
        <f ca="1">IFERROR(__xludf.DUMMYFUNCTION("""COMPUTED_VALUE"""),"nan")</f>
        <v>nan</v>
      </c>
      <c r="AJ719" s="17">
        <f ca="1">IFERROR(__xludf.DUMMYFUNCTION("""COMPUTED_VALUE"""),0.90900718301446)</f>
        <v>0.90900718301446004</v>
      </c>
    </row>
    <row r="720" spans="2:36" ht="15.75" customHeight="1" x14ac:dyDescent="0.45">
      <c r="B720" s="10" t="str">
        <f ca="1">IFERROR(__xludf.DUMMYFUNCTION("""COMPUTED_VALUE"""),"SemgHandGenderCh2")</f>
        <v>SemgHandGenderCh2</v>
      </c>
      <c r="C720" s="10" t="str">
        <f ca="1">IFERROR(__xludf.DUMMYFUNCTION("""COMPUTED_VALUE"""),"mcar")</f>
        <v>mcar</v>
      </c>
      <c r="D720" s="10">
        <f ca="1">IFERROR(__xludf.DUMMYFUNCTION("""COMPUTED_VALUE"""),0.6)</f>
        <v>0.6</v>
      </c>
      <c r="E720" s="17">
        <f ca="1">IFERROR(__xludf.DUMMYFUNCTION("""COMPUTED_VALUE"""),1.03184487981504)</f>
        <v>1.0318448798150399</v>
      </c>
      <c r="F720" s="17">
        <f ca="1">IFERROR(__xludf.DUMMYFUNCTION("""COMPUTED_VALUE"""),0.875662025873513)</f>
        <v>0.87566202587351305</v>
      </c>
      <c r="G720" s="17">
        <f ca="1">IFERROR(__xludf.DUMMYFUNCTION("""COMPUTED_VALUE"""),1.02768622253367)</f>
        <v>1.02768622253367</v>
      </c>
      <c r="H720" s="17">
        <f ca="1">IFERROR(__xludf.DUMMYFUNCTION("""COMPUTED_VALUE"""),0.908814513301921)</f>
        <v>0.90881451330192098</v>
      </c>
      <c r="I720" s="17">
        <f ca="1">IFERROR(__xludf.DUMMYFUNCTION("""COMPUTED_VALUE"""),0.892286996914369)</f>
        <v>0.89228699691436897</v>
      </c>
      <c r="J720" s="17">
        <f ca="1">IFERROR(__xludf.DUMMYFUNCTION("""COMPUTED_VALUE"""),0.947855334759643)</f>
        <v>0.94785533475964301</v>
      </c>
      <c r="K720" s="17" t="str">
        <f ca="1">IFERROR(__xludf.DUMMYFUNCTION("""COMPUTED_VALUE"""),"nan")</f>
        <v>nan</v>
      </c>
      <c r="L720" s="17">
        <f ca="1">IFERROR(__xludf.DUMMYFUNCTION("""COMPUTED_VALUE"""),0.883517899924086)</f>
        <v>0.88351789992408603</v>
      </c>
      <c r="M720" s="17">
        <f ca="1">IFERROR(__xludf.DUMMYFUNCTION("""COMPUTED_VALUE"""),0.874084204463869)</f>
        <v>0.87408420446386903</v>
      </c>
      <c r="N720" s="17">
        <f ca="1">IFERROR(__xludf.DUMMYFUNCTION("""COMPUTED_VALUE"""),0.878200461331934)</f>
        <v>0.87820046133193397</v>
      </c>
      <c r="O720" s="17">
        <f ca="1">IFERROR(__xludf.DUMMYFUNCTION("""COMPUTED_VALUE"""),0.845220700790725)</f>
        <v>0.84522070079072498</v>
      </c>
      <c r="P720" s="17">
        <f ca="1">IFERROR(__xludf.DUMMYFUNCTION("""COMPUTED_VALUE"""),0.988542882952924)</f>
        <v>0.98854288295292403</v>
      </c>
      <c r="Q720" s="17">
        <f ca="1">IFERROR(__xludf.DUMMYFUNCTION("""COMPUTED_VALUE"""),1.14616187249819)</f>
        <v>1.1461618724981899</v>
      </c>
      <c r="R720" s="17">
        <f ca="1">IFERROR(__xludf.DUMMYFUNCTION("""COMPUTED_VALUE"""),0.858909488602231)</f>
        <v>0.85890948860223104</v>
      </c>
      <c r="S720" s="17">
        <f ca="1">IFERROR(__xludf.DUMMYFUNCTION("""COMPUTED_VALUE"""),1.44359711412583)</f>
        <v>1.4435971141258299</v>
      </c>
      <c r="T720" s="17">
        <f ca="1">IFERROR(__xludf.DUMMYFUNCTION("""COMPUTED_VALUE"""),0.921048749882391)</f>
        <v>0.92104874988239105</v>
      </c>
      <c r="U720" s="17">
        <f ca="1">IFERROR(__xludf.DUMMYFUNCTION("""COMPUTED_VALUE"""),0.895499553163796)</f>
        <v>0.89549955316379604</v>
      </c>
      <c r="V720" s="17">
        <f ca="1">IFERROR(__xludf.DUMMYFUNCTION("""COMPUTED_VALUE"""),0.933534083611268)</f>
        <v>0.933534083611268</v>
      </c>
      <c r="W720" s="17">
        <f ca="1">IFERROR(__xludf.DUMMYFUNCTION("""COMPUTED_VALUE"""),0.960399711621998)</f>
        <v>0.960399711621998</v>
      </c>
      <c r="X720" s="17">
        <f ca="1">IFERROR(__xludf.DUMMYFUNCTION("""COMPUTED_VALUE"""),0.865201950326644)</f>
        <v>0.86520195032664404</v>
      </c>
      <c r="Y720" s="17">
        <f ca="1">IFERROR(__xludf.DUMMYFUNCTION("""COMPUTED_VALUE"""),0.859910815839868)</f>
        <v>0.85991081583986795</v>
      </c>
      <c r="Z720" s="17">
        <f ca="1">IFERROR(__xludf.DUMMYFUNCTION("""COMPUTED_VALUE"""),0.948891352660314)</f>
        <v>0.94889135266031399</v>
      </c>
      <c r="AA720" s="17">
        <f ca="1">IFERROR(__xludf.DUMMYFUNCTION("""COMPUTED_VALUE"""),0.906422329174913)</f>
        <v>0.90642232917491306</v>
      </c>
      <c r="AB720" s="17">
        <f ca="1">IFERROR(__xludf.DUMMYFUNCTION("""COMPUTED_VALUE"""),0.986551212286571)</f>
        <v>0.98655121228657106</v>
      </c>
      <c r="AC720" s="17">
        <f ca="1">IFERROR(__xludf.DUMMYFUNCTION("""COMPUTED_VALUE"""),0.936541510457277)</f>
        <v>0.93654151045727696</v>
      </c>
      <c r="AD720" s="17">
        <f ca="1">IFERROR(__xludf.DUMMYFUNCTION("""COMPUTED_VALUE"""),0.926793717845042)</f>
        <v>0.92679371784504205</v>
      </c>
      <c r="AE720" s="17">
        <f ca="1">IFERROR(__xludf.DUMMYFUNCTION("""COMPUTED_VALUE"""),1.09254335307969)</f>
        <v>1.09254335307969</v>
      </c>
      <c r="AF720" s="17">
        <f ca="1">IFERROR(__xludf.DUMMYFUNCTION("""COMPUTED_VALUE"""),0.919331173949911)</f>
        <v>0.91933117394991104</v>
      </c>
      <c r="AG720" s="17">
        <f ca="1">IFERROR(__xludf.DUMMYFUNCTION("""COMPUTED_VALUE"""),1.15449121195894)</f>
        <v>1.1544912119589399</v>
      </c>
      <c r="AH720" s="17">
        <f ca="1">IFERROR(__xludf.DUMMYFUNCTION("""COMPUTED_VALUE"""),0.956129235412344)</f>
        <v>0.95612923541234396</v>
      </c>
      <c r="AI720" s="17" t="str">
        <f ca="1">IFERROR(__xludf.DUMMYFUNCTION("""COMPUTED_VALUE"""),"nan")</f>
        <v>nan</v>
      </c>
      <c r="AJ720" s="17">
        <f ca="1">IFERROR(__xludf.DUMMYFUNCTION("""COMPUTED_VALUE"""),0.946127241971969)</f>
        <v>0.94612724197196896</v>
      </c>
    </row>
    <row r="721" spans="2:36" ht="15.75" customHeight="1" x14ac:dyDescent="0.45">
      <c r="B721" s="10" t="str">
        <f ca="1">IFERROR(__xludf.DUMMYFUNCTION("""COMPUTED_VALUE"""),"SemgHandGenderCh2")</f>
        <v>SemgHandGenderCh2</v>
      </c>
      <c r="C721" s="10" t="str">
        <f ca="1">IFERROR(__xludf.DUMMYFUNCTION("""COMPUTED_VALUE"""),"mcar")</f>
        <v>mcar</v>
      </c>
      <c r="D721" s="10">
        <f ca="1">IFERROR(__xludf.DUMMYFUNCTION("""COMPUTED_VALUE"""),0.8)</f>
        <v>0.8</v>
      </c>
      <c r="E721" s="17">
        <f ca="1">IFERROR(__xludf.DUMMYFUNCTION("""COMPUTED_VALUE"""),1.01291067469362)</f>
        <v>1.0129106746936201</v>
      </c>
      <c r="F721" s="17">
        <f ca="1">IFERROR(__xludf.DUMMYFUNCTION("""COMPUTED_VALUE"""),0.85791553077258)</f>
        <v>0.85791553077257998</v>
      </c>
      <c r="G721" s="17">
        <f ca="1">IFERROR(__xludf.DUMMYFUNCTION("""COMPUTED_VALUE"""),0.904088978709763)</f>
        <v>0.90408897870976301</v>
      </c>
      <c r="H721" s="17">
        <f ca="1">IFERROR(__xludf.DUMMYFUNCTION("""COMPUTED_VALUE"""),0.895071606060985)</f>
        <v>0.89507160606098501</v>
      </c>
      <c r="I721" s="17">
        <f ca="1">IFERROR(__xludf.DUMMYFUNCTION("""COMPUTED_VALUE"""),0.900356147183802)</f>
        <v>0.90035614718380197</v>
      </c>
      <c r="J721" s="17">
        <f ca="1">IFERROR(__xludf.DUMMYFUNCTION("""COMPUTED_VALUE"""),1.10452233320062)</f>
        <v>1.10452233320062</v>
      </c>
      <c r="K721" s="17" t="str">
        <f ca="1">IFERROR(__xludf.DUMMYFUNCTION("""COMPUTED_VALUE"""),"nan")</f>
        <v>nan</v>
      </c>
      <c r="L721" s="17">
        <f ca="1">IFERROR(__xludf.DUMMYFUNCTION("""COMPUTED_VALUE"""),0.869708176987828)</f>
        <v>0.86970817698782799</v>
      </c>
      <c r="M721" s="17">
        <f ca="1">IFERROR(__xludf.DUMMYFUNCTION("""COMPUTED_VALUE"""),0.866717065668292)</f>
        <v>0.86671706566829199</v>
      </c>
      <c r="N721" s="17">
        <f ca="1">IFERROR(__xludf.DUMMYFUNCTION("""COMPUTED_VALUE"""),0.885562555902384)</f>
        <v>0.88556255590238397</v>
      </c>
      <c r="O721" s="17">
        <f ca="1">IFERROR(__xludf.DUMMYFUNCTION("""COMPUTED_VALUE"""),0.842284712530288)</f>
        <v>0.84228471253028803</v>
      </c>
      <c r="P721" s="17">
        <f ca="1">IFERROR(__xludf.DUMMYFUNCTION("""COMPUTED_VALUE"""),1.00600210215209)</f>
        <v>1.00600210215209</v>
      </c>
      <c r="Q721" s="17">
        <f ca="1">IFERROR(__xludf.DUMMYFUNCTION("""COMPUTED_VALUE"""),1.14911843591123)</f>
        <v>1.1491184359112301</v>
      </c>
      <c r="R721" s="17">
        <f ca="1">IFERROR(__xludf.DUMMYFUNCTION("""COMPUTED_VALUE"""),0.89461820379031)</f>
        <v>0.89461820379030998</v>
      </c>
      <c r="S721" s="17">
        <f ca="1">IFERROR(__xludf.DUMMYFUNCTION("""COMPUTED_VALUE"""),1.43785472087386)</f>
        <v>1.4378547208738599</v>
      </c>
      <c r="T721" s="17">
        <f ca="1">IFERROR(__xludf.DUMMYFUNCTION("""COMPUTED_VALUE"""),0.925523188190396)</f>
        <v>0.92552318819039603</v>
      </c>
      <c r="U721" s="17">
        <f ca="1">IFERROR(__xludf.DUMMYFUNCTION("""COMPUTED_VALUE"""),0.892981023698789)</f>
        <v>0.89298102369878896</v>
      </c>
      <c r="V721" s="17">
        <f ca="1">IFERROR(__xludf.DUMMYFUNCTION("""COMPUTED_VALUE"""),0.944548438565665)</f>
        <v>0.94454843856566495</v>
      </c>
      <c r="W721" s="17">
        <f ca="1">IFERROR(__xludf.DUMMYFUNCTION("""COMPUTED_VALUE"""),0.946203837286341)</f>
        <v>0.94620383728634105</v>
      </c>
      <c r="X721" s="17">
        <f ca="1">IFERROR(__xludf.DUMMYFUNCTION("""COMPUTED_VALUE"""),0.858890856223678)</f>
        <v>0.858890856223678</v>
      </c>
      <c r="Y721" s="17">
        <f ca="1">IFERROR(__xludf.DUMMYFUNCTION("""COMPUTED_VALUE"""),0.884185693421452)</f>
        <v>0.88418569342145203</v>
      </c>
      <c r="Z721" s="17">
        <f ca="1">IFERROR(__xludf.DUMMYFUNCTION("""COMPUTED_VALUE"""),0.950461225995837)</f>
        <v>0.95046122599583704</v>
      </c>
      <c r="AA721" s="17">
        <f ca="1">IFERROR(__xludf.DUMMYFUNCTION("""COMPUTED_VALUE"""),0.925818201318975)</f>
        <v>0.92581820131897496</v>
      </c>
      <c r="AB721" s="17">
        <f ca="1">IFERROR(__xludf.DUMMYFUNCTION("""COMPUTED_VALUE"""),1.1092641806251)</f>
        <v>1.1092641806251</v>
      </c>
      <c r="AC721" s="17">
        <f ca="1">IFERROR(__xludf.DUMMYFUNCTION("""COMPUTED_VALUE"""),0.960047342447217)</f>
        <v>0.96004734244721701</v>
      </c>
      <c r="AD721" s="17">
        <f ca="1">IFERROR(__xludf.DUMMYFUNCTION("""COMPUTED_VALUE"""),0.922117900736996)</f>
        <v>0.92211790073699595</v>
      </c>
      <c r="AE721" s="17" t="str">
        <f ca="1">IFERROR(__xludf.DUMMYFUNCTION("""COMPUTED_VALUE"""),"nan")</f>
        <v>nan</v>
      </c>
      <c r="AF721" s="17">
        <f ca="1">IFERROR(__xludf.DUMMYFUNCTION("""COMPUTED_VALUE"""),0.974951506406173)</f>
        <v>0.97495150640617301</v>
      </c>
      <c r="AG721" s="17">
        <f ca="1">IFERROR(__xludf.DUMMYFUNCTION("""COMPUTED_VALUE"""),1.16222373183764)</f>
        <v>1.1622237318376401</v>
      </c>
      <c r="AH721" s="17">
        <f ca="1">IFERROR(__xludf.DUMMYFUNCTION("""COMPUTED_VALUE"""),1.06761734927857)</f>
        <v>1.0676173492785701</v>
      </c>
      <c r="AI721" s="17" t="str">
        <f ca="1">IFERROR(__xludf.DUMMYFUNCTION("""COMPUTED_VALUE"""),"nan")</f>
        <v>nan</v>
      </c>
      <c r="AJ721" s="17">
        <f ca="1">IFERROR(__xludf.DUMMYFUNCTION("""COMPUTED_VALUE"""),1.09610121438852)</f>
        <v>1.09610121438852</v>
      </c>
    </row>
    <row r="722" spans="2:36" ht="15.75" customHeight="1" x14ac:dyDescent="0.45">
      <c r="B722" s="10" t="str">
        <f ca="1">IFERROR(__xludf.DUMMYFUNCTION("""COMPUTED_VALUE"""),"SemgHandMovementCh2")</f>
        <v>SemgHandMovementCh2</v>
      </c>
      <c r="C722" s="10" t="str">
        <f ca="1">IFERROR(__xludf.DUMMYFUNCTION("""COMPUTED_VALUE"""),"aligned_series")</f>
        <v>aligned_series</v>
      </c>
      <c r="D722" s="10">
        <f ca="1">IFERROR(__xludf.DUMMYFUNCTION("""COMPUTED_VALUE"""),0.1)</f>
        <v>0.1</v>
      </c>
      <c r="E722" s="17">
        <f ca="1">IFERROR(__xludf.DUMMYFUNCTION("""COMPUTED_VALUE"""),0.852509205776899)</f>
        <v>0.85250920577689904</v>
      </c>
      <c r="F722" s="17">
        <f ca="1">IFERROR(__xludf.DUMMYFUNCTION("""COMPUTED_VALUE"""),0.610748153273235)</f>
        <v>0.61074815327323495</v>
      </c>
      <c r="G722" s="17">
        <f ca="1">IFERROR(__xludf.DUMMYFUNCTION("""COMPUTED_VALUE"""),0.611716101867091)</f>
        <v>0.61171610186709102</v>
      </c>
      <c r="H722" s="17">
        <f ca="1">IFERROR(__xludf.DUMMYFUNCTION("""COMPUTED_VALUE"""),0.645825100933889)</f>
        <v>0.64582510093388901</v>
      </c>
      <c r="I722" s="17">
        <f ca="1">IFERROR(__xludf.DUMMYFUNCTION("""COMPUTED_VALUE"""),0.624158616027791)</f>
        <v>0.62415861602779099</v>
      </c>
      <c r="J722" s="17">
        <f ca="1">IFERROR(__xludf.DUMMYFUNCTION("""COMPUTED_VALUE"""),0.876416095700496)</f>
        <v>0.87641609570049595</v>
      </c>
      <c r="K722" s="17" t="str">
        <f ca="1">IFERROR(__xludf.DUMMYFUNCTION("""COMPUTED_VALUE"""),"nan")</f>
        <v>nan</v>
      </c>
      <c r="L722" s="17">
        <f ca="1">IFERROR(__xludf.DUMMYFUNCTION("""COMPUTED_VALUE"""),0.596141235183705)</f>
        <v>0.59614123518370499</v>
      </c>
      <c r="M722" s="17">
        <f ca="1">IFERROR(__xludf.DUMMYFUNCTION("""COMPUTED_VALUE"""),0.59012957733921)</f>
        <v>0.59012957733921001</v>
      </c>
      <c r="N722" s="17">
        <f ca="1">IFERROR(__xludf.DUMMYFUNCTION("""COMPUTED_VALUE"""),0.630790725093393)</f>
        <v>0.63079072509339296</v>
      </c>
      <c r="O722" s="17">
        <f ca="1">IFERROR(__xludf.DUMMYFUNCTION("""COMPUTED_VALUE"""),0.581780747831381)</f>
        <v>0.58178074783138101</v>
      </c>
      <c r="P722" s="17">
        <f ca="1">IFERROR(__xludf.DUMMYFUNCTION("""COMPUTED_VALUE"""),0.795849083640343)</f>
        <v>0.79584908364034301</v>
      </c>
      <c r="Q722" s="17">
        <f ca="1">IFERROR(__xludf.DUMMYFUNCTION("""COMPUTED_VALUE"""),0.824053776139584)</f>
        <v>0.82405377613958397</v>
      </c>
      <c r="R722" s="17">
        <f ca="1">IFERROR(__xludf.DUMMYFUNCTION("""COMPUTED_VALUE"""),0.605424942764049)</f>
        <v>0.60542494276404901</v>
      </c>
      <c r="S722" s="17">
        <f ca="1">IFERROR(__xludf.DUMMYFUNCTION("""COMPUTED_VALUE"""),0.724317374029761)</f>
        <v>0.72431737402976104</v>
      </c>
      <c r="T722" s="17">
        <f ca="1">IFERROR(__xludf.DUMMYFUNCTION("""COMPUTED_VALUE"""),0.599293317578556)</f>
        <v>0.59929331757855597</v>
      </c>
      <c r="U722" s="17">
        <f ca="1">IFERROR(__xludf.DUMMYFUNCTION("""COMPUTED_VALUE"""),0.599193812752461)</f>
        <v>0.59919381275246097</v>
      </c>
      <c r="V722" s="17">
        <f ca="1">IFERROR(__xludf.DUMMYFUNCTION("""COMPUTED_VALUE"""),0.606674234759413)</f>
        <v>0.60667423475941296</v>
      </c>
      <c r="W722" s="17">
        <f ca="1">IFERROR(__xludf.DUMMYFUNCTION("""COMPUTED_VALUE"""),0.628535249559416)</f>
        <v>0.62853524955941598</v>
      </c>
      <c r="X722" s="17">
        <f ca="1">IFERROR(__xludf.DUMMYFUNCTION("""COMPUTED_VALUE"""),0.631521740197168)</f>
        <v>0.631521740197168</v>
      </c>
      <c r="Y722" s="17">
        <f ca="1">IFERROR(__xludf.DUMMYFUNCTION("""COMPUTED_VALUE"""),0.599280545845235)</f>
        <v>0.59928054584523505</v>
      </c>
      <c r="Z722" s="17">
        <f ca="1">IFERROR(__xludf.DUMMYFUNCTION("""COMPUTED_VALUE"""),0.593495750644895)</f>
        <v>0.59349575064489501</v>
      </c>
      <c r="AA722" s="17">
        <f ca="1">IFERROR(__xludf.DUMMYFUNCTION("""COMPUTED_VALUE"""),0.5922954446695)</f>
        <v>0.59229544466950002</v>
      </c>
      <c r="AB722" s="17">
        <f ca="1">IFERROR(__xludf.DUMMYFUNCTION("""COMPUTED_VALUE"""),0.673296401638141)</f>
        <v>0.67329640163814097</v>
      </c>
      <c r="AC722" s="17">
        <f ca="1">IFERROR(__xludf.DUMMYFUNCTION("""COMPUTED_VALUE"""),0.791404933108787)</f>
        <v>0.79140493310878701</v>
      </c>
      <c r="AD722" s="17">
        <f ca="1">IFERROR(__xludf.DUMMYFUNCTION("""COMPUTED_VALUE"""),0.607874755426161)</f>
        <v>0.60787475542616098</v>
      </c>
      <c r="AE722" s="17">
        <f ca="1">IFERROR(__xludf.DUMMYFUNCTION("""COMPUTED_VALUE"""),1.12192818456048)</f>
        <v>1.12192818456048</v>
      </c>
      <c r="AF722" s="17">
        <f ca="1">IFERROR(__xludf.DUMMYFUNCTION("""COMPUTED_VALUE"""),0.625381869854025)</f>
        <v>0.625381869854025</v>
      </c>
      <c r="AG722" s="17">
        <f ca="1">IFERROR(__xludf.DUMMYFUNCTION("""COMPUTED_VALUE"""),0.664623830700759)</f>
        <v>0.66462383070075903</v>
      </c>
      <c r="AH722" s="17">
        <f ca="1">IFERROR(__xludf.DUMMYFUNCTION("""COMPUTED_VALUE"""),0.673788020145132)</f>
        <v>0.67378802014513195</v>
      </c>
      <c r="AI722" s="17" t="str">
        <f ca="1">IFERROR(__xludf.DUMMYFUNCTION("""COMPUTED_VALUE"""),"nan")</f>
        <v>nan</v>
      </c>
      <c r="AJ722" s="17">
        <f ca="1">IFERROR(__xludf.DUMMYFUNCTION("""COMPUTED_VALUE"""),0.613230735974242)</f>
        <v>0.61323073597424205</v>
      </c>
    </row>
    <row r="723" spans="2:36" ht="15.75" customHeight="1" x14ac:dyDescent="0.45">
      <c r="B723" s="10" t="str">
        <f ca="1">IFERROR(__xludf.DUMMYFUNCTION("""COMPUTED_VALUE"""),"SemgHandMovementCh2")</f>
        <v>SemgHandMovementCh2</v>
      </c>
      <c r="C723" s="10" t="str">
        <f ca="1">IFERROR(__xludf.DUMMYFUNCTION("""COMPUTED_VALUE"""),"aligned_series")</f>
        <v>aligned_series</v>
      </c>
      <c r="D723" s="10">
        <f ca="1">IFERROR(__xludf.DUMMYFUNCTION("""COMPUTED_VALUE"""),0.2)</f>
        <v>0.2</v>
      </c>
      <c r="E723" s="17">
        <f ca="1">IFERROR(__xludf.DUMMYFUNCTION("""COMPUTED_VALUE"""),0.840471336941901)</f>
        <v>0.84047133694190101</v>
      </c>
      <c r="F723" s="17">
        <f ca="1">IFERROR(__xludf.DUMMYFUNCTION("""COMPUTED_VALUE"""),0.59088571329536)</f>
        <v>0.59088571329535999</v>
      </c>
      <c r="G723" s="17">
        <f ca="1">IFERROR(__xludf.DUMMYFUNCTION("""COMPUTED_VALUE"""),0.591388026166181)</f>
        <v>0.59138802616618102</v>
      </c>
      <c r="H723" s="17">
        <f ca="1">IFERROR(__xludf.DUMMYFUNCTION("""COMPUTED_VALUE"""),0.628036418756906)</f>
        <v>0.62803641875690597</v>
      </c>
      <c r="I723" s="17">
        <f ca="1">IFERROR(__xludf.DUMMYFUNCTION("""COMPUTED_VALUE"""),0.614526809885017)</f>
        <v>0.61452680988501696</v>
      </c>
      <c r="J723" s="17">
        <f ca="1">IFERROR(__xludf.DUMMYFUNCTION("""COMPUTED_VALUE"""),0.900466074822638)</f>
        <v>0.90046607482263796</v>
      </c>
      <c r="K723" s="17" t="str">
        <f ca="1">IFERROR(__xludf.DUMMYFUNCTION("""COMPUTED_VALUE"""),"nan")</f>
        <v>nan</v>
      </c>
      <c r="L723" s="17">
        <f ca="1">IFERROR(__xludf.DUMMYFUNCTION("""COMPUTED_VALUE"""),0.585183480658691)</f>
        <v>0.58518348065869097</v>
      </c>
      <c r="M723" s="17">
        <f ca="1">IFERROR(__xludf.DUMMYFUNCTION("""COMPUTED_VALUE"""),0.571426253431002)</f>
        <v>0.57142625343100195</v>
      </c>
      <c r="N723" s="17">
        <f ca="1">IFERROR(__xludf.DUMMYFUNCTION("""COMPUTED_VALUE"""),0.620284321984578)</f>
        <v>0.62028432198457795</v>
      </c>
      <c r="O723" s="17">
        <f ca="1">IFERROR(__xludf.DUMMYFUNCTION("""COMPUTED_VALUE"""),0.567127170949967)</f>
        <v>0.56712717094996701</v>
      </c>
      <c r="P723" s="17">
        <f ca="1">IFERROR(__xludf.DUMMYFUNCTION("""COMPUTED_VALUE"""),1.12698289959331)</f>
        <v>1.12698289959331</v>
      </c>
      <c r="Q723" s="17">
        <f ca="1">IFERROR(__xludf.DUMMYFUNCTION("""COMPUTED_VALUE"""),0.823193495410195)</f>
        <v>0.82319349541019504</v>
      </c>
      <c r="R723" s="17">
        <f ca="1">IFERROR(__xludf.DUMMYFUNCTION("""COMPUTED_VALUE"""),0.601900962175661)</f>
        <v>0.60190096217566103</v>
      </c>
      <c r="S723" s="17">
        <f ca="1">IFERROR(__xludf.DUMMYFUNCTION("""COMPUTED_VALUE"""),0.710219091320397)</f>
        <v>0.71021909132039696</v>
      </c>
      <c r="T723" s="17">
        <f ca="1">IFERROR(__xludf.DUMMYFUNCTION("""COMPUTED_VALUE"""),0.582217401773053)</f>
        <v>0.58221740177305303</v>
      </c>
      <c r="U723" s="17">
        <f ca="1">IFERROR(__xludf.DUMMYFUNCTION("""COMPUTED_VALUE"""),0.579115957752379)</f>
        <v>0.57911595775237901</v>
      </c>
      <c r="V723" s="17">
        <f ca="1">IFERROR(__xludf.DUMMYFUNCTION("""COMPUTED_VALUE"""),0.594253478157757)</f>
        <v>0.59425347815775698</v>
      </c>
      <c r="W723" s="17">
        <f ca="1">IFERROR(__xludf.DUMMYFUNCTION("""COMPUTED_VALUE"""),0.600496074191687)</f>
        <v>0.60049607419168705</v>
      </c>
      <c r="X723" s="17">
        <f ca="1">IFERROR(__xludf.DUMMYFUNCTION("""COMPUTED_VALUE"""),0.616435215354865)</f>
        <v>0.61643521535486501</v>
      </c>
      <c r="Y723" s="17">
        <f ca="1">IFERROR(__xludf.DUMMYFUNCTION("""COMPUTED_VALUE"""),0.574676122951659)</f>
        <v>0.57467612295165904</v>
      </c>
      <c r="Z723" s="17">
        <f ca="1">IFERROR(__xludf.DUMMYFUNCTION("""COMPUTED_VALUE"""),0.575021193675156)</f>
        <v>0.57502119367515603</v>
      </c>
      <c r="AA723" s="17">
        <f ca="1">IFERROR(__xludf.DUMMYFUNCTION("""COMPUTED_VALUE"""),0.578352188544986)</f>
        <v>0.57835218854498605</v>
      </c>
      <c r="AB723" s="17">
        <f ca="1">IFERROR(__xludf.DUMMYFUNCTION("""COMPUTED_VALUE"""),1.06941970736943)</f>
        <v>1.06941970736943</v>
      </c>
      <c r="AC723" s="17">
        <f ca="1">IFERROR(__xludf.DUMMYFUNCTION("""COMPUTED_VALUE"""),0.789370677220401)</f>
        <v>0.789370677220401</v>
      </c>
      <c r="AD723" s="17">
        <f ca="1">IFERROR(__xludf.DUMMYFUNCTION("""COMPUTED_VALUE"""),0.579034294147047)</f>
        <v>0.57903429414704699</v>
      </c>
      <c r="AE723" s="17">
        <f ca="1">IFERROR(__xludf.DUMMYFUNCTION("""COMPUTED_VALUE"""),1.14169784615901)</f>
        <v>1.1416978461590099</v>
      </c>
      <c r="AF723" s="17">
        <f ca="1">IFERROR(__xludf.DUMMYFUNCTION("""COMPUTED_VALUE"""),0.613333863413234)</f>
        <v>0.61333386341323404</v>
      </c>
      <c r="AG723" s="17">
        <f ca="1">IFERROR(__xludf.DUMMYFUNCTION("""COMPUTED_VALUE"""),0.67363625746334)</f>
        <v>0.67363625746333999</v>
      </c>
      <c r="AH723" s="17">
        <f ca="1">IFERROR(__xludf.DUMMYFUNCTION("""COMPUTED_VALUE"""),0.668989450893682)</f>
        <v>0.668989450893682</v>
      </c>
      <c r="AI723" s="17" t="str">
        <f ca="1">IFERROR(__xludf.DUMMYFUNCTION("""COMPUTED_VALUE"""),"nan")</f>
        <v>nan</v>
      </c>
      <c r="AJ723" s="17">
        <f ca="1">IFERROR(__xludf.DUMMYFUNCTION("""COMPUTED_VALUE"""),0.608582946580613)</f>
        <v>0.60858294658061296</v>
      </c>
    </row>
    <row r="724" spans="2:36" ht="15.75" customHeight="1" x14ac:dyDescent="0.45">
      <c r="B724" s="10" t="str">
        <f ca="1">IFERROR(__xludf.DUMMYFUNCTION("""COMPUTED_VALUE"""),"SemgHandMovementCh2")</f>
        <v>SemgHandMovementCh2</v>
      </c>
      <c r="C724" s="10" t="str">
        <f ca="1">IFERROR(__xludf.DUMMYFUNCTION("""COMPUTED_VALUE"""),"aligned_series")</f>
        <v>aligned_series</v>
      </c>
      <c r="D724" s="10">
        <f ca="1">IFERROR(__xludf.DUMMYFUNCTION("""COMPUTED_VALUE"""),0.4)</f>
        <v>0.4</v>
      </c>
      <c r="E724" s="17">
        <f ca="1">IFERROR(__xludf.DUMMYFUNCTION("""COMPUTED_VALUE"""),0.854279814076581)</f>
        <v>0.85427981407658105</v>
      </c>
      <c r="F724" s="17">
        <f ca="1">IFERROR(__xludf.DUMMYFUNCTION("""COMPUTED_VALUE"""),0.595101047511226)</f>
        <v>0.59510104751122594</v>
      </c>
      <c r="G724" s="17">
        <f ca="1">IFERROR(__xludf.DUMMYFUNCTION("""COMPUTED_VALUE"""),0.596360247243411)</f>
        <v>0.59636024724341097</v>
      </c>
      <c r="H724" s="17">
        <f ca="1">IFERROR(__xludf.DUMMYFUNCTION("""COMPUTED_VALUE"""),0.638113535699235)</f>
        <v>0.63811353569923501</v>
      </c>
      <c r="I724" s="17">
        <f ca="1">IFERROR(__xludf.DUMMYFUNCTION("""COMPUTED_VALUE"""),0.623600964777731)</f>
        <v>0.62360096477773097</v>
      </c>
      <c r="J724" s="17">
        <f ca="1">IFERROR(__xludf.DUMMYFUNCTION("""COMPUTED_VALUE"""),0.953649266094594)</f>
        <v>0.95364926609459399</v>
      </c>
      <c r="K724" s="17" t="str">
        <f ca="1">IFERROR(__xludf.DUMMYFUNCTION("""COMPUTED_VALUE"""),"nan")</f>
        <v>nan</v>
      </c>
      <c r="L724" s="17">
        <f ca="1">IFERROR(__xludf.DUMMYFUNCTION("""COMPUTED_VALUE"""),0.588416802505619)</f>
        <v>0.58841680250561901</v>
      </c>
      <c r="M724" s="17">
        <f ca="1">IFERROR(__xludf.DUMMYFUNCTION("""COMPUTED_VALUE"""),0.573881274410262)</f>
        <v>0.57388127441026204</v>
      </c>
      <c r="N724" s="17">
        <f ca="1">IFERROR(__xludf.DUMMYFUNCTION("""COMPUTED_VALUE"""),0.62945218226896)</f>
        <v>0.62945218226896005</v>
      </c>
      <c r="O724" s="17">
        <f ca="1">IFERROR(__xludf.DUMMYFUNCTION("""COMPUTED_VALUE"""),0.569479739205967)</f>
        <v>0.56947973920596695</v>
      </c>
      <c r="P724" s="17">
        <f ca="1">IFERROR(__xludf.DUMMYFUNCTION("""COMPUTED_VALUE"""),1.53265833366488)</f>
        <v>1.53265833366488</v>
      </c>
      <c r="Q724" s="17">
        <f ca="1">IFERROR(__xludf.DUMMYFUNCTION("""COMPUTED_VALUE"""),0.822711010602886)</f>
        <v>0.82271101060288598</v>
      </c>
      <c r="R724" s="17">
        <f ca="1">IFERROR(__xludf.DUMMYFUNCTION("""COMPUTED_VALUE"""),0.63047359010665)</f>
        <v>0.63047359010665005</v>
      </c>
      <c r="S724" s="17">
        <f ca="1">IFERROR(__xludf.DUMMYFUNCTION("""COMPUTED_VALUE"""),0.757666455008858)</f>
        <v>0.75766645500885799</v>
      </c>
      <c r="T724" s="17">
        <f ca="1">IFERROR(__xludf.DUMMYFUNCTION("""COMPUTED_VALUE"""),0.602681052462045)</f>
        <v>0.60268105246204495</v>
      </c>
      <c r="U724" s="17">
        <f ca="1">IFERROR(__xludf.DUMMYFUNCTION("""COMPUTED_VALUE"""),0.581766164195844)</f>
        <v>0.58176616419584404</v>
      </c>
      <c r="V724" s="17">
        <f ca="1">IFERROR(__xludf.DUMMYFUNCTION("""COMPUTED_VALUE"""),0.598221926759865)</f>
        <v>0.59822192675986496</v>
      </c>
      <c r="W724" s="17">
        <f ca="1">IFERROR(__xludf.DUMMYFUNCTION("""COMPUTED_VALUE"""),0.598462403603826)</f>
        <v>0.59846240360382597</v>
      </c>
      <c r="X724" s="17">
        <f ca="1">IFERROR(__xludf.DUMMYFUNCTION("""COMPUTED_VALUE"""),0.616201693131867)</f>
        <v>0.61620169313186701</v>
      </c>
      <c r="Y724" s="17">
        <f ca="1">IFERROR(__xludf.DUMMYFUNCTION("""COMPUTED_VALUE"""),0.572911668673012)</f>
        <v>0.57291166867301202</v>
      </c>
      <c r="Z724" s="17">
        <f ca="1">IFERROR(__xludf.DUMMYFUNCTION("""COMPUTED_VALUE"""),0.573475804761638)</f>
        <v>0.57347580476163795</v>
      </c>
      <c r="AA724" s="17">
        <f ca="1">IFERROR(__xludf.DUMMYFUNCTION("""COMPUTED_VALUE"""),0.576960453292565)</f>
        <v>0.57696045329256496</v>
      </c>
      <c r="AB724" s="17">
        <f ca="1">IFERROR(__xludf.DUMMYFUNCTION("""COMPUTED_VALUE"""),2.70487494569992)</f>
        <v>2.7048749456999199</v>
      </c>
      <c r="AC724" s="17">
        <f ca="1">IFERROR(__xludf.DUMMYFUNCTION("""COMPUTED_VALUE"""),0.797650914313981)</f>
        <v>0.79765091431398105</v>
      </c>
      <c r="AD724" s="17">
        <f ca="1">IFERROR(__xludf.DUMMYFUNCTION("""COMPUTED_VALUE"""),0.588374942729282)</f>
        <v>0.58837494272928204</v>
      </c>
      <c r="AE724" s="17">
        <f ca="1">IFERROR(__xludf.DUMMYFUNCTION("""COMPUTED_VALUE"""),1.14302873466199)</f>
        <v>1.1430287346619901</v>
      </c>
      <c r="AF724" s="17">
        <f ca="1">IFERROR(__xludf.DUMMYFUNCTION("""COMPUTED_VALUE"""),0.621157761092592)</f>
        <v>0.62115776109259202</v>
      </c>
      <c r="AG724" s="17">
        <f ca="1">IFERROR(__xludf.DUMMYFUNCTION("""COMPUTED_VALUE"""),0.674501529605826)</f>
        <v>0.67450152960582599</v>
      </c>
      <c r="AH724" s="17">
        <f ca="1">IFERROR(__xludf.DUMMYFUNCTION("""COMPUTED_VALUE"""),0.677245216109498)</f>
        <v>0.67724521610949795</v>
      </c>
      <c r="AI724" s="17" t="str">
        <f ca="1">IFERROR(__xludf.DUMMYFUNCTION("""COMPUTED_VALUE"""),"nan")</f>
        <v>nan</v>
      </c>
      <c r="AJ724" s="17">
        <f ca="1">IFERROR(__xludf.DUMMYFUNCTION("""COMPUTED_VALUE"""),0.633992161354503)</f>
        <v>0.63399216135450298</v>
      </c>
    </row>
    <row r="725" spans="2:36" ht="15.75" customHeight="1" x14ac:dyDescent="0.45">
      <c r="B725" s="10" t="str">
        <f ca="1">IFERROR(__xludf.DUMMYFUNCTION("""COMPUTED_VALUE"""),"SemgHandMovementCh2")</f>
        <v>SemgHandMovementCh2</v>
      </c>
      <c r="C725" s="10" t="str">
        <f ca="1">IFERROR(__xludf.DUMMYFUNCTION("""COMPUTED_VALUE"""),"aligned_series")</f>
        <v>aligned_series</v>
      </c>
      <c r="D725" s="10">
        <f ca="1">IFERROR(__xludf.DUMMYFUNCTION("""COMPUTED_VALUE"""),0.6)</f>
        <v>0.6</v>
      </c>
      <c r="E725" s="17">
        <f ca="1">IFERROR(__xludf.DUMMYFUNCTION("""COMPUTED_VALUE"""),0.879176785161866)</f>
        <v>0.87917678516186604</v>
      </c>
      <c r="F725" s="17">
        <f ca="1">IFERROR(__xludf.DUMMYFUNCTION("""COMPUTED_VALUE"""),0.599512933249806)</f>
        <v>0.59951293324980603</v>
      </c>
      <c r="G725" s="17">
        <f ca="1">IFERROR(__xludf.DUMMYFUNCTION("""COMPUTED_VALUE"""),0.600175537936745)</f>
        <v>0.60017553793674505</v>
      </c>
      <c r="H725" s="17">
        <f ca="1">IFERROR(__xludf.DUMMYFUNCTION("""COMPUTED_VALUE"""),0.650544186566063)</f>
        <v>0.65054418656606305</v>
      </c>
      <c r="I725" s="17">
        <f ca="1">IFERROR(__xludf.DUMMYFUNCTION("""COMPUTED_VALUE"""),0.667025355995012)</f>
        <v>0.667025355995012</v>
      </c>
      <c r="J725" s="17">
        <f ca="1">IFERROR(__xludf.DUMMYFUNCTION("""COMPUTED_VALUE"""),0.975286713832373)</f>
        <v>0.97528671383237298</v>
      </c>
      <c r="K725" s="17" t="str">
        <f ca="1">IFERROR(__xludf.DUMMYFUNCTION("""COMPUTED_VALUE"""),"nan")</f>
        <v>nan</v>
      </c>
      <c r="L725" s="17">
        <f ca="1">IFERROR(__xludf.DUMMYFUNCTION("""COMPUTED_VALUE"""),0.597458422967876)</f>
        <v>0.59745842296787599</v>
      </c>
      <c r="M725" s="17">
        <f ca="1">IFERROR(__xludf.DUMMYFUNCTION("""COMPUTED_VALUE"""),0.58156552015432)</f>
        <v>0.58156552015431995</v>
      </c>
      <c r="N725" s="17">
        <f ca="1">IFERROR(__xludf.DUMMYFUNCTION("""COMPUTED_VALUE"""),0.61757303381769)</f>
        <v>0.61757303381769002</v>
      </c>
      <c r="O725" s="17">
        <f ca="1">IFERROR(__xludf.DUMMYFUNCTION("""COMPUTED_VALUE"""),0.571042414881296)</f>
        <v>0.57104241488129603</v>
      </c>
      <c r="P725" s="17">
        <f ca="1">IFERROR(__xludf.DUMMYFUNCTION("""COMPUTED_VALUE"""),2.34360381891829)</f>
        <v>2.3436038189182899</v>
      </c>
      <c r="Q725" s="17">
        <f ca="1">IFERROR(__xludf.DUMMYFUNCTION("""COMPUTED_VALUE"""),0.835679208859051)</f>
        <v>0.835679208859051</v>
      </c>
      <c r="R725" s="17">
        <f ca="1">IFERROR(__xludf.DUMMYFUNCTION("""COMPUTED_VALUE"""),0.699549819186627)</f>
        <v>0.69954981918662695</v>
      </c>
      <c r="S725" s="17">
        <f ca="1">IFERROR(__xludf.DUMMYFUNCTION("""COMPUTED_VALUE"""),0.857034668725196)</f>
        <v>0.85703466872519596</v>
      </c>
      <c r="T725" s="17">
        <f ca="1">IFERROR(__xludf.DUMMYFUNCTION("""COMPUTED_VALUE"""),0.635550367371847)</f>
        <v>0.635550367371847</v>
      </c>
      <c r="U725" s="17">
        <f ca="1">IFERROR(__xludf.DUMMYFUNCTION("""COMPUTED_VALUE"""),0.588286290591532)</f>
        <v>0.58828629059153204</v>
      </c>
      <c r="V725" s="17">
        <f ca="1">IFERROR(__xludf.DUMMYFUNCTION("""COMPUTED_VALUE"""),0.628796983396683)</f>
        <v>0.628796983396683</v>
      </c>
      <c r="W725" s="17">
        <f ca="1">IFERROR(__xludf.DUMMYFUNCTION("""COMPUTED_VALUE"""),0.610578953171756)</f>
        <v>0.61057895317175603</v>
      </c>
      <c r="X725" s="17">
        <f ca="1">IFERROR(__xludf.DUMMYFUNCTION("""COMPUTED_VALUE"""),0.625788548565867)</f>
        <v>0.62578854856586696</v>
      </c>
      <c r="Y725" s="17">
        <f ca="1">IFERROR(__xludf.DUMMYFUNCTION("""COMPUTED_VALUE"""),0.582953039212719)</f>
        <v>0.58295303921271902</v>
      </c>
      <c r="Z725" s="17">
        <f ca="1">IFERROR(__xludf.DUMMYFUNCTION("""COMPUTED_VALUE"""),0.581719827456618)</f>
        <v>0.58171982745661799</v>
      </c>
      <c r="AA725" s="17">
        <f ca="1">IFERROR(__xludf.DUMMYFUNCTION("""COMPUTED_VALUE"""),0.572869630241414)</f>
        <v>0.57286963024141402</v>
      </c>
      <c r="AB725" s="17">
        <f ca="1">IFERROR(__xludf.DUMMYFUNCTION("""COMPUTED_VALUE"""),4.09016927612502)</f>
        <v>4.0901692761250201</v>
      </c>
      <c r="AC725" s="17">
        <f ca="1">IFERROR(__xludf.DUMMYFUNCTION("""COMPUTED_VALUE"""),0.847072568517527)</f>
        <v>0.84707256851752699</v>
      </c>
      <c r="AD725" s="17">
        <f ca="1">IFERROR(__xludf.DUMMYFUNCTION("""COMPUTED_VALUE"""),0.595737262373074)</f>
        <v>0.59573726237307401</v>
      </c>
      <c r="AE725" s="17">
        <f ca="1">IFERROR(__xludf.DUMMYFUNCTION("""COMPUTED_VALUE"""),1.16141048535306)</f>
        <v>1.16141048535306</v>
      </c>
      <c r="AF725" s="17">
        <f ca="1">IFERROR(__xludf.DUMMYFUNCTION("""COMPUTED_VALUE"""),0.645430580365375)</f>
        <v>0.64543058036537504</v>
      </c>
      <c r="AG725" s="17">
        <f ca="1">IFERROR(__xludf.DUMMYFUNCTION("""COMPUTED_VALUE"""),0.681732349244198)</f>
        <v>0.68173234924419801</v>
      </c>
      <c r="AH725" s="17">
        <f ca="1">IFERROR(__xludf.DUMMYFUNCTION("""COMPUTED_VALUE"""),0.685343555313513)</f>
        <v>0.68534355531351299</v>
      </c>
      <c r="AI725" s="17" t="str">
        <f ca="1">IFERROR(__xludf.DUMMYFUNCTION("""COMPUTED_VALUE"""),"nan")</f>
        <v>nan</v>
      </c>
      <c r="AJ725" s="17">
        <f ca="1">IFERROR(__xludf.DUMMYFUNCTION("""COMPUTED_VALUE"""),0.661321538778982)</f>
        <v>0.66132153877898203</v>
      </c>
    </row>
    <row r="726" spans="2:36" ht="15.75" customHeight="1" x14ac:dyDescent="0.45">
      <c r="B726" s="10" t="str">
        <f ca="1">IFERROR(__xludf.DUMMYFUNCTION("""COMPUTED_VALUE"""),"SemgHandMovementCh2")</f>
        <v>SemgHandMovementCh2</v>
      </c>
      <c r="C726" s="10" t="str">
        <f ca="1">IFERROR(__xludf.DUMMYFUNCTION("""COMPUTED_VALUE"""),"aligned_series")</f>
        <v>aligned_series</v>
      </c>
      <c r="D726" s="10">
        <f ca="1">IFERROR(__xludf.DUMMYFUNCTION("""COMPUTED_VALUE"""),0.8)</f>
        <v>0.8</v>
      </c>
      <c r="E726" s="17">
        <f ca="1">IFERROR(__xludf.DUMMYFUNCTION("""COMPUTED_VALUE"""),0.889333339514937)</f>
        <v>0.88933333951493698</v>
      </c>
      <c r="F726" s="17">
        <f ca="1">IFERROR(__xludf.DUMMYFUNCTION("""COMPUTED_VALUE"""),0.615212038653239)</f>
        <v>0.61521203865323904</v>
      </c>
      <c r="G726" s="17">
        <f ca="1">IFERROR(__xludf.DUMMYFUNCTION("""COMPUTED_VALUE"""),0.620390002855512)</f>
        <v>0.62039000285551205</v>
      </c>
      <c r="H726" s="17">
        <f ca="1">IFERROR(__xludf.DUMMYFUNCTION("""COMPUTED_VALUE"""),0.656391368637557)</f>
        <v>0.65639136863755698</v>
      </c>
      <c r="I726" s="17">
        <f ca="1">IFERROR(__xludf.DUMMYFUNCTION("""COMPUTED_VALUE"""),0.713584342489962)</f>
        <v>0.71358434248996205</v>
      </c>
      <c r="J726" s="17">
        <f ca="1">IFERROR(__xludf.DUMMYFUNCTION("""COMPUTED_VALUE"""),0.977320234272463)</f>
        <v>0.97732023427246295</v>
      </c>
      <c r="K726" s="17" t="str">
        <f ca="1">IFERROR(__xludf.DUMMYFUNCTION("""COMPUTED_VALUE"""),"nan")</f>
        <v>nan</v>
      </c>
      <c r="L726" s="17">
        <f ca="1">IFERROR(__xludf.DUMMYFUNCTION("""COMPUTED_VALUE"""),0.631960392546349)</f>
        <v>0.63196039254634895</v>
      </c>
      <c r="M726" s="17">
        <f ca="1">IFERROR(__xludf.DUMMYFUNCTION("""COMPUTED_VALUE"""),0.612080474120543)</f>
        <v>0.61208047412054301</v>
      </c>
      <c r="N726" s="17">
        <f ca="1">IFERROR(__xludf.DUMMYFUNCTION("""COMPUTED_VALUE"""),0.63076749288421)</f>
        <v>0.63076749288420997</v>
      </c>
      <c r="O726" s="17">
        <f ca="1">IFERROR(__xludf.DUMMYFUNCTION("""COMPUTED_VALUE"""),0.579983391478747)</f>
        <v>0.579983391478747</v>
      </c>
      <c r="P726" s="17">
        <f ca="1">IFERROR(__xludf.DUMMYFUNCTION("""COMPUTED_VALUE"""),2.46299932921368)</f>
        <v>2.4629993292136798</v>
      </c>
      <c r="Q726" s="17">
        <f ca="1">IFERROR(__xludf.DUMMYFUNCTION("""COMPUTED_VALUE"""),0.832455715524749)</f>
        <v>0.83245571552474895</v>
      </c>
      <c r="R726" s="17">
        <f ca="1">IFERROR(__xludf.DUMMYFUNCTION("""COMPUTED_VALUE"""),0.784503185233271)</f>
        <v>0.78450318523327101</v>
      </c>
      <c r="S726" s="17">
        <f ca="1">IFERROR(__xludf.DUMMYFUNCTION("""COMPUTED_VALUE"""),0.875817547483517)</f>
        <v>0.87581754748351703</v>
      </c>
      <c r="T726" s="17">
        <f ca="1">IFERROR(__xludf.DUMMYFUNCTION("""COMPUTED_VALUE"""),0.671070261149467)</f>
        <v>0.671070261149467</v>
      </c>
      <c r="U726" s="17">
        <f ca="1">IFERROR(__xludf.DUMMYFUNCTION("""COMPUTED_VALUE"""),0.604796717316114)</f>
        <v>0.60479671731611395</v>
      </c>
      <c r="V726" s="17">
        <f ca="1">IFERROR(__xludf.DUMMYFUNCTION("""COMPUTED_VALUE"""),0.656032980939359)</f>
        <v>0.65603298093935902</v>
      </c>
      <c r="W726" s="17">
        <f ca="1">IFERROR(__xludf.DUMMYFUNCTION("""COMPUTED_VALUE"""),0.611309275522212)</f>
        <v>0.61130927552221204</v>
      </c>
      <c r="X726" s="17">
        <f ca="1">IFERROR(__xludf.DUMMYFUNCTION("""COMPUTED_VALUE"""),0.629948639315224)</f>
        <v>0.62994863931522405</v>
      </c>
      <c r="Y726" s="17">
        <f ca="1">IFERROR(__xludf.DUMMYFUNCTION("""COMPUTED_VALUE"""),0.607482792594137)</f>
        <v>0.60748279259413696</v>
      </c>
      <c r="Z726" s="17">
        <f ca="1">IFERROR(__xludf.DUMMYFUNCTION("""COMPUTED_VALUE"""),0.588893732394037)</f>
        <v>0.58889373239403697</v>
      </c>
      <c r="AA726" s="17">
        <f ca="1">IFERROR(__xludf.DUMMYFUNCTION("""COMPUTED_VALUE"""),0.572631243979707)</f>
        <v>0.57263124397970699</v>
      </c>
      <c r="AB726" s="17">
        <f ca="1">IFERROR(__xludf.DUMMYFUNCTION("""COMPUTED_VALUE"""),2.86301099910175)</f>
        <v>2.8630109991017498</v>
      </c>
      <c r="AC726" s="17">
        <f ca="1">IFERROR(__xludf.DUMMYFUNCTION("""COMPUTED_VALUE"""),0.920683215404572)</f>
        <v>0.92068321540457199</v>
      </c>
      <c r="AD726" s="17">
        <f ca="1">IFERROR(__xludf.DUMMYFUNCTION("""COMPUTED_VALUE"""),0.608243485240193)</f>
        <v>0.608243485240193</v>
      </c>
      <c r="AE726" s="17">
        <f ca="1">IFERROR(__xludf.DUMMYFUNCTION("""COMPUTED_VALUE"""),1.16278484893299)</f>
        <v>1.1627848489329899</v>
      </c>
      <c r="AF726" s="17">
        <f ca="1">IFERROR(__xludf.DUMMYFUNCTION("""COMPUTED_VALUE"""),0.635196528766098)</f>
        <v>0.635196528766098</v>
      </c>
      <c r="AG726" s="17">
        <f ca="1">IFERROR(__xludf.DUMMYFUNCTION("""COMPUTED_VALUE"""),0.689258231076609)</f>
        <v>0.689258231076609</v>
      </c>
      <c r="AH726" s="17">
        <f ca="1">IFERROR(__xludf.DUMMYFUNCTION("""COMPUTED_VALUE"""),0.68470569838656)</f>
        <v>0.68470569838656004</v>
      </c>
      <c r="AI726" s="17" t="str">
        <f ca="1">IFERROR(__xludf.DUMMYFUNCTION("""COMPUTED_VALUE"""),"nan")</f>
        <v>nan</v>
      </c>
      <c r="AJ726" s="17">
        <f ca="1">IFERROR(__xludf.DUMMYFUNCTION("""COMPUTED_VALUE"""),0.707904119980993)</f>
        <v>0.70790411998099301</v>
      </c>
    </row>
    <row r="727" spans="2:36" ht="15.75" customHeight="1" x14ac:dyDescent="0.45">
      <c r="B727" s="10" t="str">
        <f ca="1">IFERROR(__xludf.DUMMYFUNCTION("""COMPUTED_VALUE"""),"SemgHandMovementCh2")</f>
        <v>SemgHandMovementCh2</v>
      </c>
      <c r="C727" s="10" t="str">
        <f ca="1">IFERROR(__xludf.DUMMYFUNCTION("""COMPUTED_VALUE"""),"aligned_timestamps")</f>
        <v>aligned_timestamps</v>
      </c>
      <c r="D727" s="10">
        <f ca="1">IFERROR(__xludf.DUMMYFUNCTION("""COMPUTED_VALUE"""),0.1)</f>
        <v>0.1</v>
      </c>
      <c r="E727" s="17">
        <f ca="1">IFERROR(__xludf.DUMMYFUNCTION("""COMPUTED_VALUE"""),0.909232794190448)</f>
        <v>0.909232794190448</v>
      </c>
      <c r="F727" s="17">
        <f ca="1">IFERROR(__xludf.DUMMYFUNCTION("""COMPUTED_VALUE"""),0.396593265011848)</f>
        <v>0.396593265011848</v>
      </c>
      <c r="G727" s="17">
        <f ca="1">IFERROR(__xludf.DUMMYFUNCTION("""COMPUTED_VALUE"""),0.396805785110419)</f>
        <v>0.39680578511041897</v>
      </c>
      <c r="H727" s="17">
        <f ca="1">IFERROR(__xludf.DUMMYFUNCTION("""COMPUTED_VALUE"""),0.48089090653016)</f>
        <v>0.48089090653015998</v>
      </c>
      <c r="I727" s="17">
        <f ca="1">IFERROR(__xludf.DUMMYFUNCTION("""COMPUTED_VALUE"""),0.446314569842901)</f>
        <v>0.44631456984290102</v>
      </c>
      <c r="J727" s="17">
        <f ca="1">IFERROR(__xludf.DUMMYFUNCTION("""COMPUTED_VALUE"""),0.354848588145202)</f>
        <v>0.35484858814520198</v>
      </c>
      <c r="K727" s="17" t="str">
        <f ca="1">IFERROR(__xludf.DUMMYFUNCTION("""COMPUTED_VALUE"""),"nan")</f>
        <v>nan</v>
      </c>
      <c r="L727" s="17">
        <f ca="1">IFERROR(__xludf.DUMMYFUNCTION("""COMPUTED_VALUE"""),0.354166398558337)</f>
        <v>0.35416639855833698</v>
      </c>
      <c r="M727" s="17">
        <f ca="1">IFERROR(__xludf.DUMMYFUNCTION("""COMPUTED_VALUE"""),0.353698449053447)</f>
        <v>0.35369844905344699</v>
      </c>
      <c r="N727" s="17">
        <f ca="1">IFERROR(__xludf.DUMMYFUNCTION("""COMPUTED_VALUE"""),0.442005445056675)</f>
        <v>0.44200544505667499</v>
      </c>
      <c r="O727" s="17">
        <f ca="1">IFERROR(__xludf.DUMMYFUNCTION("""COMPUTED_VALUE"""),0.361963491185611)</f>
        <v>0.361963491185611</v>
      </c>
      <c r="P727" s="17">
        <f ca="1">IFERROR(__xludf.DUMMYFUNCTION("""COMPUTED_VALUE"""),1.31074171863088)</f>
        <v>1.3107417186308801</v>
      </c>
      <c r="Q727" s="17">
        <f ca="1">IFERROR(__xludf.DUMMYFUNCTION("""COMPUTED_VALUE"""),0.530984339256458)</f>
        <v>0.53098433925645805</v>
      </c>
      <c r="R727" s="17">
        <f ca="1">IFERROR(__xludf.DUMMYFUNCTION("""COMPUTED_VALUE"""),0.408210658080877)</f>
        <v>0.40821065808087698</v>
      </c>
      <c r="S727" s="17">
        <f ca="1">IFERROR(__xludf.DUMMYFUNCTION("""COMPUTED_VALUE"""),0.427430239387956)</f>
        <v>0.42743023938795599</v>
      </c>
      <c r="T727" s="17">
        <f ca="1">IFERROR(__xludf.DUMMYFUNCTION("""COMPUTED_VALUE"""),0.357554243976328)</f>
        <v>0.35755424397632801</v>
      </c>
      <c r="U727" s="17">
        <f ca="1">IFERROR(__xludf.DUMMYFUNCTION("""COMPUTED_VALUE"""),0.344651025236867)</f>
        <v>0.34465102523686703</v>
      </c>
      <c r="V727" s="17">
        <f ca="1">IFERROR(__xludf.DUMMYFUNCTION("""COMPUTED_VALUE"""),0.361928388531886)</f>
        <v>0.36192838853188602</v>
      </c>
      <c r="W727" s="17">
        <f ca="1">IFERROR(__xludf.DUMMYFUNCTION("""COMPUTED_VALUE"""),0.379431051930957)</f>
        <v>0.379431051930957</v>
      </c>
      <c r="X727" s="17">
        <f ca="1">IFERROR(__xludf.DUMMYFUNCTION("""COMPUTED_VALUE"""),0.495959474318721)</f>
        <v>0.49595947431872101</v>
      </c>
      <c r="Y727" s="17">
        <f ca="1">IFERROR(__xludf.DUMMYFUNCTION("""COMPUTED_VALUE"""),0.333017596342329)</f>
        <v>0.33301759634232903</v>
      </c>
      <c r="Z727" s="17">
        <f ca="1">IFERROR(__xludf.DUMMYFUNCTION("""COMPUTED_VALUE"""),0.332885488395569)</f>
        <v>0.33288548839556897</v>
      </c>
      <c r="AA727" s="17">
        <f ca="1">IFERROR(__xludf.DUMMYFUNCTION("""COMPUTED_VALUE"""),0.324251859295846)</f>
        <v>0.32425185929584599</v>
      </c>
      <c r="AB727" s="17">
        <f ca="1">IFERROR(__xludf.DUMMYFUNCTION("""COMPUTED_VALUE"""),0.808451932545127)</f>
        <v>0.80845193254512704</v>
      </c>
      <c r="AC727" s="17">
        <f ca="1">IFERROR(__xludf.DUMMYFUNCTION("""COMPUTED_VALUE"""),0.851495094991189)</f>
        <v>0.85149509499118903</v>
      </c>
      <c r="AD727" s="17">
        <f ca="1">IFERROR(__xludf.DUMMYFUNCTION("""COMPUTED_VALUE"""),0.35680873351738)</f>
        <v>0.35680873351738002</v>
      </c>
      <c r="AE727" s="17">
        <f ca="1">IFERROR(__xludf.DUMMYFUNCTION("""COMPUTED_VALUE"""),1.150063315253)</f>
        <v>1.150063315253</v>
      </c>
      <c r="AF727" s="17">
        <f ca="1">IFERROR(__xludf.DUMMYFUNCTION("""COMPUTED_VALUE"""),0.364113283820777)</f>
        <v>0.36411328382077701</v>
      </c>
      <c r="AG727" s="17">
        <f ca="1">IFERROR(__xludf.DUMMYFUNCTION("""COMPUTED_VALUE"""),0.35124633759156)</f>
        <v>0.35124633759155999</v>
      </c>
      <c r="AH727" s="17">
        <f ca="1">IFERROR(__xludf.DUMMYFUNCTION("""COMPUTED_VALUE"""),0.366352155083304)</f>
        <v>0.36635215508330399</v>
      </c>
      <c r="AI727" s="17">
        <f ca="1">IFERROR(__xludf.DUMMYFUNCTION("""COMPUTED_VALUE"""),0.361521766927084)</f>
        <v>0.36152176692708399</v>
      </c>
      <c r="AJ727" s="17">
        <f ca="1">IFERROR(__xludf.DUMMYFUNCTION("""COMPUTED_VALUE"""),0.344857463933202)</f>
        <v>0.34485746393320199</v>
      </c>
    </row>
    <row r="728" spans="2:36" ht="15.75" customHeight="1" x14ac:dyDescent="0.45">
      <c r="B728" s="10" t="str">
        <f ca="1">IFERROR(__xludf.DUMMYFUNCTION("""COMPUTED_VALUE"""),"SemgHandMovementCh2")</f>
        <v>SemgHandMovementCh2</v>
      </c>
      <c r="C728" s="10" t="str">
        <f ca="1">IFERROR(__xludf.DUMMYFUNCTION("""COMPUTED_VALUE"""),"aligned_timestamps")</f>
        <v>aligned_timestamps</v>
      </c>
      <c r="D728" s="10">
        <f ca="1">IFERROR(__xludf.DUMMYFUNCTION("""COMPUTED_VALUE"""),0.2)</f>
        <v>0.2</v>
      </c>
      <c r="E728" s="17">
        <f ca="1">IFERROR(__xludf.DUMMYFUNCTION("""COMPUTED_VALUE"""),0.840471336941901)</f>
        <v>0.84047133694190101</v>
      </c>
      <c r="F728" s="17">
        <f ca="1">IFERROR(__xludf.DUMMYFUNCTION("""COMPUTED_VALUE"""),0.59088571329536)</f>
        <v>0.59088571329535999</v>
      </c>
      <c r="G728" s="17">
        <f ca="1">IFERROR(__xludf.DUMMYFUNCTION("""COMPUTED_VALUE"""),0.591388026166181)</f>
        <v>0.59138802616618102</v>
      </c>
      <c r="H728" s="17">
        <f ca="1">IFERROR(__xludf.DUMMYFUNCTION("""COMPUTED_VALUE"""),0.628036418756906)</f>
        <v>0.62803641875690597</v>
      </c>
      <c r="I728" s="17">
        <f ca="1">IFERROR(__xludf.DUMMYFUNCTION("""COMPUTED_VALUE"""),0.614526809885017)</f>
        <v>0.61452680988501696</v>
      </c>
      <c r="J728" s="17">
        <f ca="1">IFERROR(__xludf.DUMMYFUNCTION("""COMPUTED_VALUE"""),0.900466074822638)</f>
        <v>0.90046607482263796</v>
      </c>
      <c r="K728" s="17" t="str">
        <f ca="1">IFERROR(__xludf.DUMMYFUNCTION("""COMPUTED_VALUE"""),"nan")</f>
        <v>nan</v>
      </c>
      <c r="L728" s="17">
        <f ca="1">IFERROR(__xludf.DUMMYFUNCTION("""COMPUTED_VALUE"""),0.585183480658691)</f>
        <v>0.58518348065869097</v>
      </c>
      <c r="M728" s="17">
        <f ca="1">IFERROR(__xludf.DUMMYFUNCTION("""COMPUTED_VALUE"""),0.571426253431002)</f>
        <v>0.57142625343100195</v>
      </c>
      <c r="N728" s="17">
        <f ca="1">IFERROR(__xludf.DUMMYFUNCTION("""COMPUTED_VALUE"""),0.620284321984578)</f>
        <v>0.62028432198457795</v>
      </c>
      <c r="O728" s="17">
        <f ca="1">IFERROR(__xludf.DUMMYFUNCTION("""COMPUTED_VALUE"""),0.567127170949967)</f>
        <v>0.56712717094996701</v>
      </c>
      <c r="P728" s="17">
        <f ca="1">IFERROR(__xludf.DUMMYFUNCTION("""COMPUTED_VALUE"""),1.12698289959331)</f>
        <v>1.12698289959331</v>
      </c>
      <c r="Q728" s="17">
        <f ca="1">IFERROR(__xludf.DUMMYFUNCTION("""COMPUTED_VALUE"""),0.823193495410195)</f>
        <v>0.82319349541019504</v>
      </c>
      <c r="R728" s="17">
        <f ca="1">IFERROR(__xludf.DUMMYFUNCTION("""COMPUTED_VALUE"""),0.601900962175661)</f>
        <v>0.60190096217566103</v>
      </c>
      <c r="S728" s="17">
        <f ca="1">IFERROR(__xludf.DUMMYFUNCTION("""COMPUTED_VALUE"""),0.710219091320397)</f>
        <v>0.71021909132039696</v>
      </c>
      <c r="T728" s="17">
        <f ca="1">IFERROR(__xludf.DUMMYFUNCTION("""COMPUTED_VALUE"""),0.582217401773053)</f>
        <v>0.58221740177305303</v>
      </c>
      <c r="U728" s="17">
        <f ca="1">IFERROR(__xludf.DUMMYFUNCTION("""COMPUTED_VALUE"""),0.579115957752379)</f>
        <v>0.57911595775237901</v>
      </c>
      <c r="V728" s="17">
        <f ca="1">IFERROR(__xludf.DUMMYFUNCTION("""COMPUTED_VALUE"""),0.594253478157757)</f>
        <v>0.59425347815775698</v>
      </c>
      <c r="W728" s="17">
        <f ca="1">IFERROR(__xludf.DUMMYFUNCTION("""COMPUTED_VALUE"""),0.608623691875747)</f>
        <v>0.60862369187574705</v>
      </c>
      <c r="X728" s="17">
        <f ca="1">IFERROR(__xludf.DUMMYFUNCTION("""COMPUTED_VALUE"""),0.655764771487559)</f>
        <v>0.65576477148755896</v>
      </c>
      <c r="Y728" s="17">
        <f ca="1">IFERROR(__xludf.DUMMYFUNCTION("""COMPUTED_VALUE"""),0.574676122951659)</f>
        <v>0.57467612295165904</v>
      </c>
      <c r="Z728" s="17">
        <f ca="1">IFERROR(__xludf.DUMMYFUNCTION("""COMPUTED_VALUE"""),0.575021193675156)</f>
        <v>0.57502119367515603</v>
      </c>
      <c r="AA728" s="17">
        <f ca="1">IFERROR(__xludf.DUMMYFUNCTION("""COMPUTED_VALUE"""),0.578352188544986)</f>
        <v>0.57835218854498605</v>
      </c>
      <c r="AB728" s="17">
        <f ca="1">IFERROR(__xludf.DUMMYFUNCTION("""COMPUTED_VALUE"""),0.810725324804148)</f>
        <v>0.81072532480414805</v>
      </c>
      <c r="AC728" s="17">
        <f ca="1">IFERROR(__xludf.DUMMYFUNCTION("""COMPUTED_VALUE"""),0.789370677220401)</f>
        <v>0.789370677220401</v>
      </c>
      <c r="AD728" s="17">
        <f ca="1">IFERROR(__xludf.DUMMYFUNCTION("""COMPUTED_VALUE"""),0.585300459361959)</f>
        <v>0.58530045936195896</v>
      </c>
      <c r="AE728" s="17">
        <f ca="1">IFERROR(__xludf.DUMMYFUNCTION("""COMPUTED_VALUE"""),1.14360614056969)</f>
        <v>1.14360614056969</v>
      </c>
      <c r="AF728" s="17">
        <f ca="1">IFERROR(__xludf.DUMMYFUNCTION("""COMPUTED_VALUE"""),0.613333863413234)</f>
        <v>0.61333386341323404</v>
      </c>
      <c r="AG728" s="17">
        <f ca="1">IFERROR(__xludf.DUMMYFUNCTION("""COMPUTED_VALUE"""),0.66284885427425)</f>
        <v>0.66284885427425</v>
      </c>
      <c r="AH728" s="17">
        <f ca="1">IFERROR(__xludf.DUMMYFUNCTION("""COMPUTED_VALUE"""),0.668534947030709)</f>
        <v>0.66853494703070904</v>
      </c>
      <c r="AI728" s="17" t="str">
        <f ca="1">IFERROR(__xludf.DUMMYFUNCTION("""COMPUTED_VALUE"""),"nan")</f>
        <v>nan</v>
      </c>
      <c r="AJ728" s="17">
        <f ca="1">IFERROR(__xludf.DUMMYFUNCTION("""COMPUTED_VALUE"""),0.606613651922624)</f>
        <v>0.60661365192262395</v>
      </c>
    </row>
    <row r="729" spans="2:36" ht="15.75" customHeight="1" x14ac:dyDescent="0.45">
      <c r="B729" s="10" t="str">
        <f ca="1">IFERROR(__xludf.DUMMYFUNCTION("""COMPUTED_VALUE"""),"SemgHandMovementCh2")</f>
        <v>SemgHandMovementCh2</v>
      </c>
      <c r="C729" s="10" t="str">
        <f ca="1">IFERROR(__xludf.DUMMYFUNCTION("""COMPUTED_VALUE"""),"aligned_timestamps")</f>
        <v>aligned_timestamps</v>
      </c>
      <c r="D729" s="10">
        <f ca="1">IFERROR(__xludf.DUMMYFUNCTION("""COMPUTED_VALUE"""),0.4)</f>
        <v>0.4</v>
      </c>
      <c r="E729" s="17">
        <f ca="1">IFERROR(__xludf.DUMMYFUNCTION("""COMPUTED_VALUE"""),1.18000446629714)</f>
        <v>1.1800044662971401</v>
      </c>
      <c r="F729" s="17">
        <f ca="1">IFERROR(__xludf.DUMMYFUNCTION("""COMPUTED_VALUE"""),0.897974375518766)</f>
        <v>0.89797437551876602</v>
      </c>
      <c r="G729" s="17">
        <f ca="1">IFERROR(__xludf.DUMMYFUNCTION("""COMPUTED_VALUE"""),0.943200698479266)</f>
        <v>0.94320069847926602</v>
      </c>
      <c r="H729" s="17">
        <f ca="1">IFERROR(__xludf.DUMMYFUNCTION("""COMPUTED_VALUE"""),0.958966125038415)</f>
        <v>0.95896612503841505</v>
      </c>
      <c r="I729" s="17">
        <f ca="1">IFERROR(__xludf.DUMMYFUNCTION("""COMPUTED_VALUE"""),0.984305232980321)</f>
        <v>0.98430523298032102</v>
      </c>
      <c r="J729" s="17">
        <f ca="1">IFERROR(__xludf.DUMMYFUNCTION("""COMPUTED_VALUE"""),1.55986347845678)</f>
        <v>1.55986347845678</v>
      </c>
      <c r="K729" s="17" t="str">
        <f ca="1">IFERROR(__xludf.DUMMYFUNCTION("""COMPUTED_VALUE"""),"nan")</f>
        <v>nan</v>
      </c>
      <c r="L729" s="17">
        <f ca="1">IFERROR(__xludf.DUMMYFUNCTION("""COMPUTED_VALUE"""),0.951080439139974)</f>
        <v>0.95108043913997398</v>
      </c>
      <c r="M729" s="17">
        <f ca="1">IFERROR(__xludf.DUMMYFUNCTION("""COMPUTED_VALUE"""),0.930028503959367)</f>
        <v>0.93002850395936698</v>
      </c>
      <c r="N729" s="17">
        <f ca="1">IFERROR(__xludf.DUMMYFUNCTION("""COMPUTED_VALUE"""),0.952000019442445)</f>
        <v>0.95200001944244494</v>
      </c>
      <c r="O729" s="17">
        <f ca="1">IFERROR(__xludf.DUMMYFUNCTION("""COMPUTED_VALUE"""),0.909986336715932)</f>
        <v>0.90998633671593199</v>
      </c>
      <c r="P729" s="17">
        <f ca="1">IFERROR(__xludf.DUMMYFUNCTION("""COMPUTED_VALUE"""),1.47493215564697)</f>
        <v>1.4749321556469699</v>
      </c>
      <c r="Q729" s="17">
        <f ca="1">IFERROR(__xludf.DUMMYFUNCTION("""COMPUTED_VALUE"""),1.23250572185412)</f>
        <v>1.23250572185412</v>
      </c>
      <c r="R729" s="17">
        <f ca="1">IFERROR(__xludf.DUMMYFUNCTION("""COMPUTED_VALUE"""),0.919631780788769)</f>
        <v>0.91963178078876895</v>
      </c>
      <c r="S729" s="17">
        <f ca="1">IFERROR(__xludf.DUMMYFUNCTION("""COMPUTED_VALUE"""),1.12057065633906)</f>
        <v>1.1205706563390601</v>
      </c>
      <c r="T729" s="17">
        <f ca="1">IFERROR(__xludf.DUMMYFUNCTION("""COMPUTED_VALUE"""),1.04038301498561)</f>
        <v>1.0403830149856099</v>
      </c>
      <c r="U729" s="17">
        <f ca="1">IFERROR(__xludf.DUMMYFUNCTION("""COMPUTED_VALUE"""),1.01091952497351)</f>
        <v>1.0109195249735099</v>
      </c>
      <c r="V729" s="17">
        <f ca="1">IFERROR(__xludf.DUMMYFUNCTION("""COMPUTED_VALUE"""),1.04532938044934)</f>
        <v>1.04532938044934</v>
      </c>
      <c r="W729" s="17">
        <f ca="1">IFERROR(__xludf.DUMMYFUNCTION("""COMPUTED_VALUE"""),1.07108581822864)</f>
        <v>1.07108581822864</v>
      </c>
      <c r="X729" s="17">
        <f ca="1">IFERROR(__xludf.DUMMYFUNCTION("""COMPUTED_VALUE"""),0.964818143621232)</f>
        <v>0.96481814362123197</v>
      </c>
      <c r="Y729" s="17">
        <f ca="1">IFERROR(__xludf.DUMMYFUNCTION("""COMPUTED_VALUE"""),1.31496506643593)</f>
        <v>1.31496506643593</v>
      </c>
      <c r="Z729" s="17">
        <f ca="1">IFERROR(__xludf.DUMMYFUNCTION("""COMPUTED_VALUE"""),1.09360636767826)</f>
        <v>1.0936063676782599</v>
      </c>
      <c r="AA729" s="17">
        <f ca="1">IFERROR(__xludf.DUMMYFUNCTION("""COMPUTED_VALUE"""),1.18454685254641)</f>
        <v>1.18454685254641</v>
      </c>
      <c r="AB729" s="17">
        <f ca="1">IFERROR(__xludf.DUMMYFUNCTION("""COMPUTED_VALUE"""),1.27556397941883)</f>
        <v>1.27556397941883</v>
      </c>
      <c r="AC729" s="17">
        <f ca="1">IFERROR(__xludf.DUMMYFUNCTION("""COMPUTED_VALUE"""),1.06992750413293)</f>
        <v>1.0699275041329299</v>
      </c>
      <c r="AD729" s="17">
        <f ca="1">IFERROR(__xludf.DUMMYFUNCTION("""COMPUTED_VALUE"""),1.01412351913073)</f>
        <v>1.0141235191307301</v>
      </c>
      <c r="AE729" s="17" t="str">
        <f ca="1">IFERROR(__xludf.DUMMYFUNCTION("""COMPUTED_VALUE"""),"nan")</f>
        <v>nan</v>
      </c>
      <c r="AF729" s="17">
        <f ca="1">IFERROR(__xludf.DUMMYFUNCTION("""COMPUTED_VALUE"""),1.04007199290831)</f>
        <v>1.04007199290831</v>
      </c>
      <c r="AG729" s="17">
        <f ca="1">IFERROR(__xludf.DUMMYFUNCTION("""COMPUTED_VALUE"""),1.17230829111053)</f>
        <v>1.17230829111053</v>
      </c>
      <c r="AH729" s="17">
        <f ca="1">IFERROR(__xludf.DUMMYFUNCTION("""COMPUTED_VALUE"""),1.09290742008573)</f>
        <v>1.0929074200857301</v>
      </c>
      <c r="AI729" s="17" t="str">
        <f ca="1">IFERROR(__xludf.DUMMYFUNCTION("""COMPUTED_VALUE"""),"nan")</f>
        <v>nan</v>
      </c>
      <c r="AJ729" s="17">
        <f ca="1">IFERROR(__xludf.DUMMYFUNCTION("""COMPUTED_VALUE"""),1.03092197287184)</f>
        <v>1.03092197287184</v>
      </c>
    </row>
    <row r="730" spans="2:36" ht="15.75" customHeight="1" x14ac:dyDescent="0.45">
      <c r="B730" s="10" t="str">
        <f ca="1">IFERROR(__xludf.DUMMYFUNCTION("""COMPUTED_VALUE"""),"SemgHandMovementCh2")</f>
        <v>SemgHandMovementCh2</v>
      </c>
      <c r="C730" s="10" t="str">
        <f ca="1">IFERROR(__xludf.DUMMYFUNCTION("""COMPUTED_VALUE"""),"aligned_timestamps")</f>
        <v>aligned_timestamps</v>
      </c>
      <c r="D730" s="10">
        <f ca="1">IFERROR(__xludf.DUMMYFUNCTION("""COMPUTED_VALUE"""),0.6)</f>
        <v>0.6</v>
      </c>
      <c r="E730" s="17">
        <f ca="1">IFERROR(__xludf.DUMMYFUNCTION("""COMPUTED_VALUE"""),1.13061158199129)</f>
        <v>1.1306115819912901</v>
      </c>
      <c r="F730" s="17">
        <f ca="1">IFERROR(__xludf.DUMMYFUNCTION("""COMPUTED_VALUE"""),0.949187952436087)</f>
        <v>0.949187952436087</v>
      </c>
      <c r="G730" s="17">
        <f ca="1">IFERROR(__xludf.DUMMYFUNCTION("""COMPUTED_VALUE"""),1.07962357758033)</f>
        <v>1.07962357758033</v>
      </c>
      <c r="H730" s="17">
        <f ca="1">IFERROR(__xludf.DUMMYFUNCTION("""COMPUTED_VALUE"""),0.98229335354534)</f>
        <v>0.98229335354533998</v>
      </c>
      <c r="I730" s="17">
        <f ca="1">IFERROR(__xludf.DUMMYFUNCTION("""COMPUTED_VALUE"""),0.975209971320362)</f>
        <v>0.97520997132036202</v>
      </c>
      <c r="J730" s="17">
        <f ca="1">IFERROR(__xludf.DUMMYFUNCTION("""COMPUTED_VALUE"""),1.5866378019839)</f>
        <v>1.5866378019839</v>
      </c>
      <c r="K730" s="17" t="str">
        <f ca="1">IFERROR(__xludf.DUMMYFUNCTION("""COMPUTED_VALUE"""),"nan")</f>
        <v>nan</v>
      </c>
      <c r="L730" s="17">
        <f ca="1">IFERROR(__xludf.DUMMYFUNCTION("""COMPUTED_VALUE"""),1.01606674624927)</f>
        <v>1.0160667462492701</v>
      </c>
      <c r="M730" s="17">
        <f ca="1">IFERROR(__xludf.DUMMYFUNCTION("""COMPUTED_VALUE"""),0.943102165186727)</f>
        <v>0.94310216518672696</v>
      </c>
      <c r="N730" s="17">
        <f ca="1">IFERROR(__xludf.DUMMYFUNCTION("""COMPUTED_VALUE"""),0.991917498535532)</f>
        <v>0.99191749853553202</v>
      </c>
      <c r="O730" s="17">
        <f ca="1">IFERROR(__xludf.DUMMYFUNCTION("""COMPUTED_VALUE"""),0.928197660118317)</f>
        <v>0.92819766011831695</v>
      </c>
      <c r="P730" s="17">
        <f ca="1">IFERROR(__xludf.DUMMYFUNCTION("""COMPUTED_VALUE"""),1.1320580670599)</f>
        <v>1.1320580670599001</v>
      </c>
      <c r="Q730" s="17">
        <f ca="1">IFERROR(__xludf.DUMMYFUNCTION("""COMPUTED_VALUE"""),1.26909014318983)</f>
        <v>1.26909014318983</v>
      </c>
      <c r="R730" s="17">
        <f ca="1">IFERROR(__xludf.DUMMYFUNCTION("""COMPUTED_VALUE"""),0.943475533122068)</f>
        <v>0.943475533122068</v>
      </c>
      <c r="S730" s="17">
        <f ca="1">IFERROR(__xludf.DUMMYFUNCTION("""COMPUTED_VALUE"""),1.14172445207092)</f>
        <v>1.14172445207092</v>
      </c>
      <c r="T730" s="17">
        <f ca="1">IFERROR(__xludf.DUMMYFUNCTION("""COMPUTED_VALUE"""),1.04774506771668)</f>
        <v>1.04774506771668</v>
      </c>
      <c r="U730" s="17">
        <f ca="1">IFERROR(__xludf.DUMMYFUNCTION("""COMPUTED_VALUE"""),0.995400682992406)</f>
        <v>0.99540068299240603</v>
      </c>
      <c r="V730" s="17">
        <f ca="1">IFERROR(__xludf.DUMMYFUNCTION("""COMPUTED_VALUE"""),1.08344016997494)</f>
        <v>1.0834401699749401</v>
      </c>
      <c r="W730" s="17">
        <f ca="1">IFERROR(__xludf.DUMMYFUNCTION("""COMPUTED_VALUE"""),1.04080225583648)</f>
        <v>1.04080225583648</v>
      </c>
      <c r="X730" s="17">
        <f ca="1">IFERROR(__xludf.DUMMYFUNCTION("""COMPUTED_VALUE"""),0.970210953549182)</f>
        <v>0.97021095354918196</v>
      </c>
      <c r="Y730" s="17">
        <f ca="1">IFERROR(__xludf.DUMMYFUNCTION("""COMPUTED_VALUE"""),1.37796111710459)</f>
        <v>1.37796111710459</v>
      </c>
      <c r="Z730" s="17">
        <f ca="1">IFERROR(__xludf.DUMMYFUNCTION("""COMPUTED_VALUE"""),1.08059823112715)</f>
        <v>1.08059823112715</v>
      </c>
      <c r="AA730" s="17">
        <f ca="1">IFERROR(__xludf.DUMMYFUNCTION("""COMPUTED_VALUE"""),2.61230216383309)</f>
        <v>2.6123021638330899</v>
      </c>
      <c r="AB730" s="17">
        <f ca="1">IFERROR(__xludf.DUMMYFUNCTION("""COMPUTED_VALUE"""),1.21511405836612)</f>
        <v>1.21511405836612</v>
      </c>
      <c r="AC730" s="17">
        <f ca="1">IFERROR(__xludf.DUMMYFUNCTION("""COMPUTED_VALUE"""),1.05445776619087)</f>
        <v>1.0544577661908701</v>
      </c>
      <c r="AD730" s="17">
        <f ca="1">IFERROR(__xludf.DUMMYFUNCTION("""COMPUTED_VALUE"""),1.0015283597859)</f>
        <v>1.0015283597858999</v>
      </c>
      <c r="AE730" s="17" t="str">
        <f ca="1">IFERROR(__xludf.DUMMYFUNCTION("""COMPUTED_VALUE"""),"nan")</f>
        <v>nan</v>
      </c>
      <c r="AF730" s="17">
        <f ca="1">IFERROR(__xludf.DUMMYFUNCTION("""COMPUTED_VALUE"""),1.04160872287179)</f>
        <v>1.0416087228717901</v>
      </c>
      <c r="AG730" s="17">
        <f ca="1">IFERROR(__xludf.DUMMYFUNCTION("""COMPUTED_VALUE"""),1.2169819713525)</f>
        <v>1.2169819713525001</v>
      </c>
      <c r="AH730" s="17">
        <f ca="1">IFERROR(__xludf.DUMMYFUNCTION("""COMPUTED_VALUE"""),1.06411143324153)</f>
        <v>1.06411143324153</v>
      </c>
      <c r="AI730" s="17" t="str">
        <f ca="1">IFERROR(__xludf.DUMMYFUNCTION("""COMPUTED_VALUE"""),"nan")</f>
        <v>nan</v>
      </c>
      <c r="AJ730" s="17">
        <f ca="1">IFERROR(__xludf.DUMMYFUNCTION("""COMPUTED_VALUE"""),1.1549275144007)</f>
        <v>1.1549275144007001</v>
      </c>
    </row>
    <row r="731" spans="2:36" ht="15.75" customHeight="1" x14ac:dyDescent="0.45">
      <c r="B731" s="10" t="str">
        <f ca="1">IFERROR(__xludf.DUMMYFUNCTION("""COMPUTED_VALUE"""),"SemgHandMovementCh2")</f>
        <v>SemgHandMovementCh2</v>
      </c>
      <c r="C731" s="10" t="str">
        <f ca="1">IFERROR(__xludf.DUMMYFUNCTION("""COMPUTED_VALUE"""),"aligned_timestamps")</f>
        <v>aligned_timestamps</v>
      </c>
      <c r="D731" s="10">
        <f ca="1">IFERROR(__xludf.DUMMYFUNCTION("""COMPUTED_VALUE"""),0.8)</f>
        <v>0.8</v>
      </c>
      <c r="E731" s="17">
        <f ca="1">IFERROR(__xludf.DUMMYFUNCTION("""COMPUTED_VALUE"""),1.04491839734535)</f>
        <v>1.04491839734535</v>
      </c>
      <c r="F731" s="17">
        <f ca="1">IFERROR(__xludf.DUMMYFUNCTION("""COMPUTED_VALUE"""),0.88188734542054)</f>
        <v>0.88188734542054004</v>
      </c>
      <c r="G731" s="17">
        <f ca="1">IFERROR(__xludf.DUMMYFUNCTION("""COMPUTED_VALUE"""),0.944768501408879)</f>
        <v>0.94476850140887902</v>
      </c>
      <c r="H731" s="17">
        <f ca="1">IFERROR(__xludf.DUMMYFUNCTION("""COMPUTED_VALUE"""),0.927893834576033)</f>
        <v>0.92789383457603303</v>
      </c>
      <c r="I731" s="17">
        <f ca="1">IFERROR(__xludf.DUMMYFUNCTION("""COMPUTED_VALUE"""),0.910056053708602)</f>
        <v>0.91005605370860199</v>
      </c>
      <c r="J731" s="17">
        <f ca="1">IFERROR(__xludf.DUMMYFUNCTION("""COMPUTED_VALUE"""),1.51505113479505)</f>
        <v>1.5150511347950499</v>
      </c>
      <c r="K731" s="17" t="str">
        <f ca="1">IFERROR(__xludf.DUMMYFUNCTION("""COMPUTED_VALUE"""),"nan")</f>
        <v>nan</v>
      </c>
      <c r="L731" s="17">
        <f ca="1">IFERROR(__xludf.DUMMYFUNCTION("""COMPUTED_VALUE"""),0.922198054178079)</f>
        <v>0.92219805417807899</v>
      </c>
      <c r="M731" s="17">
        <f ca="1">IFERROR(__xludf.DUMMYFUNCTION("""COMPUTED_VALUE"""),1.24125119926462)</f>
        <v>1.24125119926462</v>
      </c>
      <c r="N731" s="17">
        <f ca="1">IFERROR(__xludf.DUMMYFUNCTION("""COMPUTED_VALUE"""),0.994732979530862)</f>
        <v>0.99473297953086204</v>
      </c>
      <c r="O731" s="17">
        <f ca="1">IFERROR(__xludf.DUMMYFUNCTION("""COMPUTED_VALUE"""),0.878936741875549)</f>
        <v>0.87893674187554904</v>
      </c>
      <c r="P731" s="17">
        <f ca="1">IFERROR(__xludf.DUMMYFUNCTION("""COMPUTED_VALUE"""),1.14217325974783)</f>
        <v>1.14217325974783</v>
      </c>
      <c r="Q731" s="17">
        <f ca="1">IFERROR(__xludf.DUMMYFUNCTION("""COMPUTED_VALUE"""),1.21066089128084)</f>
        <v>1.2106608912808401</v>
      </c>
      <c r="R731" s="17">
        <f ca="1">IFERROR(__xludf.DUMMYFUNCTION("""COMPUTED_VALUE"""),0.946795388314027)</f>
        <v>0.94679538831402699</v>
      </c>
      <c r="S731" s="17">
        <f ca="1">IFERROR(__xludf.DUMMYFUNCTION("""COMPUTED_VALUE"""),1.11051480772243)</f>
        <v>1.1105148077224301</v>
      </c>
      <c r="T731" s="17">
        <f ca="1">IFERROR(__xludf.DUMMYFUNCTION("""COMPUTED_VALUE"""),0.970130738694878)</f>
        <v>0.97013073869487798</v>
      </c>
      <c r="U731" s="17">
        <f ca="1">IFERROR(__xludf.DUMMYFUNCTION("""COMPUTED_VALUE"""),0.944472998092739)</f>
        <v>0.94447299809273899</v>
      </c>
      <c r="V731" s="17">
        <f ca="1">IFERROR(__xludf.DUMMYFUNCTION("""COMPUTED_VALUE"""),1.09416176334197)</f>
        <v>1.09416176334197</v>
      </c>
      <c r="W731" s="17">
        <f ca="1">IFERROR(__xludf.DUMMYFUNCTION("""COMPUTED_VALUE"""),1.04276718891954)</f>
        <v>1.04276718891954</v>
      </c>
      <c r="X731" s="17">
        <f ca="1">IFERROR(__xludf.DUMMYFUNCTION("""COMPUTED_VALUE"""),0.88964578474811)</f>
        <v>0.88964578474810996</v>
      </c>
      <c r="Y731" s="17">
        <f ca="1">IFERROR(__xludf.DUMMYFUNCTION("""COMPUTED_VALUE"""),1.4379632013428)</f>
        <v>1.4379632013428001</v>
      </c>
      <c r="Z731" s="17">
        <f ca="1">IFERROR(__xludf.DUMMYFUNCTION("""COMPUTED_VALUE"""),1.00033389143091)</f>
        <v>1.0003338914309099</v>
      </c>
      <c r="AA731" s="17">
        <f ca="1">IFERROR(__xludf.DUMMYFUNCTION("""COMPUTED_VALUE"""),3.4836325916697)</f>
        <v>3.4836325916697</v>
      </c>
      <c r="AB731" s="17">
        <f ca="1">IFERROR(__xludf.DUMMYFUNCTION("""COMPUTED_VALUE"""),1.20717036204684)</f>
        <v>1.2071703620468399</v>
      </c>
      <c r="AC731" s="17">
        <f ca="1">IFERROR(__xludf.DUMMYFUNCTION("""COMPUTED_VALUE"""),0.989317961177127)</f>
        <v>0.989317961177127</v>
      </c>
      <c r="AD731" s="17">
        <f ca="1">IFERROR(__xludf.DUMMYFUNCTION("""COMPUTED_VALUE"""),0.951081523539091)</f>
        <v>0.95108152353909103</v>
      </c>
      <c r="AE731" s="17" t="str">
        <f ca="1">IFERROR(__xludf.DUMMYFUNCTION("""COMPUTED_VALUE"""),"nan")</f>
        <v>nan</v>
      </c>
      <c r="AF731" s="17">
        <f ca="1">IFERROR(__xludf.DUMMYFUNCTION("""COMPUTED_VALUE"""),1.05631339877206)</f>
        <v>1.0563133987720601</v>
      </c>
      <c r="AG731" s="17">
        <f ca="1">IFERROR(__xludf.DUMMYFUNCTION("""COMPUTED_VALUE"""),1.12328565831452)</f>
        <v>1.1232856583145201</v>
      </c>
      <c r="AH731" s="17">
        <f ca="1">IFERROR(__xludf.DUMMYFUNCTION("""COMPUTED_VALUE"""),1.00894638630495)</f>
        <v>1.0089463863049499</v>
      </c>
      <c r="AI731" s="17" t="str">
        <f ca="1">IFERROR(__xludf.DUMMYFUNCTION("""COMPUTED_VALUE"""),"nan")</f>
        <v>nan</v>
      </c>
      <c r="AJ731" s="17">
        <f ca="1">IFERROR(__xludf.DUMMYFUNCTION("""COMPUTED_VALUE"""),1.13870195048069)</f>
        <v>1.1387019504806899</v>
      </c>
    </row>
    <row r="732" spans="2:36" ht="15.75" customHeight="1" x14ac:dyDescent="0.45">
      <c r="B732" s="10" t="str">
        <f ca="1">IFERROR(__xludf.DUMMYFUNCTION("""COMPUTED_VALUE"""),"SemgHandMovementCh2")</f>
        <v>SemgHandMovementCh2</v>
      </c>
      <c r="C732" s="10" t="str">
        <f ca="1">IFERROR(__xludf.DUMMYFUNCTION("""COMPUTED_VALUE"""),"mcar")</f>
        <v>mcar</v>
      </c>
      <c r="D732" s="10">
        <f ca="1">IFERROR(__xludf.DUMMYFUNCTION("""COMPUTED_VALUE"""),0.1)</f>
        <v>0.1</v>
      </c>
      <c r="E732" s="17">
        <f ca="1">IFERROR(__xludf.DUMMYFUNCTION("""COMPUTED_VALUE"""),1.07618323891803)</f>
        <v>1.0761832389180299</v>
      </c>
      <c r="F732" s="17">
        <f ca="1">IFERROR(__xludf.DUMMYFUNCTION("""COMPUTED_VALUE"""),0.86773148494378)</f>
        <v>0.86773148494378005</v>
      </c>
      <c r="G732" s="17">
        <f ca="1">IFERROR(__xludf.DUMMYFUNCTION("""COMPUTED_VALUE"""),0.962324581069001)</f>
        <v>0.96232458106900098</v>
      </c>
      <c r="H732" s="17">
        <f ca="1">IFERROR(__xludf.DUMMYFUNCTION("""COMPUTED_VALUE"""),0.891298813420926)</f>
        <v>0.89129881342092598</v>
      </c>
      <c r="I732" s="17">
        <f ca="1">IFERROR(__xludf.DUMMYFUNCTION("""COMPUTED_VALUE"""),0.919086466420207)</f>
        <v>0.91908646642020697</v>
      </c>
      <c r="J732" s="17">
        <f ca="1">IFERROR(__xludf.DUMMYFUNCTION("""COMPUTED_VALUE"""),0.886657081093479)</f>
        <v>0.88665708109347896</v>
      </c>
      <c r="K732" s="17" t="str">
        <f ca="1">IFERROR(__xludf.DUMMYFUNCTION("""COMPUTED_VALUE"""),"nan")</f>
        <v>nan</v>
      </c>
      <c r="L732" s="17">
        <f ca="1">IFERROR(__xludf.DUMMYFUNCTION("""COMPUTED_VALUE"""),0.992944475444351)</f>
        <v>0.99294447544435105</v>
      </c>
      <c r="M732" s="17">
        <f ca="1">IFERROR(__xludf.DUMMYFUNCTION("""COMPUTED_VALUE"""),0.904987595723507)</f>
        <v>0.90498759572350695</v>
      </c>
      <c r="N732" s="17">
        <f ca="1">IFERROR(__xludf.DUMMYFUNCTION("""COMPUTED_VALUE"""),0.95293333135224)</f>
        <v>0.95293333135224001</v>
      </c>
      <c r="O732" s="17">
        <f ca="1">IFERROR(__xludf.DUMMYFUNCTION("""COMPUTED_VALUE"""),0.855743885800039)</f>
        <v>0.85574388580003902</v>
      </c>
      <c r="P732" s="17">
        <f ca="1">IFERROR(__xludf.DUMMYFUNCTION("""COMPUTED_VALUE"""),0.995200011627545)</f>
        <v>0.99520001162754501</v>
      </c>
      <c r="Q732" s="17">
        <f ca="1">IFERROR(__xludf.DUMMYFUNCTION("""COMPUTED_VALUE"""),1.20033625408044)</f>
        <v>1.2003362540804401</v>
      </c>
      <c r="R732" s="17">
        <f ca="1">IFERROR(__xludf.DUMMYFUNCTION("""COMPUTED_VALUE"""),0.837521440934076)</f>
        <v>0.83752144093407599</v>
      </c>
      <c r="S732" s="17">
        <f ca="1">IFERROR(__xludf.DUMMYFUNCTION("""COMPUTED_VALUE"""),1.08981454044858)</f>
        <v>1.0898145404485799</v>
      </c>
      <c r="T732" s="17">
        <f ca="1">IFERROR(__xludf.DUMMYFUNCTION("""COMPUTED_VALUE"""),0.940958251779979)</f>
        <v>0.94095825177997905</v>
      </c>
      <c r="U732" s="17">
        <f ca="1">IFERROR(__xludf.DUMMYFUNCTION("""COMPUTED_VALUE"""),0.897934711424567)</f>
        <v>0.89793471142456704</v>
      </c>
      <c r="V732" s="17">
        <f ca="1">IFERROR(__xludf.DUMMYFUNCTION("""COMPUTED_VALUE"""),0.993871960702335)</f>
        <v>0.99387196070233497</v>
      </c>
      <c r="W732" s="17">
        <f ca="1">IFERROR(__xludf.DUMMYFUNCTION("""COMPUTED_VALUE"""),0.982687040977725)</f>
        <v>0.98268704097772497</v>
      </c>
      <c r="X732" s="17">
        <f ca="1">IFERROR(__xludf.DUMMYFUNCTION("""COMPUTED_VALUE"""),0.895763639887789)</f>
        <v>0.89576363988778895</v>
      </c>
      <c r="Y732" s="17">
        <f ca="1">IFERROR(__xludf.DUMMYFUNCTION("""COMPUTED_VALUE"""),0.913439588607788)</f>
        <v>0.91343958860778796</v>
      </c>
      <c r="Z732" s="17">
        <f ca="1">IFERROR(__xludf.DUMMYFUNCTION("""COMPUTED_VALUE"""),0.954280065936812)</f>
        <v>0.95428006593681203</v>
      </c>
      <c r="AA732" s="17">
        <f ca="1">IFERROR(__xludf.DUMMYFUNCTION("""COMPUTED_VALUE"""),0.89731034819199)</f>
        <v>0.89731034819198996</v>
      </c>
      <c r="AB732" s="17">
        <f ca="1">IFERROR(__xludf.DUMMYFUNCTION("""COMPUTED_VALUE"""),1.00694632345121)</f>
        <v>1.0069463234512099</v>
      </c>
      <c r="AC732" s="17">
        <f ca="1">IFERROR(__xludf.DUMMYFUNCTION("""COMPUTED_VALUE"""),0.980769971563326)</f>
        <v>0.98076997156332602</v>
      </c>
      <c r="AD732" s="17">
        <f ca="1">IFERROR(__xludf.DUMMYFUNCTION("""COMPUTED_VALUE"""),0.948771236272306)</f>
        <v>0.94877123627230597</v>
      </c>
      <c r="AE732" s="17">
        <f ca="1">IFERROR(__xludf.DUMMYFUNCTION("""COMPUTED_VALUE"""),1.16283135510704)</f>
        <v>1.1628313551070399</v>
      </c>
      <c r="AF732" s="17">
        <f ca="1">IFERROR(__xludf.DUMMYFUNCTION("""COMPUTED_VALUE"""),0.946719931185328)</f>
        <v>0.94671993118532805</v>
      </c>
      <c r="AG732" s="17">
        <f ca="1">IFERROR(__xludf.DUMMYFUNCTION("""COMPUTED_VALUE"""),0.957926543797966)</f>
        <v>0.95792654379796605</v>
      </c>
      <c r="AH732" s="17">
        <f ca="1">IFERROR(__xludf.DUMMYFUNCTION("""COMPUTED_VALUE"""),0.9781135936076)</f>
        <v>0.97811359360759997</v>
      </c>
      <c r="AI732" s="17">
        <f ca="1">IFERROR(__xludf.DUMMYFUNCTION("""COMPUTED_VALUE"""),0.982658448450751)</f>
        <v>0.98265844845075101</v>
      </c>
      <c r="AJ732" s="17">
        <f ca="1">IFERROR(__xludf.DUMMYFUNCTION("""COMPUTED_VALUE"""),0.912660869167737)</f>
        <v>0.91266086916773703</v>
      </c>
    </row>
    <row r="733" spans="2:36" ht="15.75" customHeight="1" x14ac:dyDescent="0.45">
      <c r="B733" s="10" t="str">
        <f ca="1">IFERROR(__xludf.DUMMYFUNCTION("""COMPUTED_VALUE"""),"SemgHandMovementCh2")</f>
        <v>SemgHandMovementCh2</v>
      </c>
      <c r="C733" s="10" t="str">
        <f ca="1">IFERROR(__xludf.DUMMYFUNCTION("""COMPUTED_VALUE"""),"mcar")</f>
        <v>mcar</v>
      </c>
      <c r="D733" s="10">
        <f ca="1">IFERROR(__xludf.DUMMYFUNCTION("""COMPUTED_VALUE"""),0.2)</f>
        <v>0.2</v>
      </c>
      <c r="E733" s="17">
        <f ca="1">IFERROR(__xludf.DUMMYFUNCTION("""COMPUTED_VALUE"""),1.01053773897284)</f>
        <v>1.01053773897284</v>
      </c>
      <c r="F733" s="17">
        <f ca="1">IFERROR(__xludf.DUMMYFUNCTION("""COMPUTED_VALUE"""),0.849306342277278)</f>
        <v>0.84930634227727797</v>
      </c>
      <c r="G733" s="17">
        <f ca="1">IFERROR(__xludf.DUMMYFUNCTION("""COMPUTED_VALUE"""),0.935218432675515)</f>
        <v>0.93521843267551497</v>
      </c>
      <c r="H733" s="17">
        <f ca="1">IFERROR(__xludf.DUMMYFUNCTION("""COMPUTED_VALUE"""),0.86971084059835)</f>
        <v>0.86971084059835002</v>
      </c>
      <c r="I733" s="17">
        <f ca="1">IFERROR(__xludf.DUMMYFUNCTION("""COMPUTED_VALUE"""),0.881893997783369)</f>
        <v>0.88189399778336897</v>
      </c>
      <c r="J733" s="17">
        <f ca="1">IFERROR(__xludf.DUMMYFUNCTION("""COMPUTED_VALUE"""),0.85221967482178)</f>
        <v>0.85221967482177996</v>
      </c>
      <c r="K733" s="17" t="str">
        <f ca="1">IFERROR(__xludf.DUMMYFUNCTION("""COMPUTED_VALUE"""),"nan")</f>
        <v>nan</v>
      </c>
      <c r="L733" s="17">
        <f ca="1">IFERROR(__xludf.DUMMYFUNCTION("""COMPUTED_VALUE"""),0.976024791312398)</f>
        <v>0.97602479131239805</v>
      </c>
      <c r="M733" s="17">
        <f ca="1">IFERROR(__xludf.DUMMYFUNCTION("""COMPUTED_VALUE"""),0.868024907544103)</f>
        <v>0.868024907544103</v>
      </c>
      <c r="N733" s="17">
        <f ca="1">IFERROR(__xludf.DUMMYFUNCTION("""COMPUTED_VALUE"""),0.889234756708579)</f>
        <v>0.88923475670857899</v>
      </c>
      <c r="O733" s="17">
        <f ca="1">IFERROR(__xludf.DUMMYFUNCTION("""COMPUTED_VALUE"""),0.833011591072038)</f>
        <v>0.83301159107203804</v>
      </c>
      <c r="P733" s="17">
        <f ca="1">IFERROR(__xludf.DUMMYFUNCTION("""COMPUTED_VALUE"""),0.947013712501796)</f>
        <v>0.947013712501796</v>
      </c>
      <c r="Q733" s="17">
        <f ca="1">IFERROR(__xludf.DUMMYFUNCTION("""COMPUTED_VALUE"""),1.17357346135572)</f>
        <v>1.17357346135572</v>
      </c>
      <c r="R733" s="17">
        <f ca="1">IFERROR(__xludf.DUMMYFUNCTION("""COMPUTED_VALUE"""),0.82571310866449)</f>
        <v>0.82571310866448999</v>
      </c>
      <c r="S733" s="17">
        <f ca="1">IFERROR(__xludf.DUMMYFUNCTION("""COMPUTED_VALUE"""),1.06679104717738)</f>
        <v>1.06679104717738</v>
      </c>
      <c r="T733" s="17">
        <f ca="1">IFERROR(__xludf.DUMMYFUNCTION("""COMPUTED_VALUE"""),0.893597810724395)</f>
        <v>0.89359781072439504</v>
      </c>
      <c r="U733" s="17">
        <f ca="1">IFERROR(__xludf.DUMMYFUNCTION("""COMPUTED_VALUE"""),0.87433832793596)</f>
        <v>0.87433832793596</v>
      </c>
      <c r="V733" s="17">
        <f ca="1">IFERROR(__xludf.DUMMYFUNCTION("""COMPUTED_VALUE"""),0.922679406762808)</f>
        <v>0.92267940676280802</v>
      </c>
      <c r="W733" s="17">
        <f ca="1">IFERROR(__xludf.DUMMYFUNCTION("""COMPUTED_VALUE"""),0.946505921347106)</f>
        <v>0.94650592134710598</v>
      </c>
      <c r="X733" s="17">
        <f ca="1">IFERROR(__xludf.DUMMYFUNCTION("""COMPUTED_VALUE"""),0.863580451945846)</f>
        <v>0.86358045194584598</v>
      </c>
      <c r="Y733" s="17">
        <f ca="1">IFERROR(__xludf.DUMMYFUNCTION("""COMPUTED_VALUE"""),0.857364265612041)</f>
        <v>0.85736426561204104</v>
      </c>
      <c r="Z733" s="17">
        <f ca="1">IFERROR(__xludf.DUMMYFUNCTION("""COMPUTED_VALUE"""),0.90644957404343)</f>
        <v>0.90644957404342996</v>
      </c>
      <c r="AA733" s="17">
        <f ca="1">IFERROR(__xludf.DUMMYFUNCTION("""COMPUTED_VALUE"""),0.857688191272269)</f>
        <v>0.85768819127226903</v>
      </c>
      <c r="AB733" s="17">
        <f ca="1">IFERROR(__xludf.DUMMYFUNCTION("""COMPUTED_VALUE"""),0.989570634750906)</f>
        <v>0.98957063475090601</v>
      </c>
      <c r="AC733" s="17">
        <f ca="1">IFERROR(__xludf.DUMMYFUNCTION("""COMPUTED_VALUE"""),0.924077275208999)</f>
        <v>0.92407727520899896</v>
      </c>
      <c r="AD733" s="17">
        <f ca="1">IFERROR(__xludf.DUMMYFUNCTION("""COMPUTED_VALUE"""),0.894803977124294)</f>
        <v>0.89480397712429405</v>
      </c>
      <c r="AE733" s="17">
        <f ca="1">IFERROR(__xludf.DUMMYFUNCTION("""COMPUTED_VALUE"""),1.07831074427295)</f>
        <v>1.07831074427295</v>
      </c>
      <c r="AF733" s="17">
        <f ca="1">IFERROR(__xludf.DUMMYFUNCTION("""COMPUTED_VALUE"""),0.89294962786934)</f>
        <v>0.89294962786933996</v>
      </c>
      <c r="AG733" s="17">
        <f ca="1">IFERROR(__xludf.DUMMYFUNCTION("""COMPUTED_VALUE"""),0.921919842283067)</f>
        <v>0.921919842283067</v>
      </c>
      <c r="AH733" s="17">
        <f ca="1">IFERROR(__xludf.DUMMYFUNCTION("""COMPUTED_VALUE"""),0.920920065494955)</f>
        <v>0.92092006549495498</v>
      </c>
      <c r="AI733" s="17" t="str">
        <f ca="1">IFERROR(__xludf.DUMMYFUNCTION("""COMPUTED_VALUE"""),"nan")</f>
        <v>nan</v>
      </c>
      <c r="AJ733" s="17">
        <f ca="1">IFERROR(__xludf.DUMMYFUNCTION("""COMPUTED_VALUE"""),0.906219073419926)</f>
        <v>0.90621907341992602</v>
      </c>
    </row>
    <row r="734" spans="2:36" ht="15.75" customHeight="1" x14ac:dyDescent="0.45">
      <c r="B734" s="10" t="str">
        <f ca="1">IFERROR(__xludf.DUMMYFUNCTION("""COMPUTED_VALUE"""),"SemgHandMovementCh2")</f>
        <v>SemgHandMovementCh2</v>
      </c>
      <c r="C734" s="10" t="str">
        <f ca="1">IFERROR(__xludf.DUMMYFUNCTION("""COMPUTED_VALUE"""),"mcar")</f>
        <v>mcar</v>
      </c>
      <c r="D734" s="10">
        <f ca="1">IFERROR(__xludf.DUMMYFUNCTION("""COMPUTED_VALUE"""),0.4)</f>
        <v>0.4</v>
      </c>
      <c r="E734" s="17">
        <f ca="1">IFERROR(__xludf.DUMMYFUNCTION("""COMPUTED_VALUE"""),1.04160523661568)</f>
        <v>1.0416052366156801</v>
      </c>
      <c r="F734" s="17">
        <f ca="1">IFERROR(__xludf.DUMMYFUNCTION("""COMPUTED_VALUE"""),0.838656586068101)</f>
        <v>0.83865658606810101</v>
      </c>
      <c r="G734" s="17">
        <f ca="1">IFERROR(__xludf.DUMMYFUNCTION("""COMPUTED_VALUE"""),0.933958289104455)</f>
        <v>0.933958289104455</v>
      </c>
      <c r="H734" s="17">
        <f ca="1">IFERROR(__xludf.DUMMYFUNCTION("""COMPUTED_VALUE"""),0.919340392302597)</f>
        <v>0.91934039230259701</v>
      </c>
      <c r="I734" s="17">
        <f ca="1">IFERROR(__xludf.DUMMYFUNCTION("""COMPUTED_VALUE"""),0.888440510186266)</f>
        <v>0.88844051018626602</v>
      </c>
      <c r="J734" s="17">
        <f ca="1">IFERROR(__xludf.DUMMYFUNCTION("""COMPUTED_VALUE"""),0.88595672381701)</f>
        <v>0.88595672381700996</v>
      </c>
      <c r="K734" s="17" t="str">
        <f ca="1">IFERROR(__xludf.DUMMYFUNCTION("""COMPUTED_VALUE"""),"nan")</f>
        <v>nan</v>
      </c>
      <c r="L734" s="17">
        <f ca="1">IFERROR(__xludf.DUMMYFUNCTION("""COMPUTED_VALUE"""),0.919225978731189)</f>
        <v>0.91922597873118905</v>
      </c>
      <c r="M734" s="17">
        <f ca="1">IFERROR(__xludf.DUMMYFUNCTION("""COMPUTED_VALUE"""),0.854602328283148)</f>
        <v>0.85460232828314797</v>
      </c>
      <c r="N734" s="17">
        <f ca="1">IFERROR(__xludf.DUMMYFUNCTION("""COMPUTED_VALUE"""),0.894651886852043)</f>
        <v>0.894651886852043</v>
      </c>
      <c r="O734" s="17">
        <f ca="1">IFERROR(__xludf.DUMMYFUNCTION("""COMPUTED_VALUE"""),0.839481345881585)</f>
        <v>0.83948134588158496</v>
      </c>
      <c r="P734" s="17">
        <f ca="1">IFERROR(__xludf.DUMMYFUNCTION("""COMPUTED_VALUE"""),0.986258800501281)</f>
        <v>0.98625880050128101</v>
      </c>
      <c r="Q734" s="17">
        <f ca="1">IFERROR(__xludf.DUMMYFUNCTION("""COMPUTED_VALUE"""),1.14928097220424)</f>
        <v>1.1492809722042401</v>
      </c>
      <c r="R734" s="17">
        <f ca="1">IFERROR(__xludf.DUMMYFUNCTION("""COMPUTED_VALUE"""),0.844495861167929)</f>
        <v>0.84449586116792896</v>
      </c>
      <c r="S734" s="17">
        <f ca="1">IFERROR(__xludf.DUMMYFUNCTION("""COMPUTED_VALUE"""),1.4475406558113)</f>
        <v>1.4475406558113</v>
      </c>
      <c r="T734" s="17">
        <f ca="1">IFERROR(__xludf.DUMMYFUNCTION("""COMPUTED_VALUE"""),0.937102294902896)</f>
        <v>0.93710229490289598</v>
      </c>
      <c r="U734" s="17">
        <f ca="1">IFERROR(__xludf.DUMMYFUNCTION("""COMPUTED_VALUE"""),0.904533168772713)</f>
        <v>0.90453316877271295</v>
      </c>
      <c r="V734" s="17">
        <f ca="1">IFERROR(__xludf.DUMMYFUNCTION("""COMPUTED_VALUE"""),0.946733660120054)</f>
        <v>0.946733660120054</v>
      </c>
      <c r="W734" s="17">
        <f ca="1">IFERROR(__xludf.DUMMYFUNCTION("""COMPUTED_VALUE"""),0.977354835662739)</f>
        <v>0.97735483566273895</v>
      </c>
      <c r="X734" s="17">
        <f ca="1">IFERROR(__xludf.DUMMYFUNCTION("""COMPUTED_VALUE"""),0.882926396764654)</f>
        <v>0.88292639676465401</v>
      </c>
      <c r="Y734" s="17">
        <f ca="1">IFERROR(__xludf.DUMMYFUNCTION("""COMPUTED_VALUE"""),0.858895419658142)</f>
        <v>0.85889541965814198</v>
      </c>
      <c r="Z734" s="17">
        <f ca="1">IFERROR(__xludf.DUMMYFUNCTION("""COMPUTED_VALUE"""),0.936137620897632)</f>
        <v>0.93613762089763197</v>
      </c>
      <c r="AA734" s="17">
        <f ca="1">IFERROR(__xludf.DUMMYFUNCTION("""COMPUTED_VALUE"""),0.89816483986658)</f>
        <v>0.89816483986658002</v>
      </c>
      <c r="AB734" s="17">
        <f ca="1">IFERROR(__xludf.DUMMYFUNCTION("""COMPUTED_VALUE"""),1.06064849220345)</f>
        <v>1.06064849220345</v>
      </c>
      <c r="AC734" s="17">
        <f ca="1">IFERROR(__xludf.DUMMYFUNCTION("""COMPUTED_VALUE"""),0.95760706215758)</f>
        <v>0.95760706215757996</v>
      </c>
      <c r="AD734" s="17">
        <f ca="1">IFERROR(__xludf.DUMMYFUNCTION("""COMPUTED_VALUE"""),0.932591752937892)</f>
        <v>0.93259175293789198</v>
      </c>
      <c r="AE734" s="17">
        <f ca="1">IFERROR(__xludf.DUMMYFUNCTION("""COMPUTED_VALUE"""),1.08051372487102)</f>
        <v>1.0805137248710199</v>
      </c>
      <c r="AF734" s="17">
        <f ca="1">IFERROR(__xludf.DUMMYFUNCTION("""COMPUTED_VALUE"""),0.913895218275939)</f>
        <v>0.913895218275939</v>
      </c>
      <c r="AG734" s="17">
        <f ca="1">IFERROR(__xludf.DUMMYFUNCTION("""COMPUTED_VALUE"""),1.03162529646983)</f>
        <v>1.03162529646983</v>
      </c>
      <c r="AH734" s="17">
        <f ca="1">IFERROR(__xludf.DUMMYFUNCTION("""COMPUTED_VALUE"""),0.96005408139118)</f>
        <v>0.96005408139117998</v>
      </c>
      <c r="AI734" s="17" t="str">
        <f ca="1">IFERROR(__xludf.DUMMYFUNCTION("""COMPUTED_VALUE"""),"nan")</f>
        <v>nan</v>
      </c>
      <c r="AJ734" s="17">
        <f ca="1">IFERROR(__xludf.DUMMYFUNCTION("""COMPUTED_VALUE"""),0.915372149161742)</f>
        <v>0.91537214916174203</v>
      </c>
    </row>
    <row r="735" spans="2:36" ht="15.75" customHeight="1" x14ac:dyDescent="0.45">
      <c r="B735" s="10" t="str">
        <f ca="1">IFERROR(__xludf.DUMMYFUNCTION("""COMPUTED_VALUE"""),"SemgHandMovementCh2")</f>
        <v>SemgHandMovementCh2</v>
      </c>
      <c r="C735" s="10" t="str">
        <f ca="1">IFERROR(__xludf.DUMMYFUNCTION("""COMPUTED_VALUE"""),"mcar")</f>
        <v>mcar</v>
      </c>
      <c r="D735" s="10">
        <f ca="1">IFERROR(__xludf.DUMMYFUNCTION("""COMPUTED_VALUE"""),0.6)</f>
        <v>0.6</v>
      </c>
      <c r="E735" s="17">
        <f ca="1">IFERROR(__xludf.DUMMYFUNCTION("""COMPUTED_VALUE"""),1.017753308658)</f>
        <v>1.017753308658</v>
      </c>
      <c r="F735" s="17">
        <f ca="1">IFERROR(__xludf.DUMMYFUNCTION("""COMPUTED_VALUE"""),0.839716223345806)</f>
        <v>0.83971622334580598</v>
      </c>
      <c r="G735" s="17">
        <f ca="1">IFERROR(__xludf.DUMMYFUNCTION("""COMPUTED_VALUE"""),0.911311781908329)</f>
        <v>0.91131178190832896</v>
      </c>
      <c r="H735" s="17">
        <f ca="1">IFERROR(__xludf.DUMMYFUNCTION("""COMPUTED_VALUE"""),0.89988604335247)</f>
        <v>0.89988604335247002</v>
      </c>
      <c r="I735" s="17">
        <f ca="1">IFERROR(__xludf.DUMMYFUNCTION("""COMPUTED_VALUE"""),0.879916567133024)</f>
        <v>0.87991656713302402</v>
      </c>
      <c r="J735" s="17">
        <f ca="1">IFERROR(__xludf.DUMMYFUNCTION("""COMPUTED_VALUE"""),0.907896229155737)</f>
        <v>0.90789622915573698</v>
      </c>
      <c r="K735" s="17" t="str">
        <f ca="1">IFERROR(__xludf.DUMMYFUNCTION("""COMPUTED_VALUE"""),"nan")</f>
        <v>nan</v>
      </c>
      <c r="L735" s="17">
        <f ca="1">IFERROR(__xludf.DUMMYFUNCTION("""COMPUTED_VALUE"""),0.905229146745811)</f>
        <v>0.90522914674581101</v>
      </c>
      <c r="M735" s="17">
        <f ca="1">IFERROR(__xludf.DUMMYFUNCTION("""COMPUTED_VALUE"""),0.850548694702522)</f>
        <v>0.85054869470252203</v>
      </c>
      <c r="N735" s="17">
        <f ca="1">IFERROR(__xludf.DUMMYFUNCTION("""COMPUTED_VALUE"""),0.890461627103074)</f>
        <v>0.89046162710307397</v>
      </c>
      <c r="O735" s="17">
        <f ca="1">IFERROR(__xludf.DUMMYFUNCTION("""COMPUTED_VALUE"""),0.838115552709587)</f>
        <v>0.83811555270958704</v>
      </c>
      <c r="P735" s="17">
        <f ca="1">IFERROR(__xludf.DUMMYFUNCTION("""COMPUTED_VALUE"""),0.979948976469236)</f>
        <v>0.97994897646923596</v>
      </c>
      <c r="Q735" s="17">
        <f ca="1">IFERROR(__xludf.DUMMYFUNCTION("""COMPUTED_VALUE"""),1.13210784539339)</f>
        <v>1.1321078453933899</v>
      </c>
      <c r="R735" s="17">
        <f ca="1">IFERROR(__xludf.DUMMYFUNCTION("""COMPUTED_VALUE"""),0.861904774396173)</f>
        <v>0.86190477439617297</v>
      </c>
      <c r="S735" s="17">
        <f ca="1">IFERROR(__xludf.DUMMYFUNCTION("""COMPUTED_VALUE"""),1.43165252938539)</f>
        <v>1.4316525293853899</v>
      </c>
      <c r="T735" s="17">
        <f ca="1">IFERROR(__xludf.DUMMYFUNCTION("""COMPUTED_VALUE"""),0.92495010881988)</f>
        <v>0.92495010881988005</v>
      </c>
      <c r="U735" s="17">
        <f ca="1">IFERROR(__xludf.DUMMYFUNCTION("""COMPUTED_VALUE"""),0.895701027053879)</f>
        <v>0.895701027053879</v>
      </c>
      <c r="V735" s="17">
        <f ca="1">IFERROR(__xludf.DUMMYFUNCTION("""COMPUTED_VALUE"""),0.937132115518166)</f>
        <v>0.937132115518166</v>
      </c>
      <c r="W735" s="17">
        <f ca="1">IFERROR(__xludf.DUMMYFUNCTION("""COMPUTED_VALUE"""),0.940712285912612)</f>
        <v>0.94071228591261202</v>
      </c>
      <c r="X735" s="17">
        <f ca="1">IFERROR(__xludf.DUMMYFUNCTION("""COMPUTED_VALUE"""),0.866569406221374)</f>
        <v>0.86656940622137402</v>
      </c>
      <c r="Y735" s="17">
        <f ca="1">IFERROR(__xludf.DUMMYFUNCTION("""COMPUTED_VALUE"""),0.856194212146877)</f>
        <v>0.85619421214687697</v>
      </c>
      <c r="Z735" s="17">
        <f ca="1">IFERROR(__xludf.DUMMYFUNCTION("""COMPUTED_VALUE"""),0.929808502868868)</f>
        <v>0.92980850286886796</v>
      </c>
      <c r="AA735" s="17">
        <f ca="1">IFERROR(__xludf.DUMMYFUNCTION("""COMPUTED_VALUE"""),0.925571388931609)</f>
        <v>0.92557138893160895</v>
      </c>
      <c r="AB735" s="17">
        <f ca="1">IFERROR(__xludf.DUMMYFUNCTION("""COMPUTED_VALUE"""),1.14156688172)</f>
        <v>1.14156688172</v>
      </c>
      <c r="AC735" s="17">
        <f ca="1">IFERROR(__xludf.DUMMYFUNCTION("""COMPUTED_VALUE"""),0.954284943204693)</f>
        <v>0.95428494320469304</v>
      </c>
      <c r="AD735" s="17">
        <f ca="1">IFERROR(__xludf.DUMMYFUNCTION("""COMPUTED_VALUE"""),0.915538910262308)</f>
        <v>0.91553891026230805</v>
      </c>
      <c r="AE735" s="17">
        <f ca="1">IFERROR(__xludf.DUMMYFUNCTION("""COMPUTED_VALUE"""),1.06647245954224)</f>
        <v>1.0664724595422399</v>
      </c>
      <c r="AF735" s="17">
        <f ca="1">IFERROR(__xludf.DUMMYFUNCTION("""COMPUTED_VALUE"""),0.906899098112823)</f>
        <v>0.90689909811282299</v>
      </c>
      <c r="AG735" s="17">
        <f ca="1">IFERROR(__xludf.DUMMYFUNCTION("""COMPUTED_VALUE"""),1.14343511316642)</f>
        <v>1.14343511316642</v>
      </c>
      <c r="AH735" s="17">
        <f ca="1">IFERROR(__xludf.DUMMYFUNCTION("""COMPUTED_VALUE"""),0.954583215132763)</f>
        <v>0.95458321513276301</v>
      </c>
      <c r="AI735" s="17" t="str">
        <f ca="1">IFERROR(__xludf.DUMMYFUNCTION("""COMPUTED_VALUE"""),"nan")</f>
        <v>nan</v>
      </c>
      <c r="AJ735" s="17">
        <f ca="1">IFERROR(__xludf.DUMMYFUNCTION("""COMPUTED_VALUE"""),0.953363835523708)</f>
        <v>0.95336383552370796</v>
      </c>
    </row>
    <row r="736" spans="2:36" ht="15.75" customHeight="1" x14ac:dyDescent="0.45">
      <c r="B736" s="10" t="str">
        <f ca="1">IFERROR(__xludf.DUMMYFUNCTION("""COMPUTED_VALUE"""),"SemgHandMovementCh2")</f>
        <v>SemgHandMovementCh2</v>
      </c>
      <c r="C736" s="10" t="str">
        <f ca="1">IFERROR(__xludf.DUMMYFUNCTION("""COMPUTED_VALUE"""),"mcar")</f>
        <v>mcar</v>
      </c>
      <c r="D736" s="10">
        <f ca="1">IFERROR(__xludf.DUMMYFUNCTION("""COMPUTED_VALUE"""),0.8)</f>
        <v>0.8</v>
      </c>
      <c r="E736" s="17">
        <f ca="1">IFERROR(__xludf.DUMMYFUNCTION("""COMPUTED_VALUE"""),1.01208924300841)</f>
        <v>1.0120892430084101</v>
      </c>
      <c r="F736" s="17">
        <f ca="1">IFERROR(__xludf.DUMMYFUNCTION("""COMPUTED_VALUE"""),0.849362128601867)</f>
        <v>0.84936212860186699</v>
      </c>
      <c r="G736" s="17">
        <f ca="1">IFERROR(__xludf.DUMMYFUNCTION("""COMPUTED_VALUE"""),0.870192178409223)</f>
        <v>0.87019217840922303</v>
      </c>
      <c r="H736" s="17">
        <f ca="1">IFERROR(__xludf.DUMMYFUNCTION("""COMPUTED_VALUE"""),0.902249294892571)</f>
        <v>0.902249294892571</v>
      </c>
      <c r="I736" s="17">
        <f ca="1">IFERROR(__xludf.DUMMYFUNCTION("""COMPUTED_VALUE"""),0.890677627030974)</f>
        <v>0.89067762703097397</v>
      </c>
      <c r="J736" s="17">
        <f ca="1">IFERROR(__xludf.DUMMYFUNCTION("""COMPUTED_VALUE"""),1.10860320215675)</f>
        <v>1.10860320215675</v>
      </c>
      <c r="K736" s="17" t="str">
        <f ca="1">IFERROR(__xludf.DUMMYFUNCTION("""COMPUTED_VALUE"""),"nan")</f>
        <v>nan</v>
      </c>
      <c r="L736" s="17">
        <f ca="1">IFERROR(__xludf.DUMMYFUNCTION("""COMPUTED_VALUE"""),0.871785861232906)</f>
        <v>0.87178586123290602</v>
      </c>
      <c r="M736" s="17">
        <f ca="1">IFERROR(__xludf.DUMMYFUNCTION("""COMPUTED_VALUE"""),1.09200959766828)</f>
        <v>1.09200959766828</v>
      </c>
      <c r="N736" s="17">
        <f ca="1">IFERROR(__xludf.DUMMYFUNCTION("""COMPUTED_VALUE"""),0.893346733987143)</f>
        <v>0.89334673398714304</v>
      </c>
      <c r="O736" s="17">
        <f ca="1">IFERROR(__xludf.DUMMYFUNCTION("""COMPUTED_VALUE"""),0.850347602488883)</f>
        <v>0.85034760248888297</v>
      </c>
      <c r="P736" s="17">
        <f ca="1">IFERROR(__xludf.DUMMYFUNCTION("""COMPUTED_VALUE"""),1.00660245818708)</f>
        <v>1.0066024581870801</v>
      </c>
      <c r="Q736" s="17">
        <f ca="1">IFERROR(__xludf.DUMMYFUNCTION("""COMPUTED_VALUE"""),1.13286521538841)</f>
        <v>1.13286521538841</v>
      </c>
      <c r="R736" s="17">
        <f ca="1">IFERROR(__xludf.DUMMYFUNCTION("""COMPUTED_VALUE"""),0.888537590713434)</f>
        <v>0.88853759071343397</v>
      </c>
      <c r="S736" s="17">
        <f ca="1">IFERROR(__xludf.DUMMYFUNCTION("""COMPUTED_VALUE"""),1.43582271705558)</f>
        <v>1.43582271705558</v>
      </c>
      <c r="T736" s="17">
        <f ca="1">IFERROR(__xludf.DUMMYFUNCTION("""COMPUTED_VALUE"""),0.934519633127582)</f>
        <v>0.93451963312758202</v>
      </c>
      <c r="U736" s="17">
        <f ca="1">IFERROR(__xludf.DUMMYFUNCTION("""COMPUTED_VALUE"""),0.907094833847068)</f>
        <v>0.90709483384706802</v>
      </c>
      <c r="V736" s="17">
        <f ca="1">IFERROR(__xludf.DUMMYFUNCTION("""COMPUTED_VALUE"""),0.962140847186254)</f>
        <v>0.96214084718625403</v>
      </c>
      <c r="W736" s="17">
        <f ca="1">IFERROR(__xludf.DUMMYFUNCTION("""COMPUTED_VALUE"""),0.948910958968801)</f>
        <v>0.94891095896880095</v>
      </c>
      <c r="X736" s="17">
        <f ca="1">IFERROR(__xludf.DUMMYFUNCTION("""COMPUTED_VALUE"""),0.876641795968239)</f>
        <v>0.87664179596823899</v>
      </c>
      <c r="Y736" s="17">
        <f ca="1">IFERROR(__xludf.DUMMYFUNCTION("""COMPUTED_VALUE"""),0.880295877869481)</f>
        <v>0.88029587786948105</v>
      </c>
      <c r="Z736" s="17">
        <f ca="1">IFERROR(__xludf.DUMMYFUNCTION("""COMPUTED_VALUE"""),0.944213136992481)</f>
        <v>0.94421313699248099</v>
      </c>
      <c r="AA736" s="17">
        <f ca="1">IFERROR(__xludf.DUMMYFUNCTION("""COMPUTED_VALUE"""),0.974864711757134)</f>
        <v>0.97486471175713396</v>
      </c>
      <c r="AB736" s="17">
        <f ca="1">IFERROR(__xludf.DUMMYFUNCTION("""COMPUTED_VALUE"""),1.28132613302631)</f>
        <v>1.2813261330263099</v>
      </c>
      <c r="AC736" s="17">
        <f ca="1">IFERROR(__xludf.DUMMYFUNCTION("""COMPUTED_VALUE"""),0.971333843893788)</f>
        <v>0.97133384389378796</v>
      </c>
      <c r="AD736" s="17">
        <f ca="1">IFERROR(__xludf.DUMMYFUNCTION("""COMPUTED_VALUE"""),0.918082529170775)</f>
        <v>0.91808252917077504</v>
      </c>
      <c r="AE736" s="17" t="str">
        <f ca="1">IFERROR(__xludf.DUMMYFUNCTION("""COMPUTED_VALUE"""),"nan")</f>
        <v>nan</v>
      </c>
      <c r="AF736" s="17">
        <f ca="1">IFERROR(__xludf.DUMMYFUNCTION("""COMPUTED_VALUE"""),0.966358062644924)</f>
        <v>0.96635806264492397</v>
      </c>
      <c r="AG736" s="17">
        <f ca="1">IFERROR(__xludf.DUMMYFUNCTION("""COMPUTED_VALUE"""),1.14385511356051)</f>
        <v>1.14385511356051</v>
      </c>
      <c r="AH736" s="17">
        <f ca="1">IFERROR(__xludf.DUMMYFUNCTION("""COMPUTED_VALUE"""),1.08488641310971)</f>
        <v>1.08488641310971</v>
      </c>
      <c r="AI736" s="17" t="str">
        <f ca="1">IFERROR(__xludf.DUMMYFUNCTION("""COMPUTED_VALUE"""),"nan")</f>
        <v>nan</v>
      </c>
      <c r="AJ736" s="17">
        <f ca="1">IFERROR(__xludf.DUMMYFUNCTION("""COMPUTED_VALUE"""),1.09564921134289)</f>
        <v>1.09564921134289</v>
      </c>
    </row>
    <row r="737" spans="2:36" ht="15.75" customHeight="1" x14ac:dyDescent="0.45">
      <c r="B737" s="10" t="str">
        <f ca="1">IFERROR(__xludf.DUMMYFUNCTION("""COMPUTED_VALUE"""),"SemgHandSubjectCh2")</f>
        <v>SemgHandSubjectCh2</v>
      </c>
      <c r="C737" s="10" t="str">
        <f ca="1">IFERROR(__xludf.DUMMYFUNCTION("""COMPUTED_VALUE"""),"aligned_series")</f>
        <v>aligned_series</v>
      </c>
      <c r="D737" s="10">
        <f ca="1">IFERROR(__xludf.DUMMYFUNCTION("""COMPUTED_VALUE"""),0.1)</f>
        <v>0.1</v>
      </c>
      <c r="E737" s="17">
        <f ca="1">IFERROR(__xludf.DUMMYFUNCTION("""COMPUTED_VALUE"""),0.848026737175505)</f>
        <v>0.84802673717550503</v>
      </c>
      <c r="F737" s="17">
        <f ca="1">IFERROR(__xludf.DUMMYFUNCTION("""COMPUTED_VALUE"""),0.5950495803467)</f>
        <v>0.59504958034669997</v>
      </c>
      <c r="G737" s="17">
        <f ca="1">IFERROR(__xludf.DUMMYFUNCTION("""COMPUTED_VALUE"""),0.596185814397379)</f>
        <v>0.59618581439737905</v>
      </c>
      <c r="H737" s="17">
        <f ca="1">IFERROR(__xludf.DUMMYFUNCTION("""COMPUTED_VALUE"""),0.62680445946946)</f>
        <v>0.62680445946945995</v>
      </c>
      <c r="I737" s="17">
        <f ca="1">IFERROR(__xludf.DUMMYFUNCTION("""COMPUTED_VALUE"""),0.620781247809459)</f>
        <v>0.62078124780945898</v>
      </c>
      <c r="J737" s="17">
        <f ca="1">IFERROR(__xludf.DUMMYFUNCTION("""COMPUTED_VALUE"""),0.805463889456743)</f>
        <v>0.80546388945674297</v>
      </c>
      <c r="K737" s="17" t="str">
        <f ca="1">IFERROR(__xludf.DUMMYFUNCTION("""COMPUTED_VALUE"""),"nan")</f>
        <v>nan</v>
      </c>
      <c r="L737" s="17">
        <f ca="1">IFERROR(__xludf.DUMMYFUNCTION("""COMPUTED_VALUE"""),0.582981393354233)</f>
        <v>0.58298139335423305</v>
      </c>
      <c r="M737" s="17">
        <f ca="1">IFERROR(__xludf.DUMMYFUNCTION("""COMPUTED_VALUE"""),0.575695839016413)</f>
        <v>0.57569583901641297</v>
      </c>
      <c r="N737" s="17">
        <f ca="1">IFERROR(__xludf.DUMMYFUNCTION("""COMPUTED_VALUE"""),0.65047816724613)</f>
        <v>0.65047816724612995</v>
      </c>
      <c r="O737" s="17">
        <f ca="1">IFERROR(__xludf.DUMMYFUNCTION("""COMPUTED_VALUE"""),0.568143335918292)</f>
        <v>0.56814333591829203</v>
      </c>
      <c r="P737" s="17">
        <f ca="1">IFERROR(__xludf.DUMMYFUNCTION("""COMPUTED_VALUE"""),1.47902826698676)</f>
        <v>1.47902826698676</v>
      </c>
      <c r="Q737" s="17">
        <f ca="1">IFERROR(__xludf.DUMMYFUNCTION("""COMPUTED_VALUE"""),0.819706445130607)</f>
        <v>0.81970644513060698</v>
      </c>
      <c r="R737" s="17">
        <f ca="1">IFERROR(__xludf.DUMMYFUNCTION("""COMPUTED_VALUE"""),0.597128761768312)</f>
        <v>0.59712876176831198</v>
      </c>
      <c r="S737" s="17">
        <f ca="1">IFERROR(__xludf.DUMMYFUNCTION("""COMPUTED_VALUE"""),0.70009794077044)</f>
        <v>0.70009794077043996</v>
      </c>
      <c r="T737" s="17">
        <f ca="1">IFERROR(__xludf.DUMMYFUNCTION("""COMPUTED_VALUE"""),0.592891257048622)</f>
        <v>0.592891257048622</v>
      </c>
      <c r="U737" s="17">
        <f ca="1">IFERROR(__xludf.DUMMYFUNCTION("""COMPUTED_VALUE"""),0.589515700078023)</f>
        <v>0.58951570007802301</v>
      </c>
      <c r="V737" s="17">
        <f ca="1">IFERROR(__xludf.DUMMYFUNCTION("""COMPUTED_VALUE"""),0.60424810507278)</f>
        <v>0.60424810507278004</v>
      </c>
      <c r="W737" s="17">
        <f ca="1">IFERROR(__xludf.DUMMYFUNCTION("""COMPUTED_VALUE"""),0.652035372060041)</f>
        <v>0.65203537206004103</v>
      </c>
      <c r="X737" s="17">
        <f ca="1">IFERROR(__xludf.DUMMYFUNCTION("""COMPUTED_VALUE"""),0.614540180924079)</f>
        <v>0.61454018092407903</v>
      </c>
      <c r="Y737" s="17">
        <f ca="1">IFERROR(__xludf.DUMMYFUNCTION("""COMPUTED_VALUE"""),0.591899130149872)</f>
        <v>0.59189913014987205</v>
      </c>
      <c r="Z737" s="17">
        <f ca="1">IFERROR(__xludf.DUMMYFUNCTION("""COMPUTED_VALUE"""),0.590621547492943)</f>
        <v>0.59062154749294304</v>
      </c>
      <c r="AA737" s="17">
        <f ca="1">IFERROR(__xludf.DUMMYFUNCTION("""COMPUTED_VALUE"""),0.585829681044283)</f>
        <v>0.58582968104428301</v>
      </c>
      <c r="AB737" s="17">
        <f ca="1">IFERROR(__xludf.DUMMYFUNCTION("""COMPUTED_VALUE"""),0.68213274240905)</f>
        <v>0.68213274240904997</v>
      </c>
      <c r="AC737" s="17">
        <f ca="1">IFERROR(__xludf.DUMMYFUNCTION("""COMPUTED_VALUE"""),0.770518111759702)</f>
        <v>0.77051811175970197</v>
      </c>
      <c r="AD737" s="17">
        <f ca="1">IFERROR(__xludf.DUMMYFUNCTION("""COMPUTED_VALUE"""),0.599624215300336)</f>
        <v>0.59962421530033605</v>
      </c>
      <c r="AE737" s="17">
        <f ca="1">IFERROR(__xludf.DUMMYFUNCTION("""COMPUTED_VALUE"""),1.10094964542423)</f>
        <v>1.10094964542423</v>
      </c>
      <c r="AF737" s="17">
        <f ca="1">IFERROR(__xludf.DUMMYFUNCTION("""COMPUTED_VALUE"""),0.621764547777717)</f>
        <v>0.62176454777771695</v>
      </c>
      <c r="AG737" s="17">
        <f ca="1">IFERROR(__xludf.DUMMYFUNCTION("""COMPUTED_VALUE"""),0.662786304885242)</f>
        <v>0.66278630488524204</v>
      </c>
      <c r="AH737" s="17">
        <f ca="1">IFERROR(__xludf.DUMMYFUNCTION("""COMPUTED_VALUE"""),0.671017029923734)</f>
        <v>0.67101702992373402</v>
      </c>
      <c r="AI737" s="17" t="str">
        <f ca="1">IFERROR(__xludf.DUMMYFUNCTION("""COMPUTED_VALUE"""),"nan")</f>
        <v>nan</v>
      </c>
      <c r="AJ737" s="17">
        <f ca="1">IFERROR(__xludf.DUMMYFUNCTION("""COMPUTED_VALUE"""),0.606072374065521)</f>
        <v>0.60607237406552095</v>
      </c>
    </row>
    <row r="738" spans="2:36" ht="15.75" customHeight="1" x14ac:dyDescent="0.45">
      <c r="B738" s="10" t="str">
        <f ca="1">IFERROR(__xludf.DUMMYFUNCTION("""COMPUTED_VALUE"""),"SemgHandSubjectCh2")</f>
        <v>SemgHandSubjectCh2</v>
      </c>
      <c r="C738" s="10" t="str">
        <f ca="1">IFERROR(__xludf.DUMMYFUNCTION("""COMPUTED_VALUE"""),"aligned_series")</f>
        <v>aligned_series</v>
      </c>
      <c r="D738" s="10">
        <f ca="1">IFERROR(__xludf.DUMMYFUNCTION("""COMPUTED_VALUE"""),0.2)</f>
        <v>0.2</v>
      </c>
      <c r="E738" s="17">
        <f ca="1">IFERROR(__xludf.DUMMYFUNCTION("""COMPUTED_VALUE"""),0.848317588049232)</f>
        <v>0.84831758804923196</v>
      </c>
      <c r="F738" s="17">
        <f ca="1">IFERROR(__xludf.DUMMYFUNCTION("""COMPUTED_VALUE"""),0.582914555110441)</f>
        <v>0.58291455511044099</v>
      </c>
      <c r="G738" s="17">
        <f ca="1">IFERROR(__xludf.DUMMYFUNCTION("""COMPUTED_VALUE"""),0.58452145461443)</f>
        <v>0.58452145461442995</v>
      </c>
      <c r="H738" s="17">
        <f ca="1">IFERROR(__xludf.DUMMYFUNCTION("""COMPUTED_VALUE"""),0.614538802616511)</f>
        <v>0.61453880261651095</v>
      </c>
      <c r="I738" s="17">
        <f ca="1">IFERROR(__xludf.DUMMYFUNCTION("""COMPUTED_VALUE"""),0.608164282969324)</f>
        <v>0.60816428296932401</v>
      </c>
      <c r="J738" s="17">
        <f ca="1">IFERROR(__xludf.DUMMYFUNCTION("""COMPUTED_VALUE"""),0.847636964173498)</f>
        <v>0.84763696417349799</v>
      </c>
      <c r="K738" s="17" t="str">
        <f ca="1">IFERROR(__xludf.DUMMYFUNCTION("""COMPUTED_VALUE"""),"nan")</f>
        <v>nan</v>
      </c>
      <c r="L738" s="17">
        <f ca="1">IFERROR(__xludf.DUMMYFUNCTION("""COMPUTED_VALUE"""),0.568148672523417)</f>
        <v>0.56814867252341705</v>
      </c>
      <c r="M738" s="17">
        <f ca="1">IFERROR(__xludf.DUMMYFUNCTION("""COMPUTED_VALUE"""),0.561298642892341)</f>
        <v>0.56129864289234099</v>
      </c>
      <c r="N738" s="17">
        <f ca="1">IFERROR(__xludf.DUMMYFUNCTION("""COMPUTED_VALUE"""),0.621976158379247)</f>
        <v>0.62197615837924702</v>
      </c>
      <c r="O738" s="17">
        <f ca="1">IFERROR(__xludf.DUMMYFUNCTION("""COMPUTED_VALUE"""),0.557647754318406)</f>
        <v>0.55764775431840596</v>
      </c>
      <c r="P738" s="17">
        <f ca="1">IFERROR(__xludf.DUMMYFUNCTION("""COMPUTED_VALUE"""),1.47959040892981)</f>
        <v>1.47959040892981</v>
      </c>
      <c r="Q738" s="17">
        <f ca="1">IFERROR(__xludf.DUMMYFUNCTION("""COMPUTED_VALUE"""),0.8228817034756)</f>
        <v>0.82288170347559997</v>
      </c>
      <c r="R738" s="17">
        <f ca="1">IFERROR(__xludf.DUMMYFUNCTION("""COMPUTED_VALUE"""),0.592196935182837)</f>
        <v>0.592196935182837</v>
      </c>
      <c r="S738" s="17">
        <f ca="1">IFERROR(__xludf.DUMMYFUNCTION("""COMPUTED_VALUE"""),0.693036426100521)</f>
        <v>0.69303642610052096</v>
      </c>
      <c r="T738" s="17">
        <f ca="1">IFERROR(__xludf.DUMMYFUNCTION("""COMPUTED_VALUE"""),0.572243204858947)</f>
        <v>0.57224320485894697</v>
      </c>
      <c r="U738" s="17">
        <f ca="1">IFERROR(__xludf.DUMMYFUNCTION("""COMPUTED_VALUE"""),0.575204308900119)</f>
        <v>0.57520430890011898</v>
      </c>
      <c r="V738" s="17">
        <f ca="1">IFERROR(__xludf.DUMMYFUNCTION("""COMPUTED_VALUE"""),0.584731369395566)</f>
        <v>0.58473136939556603</v>
      </c>
      <c r="W738" s="17">
        <f ca="1">IFERROR(__xludf.DUMMYFUNCTION("""COMPUTED_VALUE"""),0.599819125665708)</f>
        <v>0.59981912566570805</v>
      </c>
      <c r="X738" s="17">
        <f ca="1">IFERROR(__xludf.DUMMYFUNCTION("""COMPUTED_VALUE"""),0.60406161211483)</f>
        <v>0.60406161211483</v>
      </c>
      <c r="Y738" s="17">
        <f ca="1">IFERROR(__xludf.DUMMYFUNCTION("""COMPUTED_VALUE"""),0.572195442477839)</f>
        <v>0.57219544247783904</v>
      </c>
      <c r="Z738" s="17">
        <f ca="1">IFERROR(__xludf.DUMMYFUNCTION("""COMPUTED_VALUE"""),0.573256817328555)</f>
        <v>0.57325681732855505</v>
      </c>
      <c r="AA738" s="17">
        <f ca="1">IFERROR(__xludf.DUMMYFUNCTION("""COMPUTED_VALUE"""),0.569941330344816)</f>
        <v>0.56994133034481598</v>
      </c>
      <c r="AB738" s="17">
        <f ca="1">IFERROR(__xludf.DUMMYFUNCTION("""COMPUTED_VALUE"""),0.740134039283267)</f>
        <v>0.74013403928326704</v>
      </c>
      <c r="AC738" s="17">
        <f ca="1">IFERROR(__xludf.DUMMYFUNCTION("""COMPUTED_VALUE"""),0.739991194747505)</f>
        <v>0.73999119474750497</v>
      </c>
      <c r="AD738" s="17">
        <f ca="1">IFERROR(__xludf.DUMMYFUNCTION("""COMPUTED_VALUE"""),0.58421445730716)</f>
        <v>0.58421445730716004</v>
      </c>
      <c r="AE738" s="17">
        <f ca="1">IFERROR(__xludf.DUMMYFUNCTION("""COMPUTED_VALUE"""),1.14499220038157)</f>
        <v>1.14499220038157</v>
      </c>
      <c r="AF738" s="17">
        <f ca="1">IFERROR(__xludf.DUMMYFUNCTION("""COMPUTED_VALUE"""),0.608126632702054)</f>
        <v>0.60812663270205403</v>
      </c>
      <c r="AG738" s="17">
        <f ca="1">IFERROR(__xludf.DUMMYFUNCTION("""COMPUTED_VALUE"""),0.656951787213226)</f>
        <v>0.656951787213226</v>
      </c>
      <c r="AH738" s="17">
        <f ca="1">IFERROR(__xludf.DUMMYFUNCTION("""COMPUTED_VALUE"""),0.66583722852852)</f>
        <v>0.66583722852852001</v>
      </c>
      <c r="AI738" s="17" t="str">
        <f ca="1">IFERROR(__xludf.DUMMYFUNCTION("""COMPUTED_VALUE"""),"nan")</f>
        <v>nan</v>
      </c>
      <c r="AJ738" s="17">
        <f ca="1">IFERROR(__xludf.DUMMYFUNCTION("""COMPUTED_VALUE"""),0.606137331120145)</f>
        <v>0.60613733112014501</v>
      </c>
    </row>
    <row r="739" spans="2:36" ht="15.75" customHeight="1" x14ac:dyDescent="0.45">
      <c r="B739" s="10" t="str">
        <f ca="1">IFERROR(__xludf.DUMMYFUNCTION("""COMPUTED_VALUE"""),"SemgHandSubjectCh2")</f>
        <v>SemgHandSubjectCh2</v>
      </c>
      <c r="C739" s="10" t="str">
        <f ca="1">IFERROR(__xludf.DUMMYFUNCTION("""COMPUTED_VALUE"""),"aligned_series")</f>
        <v>aligned_series</v>
      </c>
      <c r="D739" s="10">
        <f ca="1">IFERROR(__xludf.DUMMYFUNCTION("""COMPUTED_VALUE"""),0.4)</f>
        <v>0.4</v>
      </c>
      <c r="E739" s="17">
        <f ca="1">IFERROR(__xludf.DUMMYFUNCTION("""COMPUTED_VALUE"""),0.855820074892225)</f>
        <v>0.855820074892225</v>
      </c>
      <c r="F739" s="17">
        <f ca="1">IFERROR(__xludf.DUMMYFUNCTION("""COMPUTED_VALUE"""),0.583339601484037)</f>
        <v>0.58333960148403696</v>
      </c>
      <c r="G739" s="17">
        <f ca="1">IFERROR(__xludf.DUMMYFUNCTION("""COMPUTED_VALUE"""),0.585378006064659)</f>
        <v>0.58537800606465895</v>
      </c>
      <c r="H739" s="17">
        <f ca="1">IFERROR(__xludf.DUMMYFUNCTION("""COMPUTED_VALUE"""),0.612984020923596)</f>
        <v>0.61298402092359605</v>
      </c>
      <c r="I739" s="17">
        <f ca="1">IFERROR(__xludf.DUMMYFUNCTION("""COMPUTED_VALUE"""),0.600781642801787)</f>
        <v>0.60078164280178703</v>
      </c>
      <c r="J739" s="17">
        <f ca="1">IFERROR(__xludf.DUMMYFUNCTION("""COMPUTED_VALUE"""),0.95816464536789)</f>
        <v>0.95816464536789003</v>
      </c>
      <c r="K739" s="17" t="str">
        <f ca="1">IFERROR(__xludf.DUMMYFUNCTION("""COMPUTED_VALUE"""),"nan")</f>
        <v>nan</v>
      </c>
      <c r="L739" s="17">
        <f ca="1">IFERROR(__xludf.DUMMYFUNCTION("""COMPUTED_VALUE"""),0.574231928948149)</f>
        <v>0.57423192894814901</v>
      </c>
      <c r="M739" s="17">
        <f ca="1">IFERROR(__xludf.DUMMYFUNCTION("""COMPUTED_VALUE"""),0.557785164967736)</f>
        <v>0.557785164967736</v>
      </c>
      <c r="N739" s="17">
        <f ca="1">IFERROR(__xludf.DUMMYFUNCTION("""COMPUTED_VALUE"""),0.620299501986519)</f>
        <v>0.62029950198651895</v>
      </c>
      <c r="O739" s="17">
        <f ca="1">IFERROR(__xludf.DUMMYFUNCTION("""COMPUTED_VALUE"""),0.555169954098922)</f>
        <v>0.555169954098922</v>
      </c>
      <c r="P739" s="17">
        <f ca="1">IFERROR(__xludf.DUMMYFUNCTION("""COMPUTED_VALUE"""),1.73389589218796)</f>
        <v>1.7338958921879599</v>
      </c>
      <c r="Q739" s="17">
        <f ca="1">IFERROR(__xludf.DUMMYFUNCTION("""COMPUTED_VALUE"""),0.820379946202975)</f>
        <v>0.82037994620297505</v>
      </c>
      <c r="R739" s="17">
        <f ca="1">IFERROR(__xludf.DUMMYFUNCTION("""COMPUTED_VALUE"""),0.623530579694225)</f>
        <v>0.62353057969422498</v>
      </c>
      <c r="S739" s="17">
        <f ca="1">IFERROR(__xludf.DUMMYFUNCTION("""COMPUTED_VALUE"""),0.73816525778775)</f>
        <v>0.73816525778775</v>
      </c>
      <c r="T739" s="17">
        <f ca="1">IFERROR(__xludf.DUMMYFUNCTION("""COMPUTED_VALUE"""),0.581379833153366)</f>
        <v>0.58137983315336605</v>
      </c>
      <c r="U739" s="17">
        <f ca="1">IFERROR(__xludf.DUMMYFUNCTION("""COMPUTED_VALUE"""),0.576805376674537)</f>
        <v>0.57680537667453702</v>
      </c>
      <c r="V739" s="17">
        <f ca="1">IFERROR(__xludf.DUMMYFUNCTION("""COMPUTED_VALUE"""),0.606243861968206)</f>
        <v>0.60624386196820601</v>
      </c>
      <c r="W739" s="17">
        <f ca="1">IFERROR(__xludf.DUMMYFUNCTION("""COMPUTED_VALUE"""),0.59557355863768)</f>
        <v>0.59557355863768002</v>
      </c>
      <c r="X739" s="17">
        <f ca="1">IFERROR(__xludf.DUMMYFUNCTION("""COMPUTED_VALUE"""),0.61401019391243)</f>
        <v>0.61401019391242995</v>
      </c>
      <c r="Y739" s="17">
        <f ca="1">IFERROR(__xludf.DUMMYFUNCTION("""COMPUTED_VALUE"""),0.568594401339123)</f>
        <v>0.56859440133912298</v>
      </c>
      <c r="Z739" s="17">
        <f ca="1">IFERROR(__xludf.DUMMYFUNCTION("""COMPUTED_VALUE"""),0.57092440123929)</f>
        <v>0.57092440123929</v>
      </c>
      <c r="AA739" s="17">
        <f ca="1">IFERROR(__xludf.DUMMYFUNCTION("""COMPUTED_VALUE"""),0.563266977142377)</f>
        <v>0.56326697714237695</v>
      </c>
      <c r="AB739" s="17">
        <f ca="1">IFERROR(__xludf.DUMMYFUNCTION("""COMPUTED_VALUE"""),2.30636268347603)</f>
        <v>2.30636268347603</v>
      </c>
      <c r="AC739" s="17">
        <f ca="1">IFERROR(__xludf.DUMMYFUNCTION("""COMPUTED_VALUE"""),0.72555951306486)</f>
        <v>0.72555951306486</v>
      </c>
      <c r="AD739" s="17">
        <f ca="1">IFERROR(__xludf.DUMMYFUNCTION("""COMPUTED_VALUE"""),0.580815229285463)</f>
        <v>0.58081522928546303</v>
      </c>
      <c r="AE739" s="17">
        <f ca="1">IFERROR(__xludf.DUMMYFUNCTION("""COMPUTED_VALUE"""),1.15291396647463)</f>
        <v>1.15291396647463</v>
      </c>
      <c r="AF739" s="17">
        <f ca="1">IFERROR(__xludf.DUMMYFUNCTION("""COMPUTED_VALUE"""),0.605223558136975)</f>
        <v>0.60522355813697504</v>
      </c>
      <c r="AG739" s="17">
        <f ca="1">IFERROR(__xludf.DUMMYFUNCTION("""COMPUTED_VALUE"""),0.682054261278084)</f>
        <v>0.682054261278084</v>
      </c>
      <c r="AH739" s="17">
        <f ca="1">IFERROR(__xludf.DUMMYFUNCTION("""COMPUTED_VALUE"""),0.673791646721823)</f>
        <v>0.67379164672182301</v>
      </c>
      <c r="AI739" s="17" t="str">
        <f ca="1">IFERROR(__xludf.DUMMYFUNCTION("""COMPUTED_VALUE"""),"nan")</f>
        <v>nan</v>
      </c>
      <c r="AJ739" s="17">
        <f ca="1">IFERROR(__xludf.DUMMYFUNCTION("""COMPUTED_VALUE"""),0.619519519699518)</f>
        <v>0.61951951969951802</v>
      </c>
    </row>
    <row r="740" spans="2:36" ht="15.75" customHeight="1" x14ac:dyDescent="0.45">
      <c r="B740" s="10" t="str">
        <f ca="1">IFERROR(__xludf.DUMMYFUNCTION("""COMPUTED_VALUE"""),"SemgHandSubjectCh2")</f>
        <v>SemgHandSubjectCh2</v>
      </c>
      <c r="C740" s="10" t="str">
        <f ca="1">IFERROR(__xludf.DUMMYFUNCTION("""COMPUTED_VALUE"""),"aligned_series")</f>
        <v>aligned_series</v>
      </c>
      <c r="D740" s="10">
        <f ca="1">IFERROR(__xludf.DUMMYFUNCTION("""COMPUTED_VALUE"""),0.6)</f>
        <v>0.6</v>
      </c>
      <c r="E740" s="17">
        <f ca="1">IFERROR(__xludf.DUMMYFUNCTION("""COMPUTED_VALUE"""),0.878842006785213)</f>
        <v>0.87884200678521296</v>
      </c>
      <c r="F740" s="17">
        <f ca="1">IFERROR(__xludf.DUMMYFUNCTION("""COMPUTED_VALUE"""),0.597798346708635)</f>
        <v>0.59779834670863496</v>
      </c>
      <c r="G740" s="17">
        <f ca="1">IFERROR(__xludf.DUMMYFUNCTION("""COMPUTED_VALUE"""),0.601825016470848)</f>
        <v>0.60182501647084796</v>
      </c>
      <c r="H740" s="17">
        <f ca="1">IFERROR(__xludf.DUMMYFUNCTION("""COMPUTED_VALUE"""),0.624707205802355)</f>
        <v>0.62470720580235495</v>
      </c>
      <c r="I740" s="17">
        <f ca="1">IFERROR(__xludf.DUMMYFUNCTION("""COMPUTED_VALUE"""),0.624201240014691)</f>
        <v>0.62420124001469102</v>
      </c>
      <c r="J740" s="17">
        <f ca="1">IFERROR(__xludf.DUMMYFUNCTION("""COMPUTED_VALUE"""),0.982687081250563)</f>
        <v>0.98268708125056303</v>
      </c>
      <c r="K740" s="17" t="str">
        <f ca="1">IFERROR(__xludf.DUMMYFUNCTION("""COMPUTED_VALUE"""),"nan")</f>
        <v>nan</v>
      </c>
      <c r="L740" s="17">
        <f ca="1">IFERROR(__xludf.DUMMYFUNCTION("""COMPUTED_VALUE"""),0.592025306926404)</f>
        <v>0.59202530692640398</v>
      </c>
      <c r="M740" s="17">
        <f ca="1">IFERROR(__xludf.DUMMYFUNCTION("""COMPUTED_VALUE"""),0.574534219014774)</f>
        <v>0.57453421901477397</v>
      </c>
      <c r="N740" s="17">
        <f ca="1">IFERROR(__xludf.DUMMYFUNCTION("""COMPUTED_VALUE"""),0.620309821722329)</f>
        <v>0.62030982172232896</v>
      </c>
      <c r="O740" s="17">
        <f ca="1">IFERROR(__xludf.DUMMYFUNCTION("""COMPUTED_VALUE"""),0.566203323871058)</f>
        <v>0.56620332387105798</v>
      </c>
      <c r="P740" s="17">
        <f ca="1">IFERROR(__xludf.DUMMYFUNCTION("""COMPUTED_VALUE"""),2.04549574126791)</f>
        <v>2.04549574126791</v>
      </c>
      <c r="Q740" s="17">
        <f ca="1">IFERROR(__xludf.DUMMYFUNCTION("""COMPUTED_VALUE"""),0.827123718797083)</f>
        <v>0.82712371879708302</v>
      </c>
      <c r="R740" s="17">
        <f ca="1">IFERROR(__xludf.DUMMYFUNCTION("""COMPUTED_VALUE"""),0.690889445423584)</f>
        <v>0.69088944542358399</v>
      </c>
      <c r="S740" s="17">
        <f ca="1">IFERROR(__xludf.DUMMYFUNCTION("""COMPUTED_VALUE"""),0.801963440555669)</f>
        <v>0.80196344055566904</v>
      </c>
      <c r="T740" s="17">
        <f ca="1">IFERROR(__xludf.DUMMYFUNCTION("""COMPUTED_VALUE"""),0.636337361976309)</f>
        <v>0.63633736197630897</v>
      </c>
      <c r="U740" s="17">
        <f ca="1">IFERROR(__xludf.DUMMYFUNCTION("""COMPUTED_VALUE"""),0.592357452900133)</f>
        <v>0.59235745290013297</v>
      </c>
      <c r="V740" s="17">
        <f ca="1">IFERROR(__xludf.DUMMYFUNCTION("""COMPUTED_VALUE"""),0.626989680797955)</f>
        <v>0.62698968079795503</v>
      </c>
      <c r="W740" s="17">
        <f ca="1">IFERROR(__xludf.DUMMYFUNCTION("""COMPUTED_VALUE"""),0.605303639737284)</f>
        <v>0.60530363973728396</v>
      </c>
      <c r="X740" s="17">
        <f ca="1">IFERROR(__xludf.DUMMYFUNCTION("""COMPUTED_VALUE"""),0.61537246608155)</f>
        <v>0.61537246608155005</v>
      </c>
      <c r="Y740" s="17">
        <f ca="1">IFERROR(__xludf.DUMMYFUNCTION("""COMPUTED_VALUE"""),0.583430664690707)</f>
        <v>0.58343066469070703</v>
      </c>
      <c r="Z740" s="17">
        <f ca="1">IFERROR(__xludf.DUMMYFUNCTION("""COMPUTED_VALUE"""),0.583623973225985)</f>
        <v>0.58362397322598503</v>
      </c>
      <c r="AA740" s="17">
        <f ca="1">IFERROR(__xludf.DUMMYFUNCTION("""COMPUTED_VALUE"""),0.572110125852757)</f>
        <v>0.572110125852757</v>
      </c>
      <c r="AB740" s="17">
        <f ca="1">IFERROR(__xludf.DUMMYFUNCTION("""COMPUTED_VALUE"""),3.50013695900225)</f>
        <v>3.50013695900225</v>
      </c>
      <c r="AC740" s="17">
        <f ca="1">IFERROR(__xludf.DUMMYFUNCTION("""COMPUTED_VALUE"""),0.839381583561901)</f>
        <v>0.83938158356190096</v>
      </c>
      <c r="AD740" s="17">
        <f ca="1">IFERROR(__xludf.DUMMYFUNCTION("""COMPUTED_VALUE"""),0.595100166304771)</f>
        <v>0.59510016630477103</v>
      </c>
      <c r="AE740" s="17">
        <f ca="1">IFERROR(__xludf.DUMMYFUNCTION("""COMPUTED_VALUE"""),1.15891328607486)</f>
        <v>1.1589132860748601</v>
      </c>
      <c r="AF740" s="17">
        <f ca="1">IFERROR(__xludf.DUMMYFUNCTION("""COMPUTED_VALUE"""),0.635058451987734)</f>
        <v>0.63505845198773403</v>
      </c>
      <c r="AG740" s="17">
        <f ca="1">IFERROR(__xludf.DUMMYFUNCTION("""COMPUTED_VALUE"""),0.694618853155176)</f>
        <v>0.69461885315517602</v>
      </c>
      <c r="AH740" s="17">
        <f ca="1">IFERROR(__xludf.DUMMYFUNCTION("""COMPUTED_VALUE"""),0.690083909608918)</f>
        <v>0.69008390960891797</v>
      </c>
      <c r="AI740" s="17" t="str">
        <f ca="1">IFERROR(__xludf.DUMMYFUNCTION("""COMPUTED_VALUE"""),"nan")</f>
        <v>nan</v>
      </c>
      <c r="AJ740" s="17">
        <f ca="1">IFERROR(__xludf.DUMMYFUNCTION("""COMPUTED_VALUE"""),0.665858677637061)</f>
        <v>0.66585867763706097</v>
      </c>
    </row>
    <row r="741" spans="2:36" ht="15.75" customHeight="1" x14ac:dyDescent="0.45">
      <c r="B741" s="10" t="str">
        <f ca="1">IFERROR(__xludf.DUMMYFUNCTION("""COMPUTED_VALUE"""),"SemgHandSubjectCh2")</f>
        <v>SemgHandSubjectCh2</v>
      </c>
      <c r="C741" s="10" t="str">
        <f ca="1">IFERROR(__xludf.DUMMYFUNCTION("""COMPUTED_VALUE"""),"aligned_series")</f>
        <v>aligned_series</v>
      </c>
      <c r="D741" s="10">
        <f ca="1">IFERROR(__xludf.DUMMYFUNCTION("""COMPUTED_VALUE"""),0.8)</f>
        <v>0.8</v>
      </c>
      <c r="E741" s="17">
        <f ca="1">IFERROR(__xludf.DUMMYFUNCTION("""COMPUTED_VALUE"""),0.889300616843929)</f>
        <v>0.88930061684392903</v>
      </c>
      <c r="F741" s="17">
        <f ca="1">IFERROR(__xludf.DUMMYFUNCTION("""COMPUTED_VALUE"""),0.606303664581282)</f>
        <v>0.60630366458128204</v>
      </c>
      <c r="G741" s="17">
        <f ca="1">IFERROR(__xludf.DUMMYFUNCTION("""COMPUTED_VALUE"""),0.617025919710867)</f>
        <v>0.61702591971086695</v>
      </c>
      <c r="H741" s="17">
        <f ca="1">IFERROR(__xludf.DUMMYFUNCTION("""COMPUTED_VALUE"""),0.641724087924143)</f>
        <v>0.64172408792414304</v>
      </c>
      <c r="I741" s="17">
        <f ca="1">IFERROR(__xludf.DUMMYFUNCTION("""COMPUTED_VALUE"""),0.667674664369988)</f>
        <v>0.66767466436998801</v>
      </c>
      <c r="J741" s="17">
        <f ca="1">IFERROR(__xludf.DUMMYFUNCTION("""COMPUTED_VALUE"""),0.981763279129689)</f>
        <v>0.98176327912968897</v>
      </c>
      <c r="K741" s="17" t="str">
        <f ca="1">IFERROR(__xludf.DUMMYFUNCTION("""COMPUTED_VALUE"""),"nan")</f>
        <v>nan</v>
      </c>
      <c r="L741" s="17">
        <f ca="1">IFERROR(__xludf.DUMMYFUNCTION("""COMPUTED_VALUE"""),0.601229573655896)</f>
        <v>0.60122957365589602</v>
      </c>
      <c r="M741" s="17">
        <f ca="1">IFERROR(__xludf.DUMMYFUNCTION("""COMPUTED_VALUE"""),0.586731724526752)</f>
        <v>0.58673172452675204</v>
      </c>
      <c r="N741" s="17">
        <f ca="1">IFERROR(__xludf.DUMMYFUNCTION("""COMPUTED_VALUE"""),0.625571523762015)</f>
        <v>0.62557152376201497</v>
      </c>
      <c r="O741" s="17">
        <f ca="1">IFERROR(__xludf.DUMMYFUNCTION("""COMPUTED_VALUE"""),0.56738629995911)</f>
        <v>0.56738629995911005</v>
      </c>
      <c r="P741" s="17">
        <f ca="1">IFERROR(__xludf.DUMMYFUNCTION("""COMPUTED_VALUE"""),2.29453192900822)</f>
        <v>2.2945319290082198</v>
      </c>
      <c r="Q741" s="17">
        <f ca="1">IFERROR(__xludf.DUMMYFUNCTION("""COMPUTED_VALUE"""),0.830603116739741)</f>
        <v>0.83060311673974097</v>
      </c>
      <c r="R741" s="17">
        <f ca="1">IFERROR(__xludf.DUMMYFUNCTION("""COMPUTED_VALUE"""),0.77865151167121)</f>
        <v>0.77865151167121005</v>
      </c>
      <c r="S741" s="17">
        <f ca="1">IFERROR(__xludf.DUMMYFUNCTION("""COMPUTED_VALUE"""),0.878425075658862)</f>
        <v>0.87842507565886196</v>
      </c>
      <c r="T741" s="17">
        <f ca="1">IFERROR(__xludf.DUMMYFUNCTION("""COMPUTED_VALUE"""),0.698543695209224)</f>
        <v>0.69854369520922399</v>
      </c>
      <c r="U741" s="17">
        <f ca="1">IFERROR(__xludf.DUMMYFUNCTION("""COMPUTED_VALUE"""),0.599088383808782)</f>
        <v>0.59908838380878204</v>
      </c>
      <c r="V741" s="17">
        <f ca="1">IFERROR(__xludf.DUMMYFUNCTION("""COMPUTED_VALUE"""),0.658304038566943)</f>
        <v>0.65830403856694297</v>
      </c>
      <c r="W741" s="17">
        <f ca="1">IFERROR(__xludf.DUMMYFUNCTION("""COMPUTED_VALUE"""),0.603826185200344)</f>
        <v>0.60382618520034403</v>
      </c>
      <c r="X741" s="17">
        <f ca="1">IFERROR(__xludf.DUMMYFUNCTION("""COMPUTED_VALUE"""),0.61677356383065)</f>
        <v>0.61677356383064996</v>
      </c>
      <c r="Y741" s="17">
        <f ca="1">IFERROR(__xludf.DUMMYFUNCTION("""COMPUTED_VALUE"""),0.58543544424432)</f>
        <v>0.58543544424432004</v>
      </c>
      <c r="Z741" s="17">
        <f ca="1">IFERROR(__xludf.DUMMYFUNCTION("""COMPUTED_VALUE"""),0.588619963772206)</f>
        <v>0.58861996377220605</v>
      </c>
      <c r="AA741" s="17">
        <f ca="1">IFERROR(__xludf.DUMMYFUNCTION("""COMPUTED_VALUE"""),0.568405694006035)</f>
        <v>0.56840569400603502</v>
      </c>
      <c r="AB741" s="17">
        <f ca="1">IFERROR(__xludf.DUMMYFUNCTION("""COMPUTED_VALUE"""),2.67087174486118)</f>
        <v>2.6708717448611798</v>
      </c>
      <c r="AC741" s="17">
        <f ca="1">IFERROR(__xludf.DUMMYFUNCTION("""COMPUTED_VALUE"""),0.906416414775156)</f>
        <v>0.906416414775156</v>
      </c>
      <c r="AD741" s="17">
        <f ca="1">IFERROR(__xludf.DUMMYFUNCTION("""COMPUTED_VALUE"""),0.600135313517744)</f>
        <v>0.60013531351774396</v>
      </c>
      <c r="AE741" s="17">
        <f ca="1">IFERROR(__xludf.DUMMYFUNCTION("""COMPUTED_VALUE"""),1.15977142850821)</f>
        <v>1.1597714285082099</v>
      </c>
      <c r="AF741" s="17">
        <f ca="1">IFERROR(__xludf.DUMMYFUNCTION("""COMPUTED_VALUE"""),0.624702763853379)</f>
        <v>0.62470276385337897</v>
      </c>
      <c r="AG741" s="17">
        <f ca="1">IFERROR(__xludf.DUMMYFUNCTION("""COMPUTED_VALUE"""),0.691373997591213)</f>
        <v>0.69137399759121299</v>
      </c>
      <c r="AH741" s="17">
        <f ca="1">IFERROR(__xludf.DUMMYFUNCTION("""COMPUTED_VALUE"""),0.685542977735755)</f>
        <v>0.68554297773575501</v>
      </c>
      <c r="AI741" s="17" t="str">
        <f ca="1">IFERROR(__xludf.DUMMYFUNCTION("""COMPUTED_VALUE"""),"nan")</f>
        <v>nan</v>
      </c>
      <c r="AJ741" s="17">
        <f ca="1">IFERROR(__xludf.DUMMYFUNCTION("""COMPUTED_VALUE"""),0.691481649865936)</f>
        <v>0.69148164986593597</v>
      </c>
    </row>
    <row r="742" spans="2:36" ht="15.75" customHeight="1" x14ac:dyDescent="0.45">
      <c r="B742" s="10" t="str">
        <f ca="1">IFERROR(__xludf.DUMMYFUNCTION("""COMPUTED_VALUE"""),"SemgHandSubjectCh2")</f>
        <v>SemgHandSubjectCh2</v>
      </c>
      <c r="C742" s="10" t="str">
        <f ca="1">IFERROR(__xludf.DUMMYFUNCTION("""COMPUTED_VALUE"""),"aligned_timestamps")</f>
        <v>aligned_timestamps</v>
      </c>
      <c r="D742" s="10">
        <f ca="1">IFERROR(__xludf.DUMMYFUNCTION("""COMPUTED_VALUE"""),0.1)</f>
        <v>0.1</v>
      </c>
      <c r="E742" s="17">
        <f ca="1">IFERROR(__xludf.DUMMYFUNCTION("""COMPUTED_VALUE"""),0.918395082229019)</f>
        <v>0.918395082229019</v>
      </c>
      <c r="F742" s="17">
        <f ca="1">IFERROR(__xludf.DUMMYFUNCTION("""COMPUTED_VALUE"""),0.376241267604738)</f>
        <v>0.37624126760473797</v>
      </c>
      <c r="G742" s="17">
        <f ca="1">IFERROR(__xludf.DUMMYFUNCTION("""COMPUTED_VALUE"""),0.377163691332804)</f>
        <v>0.37716369133280397</v>
      </c>
      <c r="H742" s="17">
        <f ca="1">IFERROR(__xludf.DUMMYFUNCTION("""COMPUTED_VALUE"""),0.427105639980761)</f>
        <v>0.42710563998076101</v>
      </c>
      <c r="I742" s="17">
        <f ca="1">IFERROR(__xludf.DUMMYFUNCTION("""COMPUTED_VALUE"""),0.416524179827122)</f>
        <v>0.41652417982712198</v>
      </c>
      <c r="J742" s="17">
        <f ca="1">IFERROR(__xludf.DUMMYFUNCTION("""COMPUTED_VALUE"""),0.347288371262763)</f>
        <v>0.34728837126276302</v>
      </c>
      <c r="K742" s="17" t="str">
        <f ca="1">IFERROR(__xludf.DUMMYFUNCTION("""COMPUTED_VALUE"""),"nan")</f>
        <v>nan</v>
      </c>
      <c r="L742" s="17">
        <f ca="1">IFERROR(__xludf.DUMMYFUNCTION("""COMPUTED_VALUE"""),0.326426086198644)</f>
        <v>0.32642608619864399</v>
      </c>
      <c r="M742" s="17">
        <f ca="1">IFERROR(__xludf.DUMMYFUNCTION("""COMPUTED_VALUE"""),0.321190131969977)</f>
        <v>0.32119013196997698</v>
      </c>
      <c r="N742" s="17">
        <f ca="1">IFERROR(__xludf.DUMMYFUNCTION("""COMPUTED_VALUE"""),0.422966917552305)</f>
        <v>0.42296691755230498</v>
      </c>
      <c r="O742" s="17">
        <f ca="1">IFERROR(__xludf.DUMMYFUNCTION("""COMPUTED_VALUE"""),0.3168187463682)</f>
        <v>0.31681874636820001</v>
      </c>
      <c r="P742" s="17">
        <f ca="1">IFERROR(__xludf.DUMMYFUNCTION("""COMPUTED_VALUE"""),1.54170521832165)</f>
        <v>1.54170521832165</v>
      </c>
      <c r="Q742" s="17">
        <f ca="1">IFERROR(__xludf.DUMMYFUNCTION("""COMPUTED_VALUE"""),0.501158305818829)</f>
        <v>0.50115830581882903</v>
      </c>
      <c r="R742" s="17">
        <f ca="1">IFERROR(__xludf.DUMMYFUNCTION("""COMPUTED_VALUE"""),0.380562209534624)</f>
        <v>0.380562209534624</v>
      </c>
      <c r="S742" s="17">
        <f ca="1">IFERROR(__xludf.DUMMYFUNCTION("""COMPUTED_VALUE"""),0.416589361716037)</f>
        <v>0.416589361716037</v>
      </c>
      <c r="T742" s="17">
        <f ca="1">IFERROR(__xludf.DUMMYFUNCTION("""COMPUTED_VALUE"""),0.342214874677252)</f>
        <v>0.34221487467725198</v>
      </c>
      <c r="U742" s="17">
        <f ca="1">IFERROR(__xludf.DUMMYFUNCTION("""COMPUTED_VALUE"""),0.323253392054932)</f>
        <v>0.32325339205493198</v>
      </c>
      <c r="V742" s="17">
        <f ca="1">IFERROR(__xludf.DUMMYFUNCTION("""COMPUTED_VALUE"""),0.348838164501854)</f>
        <v>0.34883816450185401</v>
      </c>
      <c r="W742" s="17">
        <f ca="1">IFERROR(__xludf.DUMMYFUNCTION("""COMPUTED_VALUE"""),0.384195078656012)</f>
        <v>0.38419507865601199</v>
      </c>
      <c r="X742" s="17">
        <f ca="1">IFERROR(__xludf.DUMMYFUNCTION("""COMPUTED_VALUE"""),0.463115665153849)</f>
        <v>0.463115665153849</v>
      </c>
      <c r="Y742" s="17">
        <f ca="1">IFERROR(__xludf.DUMMYFUNCTION("""COMPUTED_VALUE"""),0.306140618226112)</f>
        <v>0.30614061822611199</v>
      </c>
      <c r="Z742" s="17">
        <f ca="1">IFERROR(__xludf.DUMMYFUNCTION("""COMPUTED_VALUE"""),0.323999340707304)</f>
        <v>0.32399934070730402</v>
      </c>
      <c r="AA742" s="17">
        <f ca="1">IFERROR(__xludf.DUMMYFUNCTION("""COMPUTED_VALUE"""),0.305336186348316)</f>
        <v>0.305336186348316</v>
      </c>
      <c r="AB742" s="17">
        <f ca="1">IFERROR(__xludf.DUMMYFUNCTION("""COMPUTED_VALUE"""),0.929738172231589)</f>
        <v>0.92973817223158906</v>
      </c>
      <c r="AC742" s="17">
        <f ca="1">IFERROR(__xludf.DUMMYFUNCTION("""COMPUTED_VALUE"""),0.738392876055429)</f>
        <v>0.73839287605542903</v>
      </c>
      <c r="AD742" s="17">
        <f ca="1">IFERROR(__xludf.DUMMYFUNCTION("""COMPUTED_VALUE"""),0.345412162936421)</f>
        <v>0.34541216293642102</v>
      </c>
      <c r="AE742" s="17">
        <f ca="1">IFERROR(__xludf.DUMMYFUNCTION("""COMPUTED_VALUE"""),1.15956547893744)</f>
        <v>1.1595654789374401</v>
      </c>
      <c r="AF742" s="17">
        <f ca="1">IFERROR(__xludf.DUMMYFUNCTION("""COMPUTED_VALUE"""),0.336170856969568)</f>
        <v>0.336170856969568</v>
      </c>
      <c r="AG742" s="17">
        <f ca="1">IFERROR(__xludf.DUMMYFUNCTION("""COMPUTED_VALUE"""),0.354701094443823)</f>
        <v>0.35470109444382297</v>
      </c>
      <c r="AH742" s="17">
        <f ca="1">IFERROR(__xludf.DUMMYFUNCTION("""COMPUTED_VALUE"""),0.357516655463925)</f>
        <v>0.35751665546392503</v>
      </c>
      <c r="AI742" s="17">
        <f ca="1">IFERROR(__xludf.DUMMYFUNCTION("""COMPUTED_VALUE"""),0.35200495621024)</f>
        <v>0.35200495621024003</v>
      </c>
      <c r="AJ742" s="17">
        <f ca="1">IFERROR(__xludf.DUMMYFUNCTION("""COMPUTED_VALUE"""),0.327757464856382)</f>
        <v>0.32775746485638202</v>
      </c>
    </row>
    <row r="743" spans="2:36" ht="15.75" customHeight="1" x14ac:dyDescent="0.45">
      <c r="B743" s="10" t="str">
        <f ca="1">IFERROR(__xludf.DUMMYFUNCTION("""COMPUTED_VALUE"""),"SemgHandSubjectCh2")</f>
        <v>SemgHandSubjectCh2</v>
      </c>
      <c r="C743" s="10" t="str">
        <f ca="1">IFERROR(__xludf.DUMMYFUNCTION("""COMPUTED_VALUE"""),"aligned_timestamps")</f>
        <v>aligned_timestamps</v>
      </c>
      <c r="D743" s="10">
        <f ca="1">IFERROR(__xludf.DUMMYFUNCTION("""COMPUTED_VALUE"""),0.2)</f>
        <v>0.2</v>
      </c>
      <c r="E743" s="17">
        <f ca="1">IFERROR(__xludf.DUMMYFUNCTION("""COMPUTED_VALUE"""),0.848317588049232)</f>
        <v>0.84831758804923196</v>
      </c>
      <c r="F743" s="17">
        <f ca="1">IFERROR(__xludf.DUMMYFUNCTION("""COMPUTED_VALUE"""),0.582914555110441)</f>
        <v>0.58291455511044099</v>
      </c>
      <c r="G743" s="17">
        <f ca="1">IFERROR(__xludf.DUMMYFUNCTION("""COMPUTED_VALUE"""),0.58452145461443)</f>
        <v>0.58452145461442995</v>
      </c>
      <c r="H743" s="17">
        <f ca="1">IFERROR(__xludf.DUMMYFUNCTION("""COMPUTED_VALUE"""),0.614538802616511)</f>
        <v>0.61453880261651095</v>
      </c>
      <c r="I743" s="17">
        <f ca="1">IFERROR(__xludf.DUMMYFUNCTION("""COMPUTED_VALUE"""),0.608164282969324)</f>
        <v>0.60816428296932401</v>
      </c>
      <c r="J743" s="17">
        <f ca="1">IFERROR(__xludf.DUMMYFUNCTION("""COMPUTED_VALUE"""),0.847636964173498)</f>
        <v>0.84763696417349799</v>
      </c>
      <c r="K743" s="17" t="str">
        <f ca="1">IFERROR(__xludf.DUMMYFUNCTION("""COMPUTED_VALUE"""),"nan")</f>
        <v>nan</v>
      </c>
      <c r="L743" s="17">
        <f ca="1">IFERROR(__xludf.DUMMYFUNCTION("""COMPUTED_VALUE"""),0.568148672523417)</f>
        <v>0.56814867252341705</v>
      </c>
      <c r="M743" s="17">
        <f ca="1">IFERROR(__xludf.DUMMYFUNCTION("""COMPUTED_VALUE"""),0.561298642892341)</f>
        <v>0.56129864289234099</v>
      </c>
      <c r="N743" s="17">
        <f ca="1">IFERROR(__xludf.DUMMYFUNCTION("""COMPUTED_VALUE"""),0.621976158379247)</f>
        <v>0.62197615837924702</v>
      </c>
      <c r="O743" s="17">
        <f ca="1">IFERROR(__xludf.DUMMYFUNCTION("""COMPUTED_VALUE"""),0.557647754318406)</f>
        <v>0.55764775431840596</v>
      </c>
      <c r="P743" s="17">
        <f ca="1">IFERROR(__xludf.DUMMYFUNCTION("""COMPUTED_VALUE"""),1.47959040892981)</f>
        <v>1.47959040892981</v>
      </c>
      <c r="Q743" s="17">
        <f ca="1">IFERROR(__xludf.DUMMYFUNCTION("""COMPUTED_VALUE"""),0.8228817034756)</f>
        <v>0.82288170347559997</v>
      </c>
      <c r="R743" s="17">
        <f ca="1">IFERROR(__xludf.DUMMYFUNCTION("""COMPUTED_VALUE"""),0.592196935182837)</f>
        <v>0.592196935182837</v>
      </c>
      <c r="S743" s="17">
        <f ca="1">IFERROR(__xludf.DUMMYFUNCTION("""COMPUTED_VALUE"""),0.693036426100521)</f>
        <v>0.69303642610052096</v>
      </c>
      <c r="T743" s="17">
        <f ca="1">IFERROR(__xludf.DUMMYFUNCTION("""COMPUTED_VALUE"""),0.572243204858947)</f>
        <v>0.57224320485894697</v>
      </c>
      <c r="U743" s="17">
        <f ca="1">IFERROR(__xludf.DUMMYFUNCTION("""COMPUTED_VALUE"""),0.575204308900119)</f>
        <v>0.57520430890011898</v>
      </c>
      <c r="V743" s="17">
        <f ca="1">IFERROR(__xludf.DUMMYFUNCTION("""COMPUTED_VALUE"""),0.584731369395566)</f>
        <v>0.58473136939556603</v>
      </c>
      <c r="W743" s="17">
        <f ca="1">IFERROR(__xludf.DUMMYFUNCTION("""COMPUTED_VALUE"""),0.58719396835256)</f>
        <v>0.58719396835255999</v>
      </c>
      <c r="X743" s="17">
        <f ca="1">IFERROR(__xludf.DUMMYFUNCTION("""COMPUTED_VALUE"""),0.610843787110218)</f>
        <v>0.61084378711021803</v>
      </c>
      <c r="Y743" s="17">
        <f ca="1">IFERROR(__xludf.DUMMYFUNCTION("""COMPUTED_VALUE"""),0.572195442477839)</f>
        <v>0.57219544247783904</v>
      </c>
      <c r="Z743" s="17">
        <f ca="1">IFERROR(__xludf.DUMMYFUNCTION("""COMPUTED_VALUE"""),0.573256817328555)</f>
        <v>0.57325681732855505</v>
      </c>
      <c r="AA743" s="17">
        <f ca="1">IFERROR(__xludf.DUMMYFUNCTION("""COMPUTED_VALUE"""),0.569941330344816)</f>
        <v>0.56994133034481598</v>
      </c>
      <c r="AB743" s="17">
        <f ca="1">IFERROR(__xludf.DUMMYFUNCTION("""COMPUTED_VALUE"""),1.00517803166162)</f>
        <v>1.0051780316616199</v>
      </c>
      <c r="AC743" s="17">
        <f ca="1">IFERROR(__xludf.DUMMYFUNCTION("""COMPUTED_VALUE"""),0.739991194747505)</f>
        <v>0.73999119474750497</v>
      </c>
      <c r="AD743" s="17">
        <f ca="1">IFERROR(__xludf.DUMMYFUNCTION("""COMPUTED_VALUE"""),0.597422506696151)</f>
        <v>0.59742250669615105</v>
      </c>
      <c r="AE743" s="17">
        <f ca="1">IFERROR(__xludf.DUMMYFUNCTION("""COMPUTED_VALUE"""),1.14616215831108)</f>
        <v>1.1461621583110799</v>
      </c>
      <c r="AF743" s="17">
        <f ca="1">IFERROR(__xludf.DUMMYFUNCTION("""COMPUTED_VALUE"""),0.608126632702054)</f>
        <v>0.60812663270205403</v>
      </c>
      <c r="AG743" s="17">
        <f ca="1">IFERROR(__xludf.DUMMYFUNCTION("""COMPUTED_VALUE"""),0.664311657524122)</f>
        <v>0.66431165752412202</v>
      </c>
      <c r="AH743" s="17">
        <f ca="1">IFERROR(__xludf.DUMMYFUNCTION("""COMPUTED_VALUE"""),0.665609235205569)</f>
        <v>0.66560923520556903</v>
      </c>
      <c r="AI743" s="17" t="str">
        <f ca="1">IFERROR(__xludf.DUMMYFUNCTION("""COMPUTED_VALUE"""),"nan")</f>
        <v>nan</v>
      </c>
      <c r="AJ743" s="17">
        <f ca="1">IFERROR(__xludf.DUMMYFUNCTION("""COMPUTED_VALUE"""),0.600810636632369)</f>
        <v>0.600810636632369</v>
      </c>
    </row>
    <row r="744" spans="2:36" ht="15.75" customHeight="1" x14ac:dyDescent="0.45">
      <c r="B744" s="10" t="str">
        <f ca="1">IFERROR(__xludf.DUMMYFUNCTION("""COMPUTED_VALUE"""),"SemgHandSubjectCh2")</f>
        <v>SemgHandSubjectCh2</v>
      </c>
      <c r="C744" s="10" t="str">
        <f ca="1">IFERROR(__xludf.DUMMYFUNCTION("""COMPUTED_VALUE"""),"aligned_timestamps")</f>
        <v>aligned_timestamps</v>
      </c>
      <c r="D744" s="10">
        <f ca="1">IFERROR(__xludf.DUMMYFUNCTION("""COMPUTED_VALUE"""),0.4)</f>
        <v>0.4</v>
      </c>
      <c r="E744" s="17">
        <f ca="1">IFERROR(__xludf.DUMMYFUNCTION("""COMPUTED_VALUE"""),1.15797870549431)</f>
        <v>1.15797870549431</v>
      </c>
      <c r="F744" s="17">
        <f ca="1">IFERROR(__xludf.DUMMYFUNCTION("""COMPUTED_VALUE"""),0.872572972375764)</f>
        <v>0.87257297237576403</v>
      </c>
      <c r="G744" s="17">
        <f ca="1">IFERROR(__xludf.DUMMYFUNCTION("""COMPUTED_VALUE"""),0.931013512347628)</f>
        <v>0.93101351234762797</v>
      </c>
      <c r="H744" s="17">
        <f ca="1">IFERROR(__xludf.DUMMYFUNCTION("""COMPUTED_VALUE"""),0.961256441647588)</f>
        <v>0.96125644164758794</v>
      </c>
      <c r="I744" s="17">
        <f ca="1">IFERROR(__xludf.DUMMYFUNCTION("""COMPUTED_VALUE"""),0.916867481423254)</f>
        <v>0.91686748142325403</v>
      </c>
      <c r="J744" s="17">
        <f ca="1">IFERROR(__xludf.DUMMYFUNCTION("""COMPUTED_VALUE"""),1.55281394267381)</f>
        <v>1.5528139426738099</v>
      </c>
      <c r="K744" s="17" t="str">
        <f ca="1">IFERROR(__xludf.DUMMYFUNCTION("""COMPUTED_VALUE"""),"nan")</f>
        <v>nan</v>
      </c>
      <c r="L744" s="17">
        <f ca="1">IFERROR(__xludf.DUMMYFUNCTION("""COMPUTED_VALUE"""),0.891165628302923)</f>
        <v>0.89116562830292301</v>
      </c>
      <c r="M744" s="17">
        <f ca="1">IFERROR(__xludf.DUMMYFUNCTION("""COMPUTED_VALUE"""),0.906050064053917)</f>
        <v>0.90605006405391697</v>
      </c>
      <c r="N744" s="17">
        <f ca="1">IFERROR(__xludf.DUMMYFUNCTION("""COMPUTED_VALUE"""),0.977179500755114)</f>
        <v>0.97717950075511395</v>
      </c>
      <c r="O744" s="17">
        <f ca="1">IFERROR(__xludf.DUMMYFUNCTION("""COMPUTED_VALUE"""),0.859166858059991)</f>
        <v>0.85916685805999105</v>
      </c>
      <c r="P744" s="17">
        <f ca="1">IFERROR(__xludf.DUMMYFUNCTION("""COMPUTED_VALUE"""),1.50822788004276)</f>
        <v>1.50822788004276</v>
      </c>
      <c r="Q744" s="17">
        <f ca="1">IFERROR(__xludf.DUMMYFUNCTION("""COMPUTED_VALUE"""),1.22340665726354)</f>
        <v>1.22340665726354</v>
      </c>
      <c r="R744" s="17">
        <f ca="1">IFERROR(__xludf.DUMMYFUNCTION("""COMPUTED_VALUE"""),0.877639872731095)</f>
        <v>0.87763987273109501</v>
      </c>
      <c r="S744" s="17">
        <f ca="1">IFERROR(__xludf.DUMMYFUNCTION("""COMPUTED_VALUE"""),1.09925661537563)</f>
        <v>1.09925661537563</v>
      </c>
      <c r="T744" s="17">
        <f ca="1">IFERROR(__xludf.DUMMYFUNCTION("""COMPUTED_VALUE"""),1.0172901177218)</f>
        <v>1.0172901177217999</v>
      </c>
      <c r="U744" s="17">
        <f ca="1">IFERROR(__xludf.DUMMYFUNCTION("""COMPUTED_VALUE"""),0.948238514706169)</f>
        <v>0.94823851470616904</v>
      </c>
      <c r="V744" s="17">
        <f ca="1">IFERROR(__xludf.DUMMYFUNCTION("""COMPUTED_VALUE"""),1.01195021672827)</f>
        <v>1.0119502167282699</v>
      </c>
      <c r="W744" s="17">
        <f ca="1">IFERROR(__xludf.DUMMYFUNCTION("""COMPUTED_VALUE"""),1.04888448203858)</f>
        <v>1.0488844820385801</v>
      </c>
      <c r="X744" s="17">
        <f ca="1">IFERROR(__xludf.DUMMYFUNCTION("""COMPUTED_VALUE"""),0.926013840796316)</f>
        <v>0.92601384079631599</v>
      </c>
      <c r="Y744" s="17">
        <f ca="1">IFERROR(__xludf.DUMMYFUNCTION("""COMPUTED_VALUE"""),1.24958074642579)</f>
        <v>1.24958074642579</v>
      </c>
      <c r="Z744" s="17">
        <f ca="1">IFERROR(__xludf.DUMMYFUNCTION("""COMPUTED_VALUE"""),1.06410821811766)</f>
        <v>1.06410821811766</v>
      </c>
      <c r="AA744" s="17">
        <f ca="1">IFERROR(__xludf.DUMMYFUNCTION("""COMPUTED_VALUE"""),1.4528585321078)</f>
        <v>1.4528585321078</v>
      </c>
      <c r="AB744" s="17">
        <f ca="1">IFERROR(__xludf.DUMMYFUNCTION("""COMPUTED_VALUE"""),1.23826454678189)</f>
        <v>1.23826454678189</v>
      </c>
      <c r="AC744" s="17">
        <f ca="1">IFERROR(__xludf.DUMMYFUNCTION("""COMPUTED_VALUE"""),1.02401515054829)</f>
        <v>1.02401515054829</v>
      </c>
      <c r="AD744" s="17">
        <f ca="1">IFERROR(__xludf.DUMMYFUNCTION("""COMPUTED_VALUE"""),0.995617751728187)</f>
        <v>0.99561775172818701</v>
      </c>
      <c r="AE744" s="17" t="str">
        <f ca="1">IFERROR(__xludf.DUMMYFUNCTION("""COMPUTED_VALUE"""),"nan")</f>
        <v>nan</v>
      </c>
      <c r="AF744" s="17">
        <f ca="1">IFERROR(__xludf.DUMMYFUNCTION("""COMPUTED_VALUE"""),1.00333691592164)</f>
        <v>1.0033369159216401</v>
      </c>
      <c r="AG744" s="17">
        <f ca="1">IFERROR(__xludf.DUMMYFUNCTION("""COMPUTED_VALUE"""),1.12364830044129)</f>
        <v>1.12364830044129</v>
      </c>
      <c r="AH744" s="17">
        <f ca="1">IFERROR(__xludf.DUMMYFUNCTION("""COMPUTED_VALUE"""),1.06300670433126)</f>
        <v>1.0630067043312601</v>
      </c>
      <c r="AI744" s="17" t="str">
        <f ca="1">IFERROR(__xludf.DUMMYFUNCTION("""COMPUTED_VALUE"""),"nan")</f>
        <v>nan</v>
      </c>
      <c r="AJ744" s="17">
        <f ca="1">IFERROR(__xludf.DUMMYFUNCTION("""COMPUTED_VALUE"""),1.01110168842178)</f>
        <v>1.0111016884217801</v>
      </c>
    </row>
    <row r="745" spans="2:36" ht="15.75" customHeight="1" x14ac:dyDescent="0.45">
      <c r="B745" s="10" t="str">
        <f ca="1">IFERROR(__xludf.DUMMYFUNCTION("""COMPUTED_VALUE"""),"SemgHandSubjectCh2")</f>
        <v>SemgHandSubjectCh2</v>
      </c>
      <c r="C745" s="10" t="str">
        <f ca="1">IFERROR(__xludf.DUMMYFUNCTION("""COMPUTED_VALUE"""),"aligned_timestamps")</f>
        <v>aligned_timestamps</v>
      </c>
      <c r="D745" s="10">
        <f ca="1">IFERROR(__xludf.DUMMYFUNCTION("""COMPUTED_VALUE"""),0.6)</f>
        <v>0.6</v>
      </c>
      <c r="E745" s="17">
        <f ca="1">IFERROR(__xludf.DUMMYFUNCTION("""COMPUTED_VALUE"""),1.13270613081923)</f>
        <v>1.1327061308192301</v>
      </c>
      <c r="F745" s="17">
        <f ca="1">IFERROR(__xludf.DUMMYFUNCTION("""COMPUTED_VALUE"""),0.903053651377261)</f>
        <v>0.90305365137726101</v>
      </c>
      <c r="G745" s="17">
        <f ca="1">IFERROR(__xludf.DUMMYFUNCTION("""COMPUTED_VALUE"""),0.946399076732245)</f>
        <v>0.94639907673224499</v>
      </c>
      <c r="H745" s="17">
        <f ca="1">IFERROR(__xludf.DUMMYFUNCTION("""COMPUTED_VALUE"""),0.990891295552113)</f>
        <v>0.99089129555211297</v>
      </c>
      <c r="I745" s="17">
        <f ca="1">IFERROR(__xludf.DUMMYFUNCTION("""COMPUTED_VALUE"""),0.945079415345674)</f>
        <v>0.94507941534567397</v>
      </c>
      <c r="J745" s="17">
        <f ca="1">IFERROR(__xludf.DUMMYFUNCTION("""COMPUTED_VALUE"""),1.61344492165516)</f>
        <v>1.6134449216551601</v>
      </c>
      <c r="K745" s="17" t="str">
        <f ca="1">IFERROR(__xludf.DUMMYFUNCTION("""COMPUTED_VALUE"""),"nan")</f>
        <v>nan</v>
      </c>
      <c r="L745" s="17">
        <f ca="1">IFERROR(__xludf.DUMMYFUNCTION("""COMPUTED_VALUE"""),0.899626617053478)</f>
        <v>0.89962661705347802</v>
      </c>
      <c r="M745" s="17">
        <f ca="1">IFERROR(__xludf.DUMMYFUNCTION("""COMPUTED_VALUE"""),0.925233502835302)</f>
        <v>0.92523350283530204</v>
      </c>
      <c r="N745" s="17">
        <f ca="1">IFERROR(__xludf.DUMMYFUNCTION("""COMPUTED_VALUE"""),1.00463752075642)</f>
        <v>1.00463752075642</v>
      </c>
      <c r="O745" s="17">
        <f ca="1">IFERROR(__xludf.DUMMYFUNCTION("""COMPUTED_VALUE"""),0.886633386277901)</f>
        <v>0.886633386277901</v>
      </c>
      <c r="P745" s="17">
        <f ca="1">IFERROR(__xludf.DUMMYFUNCTION("""COMPUTED_VALUE"""),1.13784290418115)</f>
        <v>1.13784290418115</v>
      </c>
      <c r="Q745" s="17">
        <f ca="1">IFERROR(__xludf.DUMMYFUNCTION("""COMPUTED_VALUE"""),1.26323887119699)</f>
        <v>1.26323887119699</v>
      </c>
      <c r="R745" s="17">
        <f ca="1">IFERROR(__xludf.DUMMYFUNCTION("""COMPUTED_VALUE"""),0.942653887294706)</f>
        <v>0.94265388729470601</v>
      </c>
      <c r="S745" s="17">
        <f ca="1">IFERROR(__xludf.DUMMYFUNCTION("""COMPUTED_VALUE"""),1.14399463336414)</f>
        <v>1.14399463336414</v>
      </c>
      <c r="T745" s="17">
        <f ca="1">IFERROR(__xludf.DUMMYFUNCTION("""COMPUTED_VALUE"""),1.04833764206594)</f>
        <v>1.04833764206594</v>
      </c>
      <c r="U745" s="17">
        <f ca="1">IFERROR(__xludf.DUMMYFUNCTION("""COMPUTED_VALUE"""),0.980736840945968)</f>
        <v>0.98073684094596802</v>
      </c>
      <c r="V745" s="17">
        <f ca="1">IFERROR(__xludf.DUMMYFUNCTION("""COMPUTED_VALUE"""),1.07669404468546)</f>
        <v>1.07669404468546</v>
      </c>
      <c r="W745" s="17">
        <f ca="1">IFERROR(__xludf.DUMMYFUNCTION("""COMPUTED_VALUE"""),1.06752766001312)</f>
        <v>1.06752766001312</v>
      </c>
      <c r="X745" s="17">
        <f ca="1">IFERROR(__xludf.DUMMYFUNCTION("""COMPUTED_VALUE"""),7.0027378210754)</f>
        <v>7.0027378210754003</v>
      </c>
      <c r="Y745" s="17">
        <f ca="1">IFERROR(__xludf.DUMMYFUNCTION("""COMPUTED_VALUE"""),1.35224647360831)</f>
        <v>1.35224647360831</v>
      </c>
      <c r="Z745" s="17">
        <f ca="1">IFERROR(__xludf.DUMMYFUNCTION("""COMPUTED_VALUE"""),1.07624719641489)</f>
        <v>1.0762471964148901</v>
      </c>
      <c r="AA745" s="17">
        <f ca="1">IFERROR(__xludf.DUMMYFUNCTION("""COMPUTED_VALUE"""),2.83574594289634)</f>
        <v>2.8357459428963399</v>
      </c>
      <c r="AB745" s="17">
        <f ca="1">IFERROR(__xludf.DUMMYFUNCTION("""COMPUTED_VALUE"""),1.28364312900005)</f>
        <v>1.2836431290000501</v>
      </c>
      <c r="AC745" s="17">
        <f ca="1">IFERROR(__xludf.DUMMYFUNCTION("""COMPUTED_VALUE"""),1.03318400911864)</f>
        <v>1.0331840091186399</v>
      </c>
      <c r="AD745" s="17">
        <f ca="1">IFERROR(__xludf.DUMMYFUNCTION("""COMPUTED_VALUE"""),1.01372871648778)</f>
        <v>1.01372871648778</v>
      </c>
      <c r="AE745" s="17" t="str">
        <f ca="1">IFERROR(__xludf.DUMMYFUNCTION("""COMPUTED_VALUE"""),"nan")</f>
        <v>nan</v>
      </c>
      <c r="AF745" s="17">
        <f ca="1">IFERROR(__xludf.DUMMYFUNCTION("""COMPUTED_VALUE"""),1.05576042088915)</f>
        <v>1.05576042088915</v>
      </c>
      <c r="AG745" s="17">
        <f ca="1">IFERROR(__xludf.DUMMYFUNCTION("""COMPUTED_VALUE"""),1.21591670159255)</f>
        <v>1.2159167015925501</v>
      </c>
      <c r="AH745" s="17">
        <f ca="1">IFERROR(__xludf.DUMMYFUNCTION("""COMPUTED_VALUE"""),1.05946279938487)</f>
        <v>1.05946279938487</v>
      </c>
      <c r="AI745" s="17" t="str">
        <f ca="1">IFERROR(__xludf.DUMMYFUNCTION("""COMPUTED_VALUE"""),"nan")</f>
        <v>nan</v>
      </c>
      <c r="AJ745" s="17">
        <f ca="1">IFERROR(__xludf.DUMMYFUNCTION("""COMPUTED_VALUE"""),1.21310344224486)</f>
        <v>1.2131034422448601</v>
      </c>
    </row>
    <row r="746" spans="2:36" ht="15.75" customHeight="1" x14ac:dyDescent="0.45">
      <c r="B746" s="10" t="str">
        <f ca="1">IFERROR(__xludf.DUMMYFUNCTION("""COMPUTED_VALUE"""),"SemgHandSubjectCh2")</f>
        <v>SemgHandSubjectCh2</v>
      </c>
      <c r="C746" s="10" t="str">
        <f ca="1">IFERROR(__xludf.DUMMYFUNCTION("""COMPUTED_VALUE"""),"aligned_timestamps")</f>
        <v>aligned_timestamps</v>
      </c>
      <c r="D746" s="10">
        <f ca="1">IFERROR(__xludf.DUMMYFUNCTION("""COMPUTED_VALUE"""),0.8)</f>
        <v>0.8</v>
      </c>
      <c r="E746" s="17">
        <f ca="1">IFERROR(__xludf.DUMMYFUNCTION("""COMPUTED_VALUE"""),1.04520296056357)</f>
        <v>1.04520296056357</v>
      </c>
      <c r="F746" s="17">
        <f ca="1">IFERROR(__xludf.DUMMYFUNCTION("""COMPUTED_VALUE"""),0.863607510480377)</f>
        <v>0.86360751048037698</v>
      </c>
      <c r="G746" s="17">
        <f ca="1">IFERROR(__xludf.DUMMYFUNCTION("""COMPUTED_VALUE"""),0.890968820727631)</f>
        <v>0.89096882072763095</v>
      </c>
      <c r="H746" s="17">
        <f ca="1">IFERROR(__xludf.DUMMYFUNCTION("""COMPUTED_VALUE"""),0.935156248837972)</f>
        <v>0.93515624883797199</v>
      </c>
      <c r="I746" s="17">
        <f ca="1">IFERROR(__xludf.DUMMYFUNCTION("""COMPUTED_VALUE"""),0.891800365508867)</f>
        <v>0.89180036550886699</v>
      </c>
      <c r="J746" s="17">
        <f ca="1">IFERROR(__xludf.DUMMYFUNCTION("""COMPUTED_VALUE"""),1.53093734289025)</f>
        <v>1.53093734289025</v>
      </c>
      <c r="K746" s="17" t="str">
        <f ca="1">IFERROR(__xludf.DUMMYFUNCTION("""COMPUTED_VALUE"""),"nan")</f>
        <v>nan</v>
      </c>
      <c r="L746" s="17">
        <f ca="1">IFERROR(__xludf.DUMMYFUNCTION("""COMPUTED_VALUE"""),0.866111568552509)</f>
        <v>0.86611156855250904</v>
      </c>
      <c r="M746" s="17">
        <f ca="1">IFERROR(__xludf.DUMMYFUNCTION("""COMPUTED_VALUE"""),1.51083531958882)</f>
        <v>1.51083531958882</v>
      </c>
      <c r="N746" s="17">
        <f ca="1">IFERROR(__xludf.DUMMYFUNCTION("""COMPUTED_VALUE"""),0.962638614813724)</f>
        <v>0.96263861481372404</v>
      </c>
      <c r="O746" s="17">
        <f ca="1">IFERROR(__xludf.DUMMYFUNCTION("""COMPUTED_VALUE"""),0.85088844209418)</f>
        <v>0.85088844209418002</v>
      </c>
      <c r="P746" s="17">
        <f ca="1">IFERROR(__xludf.DUMMYFUNCTION("""COMPUTED_VALUE"""),1.13263759197097)</f>
        <v>1.1326375919709699</v>
      </c>
      <c r="Q746" s="17">
        <f ca="1">IFERROR(__xludf.DUMMYFUNCTION("""COMPUTED_VALUE"""),1.20503303174406)</f>
        <v>1.2050330317440601</v>
      </c>
      <c r="R746" s="17">
        <f ca="1">IFERROR(__xludf.DUMMYFUNCTION("""COMPUTED_VALUE"""),0.937043409179228)</f>
        <v>0.93704340917922802</v>
      </c>
      <c r="S746" s="17">
        <f ca="1">IFERROR(__xludf.DUMMYFUNCTION("""COMPUTED_VALUE"""),1.11121639796667)</f>
        <v>1.11121639796667</v>
      </c>
      <c r="T746" s="17">
        <f ca="1">IFERROR(__xludf.DUMMYFUNCTION("""COMPUTED_VALUE"""),0.95995346091505)</f>
        <v>0.95995346091504996</v>
      </c>
      <c r="U746" s="17">
        <f ca="1">IFERROR(__xludf.DUMMYFUNCTION("""COMPUTED_VALUE"""),0.924826152964754)</f>
        <v>0.92482615296475401</v>
      </c>
      <c r="V746" s="17">
        <f ca="1">IFERROR(__xludf.DUMMYFUNCTION("""COMPUTED_VALUE"""),1.06828375038007)</f>
        <v>1.06828375038007</v>
      </c>
      <c r="W746" s="17">
        <f ca="1">IFERROR(__xludf.DUMMYFUNCTION("""COMPUTED_VALUE"""),1.07778640632831)</f>
        <v>1.07778640632831</v>
      </c>
      <c r="X746" s="17">
        <f ca="1">IFERROR(__xludf.DUMMYFUNCTION("""COMPUTED_VALUE"""),0.876016196521886)</f>
        <v>0.876016196521886</v>
      </c>
      <c r="Y746" s="17">
        <f ca="1">IFERROR(__xludf.DUMMYFUNCTION("""COMPUTED_VALUE"""),1.64923475708598)</f>
        <v>1.64923475708598</v>
      </c>
      <c r="Z746" s="17">
        <f ca="1">IFERROR(__xludf.DUMMYFUNCTION("""COMPUTED_VALUE"""),1.00096996267857)</f>
        <v>1.00096996267857</v>
      </c>
      <c r="AA746" s="17">
        <f ca="1">IFERROR(__xludf.DUMMYFUNCTION("""COMPUTED_VALUE"""),3.38375627029678)</f>
        <v>3.3837562702967801</v>
      </c>
      <c r="AB746" s="17">
        <f ca="1">IFERROR(__xludf.DUMMYFUNCTION("""COMPUTED_VALUE"""),1.25056257135181)</f>
        <v>1.25056257135181</v>
      </c>
      <c r="AC746" s="17">
        <f ca="1">IFERROR(__xludf.DUMMYFUNCTION("""COMPUTED_VALUE"""),0.980689056324965)</f>
        <v>0.98068905632496495</v>
      </c>
      <c r="AD746" s="17">
        <f ca="1">IFERROR(__xludf.DUMMYFUNCTION("""COMPUTED_VALUE"""),0.945912980632299)</f>
        <v>0.94591298063229901</v>
      </c>
      <c r="AE746" s="17" t="str">
        <f ca="1">IFERROR(__xludf.DUMMYFUNCTION("""COMPUTED_VALUE"""),"nan")</f>
        <v>nan</v>
      </c>
      <c r="AF746" s="17">
        <f ca="1">IFERROR(__xludf.DUMMYFUNCTION("""COMPUTED_VALUE"""),1.0827397251577)</f>
        <v>1.0827397251577</v>
      </c>
      <c r="AG746" s="17">
        <f ca="1">IFERROR(__xludf.DUMMYFUNCTION("""COMPUTED_VALUE"""),1.11721055007425)</f>
        <v>1.11721055007425</v>
      </c>
      <c r="AH746" s="17">
        <f ca="1">IFERROR(__xludf.DUMMYFUNCTION("""COMPUTED_VALUE"""),1.00689876928611)</f>
        <v>1.00689876928611</v>
      </c>
      <c r="AI746" s="17" t="str">
        <f ca="1">IFERROR(__xludf.DUMMYFUNCTION("""COMPUTED_VALUE"""),"nan")</f>
        <v>nan</v>
      </c>
      <c r="AJ746" s="17">
        <f ca="1">IFERROR(__xludf.DUMMYFUNCTION("""COMPUTED_VALUE"""),1.20077222611598)</f>
        <v>1.2007722261159799</v>
      </c>
    </row>
    <row r="747" spans="2:36" ht="15.75" customHeight="1" x14ac:dyDescent="0.45">
      <c r="B747" s="10" t="str">
        <f ca="1">IFERROR(__xludf.DUMMYFUNCTION("""COMPUTED_VALUE"""),"SemgHandSubjectCh2")</f>
        <v>SemgHandSubjectCh2</v>
      </c>
      <c r="C747" s="10" t="str">
        <f ca="1">IFERROR(__xludf.DUMMYFUNCTION("""COMPUTED_VALUE"""),"mcar")</f>
        <v>mcar</v>
      </c>
      <c r="D747" s="10">
        <f ca="1">IFERROR(__xludf.DUMMYFUNCTION("""COMPUTED_VALUE"""),0.1)</f>
        <v>0.1</v>
      </c>
      <c r="E747" s="17">
        <f ca="1">IFERROR(__xludf.DUMMYFUNCTION("""COMPUTED_VALUE"""),1.02925578152645)</f>
        <v>1.02925578152645</v>
      </c>
      <c r="F747" s="17">
        <f ca="1">IFERROR(__xludf.DUMMYFUNCTION("""COMPUTED_VALUE"""),0.855815768974446)</f>
        <v>0.855815768974446</v>
      </c>
      <c r="G747" s="17">
        <f ca="1">IFERROR(__xludf.DUMMYFUNCTION("""COMPUTED_VALUE"""),0.88798753822766)</f>
        <v>0.88798753822765997</v>
      </c>
      <c r="H747" s="17">
        <f ca="1">IFERROR(__xludf.DUMMYFUNCTION("""COMPUTED_VALUE"""),0.869297200916503)</f>
        <v>0.86929720091650298</v>
      </c>
      <c r="I747" s="17">
        <f ca="1">IFERROR(__xludf.DUMMYFUNCTION("""COMPUTED_VALUE"""),0.890911673118084)</f>
        <v>0.89091167311808395</v>
      </c>
      <c r="J747" s="17">
        <f ca="1">IFERROR(__xludf.DUMMYFUNCTION("""COMPUTED_VALUE"""),0.887756638808237)</f>
        <v>0.88775663880823696</v>
      </c>
      <c r="K747" s="17" t="str">
        <f ca="1">IFERROR(__xludf.DUMMYFUNCTION("""COMPUTED_VALUE"""),"nan")</f>
        <v>nan</v>
      </c>
      <c r="L747" s="17">
        <f ca="1">IFERROR(__xludf.DUMMYFUNCTION("""COMPUTED_VALUE"""),0.839021556450502)</f>
        <v>0.83902155645050203</v>
      </c>
      <c r="M747" s="17">
        <f ca="1">IFERROR(__xludf.DUMMYFUNCTION("""COMPUTED_VALUE"""),0.865796837461807)</f>
        <v>0.86579683746180702</v>
      </c>
      <c r="N747" s="17">
        <f ca="1">IFERROR(__xludf.DUMMYFUNCTION("""COMPUTED_VALUE"""),0.898853942559744)</f>
        <v>0.89885394255974405</v>
      </c>
      <c r="O747" s="17">
        <f ca="1">IFERROR(__xludf.DUMMYFUNCTION("""COMPUTED_VALUE"""),0.81410622373873)</f>
        <v>0.81410622373872998</v>
      </c>
      <c r="P747" s="17">
        <f ca="1">IFERROR(__xludf.DUMMYFUNCTION("""COMPUTED_VALUE"""),0.955649997411342)</f>
        <v>0.95564999741134204</v>
      </c>
      <c r="Q747" s="17">
        <f ca="1">IFERROR(__xludf.DUMMYFUNCTION("""COMPUTED_VALUE"""),1.21682387045459)</f>
        <v>1.21682387045459</v>
      </c>
      <c r="R747" s="17">
        <f ca="1">IFERROR(__xludf.DUMMYFUNCTION("""COMPUTED_VALUE"""),0.839446183244145)</f>
        <v>0.83944618324414499</v>
      </c>
      <c r="S747" s="17">
        <f ca="1">IFERROR(__xludf.DUMMYFUNCTION("""COMPUTED_VALUE"""),1.04642745816786)</f>
        <v>1.0464274581678601</v>
      </c>
      <c r="T747" s="17">
        <f ca="1">IFERROR(__xludf.DUMMYFUNCTION("""COMPUTED_VALUE"""),0.900749100781152)</f>
        <v>0.900749100781152</v>
      </c>
      <c r="U747" s="17">
        <f ca="1">IFERROR(__xludf.DUMMYFUNCTION("""COMPUTED_VALUE"""),0.875860782362551)</f>
        <v>0.87586078236255105</v>
      </c>
      <c r="V747" s="17">
        <f ca="1">IFERROR(__xludf.DUMMYFUNCTION("""COMPUTED_VALUE"""),0.894645518016478)</f>
        <v>0.89464551801647796</v>
      </c>
      <c r="W747" s="17">
        <f ca="1">IFERROR(__xludf.DUMMYFUNCTION("""COMPUTED_VALUE"""),0.925748883968586)</f>
        <v>0.92574888396858601</v>
      </c>
      <c r="X747" s="17">
        <f ca="1">IFERROR(__xludf.DUMMYFUNCTION("""COMPUTED_VALUE"""),0.908987477071835)</f>
        <v>0.90898747707183503</v>
      </c>
      <c r="Y747" s="17">
        <f ca="1">IFERROR(__xludf.DUMMYFUNCTION("""COMPUTED_VALUE"""),0.870548331095072)</f>
        <v>0.87054833109507201</v>
      </c>
      <c r="Z747" s="17">
        <f ca="1">IFERROR(__xludf.DUMMYFUNCTION("""COMPUTED_VALUE"""),0.900244602906282)</f>
        <v>0.90024460290628205</v>
      </c>
      <c r="AA747" s="17">
        <f ca="1">IFERROR(__xludf.DUMMYFUNCTION("""COMPUTED_VALUE"""),0.854644841108443)</f>
        <v>0.85464484110844297</v>
      </c>
      <c r="AB747" s="17">
        <f ca="1">IFERROR(__xludf.DUMMYFUNCTION("""COMPUTED_VALUE"""),0.999542258058978)</f>
        <v>0.99954225805897801</v>
      </c>
      <c r="AC747" s="17">
        <f ca="1">IFERROR(__xludf.DUMMYFUNCTION("""COMPUTED_VALUE"""),0.938808342223006)</f>
        <v>0.93880834222300602</v>
      </c>
      <c r="AD747" s="17">
        <f ca="1">IFERROR(__xludf.DUMMYFUNCTION("""COMPUTED_VALUE"""),0.917359667158137)</f>
        <v>0.91735966715813699</v>
      </c>
      <c r="AE747" s="17">
        <f ca="1">IFERROR(__xludf.DUMMYFUNCTION("""COMPUTED_VALUE"""),1.0998072145969)</f>
        <v>1.0998072145969</v>
      </c>
      <c r="AF747" s="17">
        <f ca="1">IFERROR(__xludf.DUMMYFUNCTION("""COMPUTED_VALUE"""),0.916921291280259)</f>
        <v>0.91692129128025901</v>
      </c>
      <c r="AG747" s="17">
        <f ca="1">IFERROR(__xludf.DUMMYFUNCTION("""COMPUTED_VALUE"""),0.912419992223183)</f>
        <v>0.91241999222318304</v>
      </c>
      <c r="AH747" s="17">
        <f ca="1">IFERROR(__xludf.DUMMYFUNCTION("""COMPUTED_VALUE"""),0.947346831866958)</f>
        <v>0.94734683186695801</v>
      </c>
      <c r="AI747" s="17">
        <f ca="1">IFERROR(__xludf.DUMMYFUNCTION("""COMPUTED_VALUE"""),0.930661177558489)</f>
        <v>0.93066117755848898</v>
      </c>
      <c r="AJ747" s="17">
        <f ca="1">IFERROR(__xludf.DUMMYFUNCTION("""COMPUTED_VALUE"""),0.879938329681626)</f>
        <v>0.879938329681626</v>
      </c>
    </row>
    <row r="748" spans="2:36" ht="15.75" customHeight="1" x14ac:dyDescent="0.45">
      <c r="B748" s="10" t="str">
        <f ca="1">IFERROR(__xludf.DUMMYFUNCTION("""COMPUTED_VALUE"""),"SemgHandSubjectCh2")</f>
        <v>SemgHandSubjectCh2</v>
      </c>
      <c r="C748" s="10" t="str">
        <f ca="1">IFERROR(__xludf.DUMMYFUNCTION("""COMPUTED_VALUE"""),"mcar")</f>
        <v>mcar</v>
      </c>
      <c r="D748" s="10">
        <f ca="1">IFERROR(__xludf.DUMMYFUNCTION("""COMPUTED_VALUE"""),0.2)</f>
        <v>0.2</v>
      </c>
      <c r="E748" s="17">
        <f ca="1">IFERROR(__xludf.DUMMYFUNCTION("""COMPUTED_VALUE"""),1.05829315506274)</f>
        <v>1.0582931550627399</v>
      </c>
      <c r="F748" s="17">
        <f ca="1">IFERROR(__xludf.DUMMYFUNCTION("""COMPUTED_VALUE"""),0.897287199605856)</f>
        <v>0.89728719960585601</v>
      </c>
      <c r="G748" s="17">
        <f ca="1">IFERROR(__xludf.DUMMYFUNCTION("""COMPUTED_VALUE"""),1.06738419651263)</f>
        <v>1.0673841965126301</v>
      </c>
      <c r="H748" s="17">
        <f ca="1">IFERROR(__xludf.DUMMYFUNCTION("""COMPUTED_VALUE"""),0.885115645278077)</f>
        <v>0.88511564527807696</v>
      </c>
      <c r="I748" s="17">
        <f ca="1">IFERROR(__xludf.DUMMYFUNCTION("""COMPUTED_VALUE"""),0.892033880037833)</f>
        <v>0.89203388003783302</v>
      </c>
      <c r="J748" s="17">
        <f ca="1">IFERROR(__xludf.DUMMYFUNCTION("""COMPUTED_VALUE"""),0.888186160221538)</f>
        <v>0.88818616022153796</v>
      </c>
      <c r="K748" s="17" t="str">
        <f ca="1">IFERROR(__xludf.DUMMYFUNCTION("""COMPUTED_VALUE"""),"nan")</f>
        <v>nan</v>
      </c>
      <c r="L748" s="17">
        <f ca="1">IFERROR(__xludf.DUMMYFUNCTION("""COMPUTED_VALUE"""),0.868276890562975)</f>
        <v>0.86827689056297497</v>
      </c>
      <c r="M748" s="17">
        <f ca="1">IFERROR(__xludf.DUMMYFUNCTION("""COMPUTED_VALUE"""),0.896927821154846)</f>
        <v>0.89692782115484604</v>
      </c>
      <c r="N748" s="17">
        <f ca="1">IFERROR(__xludf.DUMMYFUNCTION("""COMPUTED_VALUE"""),0.900764151443336)</f>
        <v>0.90076415144333599</v>
      </c>
      <c r="O748" s="17">
        <f ca="1">IFERROR(__xludf.DUMMYFUNCTION("""COMPUTED_VALUE"""),0.816461698020754)</f>
        <v>0.81646169802075397</v>
      </c>
      <c r="P748" s="17">
        <f ca="1">IFERROR(__xludf.DUMMYFUNCTION("""COMPUTED_VALUE"""),0.990228787659284)</f>
        <v>0.99022878765928402</v>
      </c>
      <c r="Q748" s="17">
        <f ca="1">IFERROR(__xludf.DUMMYFUNCTION("""COMPUTED_VALUE"""),1.20598036658939)</f>
        <v>1.20598036658939</v>
      </c>
      <c r="R748" s="17">
        <f ca="1">IFERROR(__xludf.DUMMYFUNCTION("""COMPUTED_VALUE"""),0.839539313155579)</f>
        <v>0.83953931315557895</v>
      </c>
      <c r="S748" s="17">
        <f ca="1">IFERROR(__xludf.DUMMYFUNCTION("""COMPUTED_VALUE"""),1.11565612039069)</f>
        <v>1.1156561203906901</v>
      </c>
      <c r="T748" s="17">
        <f ca="1">IFERROR(__xludf.DUMMYFUNCTION("""COMPUTED_VALUE"""),0.928212327771812)</f>
        <v>0.92821232777181195</v>
      </c>
      <c r="U748" s="17">
        <f ca="1">IFERROR(__xludf.DUMMYFUNCTION("""COMPUTED_VALUE"""),0.885023997277464)</f>
        <v>0.88502399727746395</v>
      </c>
      <c r="V748" s="17">
        <f ca="1">IFERROR(__xludf.DUMMYFUNCTION("""COMPUTED_VALUE"""),0.907221839846871)</f>
        <v>0.90722183984687099</v>
      </c>
      <c r="W748" s="17">
        <f ca="1">IFERROR(__xludf.DUMMYFUNCTION("""COMPUTED_VALUE"""),0.964963355740907)</f>
        <v>0.96496335574090697</v>
      </c>
      <c r="X748" s="17">
        <f ca="1">IFERROR(__xludf.DUMMYFUNCTION("""COMPUTED_VALUE"""),0.892926606778551)</f>
        <v>0.89292660677855096</v>
      </c>
      <c r="Y748" s="17">
        <f ca="1">IFERROR(__xludf.DUMMYFUNCTION("""COMPUTED_VALUE"""),0.864953837979569)</f>
        <v>0.86495383797956904</v>
      </c>
      <c r="Z748" s="17">
        <f ca="1">IFERROR(__xludf.DUMMYFUNCTION("""COMPUTED_VALUE"""),0.952313052449993)</f>
        <v>0.95231305244999298</v>
      </c>
      <c r="AA748" s="17">
        <f ca="1">IFERROR(__xludf.DUMMYFUNCTION("""COMPUTED_VALUE"""),0.88898347902148)</f>
        <v>0.88898347902148001</v>
      </c>
      <c r="AB748" s="17">
        <f ca="1">IFERROR(__xludf.DUMMYFUNCTION("""COMPUTED_VALUE"""),1.02106371994676)</f>
        <v>1.02106371994676</v>
      </c>
      <c r="AC748" s="17">
        <f ca="1">IFERROR(__xludf.DUMMYFUNCTION("""COMPUTED_VALUE"""),0.950515472303604)</f>
        <v>0.950515472303604</v>
      </c>
      <c r="AD748" s="17">
        <f ca="1">IFERROR(__xludf.DUMMYFUNCTION("""COMPUTED_VALUE"""),0.938049863535931)</f>
        <v>0.93804986353593101</v>
      </c>
      <c r="AE748" s="17">
        <f ca="1">IFERROR(__xludf.DUMMYFUNCTION("""COMPUTED_VALUE"""),1.10736881261856)</f>
        <v>1.1073688126185599</v>
      </c>
      <c r="AF748" s="17">
        <f ca="1">IFERROR(__xludf.DUMMYFUNCTION("""COMPUTED_VALUE"""),0.915982147957572)</f>
        <v>0.91598214795757205</v>
      </c>
      <c r="AG748" s="17">
        <f ca="1">IFERROR(__xludf.DUMMYFUNCTION("""COMPUTED_VALUE"""),0.965469551964634)</f>
        <v>0.96546955196463402</v>
      </c>
      <c r="AH748" s="17">
        <f ca="1">IFERROR(__xludf.DUMMYFUNCTION("""COMPUTED_VALUE"""),0.957082940728726)</f>
        <v>0.95708294072872602</v>
      </c>
      <c r="AI748" s="17" t="str">
        <f ca="1">IFERROR(__xludf.DUMMYFUNCTION("""COMPUTED_VALUE"""),"nan")</f>
        <v>nan</v>
      </c>
      <c r="AJ748" s="17">
        <f ca="1">IFERROR(__xludf.DUMMYFUNCTION("""COMPUTED_VALUE"""),0.907240034530324)</f>
        <v>0.90724003453032398</v>
      </c>
    </row>
    <row r="749" spans="2:36" ht="15.75" customHeight="1" x14ac:dyDescent="0.45">
      <c r="B749" s="10" t="str">
        <f ca="1">IFERROR(__xludf.DUMMYFUNCTION("""COMPUTED_VALUE"""),"SemgHandSubjectCh2")</f>
        <v>SemgHandSubjectCh2</v>
      </c>
      <c r="C749" s="10" t="str">
        <f ca="1">IFERROR(__xludf.DUMMYFUNCTION("""COMPUTED_VALUE"""),"mcar")</f>
        <v>mcar</v>
      </c>
      <c r="D749" s="10">
        <f ca="1">IFERROR(__xludf.DUMMYFUNCTION("""COMPUTED_VALUE"""),0.4)</f>
        <v>0.4</v>
      </c>
      <c r="E749" s="17">
        <f ca="1">IFERROR(__xludf.DUMMYFUNCTION("""COMPUTED_VALUE"""),1.04494636679452)</f>
        <v>1.04494636679452</v>
      </c>
      <c r="F749" s="17">
        <f ca="1">IFERROR(__xludf.DUMMYFUNCTION("""COMPUTED_VALUE"""),0.885171444995714)</f>
        <v>0.88517144499571399</v>
      </c>
      <c r="G749" s="17">
        <f ca="1">IFERROR(__xludf.DUMMYFUNCTION("""COMPUTED_VALUE"""),1.01252998878982)</f>
        <v>1.01252998878982</v>
      </c>
      <c r="H749" s="17">
        <f ca="1">IFERROR(__xludf.DUMMYFUNCTION("""COMPUTED_VALUE"""),0.889690086562915)</f>
        <v>0.88969008656291504</v>
      </c>
      <c r="I749" s="17">
        <f ca="1">IFERROR(__xludf.DUMMYFUNCTION("""COMPUTED_VALUE"""),0.88920735574262)</f>
        <v>0.88920735574262</v>
      </c>
      <c r="J749" s="17">
        <f ca="1">IFERROR(__xludf.DUMMYFUNCTION("""COMPUTED_VALUE"""),0.901669717491295)</f>
        <v>0.90166971749129499</v>
      </c>
      <c r="K749" s="17" t="str">
        <f ca="1">IFERROR(__xludf.DUMMYFUNCTION("""COMPUTED_VALUE"""),"nan")</f>
        <v>nan</v>
      </c>
      <c r="L749" s="17">
        <f ca="1">IFERROR(__xludf.DUMMYFUNCTION("""COMPUTED_VALUE"""),0.897337468033409)</f>
        <v>0.89733746803340897</v>
      </c>
      <c r="M749" s="17">
        <f ca="1">IFERROR(__xludf.DUMMYFUNCTION("""COMPUTED_VALUE"""),0.873335891919596)</f>
        <v>0.87333589191959604</v>
      </c>
      <c r="N749" s="17">
        <f ca="1">IFERROR(__xludf.DUMMYFUNCTION("""COMPUTED_VALUE"""),0.888181913775565)</f>
        <v>0.88818191377556499</v>
      </c>
      <c r="O749" s="17">
        <f ca="1">IFERROR(__xludf.DUMMYFUNCTION("""COMPUTED_VALUE"""),0.835362743922141)</f>
        <v>0.83536274392214105</v>
      </c>
      <c r="P749" s="17">
        <f ca="1">IFERROR(__xludf.DUMMYFUNCTION("""COMPUTED_VALUE"""),0.987031191518883)</f>
        <v>0.98703119151888297</v>
      </c>
      <c r="Q749" s="17">
        <f ca="1">IFERROR(__xludf.DUMMYFUNCTION("""COMPUTED_VALUE"""),1.17986231102357)</f>
        <v>1.17986231102357</v>
      </c>
      <c r="R749" s="17">
        <f ca="1">IFERROR(__xludf.DUMMYFUNCTION("""COMPUTED_VALUE"""),0.847321633759817)</f>
        <v>0.84732163375981695</v>
      </c>
      <c r="S749" s="17">
        <f ca="1">IFERROR(__xludf.DUMMYFUNCTION("""COMPUTED_VALUE"""),1.46324449037413)</f>
        <v>1.46324449037413</v>
      </c>
      <c r="T749" s="17">
        <f ca="1">IFERROR(__xludf.DUMMYFUNCTION("""COMPUTED_VALUE"""),0.930890342343987)</f>
        <v>0.93089034234398704</v>
      </c>
      <c r="U749" s="17">
        <f ca="1">IFERROR(__xludf.DUMMYFUNCTION("""COMPUTED_VALUE"""),0.905787326793921)</f>
        <v>0.90578732679392104</v>
      </c>
      <c r="V749" s="17">
        <f ca="1">IFERROR(__xludf.DUMMYFUNCTION("""COMPUTED_VALUE"""),0.923046334486628)</f>
        <v>0.92304633448662798</v>
      </c>
      <c r="W749" s="17">
        <f ca="1">IFERROR(__xludf.DUMMYFUNCTION("""COMPUTED_VALUE"""),0.951906556429554)</f>
        <v>0.95190655642955402</v>
      </c>
      <c r="X749" s="17">
        <f ca="1">IFERROR(__xludf.DUMMYFUNCTION("""COMPUTED_VALUE"""),0.875483197306396)</f>
        <v>0.87548319730639601</v>
      </c>
      <c r="Y749" s="17">
        <f ca="1">IFERROR(__xludf.DUMMYFUNCTION("""COMPUTED_VALUE"""),0.863451653602701)</f>
        <v>0.86345165360270104</v>
      </c>
      <c r="Z749" s="17">
        <f ca="1">IFERROR(__xludf.DUMMYFUNCTION("""COMPUTED_VALUE"""),0.932417127709084)</f>
        <v>0.93241712770908403</v>
      </c>
      <c r="AA749" s="17">
        <f ca="1">IFERROR(__xludf.DUMMYFUNCTION("""COMPUTED_VALUE"""),0.919005888174644)</f>
        <v>0.91900588817464401</v>
      </c>
      <c r="AB749" s="17">
        <f ca="1">IFERROR(__xludf.DUMMYFUNCTION("""COMPUTED_VALUE"""),1.04905053195822)</f>
        <v>1.04905053195822</v>
      </c>
      <c r="AC749" s="17">
        <f ca="1">IFERROR(__xludf.DUMMYFUNCTION("""COMPUTED_VALUE"""),0.952386871169223)</f>
        <v>0.95238687116922305</v>
      </c>
      <c r="AD749" s="17">
        <f ca="1">IFERROR(__xludf.DUMMYFUNCTION("""COMPUTED_VALUE"""),0.933419162762384)</f>
        <v>0.93341916276238401</v>
      </c>
      <c r="AE749" s="17">
        <f ca="1">IFERROR(__xludf.DUMMYFUNCTION("""COMPUTED_VALUE"""),1.0863378419108)</f>
        <v>1.0863378419108001</v>
      </c>
      <c r="AF749" s="17">
        <f ca="1">IFERROR(__xludf.DUMMYFUNCTION("""COMPUTED_VALUE"""),0.914505337828442)</f>
        <v>0.91450533782844201</v>
      </c>
      <c r="AG749" s="17">
        <f ca="1">IFERROR(__xludf.DUMMYFUNCTION("""COMPUTED_VALUE"""),1.04295363289615)</f>
        <v>1.04295363289615</v>
      </c>
      <c r="AH749" s="17">
        <f ca="1">IFERROR(__xludf.DUMMYFUNCTION("""COMPUTED_VALUE"""),0.958720883683553)</f>
        <v>0.95872088368355302</v>
      </c>
      <c r="AI749" s="17" t="str">
        <f ca="1">IFERROR(__xludf.DUMMYFUNCTION("""COMPUTED_VALUE"""),"nan")</f>
        <v>nan</v>
      </c>
      <c r="AJ749" s="17">
        <f ca="1">IFERROR(__xludf.DUMMYFUNCTION("""COMPUTED_VALUE"""),0.908429986881671)</f>
        <v>0.90842998688167098</v>
      </c>
    </row>
    <row r="750" spans="2:36" ht="15.75" customHeight="1" x14ac:dyDescent="0.45">
      <c r="B750" s="10" t="str">
        <f ca="1">IFERROR(__xludf.DUMMYFUNCTION("""COMPUTED_VALUE"""),"SemgHandSubjectCh2")</f>
        <v>SemgHandSubjectCh2</v>
      </c>
      <c r="C750" s="10" t="str">
        <f ca="1">IFERROR(__xludf.DUMMYFUNCTION("""COMPUTED_VALUE"""),"mcar")</f>
        <v>mcar</v>
      </c>
      <c r="D750" s="10">
        <f ca="1">IFERROR(__xludf.DUMMYFUNCTION("""COMPUTED_VALUE"""),0.6)</f>
        <v>0.6</v>
      </c>
      <c r="E750" s="17">
        <f ca="1">IFERROR(__xludf.DUMMYFUNCTION("""COMPUTED_VALUE"""),1.02032407267221)</f>
        <v>1.02032407267221</v>
      </c>
      <c r="F750" s="17">
        <f ca="1">IFERROR(__xludf.DUMMYFUNCTION("""COMPUTED_VALUE"""),0.869029786970788)</f>
        <v>0.86902978697078803</v>
      </c>
      <c r="G750" s="17">
        <f ca="1">IFERROR(__xludf.DUMMYFUNCTION("""COMPUTED_VALUE"""),0.937504305776333)</f>
        <v>0.93750430577633304</v>
      </c>
      <c r="H750" s="17">
        <f ca="1">IFERROR(__xludf.DUMMYFUNCTION("""COMPUTED_VALUE"""),0.880125847572515)</f>
        <v>0.880125847572515</v>
      </c>
      <c r="I750" s="17">
        <f ca="1">IFERROR(__xludf.DUMMYFUNCTION("""COMPUTED_VALUE"""),0.880514955126761)</f>
        <v>0.88051495512676103</v>
      </c>
      <c r="J750" s="17">
        <f ca="1">IFERROR(__xludf.DUMMYFUNCTION("""COMPUTED_VALUE"""),0.921961352982354)</f>
        <v>0.92196135298235404</v>
      </c>
      <c r="K750" s="17" t="str">
        <f ca="1">IFERROR(__xludf.DUMMYFUNCTION("""COMPUTED_VALUE"""),"nan")</f>
        <v>nan</v>
      </c>
      <c r="L750" s="17">
        <f ca="1">IFERROR(__xludf.DUMMYFUNCTION("""COMPUTED_VALUE"""),0.902401437387654)</f>
        <v>0.90240143738765399</v>
      </c>
      <c r="M750" s="17">
        <f ca="1">IFERROR(__xludf.DUMMYFUNCTION("""COMPUTED_VALUE"""),0.867422682574454)</f>
        <v>0.86742268257445398</v>
      </c>
      <c r="N750" s="17">
        <f ca="1">IFERROR(__xludf.DUMMYFUNCTION("""COMPUTED_VALUE"""),0.876718077338039)</f>
        <v>0.87671807733803897</v>
      </c>
      <c r="O750" s="17">
        <f ca="1">IFERROR(__xludf.DUMMYFUNCTION("""COMPUTED_VALUE"""),0.838709878094325)</f>
        <v>0.83870987809432496</v>
      </c>
      <c r="P750" s="17">
        <f ca="1">IFERROR(__xludf.DUMMYFUNCTION("""COMPUTED_VALUE"""),0.981505458153645)</f>
        <v>0.98150545815364498</v>
      </c>
      <c r="Q750" s="17">
        <f ca="1">IFERROR(__xludf.DUMMYFUNCTION("""COMPUTED_VALUE"""),1.17561942679285)</f>
        <v>1.1756194267928499</v>
      </c>
      <c r="R750" s="17">
        <f ca="1">IFERROR(__xludf.DUMMYFUNCTION("""COMPUTED_VALUE"""),0.857898047741802)</f>
        <v>0.85789804774180201</v>
      </c>
      <c r="S750" s="17">
        <f ca="1">IFERROR(__xludf.DUMMYFUNCTION("""COMPUTED_VALUE"""),1.44665846196519)</f>
        <v>1.4466584619651901</v>
      </c>
      <c r="T750" s="17">
        <f ca="1">IFERROR(__xludf.DUMMYFUNCTION("""COMPUTED_VALUE"""),0.917849577467456)</f>
        <v>0.91784957746745599</v>
      </c>
      <c r="U750" s="17">
        <f ca="1">IFERROR(__xludf.DUMMYFUNCTION("""COMPUTED_VALUE"""),0.890744812631375)</f>
        <v>0.89074481263137495</v>
      </c>
      <c r="V750" s="17">
        <f ca="1">IFERROR(__xludf.DUMMYFUNCTION("""COMPUTED_VALUE"""),0.917682232630071)</f>
        <v>0.91768223263007098</v>
      </c>
      <c r="W750" s="17">
        <f ca="1">IFERROR(__xludf.DUMMYFUNCTION("""COMPUTED_VALUE"""),0.934254411841354)</f>
        <v>0.93425441184135405</v>
      </c>
      <c r="X750" s="17">
        <f ca="1">IFERROR(__xludf.DUMMYFUNCTION("""COMPUTED_VALUE"""),0.858819501542803)</f>
        <v>0.85881950154280295</v>
      </c>
      <c r="Y750" s="17">
        <f ca="1">IFERROR(__xludf.DUMMYFUNCTION("""COMPUTED_VALUE"""),0.893043051117969)</f>
        <v>0.893043051117969</v>
      </c>
      <c r="Z750" s="17">
        <f ca="1">IFERROR(__xludf.DUMMYFUNCTION("""COMPUTED_VALUE"""),0.937224213991404)</f>
        <v>0.93722421399140399</v>
      </c>
      <c r="AA750" s="17">
        <f ca="1">IFERROR(__xludf.DUMMYFUNCTION("""COMPUTED_VALUE"""),0.913936313926503)</f>
        <v>0.91393631392650299</v>
      </c>
      <c r="AB750" s="17">
        <f ca="1">IFERROR(__xludf.DUMMYFUNCTION("""COMPUTED_VALUE"""),1.1221422211231)</f>
        <v>1.1221422211231</v>
      </c>
      <c r="AC750" s="17">
        <f ca="1">IFERROR(__xludf.DUMMYFUNCTION("""COMPUTED_VALUE"""),0.931658849714953)</f>
        <v>0.93165884971495305</v>
      </c>
      <c r="AD750" s="17">
        <f ca="1">IFERROR(__xludf.DUMMYFUNCTION("""COMPUTED_VALUE"""),0.914159483258684)</f>
        <v>0.91415948325868401</v>
      </c>
      <c r="AE750" s="17">
        <f ca="1">IFERROR(__xludf.DUMMYFUNCTION("""COMPUTED_VALUE"""),1.08427778308533)</f>
        <v>1.0842777830853301</v>
      </c>
      <c r="AF750" s="17">
        <f ca="1">IFERROR(__xludf.DUMMYFUNCTION("""COMPUTED_VALUE"""),0.906722432290417)</f>
        <v>0.90672243229041705</v>
      </c>
      <c r="AG750" s="17">
        <f ca="1">IFERROR(__xludf.DUMMYFUNCTION("""COMPUTED_VALUE"""),1.11878384169358)</f>
        <v>1.11878384169358</v>
      </c>
      <c r="AH750" s="17">
        <f ca="1">IFERROR(__xludf.DUMMYFUNCTION("""COMPUTED_VALUE"""),0.958162254869323)</f>
        <v>0.95816225486932305</v>
      </c>
      <c r="AI750" s="17" t="str">
        <f ca="1">IFERROR(__xludf.DUMMYFUNCTION("""COMPUTED_VALUE"""),"nan")</f>
        <v>nan</v>
      </c>
      <c r="AJ750" s="17">
        <f ca="1">IFERROR(__xludf.DUMMYFUNCTION("""COMPUTED_VALUE"""),0.965752196036281)</f>
        <v>0.96575219603628104</v>
      </c>
    </row>
    <row r="751" spans="2:36" ht="15.75" customHeight="1" x14ac:dyDescent="0.45">
      <c r="B751" s="10" t="str">
        <f ca="1">IFERROR(__xludf.DUMMYFUNCTION("""COMPUTED_VALUE"""),"SemgHandSubjectCh2")</f>
        <v>SemgHandSubjectCh2</v>
      </c>
      <c r="C751" s="10" t="str">
        <f ca="1">IFERROR(__xludf.DUMMYFUNCTION("""COMPUTED_VALUE"""),"mcar")</f>
        <v>mcar</v>
      </c>
      <c r="D751" s="10">
        <f ca="1">IFERROR(__xludf.DUMMYFUNCTION("""COMPUTED_VALUE"""),0.8)</f>
        <v>0.8</v>
      </c>
      <c r="E751" s="17">
        <f ca="1">IFERROR(__xludf.DUMMYFUNCTION("""COMPUTED_VALUE"""),0.997363053732371)</f>
        <v>0.997363053732371</v>
      </c>
      <c r="F751" s="17">
        <f ca="1">IFERROR(__xludf.DUMMYFUNCTION("""COMPUTED_VALUE"""),0.853492968300718)</f>
        <v>0.85349296830071797</v>
      </c>
      <c r="G751" s="17">
        <f ca="1">IFERROR(__xludf.DUMMYFUNCTION("""COMPUTED_VALUE"""),0.903195079670602)</f>
        <v>0.90319507967060197</v>
      </c>
      <c r="H751" s="17">
        <f ca="1">IFERROR(__xludf.DUMMYFUNCTION("""COMPUTED_VALUE"""),0.871933628887562)</f>
        <v>0.87193362888756198</v>
      </c>
      <c r="I751" s="17">
        <f ca="1">IFERROR(__xludf.DUMMYFUNCTION("""COMPUTED_VALUE"""),0.873935062054758)</f>
        <v>0.87393506205475802</v>
      </c>
      <c r="J751" s="17">
        <f ca="1">IFERROR(__xludf.DUMMYFUNCTION("""COMPUTED_VALUE"""),1.04091965452658)</f>
        <v>1.04091965452658</v>
      </c>
      <c r="K751" s="17" t="str">
        <f ca="1">IFERROR(__xludf.DUMMYFUNCTION("""COMPUTED_VALUE"""),"nan")</f>
        <v>nan</v>
      </c>
      <c r="L751" s="17">
        <f ca="1">IFERROR(__xludf.DUMMYFUNCTION("""COMPUTED_VALUE"""),0.86095075707272)</f>
        <v>0.86095075707271995</v>
      </c>
      <c r="M751" s="17">
        <f ca="1">IFERROR(__xludf.DUMMYFUNCTION("""COMPUTED_VALUE"""),0.909791043066674)</f>
        <v>0.90979104306667402</v>
      </c>
      <c r="N751" s="17">
        <f ca="1">IFERROR(__xludf.DUMMYFUNCTION("""COMPUTED_VALUE"""),0.870825647037051)</f>
        <v>0.87082564703705101</v>
      </c>
      <c r="O751" s="17">
        <f ca="1">IFERROR(__xludf.DUMMYFUNCTION("""COMPUTED_VALUE"""),0.83209350630411)</f>
        <v>0.83209350630411005</v>
      </c>
      <c r="P751" s="17">
        <f ca="1">IFERROR(__xludf.DUMMYFUNCTION("""COMPUTED_VALUE"""),0.992313240387492)</f>
        <v>0.99231324038749202</v>
      </c>
      <c r="Q751" s="17">
        <f ca="1">IFERROR(__xludf.DUMMYFUNCTION("""COMPUTED_VALUE"""),1.16818555920466)</f>
        <v>1.1681855592046599</v>
      </c>
      <c r="R751" s="17">
        <f ca="1">IFERROR(__xludf.DUMMYFUNCTION("""COMPUTED_VALUE"""),0.897942344233359)</f>
        <v>0.89794234423335895</v>
      </c>
      <c r="S751" s="17">
        <f ca="1">IFERROR(__xludf.DUMMYFUNCTION("""COMPUTED_VALUE"""),1.43338188729892)</f>
        <v>1.4333818872989199</v>
      </c>
      <c r="T751" s="17">
        <f ca="1">IFERROR(__xludf.DUMMYFUNCTION("""COMPUTED_VALUE"""),0.907958241962985)</f>
        <v>0.90795824196298502</v>
      </c>
      <c r="U751" s="17">
        <f ca="1">IFERROR(__xludf.DUMMYFUNCTION("""COMPUTED_VALUE"""),0.88591319662453)</f>
        <v>0.88591319662453005</v>
      </c>
      <c r="V751" s="17">
        <f ca="1">IFERROR(__xludf.DUMMYFUNCTION("""COMPUTED_VALUE"""),0.923194044401744)</f>
        <v>0.92319404440174402</v>
      </c>
      <c r="W751" s="17">
        <f ca="1">IFERROR(__xludf.DUMMYFUNCTION("""COMPUTED_VALUE"""),0.918459503529088)</f>
        <v>0.91845950352908801</v>
      </c>
      <c r="X751" s="17">
        <f ca="1">IFERROR(__xludf.DUMMYFUNCTION("""COMPUTED_VALUE"""),0.856593047049181)</f>
        <v>0.85659304704918104</v>
      </c>
      <c r="Y751" s="17">
        <f ca="1">IFERROR(__xludf.DUMMYFUNCTION("""COMPUTED_VALUE"""),0.88339204581308)</f>
        <v>0.88339204581307995</v>
      </c>
      <c r="Z751" s="17">
        <f ca="1">IFERROR(__xludf.DUMMYFUNCTION("""COMPUTED_VALUE"""),0.933902167393738)</f>
        <v>0.93390216739373799</v>
      </c>
      <c r="AA751" s="17">
        <f ca="1">IFERROR(__xludf.DUMMYFUNCTION("""COMPUTED_VALUE"""),0.961216493122536)</f>
        <v>0.96121649312253599</v>
      </c>
      <c r="AB751" s="17">
        <f ca="1">IFERROR(__xludf.DUMMYFUNCTION("""COMPUTED_VALUE"""),1.24172287074703)</f>
        <v>1.24172287074703</v>
      </c>
      <c r="AC751" s="17">
        <f ca="1">IFERROR(__xludf.DUMMYFUNCTION("""COMPUTED_VALUE"""),0.919662399231314)</f>
        <v>0.91966239923131399</v>
      </c>
      <c r="AD751" s="17">
        <f ca="1">IFERROR(__xludf.DUMMYFUNCTION("""COMPUTED_VALUE"""),0.902257349908178)</f>
        <v>0.90225734990817796</v>
      </c>
      <c r="AE751" s="17" t="str">
        <f ca="1">IFERROR(__xludf.DUMMYFUNCTION("""COMPUTED_VALUE"""),"nan")</f>
        <v>nan</v>
      </c>
      <c r="AF751" s="17">
        <f ca="1">IFERROR(__xludf.DUMMYFUNCTION("""COMPUTED_VALUE"""),0.955208999545367)</f>
        <v>0.95520899954536698</v>
      </c>
      <c r="AG751" s="17">
        <f ca="1">IFERROR(__xludf.DUMMYFUNCTION("""COMPUTED_VALUE"""),1.13645870701117)</f>
        <v>1.13645870701117</v>
      </c>
      <c r="AH751" s="17">
        <f ca="1">IFERROR(__xludf.DUMMYFUNCTION("""COMPUTED_VALUE"""),1.05180415807806)</f>
        <v>1.0518041580780599</v>
      </c>
      <c r="AI751" s="17" t="str">
        <f ca="1">IFERROR(__xludf.DUMMYFUNCTION("""COMPUTED_VALUE"""),"nan")</f>
        <v>nan</v>
      </c>
      <c r="AJ751" s="17">
        <f ca="1">IFERROR(__xludf.DUMMYFUNCTION("""COMPUTED_VALUE"""),1.09868863865053)</f>
        <v>1.0986886386505299</v>
      </c>
    </row>
    <row r="752" spans="2:36" ht="15.75" customHeight="1" x14ac:dyDescent="0.45">
      <c r="B752" s="11" t="str">
        <f ca="1">IFERROR(__xludf.DUMMYFUNCTION("""COMPUTED_VALUE"""),"ShapeletSim")</f>
        <v>ShapeletSim</v>
      </c>
      <c r="C752" s="11" t="str">
        <f ca="1">IFERROR(__xludf.DUMMYFUNCTION("""COMPUTED_VALUE"""),"aligned_series")</f>
        <v>aligned_series</v>
      </c>
      <c r="D752" s="11">
        <f ca="1">IFERROR(__xludf.DUMMYFUNCTION("""COMPUTED_VALUE"""),0.1)</f>
        <v>0.1</v>
      </c>
      <c r="E752" s="17">
        <f ca="1">IFERROR(__xludf.DUMMYFUNCTION("""COMPUTED_VALUE"""),1.02811970025525)</f>
        <v>1.02811970025525</v>
      </c>
      <c r="F752" s="17">
        <f ca="1">IFERROR(__xludf.DUMMYFUNCTION("""COMPUTED_VALUE"""),1.0638248516176)</f>
        <v>1.0638248516176001</v>
      </c>
      <c r="G752" s="17">
        <f ca="1">IFERROR(__xludf.DUMMYFUNCTION("""COMPUTED_VALUE"""),1.0673266542856)</f>
        <v>1.0673266542855999</v>
      </c>
      <c r="H752" s="17">
        <f ca="1">IFERROR(__xludf.DUMMYFUNCTION("""COMPUTED_VALUE"""),1.06744491665568)</f>
        <v>1.0674449166556801</v>
      </c>
      <c r="I752" s="17">
        <f ca="1">IFERROR(__xludf.DUMMYFUNCTION("""COMPUTED_VALUE"""),1.02887518921204)</f>
        <v>1.02887518921204</v>
      </c>
      <c r="J752" s="17">
        <f ca="1">IFERROR(__xludf.DUMMYFUNCTION("""COMPUTED_VALUE"""),1.11229471465912)</f>
        <v>1.11229471465912</v>
      </c>
      <c r="K752" s="17" t="str">
        <f ca="1">IFERROR(__xludf.DUMMYFUNCTION("""COMPUTED_VALUE"""),"nan")</f>
        <v>nan</v>
      </c>
      <c r="L752" s="17">
        <f ca="1">IFERROR(__xludf.DUMMYFUNCTION("""COMPUTED_VALUE"""),1.18512985532181)</f>
        <v>1.1851298553218099</v>
      </c>
      <c r="M752" s="17">
        <f ca="1">IFERROR(__xludf.DUMMYFUNCTION("""COMPUTED_VALUE"""),1.06132322405345)</f>
        <v>1.06132322405345</v>
      </c>
      <c r="N752" s="17">
        <f ca="1">IFERROR(__xludf.DUMMYFUNCTION("""COMPUTED_VALUE"""),1.11110899381286)</f>
        <v>1.11110899381286</v>
      </c>
      <c r="O752" s="17">
        <f ca="1">IFERROR(__xludf.DUMMYFUNCTION("""COMPUTED_VALUE"""),1.03515490774284)</f>
        <v>1.0351549077428399</v>
      </c>
      <c r="P752" s="17">
        <f ca="1">IFERROR(__xludf.DUMMYFUNCTION("""COMPUTED_VALUE"""),1.07527575388813)</f>
        <v>1.0752757538881299</v>
      </c>
      <c r="Q752" s="17">
        <f ca="1">IFERROR(__xludf.DUMMYFUNCTION("""COMPUTED_VALUE"""),1.48851326297985)</f>
        <v>1.4885132629798501</v>
      </c>
      <c r="R752" s="17">
        <f ca="1">IFERROR(__xludf.DUMMYFUNCTION("""COMPUTED_VALUE"""),1.03083521744305)</f>
        <v>1.03083521744305</v>
      </c>
      <c r="S752" s="17">
        <f ca="1">IFERROR(__xludf.DUMMYFUNCTION("""COMPUTED_VALUE"""),1.12075996711825)</f>
        <v>1.12075996711825</v>
      </c>
      <c r="T752" s="17">
        <f ca="1">IFERROR(__xludf.DUMMYFUNCTION("""COMPUTED_VALUE"""),1.48217497183464)</f>
        <v>1.48217497183464</v>
      </c>
      <c r="U752" s="17">
        <f ca="1">IFERROR(__xludf.DUMMYFUNCTION("""COMPUTED_VALUE"""),1.0412174749264)</f>
        <v>1.0412174749264</v>
      </c>
      <c r="V752" s="17">
        <f ca="1">IFERROR(__xludf.DUMMYFUNCTION("""COMPUTED_VALUE"""),1.0539358791432)</f>
        <v>1.0539358791432001</v>
      </c>
      <c r="W752" s="17">
        <f ca="1">IFERROR(__xludf.DUMMYFUNCTION("""COMPUTED_VALUE"""),1.05150555699134)</f>
        <v>1.0515055569913401</v>
      </c>
      <c r="X752" s="17">
        <f ca="1">IFERROR(__xludf.DUMMYFUNCTION("""COMPUTED_VALUE"""),1.03483219761379)</f>
        <v>1.03483219761379</v>
      </c>
      <c r="Y752" s="17">
        <f ca="1">IFERROR(__xludf.DUMMYFUNCTION("""COMPUTED_VALUE"""),1.03459664107306)</f>
        <v>1.03459664107306</v>
      </c>
      <c r="Z752" s="17">
        <f ca="1">IFERROR(__xludf.DUMMYFUNCTION("""COMPUTED_VALUE"""),1.1007832672124)</f>
        <v>1.1007832672124001</v>
      </c>
      <c r="AA752" s="17">
        <f ca="1">IFERROR(__xludf.DUMMYFUNCTION("""COMPUTED_VALUE"""),1.04705692291265)</f>
        <v>1.0470569229126501</v>
      </c>
      <c r="AB752" s="17">
        <f ca="1">IFERROR(__xludf.DUMMYFUNCTION("""COMPUTED_VALUE"""),1.14965998135849)</f>
        <v>1.14965998135849</v>
      </c>
      <c r="AC752" s="17">
        <f ca="1">IFERROR(__xludf.DUMMYFUNCTION("""COMPUTED_VALUE"""),1.0264562347978)</f>
        <v>1.0264562347977999</v>
      </c>
      <c r="AD752" s="17">
        <f ca="1">IFERROR(__xludf.DUMMYFUNCTION("""COMPUTED_VALUE"""),1.05092810900829)</f>
        <v>1.05092810900829</v>
      </c>
      <c r="AE752" s="17">
        <f ca="1">IFERROR(__xludf.DUMMYFUNCTION("""COMPUTED_VALUE"""),1.09139325676899)</f>
        <v>1.0913932567689899</v>
      </c>
      <c r="AF752" s="17">
        <f ca="1">IFERROR(__xludf.DUMMYFUNCTION("""COMPUTED_VALUE"""),1.58778811230582)</f>
        <v>1.58778811230582</v>
      </c>
      <c r="AG752" s="17">
        <f ca="1">IFERROR(__xludf.DUMMYFUNCTION("""COMPUTED_VALUE"""),1.03668660437792)</f>
        <v>1.0366866043779199</v>
      </c>
      <c r="AH752" s="17">
        <f ca="1">IFERROR(__xludf.DUMMYFUNCTION("""COMPUTED_VALUE"""),1.03858242519961)</f>
        <v>1.0385824251996101</v>
      </c>
      <c r="AI752" s="17">
        <f ca="1">IFERROR(__xludf.DUMMYFUNCTION("""COMPUTED_VALUE"""),1.03691060293711)</f>
        <v>1.03691060293711</v>
      </c>
      <c r="AJ752" s="17">
        <f ca="1">IFERROR(__xludf.DUMMYFUNCTION("""COMPUTED_VALUE"""),1.06054829263001)</f>
        <v>1.06054829263001</v>
      </c>
    </row>
    <row r="753" spans="2:36" ht="15.75" customHeight="1" x14ac:dyDescent="0.45">
      <c r="B753" s="10" t="str">
        <f ca="1">IFERROR(__xludf.DUMMYFUNCTION("""COMPUTED_VALUE"""),"ShapeletSim")</f>
        <v>ShapeletSim</v>
      </c>
      <c r="C753" s="10" t="str">
        <f ca="1">IFERROR(__xludf.DUMMYFUNCTION("""COMPUTED_VALUE"""),"aligned_series")</f>
        <v>aligned_series</v>
      </c>
      <c r="D753" s="10">
        <f ca="1">IFERROR(__xludf.DUMMYFUNCTION("""COMPUTED_VALUE"""),0.2)</f>
        <v>0.2</v>
      </c>
      <c r="E753" s="17">
        <f ca="1">IFERROR(__xludf.DUMMYFUNCTION("""COMPUTED_VALUE"""),1.02887173659426)</f>
        <v>1.0288717365942599</v>
      </c>
      <c r="F753" s="17">
        <f ca="1">IFERROR(__xludf.DUMMYFUNCTION("""COMPUTED_VALUE"""),1.15807003938147)</f>
        <v>1.15807003938147</v>
      </c>
      <c r="G753" s="17">
        <f ca="1">IFERROR(__xludf.DUMMYFUNCTION("""COMPUTED_VALUE"""),1.1765438917472)</f>
        <v>1.1765438917472</v>
      </c>
      <c r="H753" s="17">
        <f ca="1">IFERROR(__xludf.DUMMYFUNCTION("""COMPUTED_VALUE"""),1.12590293381516)</f>
        <v>1.12590293381516</v>
      </c>
      <c r="I753" s="17">
        <f ca="1">IFERROR(__xludf.DUMMYFUNCTION("""COMPUTED_VALUE"""),1.02657997849835)</f>
        <v>1.02657997849835</v>
      </c>
      <c r="J753" s="17">
        <f ca="1">IFERROR(__xludf.DUMMYFUNCTION("""COMPUTED_VALUE"""),1.08329362406703)</f>
        <v>1.0832936240670299</v>
      </c>
      <c r="K753" s="17" t="str">
        <f ca="1">IFERROR(__xludf.DUMMYFUNCTION("""COMPUTED_VALUE"""),"nan")</f>
        <v>nan</v>
      </c>
      <c r="L753" s="17">
        <f ca="1">IFERROR(__xludf.DUMMYFUNCTION("""COMPUTED_VALUE"""),1.17807783728185)</f>
        <v>1.1780778372818499</v>
      </c>
      <c r="M753" s="17">
        <f ca="1">IFERROR(__xludf.DUMMYFUNCTION("""COMPUTED_VALUE"""),1.16394637546895)</f>
        <v>1.1639463754689501</v>
      </c>
      <c r="N753" s="17">
        <f ca="1">IFERROR(__xludf.DUMMYFUNCTION("""COMPUTED_VALUE"""),1.09102271131393)</f>
        <v>1.0910227113139299</v>
      </c>
      <c r="O753" s="17">
        <f ca="1">IFERROR(__xludf.DUMMYFUNCTION("""COMPUTED_VALUE"""),1.02842175767332)</f>
        <v>1.0284217576733199</v>
      </c>
      <c r="P753" s="17">
        <f ca="1">IFERROR(__xludf.DUMMYFUNCTION("""COMPUTED_VALUE"""),1.03920490755407)</f>
        <v>1.0392049075540699</v>
      </c>
      <c r="Q753" s="17">
        <f ca="1">IFERROR(__xludf.DUMMYFUNCTION("""COMPUTED_VALUE"""),1.41955468663335)</f>
        <v>1.4195546866333499</v>
      </c>
      <c r="R753" s="17">
        <f ca="1">IFERROR(__xludf.DUMMYFUNCTION("""COMPUTED_VALUE"""),1.03219909891482)</f>
        <v>1.03219909891482</v>
      </c>
      <c r="S753" s="17">
        <f ca="1">IFERROR(__xludf.DUMMYFUNCTION("""COMPUTED_VALUE"""),1.11868279356646)</f>
        <v>1.1186827935664601</v>
      </c>
      <c r="T753" s="17">
        <f ca="1">IFERROR(__xludf.DUMMYFUNCTION("""COMPUTED_VALUE"""),1.21850978318251)</f>
        <v>1.21850978318251</v>
      </c>
      <c r="U753" s="17">
        <f ca="1">IFERROR(__xludf.DUMMYFUNCTION("""COMPUTED_VALUE"""),1.07383006633322)</f>
        <v>1.0738300663332201</v>
      </c>
      <c r="V753" s="17">
        <f ca="1">IFERROR(__xludf.DUMMYFUNCTION("""COMPUTED_VALUE"""),1.0436694110099)</f>
        <v>1.0436694110099001</v>
      </c>
      <c r="W753" s="17">
        <f ca="1">IFERROR(__xludf.DUMMYFUNCTION("""COMPUTED_VALUE"""),1.05498578398372)</f>
        <v>1.05498578398372</v>
      </c>
      <c r="X753" s="17">
        <f ca="1">IFERROR(__xludf.DUMMYFUNCTION("""COMPUTED_VALUE"""),1.03108572416446)</f>
        <v>1.03108572416446</v>
      </c>
      <c r="Y753" s="17">
        <f ca="1">IFERROR(__xludf.DUMMYFUNCTION("""COMPUTED_VALUE"""),1.0517872064263)</f>
        <v>1.0517872064263001</v>
      </c>
      <c r="Z753" s="17">
        <f ca="1">IFERROR(__xludf.DUMMYFUNCTION("""COMPUTED_VALUE"""),1.08500094885948)</f>
        <v>1.0850009488594801</v>
      </c>
      <c r="AA753" s="17">
        <f ca="1">IFERROR(__xludf.DUMMYFUNCTION("""COMPUTED_VALUE"""),1.02901903281645)</f>
        <v>1.0290190328164499</v>
      </c>
      <c r="AB753" s="17">
        <f ca="1">IFERROR(__xludf.DUMMYFUNCTION("""COMPUTED_VALUE"""),1.20017312561929)</f>
        <v>1.20017312561929</v>
      </c>
      <c r="AC753" s="17">
        <f ca="1">IFERROR(__xludf.DUMMYFUNCTION("""COMPUTED_VALUE"""),1.03987096412566)</f>
        <v>1.03987096412566</v>
      </c>
      <c r="AD753" s="17">
        <f ca="1">IFERROR(__xludf.DUMMYFUNCTION("""COMPUTED_VALUE"""),1.04587351854849)</f>
        <v>1.04587351854849</v>
      </c>
      <c r="AE753" s="17">
        <f ca="1">IFERROR(__xludf.DUMMYFUNCTION("""COMPUTED_VALUE"""),1.08507093740284)</f>
        <v>1.08507093740284</v>
      </c>
      <c r="AF753" s="17">
        <f ca="1">IFERROR(__xludf.DUMMYFUNCTION("""COMPUTED_VALUE"""),1.80542052479139)</f>
        <v>1.8054205247913899</v>
      </c>
      <c r="AG753" s="17">
        <f ca="1">IFERROR(__xludf.DUMMYFUNCTION("""COMPUTED_VALUE"""),1.06273560474589)</f>
        <v>1.06273560474589</v>
      </c>
      <c r="AH753" s="17">
        <f ca="1">IFERROR(__xludf.DUMMYFUNCTION("""COMPUTED_VALUE"""),1.03618727179605)</f>
        <v>1.0361872717960501</v>
      </c>
      <c r="AI753" s="17">
        <f ca="1">IFERROR(__xludf.DUMMYFUNCTION("""COMPUTED_VALUE"""),1.03609197575835)</f>
        <v>1.03609197575835</v>
      </c>
      <c r="AJ753" s="17">
        <f ca="1">IFERROR(__xludf.DUMMYFUNCTION("""COMPUTED_VALUE"""),1.04782616430439)</f>
        <v>1.04782616430439</v>
      </c>
    </row>
    <row r="754" spans="2:36" ht="15.75" customHeight="1" x14ac:dyDescent="0.45">
      <c r="B754" s="10" t="str">
        <f ca="1">IFERROR(__xludf.DUMMYFUNCTION("""COMPUTED_VALUE"""),"ShapeletSim")</f>
        <v>ShapeletSim</v>
      </c>
      <c r="C754" s="10" t="str">
        <f ca="1">IFERROR(__xludf.DUMMYFUNCTION("""COMPUTED_VALUE"""),"aligned_series")</f>
        <v>aligned_series</v>
      </c>
      <c r="D754" s="10">
        <f ca="1">IFERROR(__xludf.DUMMYFUNCTION("""COMPUTED_VALUE"""),0.4)</f>
        <v>0.4</v>
      </c>
      <c r="E754" s="17">
        <f ca="1">IFERROR(__xludf.DUMMYFUNCTION("""COMPUTED_VALUE"""),0.994062584133307)</f>
        <v>0.99406258413330695</v>
      </c>
      <c r="F754" s="17">
        <f ca="1">IFERROR(__xludf.DUMMYFUNCTION("""COMPUTED_VALUE"""),1.20982757176269)</f>
        <v>1.2098275717626901</v>
      </c>
      <c r="G754" s="17">
        <f ca="1">IFERROR(__xludf.DUMMYFUNCTION("""COMPUTED_VALUE"""),1.27870123816524)</f>
        <v>1.2787012381652401</v>
      </c>
      <c r="H754" s="17">
        <f ca="1">IFERROR(__xludf.DUMMYFUNCTION("""COMPUTED_VALUE"""),1.0766072789427)</f>
        <v>1.0766072789426999</v>
      </c>
      <c r="I754" s="17">
        <f ca="1">IFERROR(__xludf.DUMMYFUNCTION("""COMPUTED_VALUE"""),0.993474783479072)</f>
        <v>0.99347478347907203</v>
      </c>
      <c r="J754" s="17">
        <f ca="1">IFERROR(__xludf.DUMMYFUNCTION("""COMPUTED_VALUE"""),1.09887337775949)</f>
        <v>1.0988733777594899</v>
      </c>
      <c r="K754" s="17" t="str">
        <f ca="1">IFERROR(__xludf.DUMMYFUNCTION("""COMPUTED_VALUE"""),"nan")</f>
        <v>nan</v>
      </c>
      <c r="L754" s="17">
        <f ca="1">IFERROR(__xludf.DUMMYFUNCTION("""COMPUTED_VALUE"""),1.18647793582561)</f>
        <v>1.1864779358256099</v>
      </c>
      <c r="M754" s="17">
        <f ca="1">IFERROR(__xludf.DUMMYFUNCTION("""COMPUTED_VALUE"""),1.33618358036879)</f>
        <v>1.33618358036879</v>
      </c>
      <c r="N754" s="17">
        <f ca="1">IFERROR(__xludf.DUMMYFUNCTION("""COMPUTED_VALUE"""),1.08591369168305)</f>
        <v>1.0859136916830501</v>
      </c>
      <c r="O754" s="17">
        <f ca="1">IFERROR(__xludf.DUMMYFUNCTION("""COMPUTED_VALUE"""),0.99420672301545)</f>
        <v>0.99420672301544999</v>
      </c>
      <c r="P754" s="17">
        <f ca="1">IFERROR(__xludf.DUMMYFUNCTION("""COMPUTED_VALUE"""),1.02376969138805)</f>
        <v>1.0237696913880501</v>
      </c>
      <c r="Q754" s="17">
        <f ca="1">IFERROR(__xludf.DUMMYFUNCTION("""COMPUTED_VALUE"""),1.40366921871018)</f>
        <v>1.40366921871018</v>
      </c>
      <c r="R754" s="17">
        <f ca="1">IFERROR(__xludf.DUMMYFUNCTION("""COMPUTED_VALUE"""),0.996720288685637)</f>
        <v>0.996720288685637</v>
      </c>
      <c r="S754" s="17">
        <f ca="1">IFERROR(__xludf.DUMMYFUNCTION("""COMPUTED_VALUE"""),1.08822491751244)</f>
        <v>1.0882249175124401</v>
      </c>
      <c r="T754" s="17">
        <f ca="1">IFERROR(__xludf.DUMMYFUNCTION("""COMPUTED_VALUE"""),1.27743144075787)</f>
        <v>1.27743144075787</v>
      </c>
      <c r="U754" s="17">
        <f ca="1">IFERROR(__xludf.DUMMYFUNCTION("""COMPUTED_VALUE"""),1.02531055319169)</f>
        <v>1.02531055319169</v>
      </c>
      <c r="V754" s="17">
        <f ca="1">IFERROR(__xludf.DUMMYFUNCTION("""COMPUTED_VALUE"""),1.01315195031868)</f>
        <v>1.0131519503186801</v>
      </c>
      <c r="W754" s="17">
        <f ca="1">IFERROR(__xludf.DUMMYFUNCTION("""COMPUTED_VALUE"""),1.00111214471471)</f>
        <v>1.00111214471471</v>
      </c>
      <c r="X754" s="17">
        <f ca="1">IFERROR(__xludf.DUMMYFUNCTION("""COMPUTED_VALUE"""),0.994011234998854)</f>
        <v>0.99401123499885402</v>
      </c>
      <c r="Y754" s="17">
        <f ca="1">IFERROR(__xludf.DUMMYFUNCTION("""COMPUTED_VALUE"""),1.02394067811334)</f>
        <v>1.02394067811334</v>
      </c>
      <c r="Z754" s="17">
        <f ca="1">IFERROR(__xludf.DUMMYFUNCTION("""COMPUTED_VALUE"""),1.04054951857839)</f>
        <v>1.04054951857839</v>
      </c>
      <c r="AA754" s="17">
        <f ca="1">IFERROR(__xludf.DUMMYFUNCTION("""COMPUTED_VALUE"""),0.996832895110484)</f>
        <v>0.99683289511048401</v>
      </c>
      <c r="AB754" s="17">
        <f ca="1">IFERROR(__xludf.DUMMYFUNCTION("""COMPUTED_VALUE"""),1.19956097285008)</f>
        <v>1.19956097285008</v>
      </c>
      <c r="AC754" s="17">
        <f ca="1">IFERROR(__xludf.DUMMYFUNCTION("""COMPUTED_VALUE"""),1.00335375947178)</f>
        <v>1.0033537594717801</v>
      </c>
      <c r="AD754" s="17">
        <f ca="1">IFERROR(__xludf.DUMMYFUNCTION("""COMPUTED_VALUE"""),1.01061844494215)</f>
        <v>1.01061844494215</v>
      </c>
      <c r="AE754" s="17">
        <f ca="1">IFERROR(__xludf.DUMMYFUNCTION("""COMPUTED_VALUE"""),1.06079824334351)</f>
        <v>1.0607982433435099</v>
      </c>
      <c r="AF754" s="17">
        <f ca="1">IFERROR(__xludf.DUMMYFUNCTION("""COMPUTED_VALUE"""),1.47648845502828)</f>
        <v>1.47648845502828</v>
      </c>
      <c r="AG754" s="17">
        <f ca="1">IFERROR(__xludf.DUMMYFUNCTION("""COMPUTED_VALUE"""),1.01307953694524)</f>
        <v>1.0130795369452399</v>
      </c>
      <c r="AH754" s="17">
        <f ca="1">IFERROR(__xludf.DUMMYFUNCTION("""COMPUTED_VALUE"""),0.999046554247775)</f>
        <v>0.999046554247775</v>
      </c>
      <c r="AI754" s="17">
        <f ca="1">IFERROR(__xludf.DUMMYFUNCTION("""COMPUTED_VALUE"""),1.00146155197542)</f>
        <v>1.00146155197542</v>
      </c>
      <c r="AJ754" s="17">
        <f ca="1">IFERROR(__xludf.DUMMYFUNCTION("""COMPUTED_VALUE"""),1.01845447538371)</f>
        <v>1.0184544753837099</v>
      </c>
    </row>
    <row r="755" spans="2:36" ht="15.75" customHeight="1" x14ac:dyDescent="0.45">
      <c r="B755" s="10" t="str">
        <f ca="1">IFERROR(__xludf.DUMMYFUNCTION("""COMPUTED_VALUE"""),"ShapeletSim")</f>
        <v>ShapeletSim</v>
      </c>
      <c r="C755" s="10" t="str">
        <f ca="1">IFERROR(__xludf.DUMMYFUNCTION("""COMPUTED_VALUE"""),"aligned_series")</f>
        <v>aligned_series</v>
      </c>
      <c r="D755" s="10">
        <f ca="1">IFERROR(__xludf.DUMMYFUNCTION("""COMPUTED_VALUE"""),0.6)</f>
        <v>0.6</v>
      </c>
      <c r="E755" s="17">
        <f ca="1">IFERROR(__xludf.DUMMYFUNCTION("""COMPUTED_VALUE"""),0.992317871551361)</f>
        <v>0.99231787155136097</v>
      </c>
      <c r="F755" s="17">
        <f ca="1">IFERROR(__xludf.DUMMYFUNCTION("""COMPUTED_VALUE"""),1.30475869496271)</f>
        <v>1.3047586949627099</v>
      </c>
      <c r="G755" s="17">
        <f ca="1">IFERROR(__xludf.DUMMYFUNCTION("""COMPUTED_VALUE"""),1.45487184182984)</f>
        <v>1.4548718418298401</v>
      </c>
      <c r="H755" s="17">
        <f ca="1">IFERROR(__xludf.DUMMYFUNCTION("""COMPUTED_VALUE"""),1.16618457404902)</f>
        <v>1.16618457404902</v>
      </c>
      <c r="I755" s="17">
        <f ca="1">IFERROR(__xludf.DUMMYFUNCTION("""COMPUTED_VALUE"""),0.993318488301138)</f>
        <v>0.993318488301138</v>
      </c>
      <c r="J755" s="17">
        <f ca="1">IFERROR(__xludf.DUMMYFUNCTION("""COMPUTED_VALUE"""),1.10351637146313)</f>
        <v>1.10351637146313</v>
      </c>
      <c r="K755" s="17" t="str">
        <f ca="1">IFERROR(__xludf.DUMMYFUNCTION("""COMPUTED_VALUE"""),"nan")</f>
        <v>nan</v>
      </c>
      <c r="L755" s="17">
        <f ca="1">IFERROR(__xludf.DUMMYFUNCTION("""COMPUTED_VALUE"""),1.21521633562032)</f>
        <v>1.2152163356203201</v>
      </c>
      <c r="M755" s="17">
        <f ca="1">IFERROR(__xludf.DUMMYFUNCTION("""COMPUTED_VALUE"""),1.40508887081341)</f>
        <v>1.4050888708134099</v>
      </c>
      <c r="N755" s="17">
        <f ca="1">IFERROR(__xludf.DUMMYFUNCTION("""COMPUTED_VALUE"""),1.07804333169602)</f>
        <v>1.0780433316960201</v>
      </c>
      <c r="O755" s="17">
        <f ca="1">IFERROR(__xludf.DUMMYFUNCTION("""COMPUTED_VALUE"""),0.998993864236422)</f>
        <v>0.998993864236422</v>
      </c>
      <c r="P755" s="17">
        <f ca="1">IFERROR(__xludf.DUMMYFUNCTION("""COMPUTED_VALUE"""),1.01549276447053)</f>
        <v>1.0154927644705301</v>
      </c>
      <c r="Q755" s="17">
        <f ca="1">IFERROR(__xludf.DUMMYFUNCTION("""COMPUTED_VALUE"""),1.30976529261104)</f>
        <v>1.3097652926110399</v>
      </c>
      <c r="R755" s="17">
        <f ca="1">IFERROR(__xludf.DUMMYFUNCTION("""COMPUTED_VALUE"""),0.995696847050005)</f>
        <v>0.99569684705000505</v>
      </c>
      <c r="S755" s="17">
        <f ca="1">IFERROR(__xludf.DUMMYFUNCTION("""COMPUTED_VALUE"""),1.09800908789559)</f>
        <v>1.0980090878955899</v>
      </c>
      <c r="T755" s="17">
        <f ca="1">IFERROR(__xludf.DUMMYFUNCTION("""COMPUTED_VALUE"""),1.11265986258364)</f>
        <v>1.1126598625836399</v>
      </c>
      <c r="U755" s="17">
        <f ca="1">IFERROR(__xludf.DUMMYFUNCTION("""COMPUTED_VALUE"""),1.03567954830643)</f>
        <v>1.0356795483064301</v>
      </c>
      <c r="V755" s="17">
        <f ca="1">IFERROR(__xludf.DUMMYFUNCTION("""COMPUTED_VALUE"""),1.00007016259466)</f>
        <v>1.00007016259466</v>
      </c>
      <c r="W755" s="17">
        <f ca="1">IFERROR(__xludf.DUMMYFUNCTION("""COMPUTED_VALUE"""),1.00394847566488)</f>
        <v>1.00394847566488</v>
      </c>
      <c r="X755" s="17">
        <f ca="1">IFERROR(__xludf.DUMMYFUNCTION("""COMPUTED_VALUE"""),0.992721975850991)</f>
        <v>0.99272197585099098</v>
      </c>
      <c r="Y755" s="17">
        <f ca="1">IFERROR(__xludf.DUMMYFUNCTION("""COMPUTED_VALUE"""),1.01325899810677)</f>
        <v>1.0132589981067699</v>
      </c>
      <c r="Z755" s="17">
        <f ca="1">IFERROR(__xludf.DUMMYFUNCTION("""COMPUTED_VALUE"""),1.05721496152054)</f>
        <v>1.05721496152054</v>
      </c>
      <c r="AA755" s="17">
        <f ca="1">IFERROR(__xludf.DUMMYFUNCTION("""COMPUTED_VALUE"""),0.995242843880481)</f>
        <v>0.99524284388048101</v>
      </c>
      <c r="AB755" s="17">
        <f ca="1">IFERROR(__xludf.DUMMYFUNCTION("""COMPUTED_VALUE"""),1.18061138452836)</f>
        <v>1.1806113845283599</v>
      </c>
      <c r="AC755" s="17">
        <f ca="1">IFERROR(__xludf.DUMMYFUNCTION("""COMPUTED_VALUE"""),1.00136908225336)</f>
        <v>1.0013690822533601</v>
      </c>
      <c r="AD755" s="17">
        <f ca="1">IFERROR(__xludf.DUMMYFUNCTION("""COMPUTED_VALUE"""),1.01399665528922)</f>
        <v>1.0139966552892199</v>
      </c>
      <c r="AE755" s="17">
        <f ca="1">IFERROR(__xludf.DUMMYFUNCTION("""COMPUTED_VALUE"""),1.0549068395731)</f>
        <v>1.0549068395731001</v>
      </c>
      <c r="AF755" s="17">
        <f ca="1">IFERROR(__xludf.DUMMYFUNCTION("""COMPUTED_VALUE"""),1.37534586870661)</f>
        <v>1.37534586870661</v>
      </c>
      <c r="AG755" s="17">
        <f ca="1">IFERROR(__xludf.DUMMYFUNCTION("""COMPUTED_VALUE"""),1.01468710824761)</f>
        <v>1.0146871082476101</v>
      </c>
      <c r="AH755" s="17">
        <f ca="1">IFERROR(__xludf.DUMMYFUNCTION("""COMPUTED_VALUE"""),0.998216492053156)</f>
        <v>0.99821649205315599</v>
      </c>
      <c r="AI755" s="17">
        <f ca="1">IFERROR(__xludf.DUMMYFUNCTION("""COMPUTED_VALUE"""),0.998352565739071)</f>
        <v>0.99835256573907105</v>
      </c>
      <c r="AJ755" s="17">
        <f ca="1">IFERROR(__xludf.DUMMYFUNCTION("""COMPUTED_VALUE"""),1.01239091825847)</f>
        <v>1.0123909182584701</v>
      </c>
    </row>
    <row r="756" spans="2:36" ht="15.75" customHeight="1" x14ac:dyDescent="0.45">
      <c r="B756" s="10" t="str">
        <f ca="1">IFERROR(__xludf.DUMMYFUNCTION("""COMPUTED_VALUE"""),"ShapeletSim")</f>
        <v>ShapeletSim</v>
      </c>
      <c r="C756" s="10" t="str">
        <f ca="1">IFERROR(__xludf.DUMMYFUNCTION("""COMPUTED_VALUE"""),"aligned_series")</f>
        <v>aligned_series</v>
      </c>
      <c r="D756" s="10">
        <f ca="1">IFERROR(__xludf.DUMMYFUNCTION("""COMPUTED_VALUE"""),0.8)</f>
        <v>0.8</v>
      </c>
      <c r="E756" s="17">
        <f ca="1">IFERROR(__xludf.DUMMYFUNCTION("""COMPUTED_VALUE"""),1.0002077954809)</f>
        <v>1.0002077954809001</v>
      </c>
      <c r="F756" s="17">
        <f ca="1">IFERROR(__xludf.DUMMYFUNCTION("""COMPUTED_VALUE"""),1.37759760425227)</f>
        <v>1.37759760425227</v>
      </c>
      <c r="G756" s="17">
        <f ca="1">IFERROR(__xludf.DUMMYFUNCTION("""COMPUTED_VALUE"""),1.75767981692282)</f>
        <v>1.75767981692282</v>
      </c>
      <c r="H756" s="17">
        <f ca="1">IFERROR(__xludf.DUMMYFUNCTION("""COMPUTED_VALUE"""),1.68259459514331)</f>
        <v>1.6825945951433099</v>
      </c>
      <c r="I756" s="17">
        <f ca="1">IFERROR(__xludf.DUMMYFUNCTION("""COMPUTED_VALUE"""),1.00104097214881)</f>
        <v>1.00104097214881</v>
      </c>
      <c r="J756" s="17">
        <f ca="1">IFERROR(__xludf.DUMMYFUNCTION("""COMPUTED_VALUE"""),1.09320309533254)</f>
        <v>1.09320309533254</v>
      </c>
      <c r="K756" s="17" t="str">
        <f ca="1">IFERROR(__xludf.DUMMYFUNCTION("""COMPUTED_VALUE"""),"nan")</f>
        <v>nan</v>
      </c>
      <c r="L756" s="17">
        <f ca="1">IFERROR(__xludf.DUMMYFUNCTION("""COMPUTED_VALUE"""),1.15474241191393)</f>
        <v>1.15474241191393</v>
      </c>
      <c r="M756" s="17">
        <f ca="1">IFERROR(__xludf.DUMMYFUNCTION("""COMPUTED_VALUE"""),1.99916319233234)</f>
        <v>1.9991631923323401</v>
      </c>
      <c r="N756" s="17">
        <f ca="1">IFERROR(__xludf.DUMMYFUNCTION("""COMPUTED_VALUE"""),1.14091252315475)</f>
        <v>1.1409125231547499</v>
      </c>
      <c r="O756" s="17">
        <f ca="1">IFERROR(__xludf.DUMMYFUNCTION("""COMPUTED_VALUE"""),1.00367746749467)</f>
        <v>1.00367746749467</v>
      </c>
      <c r="P756" s="17">
        <f ca="1">IFERROR(__xludf.DUMMYFUNCTION("""COMPUTED_VALUE"""),1.02467084825089)</f>
        <v>1.0246708482508899</v>
      </c>
      <c r="Q756" s="17">
        <f ca="1">IFERROR(__xludf.DUMMYFUNCTION("""COMPUTED_VALUE"""),1.1259611547652)</f>
        <v>1.1259611547652</v>
      </c>
      <c r="R756" s="17">
        <f ca="1">IFERROR(__xludf.DUMMYFUNCTION("""COMPUTED_VALUE"""),1.00447141170191)</f>
        <v>1.00447141170191</v>
      </c>
      <c r="S756" s="17">
        <f ca="1">IFERROR(__xludf.DUMMYFUNCTION("""COMPUTED_VALUE"""),1.09274474204408)</f>
        <v>1.0927447420440799</v>
      </c>
      <c r="T756" s="17">
        <f ca="1">IFERROR(__xludf.DUMMYFUNCTION("""COMPUTED_VALUE"""),1.28028409293479)</f>
        <v>1.2802840929347901</v>
      </c>
      <c r="U756" s="17">
        <f ca="1">IFERROR(__xludf.DUMMYFUNCTION("""COMPUTED_VALUE"""),1.02081312048096)</f>
        <v>1.0208131204809601</v>
      </c>
      <c r="V756" s="17">
        <f ca="1">IFERROR(__xludf.DUMMYFUNCTION("""COMPUTED_VALUE"""),1.01629010367423)</f>
        <v>1.01629010367423</v>
      </c>
      <c r="W756" s="17">
        <f ca="1">IFERROR(__xludf.DUMMYFUNCTION("""COMPUTED_VALUE"""),1.01926858340057)</f>
        <v>1.0192685834005699</v>
      </c>
      <c r="X756" s="17">
        <f ca="1">IFERROR(__xludf.DUMMYFUNCTION("""COMPUTED_VALUE"""),0.999432874509874)</f>
        <v>0.99943287450987395</v>
      </c>
      <c r="Y756" s="17">
        <f ca="1">IFERROR(__xludf.DUMMYFUNCTION("""COMPUTED_VALUE"""),1.02284020840892)</f>
        <v>1.0228402084089201</v>
      </c>
      <c r="Z756" s="17">
        <f ca="1">IFERROR(__xludf.DUMMYFUNCTION("""COMPUTED_VALUE"""),1.04347223110159)</f>
        <v>1.04347223110159</v>
      </c>
      <c r="AA756" s="17">
        <f ca="1">IFERROR(__xludf.DUMMYFUNCTION("""COMPUTED_VALUE"""),1.00089366442121)</f>
        <v>1.0008936644212101</v>
      </c>
      <c r="AB756" s="17">
        <f ca="1">IFERROR(__xludf.DUMMYFUNCTION("""COMPUTED_VALUE"""),1.51582117729411)</f>
        <v>1.5158211772941099</v>
      </c>
      <c r="AC756" s="17">
        <f ca="1">IFERROR(__xludf.DUMMYFUNCTION("""COMPUTED_VALUE"""),1.00774795763867)</f>
        <v>1.0077479576386701</v>
      </c>
      <c r="AD756" s="17">
        <f ca="1">IFERROR(__xludf.DUMMYFUNCTION("""COMPUTED_VALUE"""),1.016301846464)</f>
        <v>1.0163018464639999</v>
      </c>
      <c r="AE756" s="17">
        <f ca="1">IFERROR(__xludf.DUMMYFUNCTION("""COMPUTED_VALUE"""),1.07309627067544)</f>
        <v>1.0730962706754399</v>
      </c>
      <c r="AF756" s="17">
        <f ca="1">IFERROR(__xludf.DUMMYFUNCTION("""COMPUTED_VALUE"""),1.3951492466458)</f>
        <v>1.3951492466458</v>
      </c>
      <c r="AG756" s="17">
        <f ca="1">IFERROR(__xludf.DUMMYFUNCTION("""COMPUTED_VALUE"""),1.00669214595595)</f>
        <v>1.0066921459559499</v>
      </c>
      <c r="AH756" s="17">
        <f ca="1">IFERROR(__xludf.DUMMYFUNCTION("""COMPUTED_VALUE"""),1.00636284298442)</f>
        <v>1.00636284298442</v>
      </c>
      <c r="AI756" s="17">
        <f ca="1">IFERROR(__xludf.DUMMYFUNCTION("""COMPUTED_VALUE"""),1.00416910448439)</f>
        <v>1.0041691044843899</v>
      </c>
      <c r="AJ756" s="17">
        <f ca="1">IFERROR(__xludf.DUMMYFUNCTION("""COMPUTED_VALUE"""),1.00604025814394)</f>
        <v>1.00604025814394</v>
      </c>
    </row>
    <row r="757" spans="2:36" ht="15.75" customHeight="1" x14ac:dyDescent="0.45">
      <c r="B757" s="10" t="str">
        <f ca="1">IFERROR(__xludf.DUMMYFUNCTION("""COMPUTED_VALUE"""),"ShapeletSim")</f>
        <v>ShapeletSim</v>
      </c>
      <c r="C757" s="10" t="str">
        <f ca="1">IFERROR(__xludf.DUMMYFUNCTION("""COMPUTED_VALUE"""),"aligned_timestamps")</f>
        <v>aligned_timestamps</v>
      </c>
      <c r="D757" s="10">
        <f ca="1">IFERROR(__xludf.DUMMYFUNCTION("""COMPUTED_VALUE"""),0.1)</f>
        <v>0.1</v>
      </c>
      <c r="E757" s="17">
        <f ca="1">IFERROR(__xludf.DUMMYFUNCTION("""COMPUTED_VALUE"""),0.979685618688236)</f>
        <v>0.979685618688236</v>
      </c>
      <c r="F757" s="17">
        <f ca="1">IFERROR(__xludf.DUMMYFUNCTION("""COMPUTED_VALUE"""),1.1797942834473)</f>
        <v>1.1797942834473001</v>
      </c>
      <c r="G757" s="17">
        <f ca="1">IFERROR(__xludf.DUMMYFUNCTION("""COMPUTED_VALUE"""),1.20335522419008)</f>
        <v>1.20335522419008</v>
      </c>
      <c r="H757" s="17">
        <f ca="1">IFERROR(__xludf.DUMMYFUNCTION("""COMPUTED_VALUE"""),1.03778097142281)</f>
        <v>1.0377809714228099</v>
      </c>
      <c r="I757" s="17">
        <f ca="1">IFERROR(__xludf.DUMMYFUNCTION("""COMPUTED_VALUE"""),0.978183164676206)</f>
        <v>0.97818316467620603</v>
      </c>
      <c r="J757" s="17">
        <f ca="1">IFERROR(__xludf.DUMMYFUNCTION("""COMPUTED_VALUE"""),1.03244201930237)</f>
        <v>1.03244201930237</v>
      </c>
      <c r="K757" s="17" t="str">
        <f ca="1">IFERROR(__xludf.DUMMYFUNCTION("""COMPUTED_VALUE"""),"nan")</f>
        <v>nan</v>
      </c>
      <c r="L757" s="17">
        <f ca="1">IFERROR(__xludf.DUMMYFUNCTION("""COMPUTED_VALUE"""),1.14383707779544)</f>
        <v>1.1438370777954401</v>
      </c>
      <c r="M757" s="17">
        <f ca="1">IFERROR(__xludf.DUMMYFUNCTION("""COMPUTED_VALUE"""),1.12595043065707)</f>
        <v>1.12595043065707</v>
      </c>
      <c r="N757" s="17">
        <f ca="1">IFERROR(__xludf.DUMMYFUNCTION("""COMPUTED_VALUE"""),1.03404170881969)</f>
        <v>1.03404170881969</v>
      </c>
      <c r="O757" s="17">
        <f ca="1">IFERROR(__xludf.DUMMYFUNCTION("""COMPUTED_VALUE"""),0.993154277116916)</f>
        <v>0.99315427711691595</v>
      </c>
      <c r="P757" s="17">
        <f ca="1">IFERROR(__xludf.DUMMYFUNCTION("""COMPUTED_VALUE"""),1.01194747687408)</f>
        <v>1.0119474768740799</v>
      </c>
      <c r="Q757" s="17">
        <f ca="1">IFERROR(__xludf.DUMMYFUNCTION("""COMPUTED_VALUE"""),1.41375748841849)</f>
        <v>1.41375748841849</v>
      </c>
      <c r="R757" s="17">
        <f ca="1">IFERROR(__xludf.DUMMYFUNCTION("""COMPUTED_VALUE"""),0.988929361260023)</f>
        <v>0.98892936126002295</v>
      </c>
      <c r="S757" s="17">
        <f ca="1">IFERROR(__xludf.DUMMYFUNCTION("""COMPUTED_VALUE"""),0.975389349266684)</f>
        <v>0.97538934926668397</v>
      </c>
      <c r="T757" s="17">
        <f ca="1">IFERROR(__xludf.DUMMYFUNCTION("""COMPUTED_VALUE"""),1.29630877476853)</f>
        <v>1.29630877476853</v>
      </c>
      <c r="U757" s="17">
        <f ca="1">IFERROR(__xludf.DUMMYFUNCTION("""COMPUTED_VALUE"""),1.06240618836748)</f>
        <v>1.06240618836748</v>
      </c>
      <c r="V757" s="17">
        <f ca="1">IFERROR(__xludf.DUMMYFUNCTION("""COMPUTED_VALUE"""),0.975052973706952)</f>
        <v>0.97505297370695199</v>
      </c>
      <c r="W757" s="17">
        <f ca="1">IFERROR(__xludf.DUMMYFUNCTION("""COMPUTED_VALUE"""),0.966939631399927)</f>
        <v>0.966939631399927</v>
      </c>
      <c r="X757" s="17">
        <f ca="1">IFERROR(__xludf.DUMMYFUNCTION("""COMPUTED_VALUE"""),0.980083544853621)</f>
        <v>0.98008354485362104</v>
      </c>
      <c r="Y757" s="17">
        <f ca="1">IFERROR(__xludf.DUMMYFUNCTION("""COMPUTED_VALUE"""),0.975652000144731)</f>
        <v>0.97565200014473097</v>
      </c>
      <c r="Z757" s="17">
        <f ca="1">IFERROR(__xludf.DUMMYFUNCTION("""COMPUTED_VALUE"""),1.05479793868718)</f>
        <v>1.05479793868718</v>
      </c>
      <c r="AA757" s="17">
        <f ca="1">IFERROR(__xludf.DUMMYFUNCTION("""COMPUTED_VALUE"""),0.991844371196134)</f>
        <v>0.991844371196134</v>
      </c>
      <c r="AB757" s="17">
        <f ca="1">IFERROR(__xludf.DUMMYFUNCTION("""COMPUTED_VALUE"""),1.14423581186765)</f>
        <v>1.1442358118676501</v>
      </c>
      <c r="AC757" s="17">
        <f ca="1">IFERROR(__xludf.DUMMYFUNCTION("""COMPUTED_VALUE"""),0.97274985033794)</f>
        <v>0.97274985033794004</v>
      </c>
      <c r="AD757" s="17">
        <f ca="1">IFERROR(__xludf.DUMMYFUNCTION("""COMPUTED_VALUE"""),0.988060515286097)</f>
        <v>0.98806051528609695</v>
      </c>
      <c r="AE757" s="17">
        <f ca="1">IFERROR(__xludf.DUMMYFUNCTION("""COMPUTED_VALUE"""),1.03536437886393)</f>
        <v>1.03536437886393</v>
      </c>
      <c r="AF757" s="17">
        <f ca="1">IFERROR(__xludf.DUMMYFUNCTION("""COMPUTED_VALUE"""),1.34024953090919)</f>
        <v>1.34024953090919</v>
      </c>
      <c r="AG757" s="17">
        <f ca="1">IFERROR(__xludf.DUMMYFUNCTION("""COMPUTED_VALUE"""),1.01963896307338)</f>
        <v>1.01963896307338</v>
      </c>
      <c r="AH757" s="17">
        <f ca="1">IFERROR(__xludf.DUMMYFUNCTION("""COMPUTED_VALUE"""),1.02604276026846)</f>
        <v>1.0260427602684601</v>
      </c>
      <c r="AI757" s="17">
        <f ca="1">IFERROR(__xludf.DUMMYFUNCTION("""COMPUTED_VALUE"""),1.01497841494292)</f>
        <v>1.01497841494292</v>
      </c>
      <c r="AJ757" s="17">
        <f ca="1">IFERROR(__xludf.DUMMYFUNCTION("""COMPUTED_VALUE"""),1.09316639959396)</f>
        <v>1.09316639959396</v>
      </c>
    </row>
    <row r="758" spans="2:36" ht="15.75" customHeight="1" x14ac:dyDescent="0.45">
      <c r="B758" s="10" t="str">
        <f ca="1">IFERROR(__xludf.DUMMYFUNCTION("""COMPUTED_VALUE"""),"ShapeletSim")</f>
        <v>ShapeletSim</v>
      </c>
      <c r="C758" s="10" t="str">
        <f ca="1">IFERROR(__xludf.DUMMYFUNCTION("""COMPUTED_VALUE"""),"aligned_timestamps")</f>
        <v>aligned_timestamps</v>
      </c>
      <c r="D758" s="10">
        <f ca="1">IFERROR(__xludf.DUMMYFUNCTION("""COMPUTED_VALUE"""),0.2)</f>
        <v>0.2</v>
      </c>
      <c r="E758" s="17">
        <f ca="1">IFERROR(__xludf.DUMMYFUNCTION("""COMPUTED_VALUE"""),1.02887173659426)</f>
        <v>1.0288717365942599</v>
      </c>
      <c r="F758" s="17">
        <f ca="1">IFERROR(__xludf.DUMMYFUNCTION("""COMPUTED_VALUE"""),1.15807003938147)</f>
        <v>1.15807003938147</v>
      </c>
      <c r="G758" s="17">
        <f ca="1">IFERROR(__xludf.DUMMYFUNCTION("""COMPUTED_VALUE"""),1.1765438917472)</f>
        <v>1.1765438917472</v>
      </c>
      <c r="H758" s="17">
        <f ca="1">IFERROR(__xludf.DUMMYFUNCTION("""COMPUTED_VALUE"""),1.12590293381516)</f>
        <v>1.12590293381516</v>
      </c>
      <c r="I758" s="17">
        <f ca="1">IFERROR(__xludf.DUMMYFUNCTION("""COMPUTED_VALUE"""),1.02657997849835)</f>
        <v>1.02657997849835</v>
      </c>
      <c r="J758" s="17">
        <f ca="1">IFERROR(__xludf.DUMMYFUNCTION("""COMPUTED_VALUE"""),1.08329362406703)</f>
        <v>1.0832936240670299</v>
      </c>
      <c r="K758" s="17" t="str">
        <f ca="1">IFERROR(__xludf.DUMMYFUNCTION("""COMPUTED_VALUE"""),"nan")</f>
        <v>nan</v>
      </c>
      <c r="L758" s="17">
        <f ca="1">IFERROR(__xludf.DUMMYFUNCTION("""COMPUTED_VALUE"""),1.17807783728185)</f>
        <v>1.1780778372818499</v>
      </c>
      <c r="M758" s="17">
        <f ca="1">IFERROR(__xludf.DUMMYFUNCTION("""COMPUTED_VALUE"""),1.16394637546895)</f>
        <v>1.1639463754689501</v>
      </c>
      <c r="N758" s="17">
        <f ca="1">IFERROR(__xludf.DUMMYFUNCTION("""COMPUTED_VALUE"""),1.09102271131393)</f>
        <v>1.0910227113139299</v>
      </c>
      <c r="O758" s="17">
        <f ca="1">IFERROR(__xludf.DUMMYFUNCTION("""COMPUTED_VALUE"""),1.02842175767332)</f>
        <v>1.0284217576733199</v>
      </c>
      <c r="P758" s="17">
        <f ca="1">IFERROR(__xludf.DUMMYFUNCTION("""COMPUTED_VALUE"""),1.03920490755407)</f>
        <v>1.0392049075540699</v>
      </c>
      <c r="Q758" s="17">
        <f ca="1">IFERROR(__xludf.DUMMYFUNCTION("""COMPUTED_VALUE"""),1.41955468663335)</f>
        <v>1.4195546866333499</v>
      </c>
      <c r="R758" s="17">
        <f ca="1">IFERROR(__xludf.DUMMYFUNCTION("""COMPUTED_VALUE"""),1.03219909891482)</f>
        <v>1.03219909891482</v>
      </c>
      <c r="S758" s="17">
        <f ca="1">IFERROR(__xludf.DUMMYFUNCTION("""COMPUTED_VALUE"""),1.11868279356646)</f>
        <v>1.1186827935664601</v>
      </c>
      <c r="T758" s="17">
        <f ca="1">IFERROR(__xludf.DUMMYFUNCTION("""COMPUTED_VALUE"""),1.21850978318251)</f>
        <v>1.21850978318251</v>
      </c>
      <c r="U758" s="17">
        <f ca="1">IFERROR(__xludf.DUMMYFUNCTION("""COMPUTED_VALUE"""),1.07383006633322)</f>
        <v>1.0738300663332201</v>
      </c>
      <c r="V758" s="17">
        <f ca="1">IFERROR(__xludf.DUMMYFUNCTION("""COMPUTED_VALUE"""),1.0436694110099)</f>
        <v>1.0436694110099001</v>
      </c>
      <c r="W758" s="17">
        <f ca="1">IFERROR(__xludf.DUMMYFUNCTION("""COMPUTED_VALUE"""),1.05591373510775)</f>
        <v>1.0559137351077501</v>
      </c>
      <c r="X758" s="17">
        <f ca="1">IFERROR(__xludf.DUMMYFUNCTION("""COMPUTED_VALUE"""),1.02901264935644)</f>
        <v>1.02901264935644</v>
      </c>
      <c r="Y758" s="17">
        <f ca="1">IFERROR(__xludf.DUMMYFUNCTION("""COMPUTED_VALUE"""),1.0517872064263)</f>
        <v>1.0517872064263001</v>
      </c>
      <c r="Z758" s="17">
        <f ca="1">IFERROR(__xludf.DUMMYFUNCTION("""COMPUTED_VALUE"""),1.08500094885948)</f>
        <v>1.0850009488594801</v>
      </c>
      <c r="AA758" s="17">
        <f ca="1">IFERROR(__xludf.DUMMYFUNCTION("""COMPUTED_VALUE"""),1.02901903281645)</f>
        <v>1.0290190328164499</v>
      </c>
      <c r="AB758" s="17">
        <f ca="1">IFERROR(__xludf.DUMMYFUNCTION("""COMPUTED_VALUE"""),1.13482156210139)</f>
        <v>1.13482156210139</v>
      </c>
      <c r="AC758" s="17">
        <f ca="1">IFERROR(__xludf.DUMMYFUNCTION("""COMPUTED_VALUE"""),1.03987096412566)</f>
        <v>1.03987096412566</v>
      </c>
      <c r="AD758" s="17">
        <f ca="1">IFERROR(__xludf.DUMMYFUNCTION("""COMPUTED_VALUE"""),1.03688026882296)</f>
        <v>1.0368802688229599</v>
      </c>
      <c r="AE758" s="17">
        <f ca="1">IFERROR(__xludf.DUMMYFUNCTION("""COMPUTED_VALUE"""),1.09036215128506)</f>
        <v>1.0903621512850601</v>
      </c>
      <c r="AF758" s="17">
        <f ca="1">IFERROR(__xludf.DUMMYFUNCTION("""COMPUTED_VALUE"""),1.80542052479139)</f>
        <v>1.8054205247913899</v>
      </c>
      <c r="AG758" s="17">
        <f ca="1">IFERROR(__xludf.DUMMYFUNCTION("""COMPUTED_VALUE"""),1.039985511916)</f>
        <v>1.039985511916</v>
      </c>
      <c r="AH758" s="17">
        <f ca="1">IFERROR(__xludf.DUMMYFUNCTION("""COMPUTED_VALUE"""),1.03784486787371)</f>
        <v>1.03784486787371</v>
      </c>
      <c r="AI758" s="17">
        <f ca="1">IFERROR(__xludf.DUMMYFUNCTION("""COMPUTED_VALUE"""),1.03609197575835)</f>
        <v>1.03609197575835</v>
      </c>
      <c r="AJ758" s="17">
        <f ca="1">IFERROR(__xludf.DUMMYFUNCTION("""COMPUTED_VALUE"""),1.05024155141999)</f>
        <v>1.0502415514199901</v>
      </c>
    </row>
    <row r="759" spans="2:36" ht="15.75" customHeight="1" x14ac:dyDescent="0.45">
      <c r="B759" s="10" t="str">
        <f ca="1">IFERROR(__xludf.DUMMYFUNCTION("""COMPUTED_VALUE"""),"ShapeletSim")</f>
        <v>ShapeletSim</v>
      </c>
      <c r="C759" s="10" t="str">
        <f ca="1">IFERROR(__xludf.DUMMYFUNCTION("""COMPUTED_VALUE"""),"aligned_timestamps")</f>
        <v>aligned_timestamps</v>
      </c>
      <c r="D759" s="10">
        <f ca="1">IFERROR(__xludf.DUMMYFUNCTION("""COMPUTED_VALUE"""),0.4)</f>
        <v>0.4</v>
      </c>
      <c r="E759" s="17">
        <f ca="1">IFERROR(__xludf.DUMMYFUNCTION("""COMPUTED_VALUE"""),1.03130233468412)</f>
        <v>1.0313023346841199</v>
      </c>
      <c r="F759" s="17">
        <f ca="1">IFERROR(__xludf.DUMMYFUNCTION("""COMPUTED_VALUE"""),1.16671896576734)</f>
        <v>1.16671896576734</v>
      </c>
      <c r="G759" s="17">
        <f ca="1">IFERROR(__xludf.DUMMYFUNCTION("""COMPUTED_VALUE"""),1.2146212514375)</f>
        <v>1.2146212514375001</v>
      </c>
      <c r="H759" s="17">
        <f ca="1">IFERROR(__xludf.DUMMYFUNCTION("""COMPUTED_VALUE"""),1.11785927488967)</f>
        <v>1.1178592748896701</v>
      </c>
      <c r="I759" s="17">
        <f ca="1">IFERROR(__xludf.DUMMYFUNCTION("""COMPUTED_VALUE"""),1.0325967515637)</f>
        <v>1.0325967515637</v>
      </c>
      <c r="J759" s="17">
        <f ca="1">IFERROR(__xludf.DUMMYFUNCTION("""COMPUTED_VALUE"""),1.0732698562964)</f>
        <v>1.0732698562964</v>
      </c>
      <c r="K759" s="17" t="str">
        <f ca="1">IFERROR(__xludf.DUMMYFUNCTION("""COMPUTED_VALUE"""),"nan")</f>
        <v>nan</v>
      </c>
      <c r="L759" s="17">
        <f ca="1">IFERROR(__xludf.DUMMYFUNCTION("""COMPUTED_VALUE"""),1.15678128182576)</f>
        <v>1.1567812818257599</v>
      </c>
      <c r="M759" s="17">
        <f ca="1">IFERROR(__xludf.DUMMYFUNCTION("""COMPUTED_VALUE"""),1.15581969515532)</f>
        <v>1.1558196951553199</v>
      </c>
      <c r="N759" s="17">
        <f ca="1">IFERROR(__xludf.DUMMYFUNCTION("""COMPUTED_VALUE"""),1.09813485180403)</f>
        <v>1.0981348518040299</v>
      </c>
      <c r="O759" s="17">
        <f ca="1">IFERROR(__xludf.DUMMYFUNCTION("""COMPUTED_VALUE"""),1.03105335953934)</f>
        <v>1.0310533595393401</v>
      </c>
      <c r="P759" s="17">
        <f ca="1">IFERROR(__xludf.DUMMYFUNCTION("""COMPUTED_VALUE"""),1.06587027538106)</f>
        <v>1.0658702753810601</v>
      </c>
      <c r="Q759" s="17">
        <f ca="1">IFERROR(__xludf.DUMMYFUNCTION("""COMPUTED_VALUE"""),1.45808585136107)</f>
        <v>1.4580858513610699</v>
      </c>
      <c r="R759" s="17">
        <f ca="1">IFERROR(__xludf.DUMMYFUNCTION("""COMPUTED_VALUE"""),1.03453269538628)</f>
        <v>1.0345326953862799</v>
      </c>
      <c r="S759" s="17">
        <f ca="1">IFERROR(__xludf.DUMMYFUNCTION("""COMPUTED_VALUE"""),1.15693049540983)</f>
        <v>1.1569304954098301</v>
      </c>
      <c r="T759" s="17">
        <f ca="1">IFERROR(__xludf.DUMMYFUNCTION("""COMPUTED_VALUE"""),1.09708640226291)</f>
        <v>1.0970864022629101</v>
      </c>
      <c r="U759" s="17">
        <f ca="1">IFERROR(__xludf.DUMMYFUNCTION("""COMPUTED_VALUE"""),1.06212211193511)</f>
        <v>1.0621221119351101</v>
      </c>
      <c r="V759" s="17">
        <f ca="1">IFERROR(__xludf.DUMMYFUNCTION("""COMPUTED_VALUE"""),1.03713291907313)</f>
        <v>1.03713291907313</v>
      </c>
      <c r="W759" s="17">
        <f ca="1">IFERROR(__xludf.DUMMYFUNCTION("""COMPUTED_VALUE"""),1.03652472123348)</f>
        <v>1.0365247212334801</v>
      </c>
      <c r="X759" s="17">
        <f ca="1">IFERROR(__xludf.DUMMYFUNCTION("""COMPUTED_VALUE"""),1.0327047666573)</f>
        <v>1.0327047666572999</v>
      </c>
      <c r="Y759" s="17">
        <f ca="1">IFERROR(__xludf.DUMMYFUNCTION("""COMPUTED_VALUE"""),1.03824084169188)</f>
        <v>1.03824084169188</v>
      </c>
      <c r="Z759" s="17">
        <f ca="1">IFERROR(__xludf.DUMMYFUNCTION("""COMPUTED_VALUE"""),1.07474388327154)</f>
        <v>1.0747438832715399</v>
      </c>
      <c r="AA759" s="17">
        <f ca="1">IFERROR(__xludf.DUMMYFUNCTION("""COMPUTED_VALUE"""),1.04068061607383)</f>
        <v>1.04068061607383</v>
      </c>
      <c r="AB759" s="17">
        <f ca="1">IFERROR(__xludf.DUMMYFUNCTION("""COMPUTED_VALUE"""),1.22057603788177)</f>
        <v>1.22057603788177</v>
      </c>
      <c r="AC759" s="17">
        <f ca="1">IFERROR(__xludf.DUMMYFUNCTION("""COMPUTED_VALUE"""),1.04184327641512)</f>
        <v>1.04184327641512</v>
      </c>
      <c r="AD759" s="17">
        <f ca="1">IFERROR(__xludf.DUMMYFUNCTION("""COMPUTED_VALUE"""),1.04579928231903)</f>
        <v>1.0457992823190301</v>
      </c>
      <c r="AE759" s="17">
        <f ca="1">IFERROR(__xludf.DUMMYFUNCTION("""COMPUTED_VALUE"""),1.11719026369037)</f>
        <v>1.1171902636903699</v>
      </c>
      <c r="AF759" s="17">
        <f ca="1">IFERROR(__xludf.DUMMYFUNCTION("""COMPUTED_VALUE"""),1.05143748376648)</f>
        <v>1.0514374837664799</v>
      </c>
      <c r="AG759" s="17">
        <f ca="1">IFERROR(__xludf.DUMMYFUNCTION("""COMPUTED_VALUE"""),1.06269962061383)</f>
        <v>1.0626996206138299</v>
      </c>
      <c r="AH759" s="17">
        <f ca="1">IFERROR(__xludf.DUMMYFUNCTION("""COMPUTED_VALUE"""),1.03003857063432)</f>
        <v>1.03003857063432</v>
      </c>
      <c r="AI759" s="17">
        <f ca="1">IFERROR(__xludf.DUMMYFUNCTION("""COMPUTED_VALUE"""),1.03365441203838)</f>
        <v>1.0336544120383799</v>
      </c>
      <c r="AJ759" s="17">
        <f ca="1">IFERROR(__xludf.DUMMYFUNCTION("""COMPUTED_VALUE"""),1.05874700607689)</f>
        <v>1.05874700607689</v>
      </c>
    </row>
    <row r="760" spans="2:36" ht="15.75" customHeight="1" x14ac:dyDescent="0.45">
      <c r="B760" s="10" t="str">
        <f ca="1">IFERROR(__xludf.DUMMYFUNCTION("""COMPUTED_VALUE"""),"ShapeletSim")</f>
        <v>ShapeletSim</v>
      </c>
      <c r="C760" s="10" t="str">
        <f ca="1">IFERROR(__xludf.DUMMYFUNCTION("""COMPUTED_VALUE"""),"aligned_timestamps")</f>
        <v>aligned_timestamps</v>
      </c>
      <c r="D760" s="10">
        <f ca="1">IFERROR(__xludf.DUMMYFUNCTION("""COMPUTED_VALUE"""),0.6)</f>
        <v>0.6</v>
      </c>
      <c r="E760" s="17">
        <f ca="1">IFERROR(__xludf.DUMMYFUNCTION("""COMPUTED_VALUE"""),1.01697965129923)</f>
        <v>1.01697965129923</v>
      </c>
      <c r="F760" s="17">
        <f ca="1">IFERROR(__xludf.DUMMYFUNCTION("""COMPUTED_VALUE"""),1.17288657477811)</f>
        <v>1.1728865747781101</v>
      </c>
      <c r="G760" s="17">
        <f ca="1">IFERROR(__xludf.DUMMYFUNCTION("""COMPUTED_VALUE"""),1.23469603386439)</f>
        <v>1.23469603386439</v>
      </c>
      <c r="H760" s="17">
        <f ca="1">IFERROR(__xludf.DUMMYFUNCTION("""COMPUTED_VALUE"""),1.09761576218929)</f>
        <v>1.0976157621892899</v>
      </c>
      <c r="I760" s="17">
        <f ca="1">IFERROR(__xludf.DUMMYFUNCTION("""COMPUTED_VALUE"""),1.02159425001889)</f>
        <v>1.0215942500188899</v>
      </c>
      <c r="J760" s="17">
        <f ca="1">IFERROR(__xludf.DUMMYFUNCTION("""COMPUTED_VALUE"""),1.08194792807277)</f>
        <v>1.08194792807277</v>
      </c>
      <c r="K760" s="17" t="str">
        <f ca="1">IFERROR(__xludf.DUMMYFUNCTION("""COMPUTED_VALUE"""),"nan")</f>
        <v>nan</v>
      </c>
      <c r="L760" s="17">
        <f ca="1">IFERROR(__xludf.DUMMYFUNCTION("""COMPUTED_VALUE"""),1.17882477327296)</f>
        <v>1.17882477327296</v>
      </c>
      <c r="M760" s="17">
        <f ca="1">IFERROR(__xludf.DUMMYFUNCTION("""COMPUTED_VALUE"""),1.20622023665495)</f>
        <v>1.2062202366549499</v>
      </c>
      <c r="N760" s="17">
        <f ca="1">IFERROR(__xludf.DUMMYFUNCTION("""COMPUTED_VALUE"""),1.08102014482426)</f>
        <v>1.08102014482426</v>
      </c>
      <c r="O760" s="17">
        <f ca="1">IFERROR(__xludf.DUMMYFUNCTION("""COMPUTED_VALUE"""),1.01632322355173)</f>
        <v>1.0163232235517301</v>
      </c>
      <c r="P760" s="17">
        <f ca="1">IFERROR(__xludf.DUMMYFUNCTION("""COMPUTED_VALUE"""),1.06151469268913)</f>
        <v>1.0615146926891299</v>
      </c>
      <c r="Q760" s="17">
        <f ca="1">IFERROR(__xludf.DUMMYFUNCTION("""COMPUTED_VALUE"""),1.46916560137649)</f>
        <v>1.46916560137649</v>
      </c>
      <c r="R760" s="17">
        <f ca="1">IFERROR(__xludf.DUMMYFUNCTION("""COMPUTED_VALUE"""),1.03226795383167)</f>
        <v>1.0322679538316699</v>
      </c>
      <c r="S760" s="17">
        <f ca="1">IFERROR(__xludf.DUMMYFUNCTION("""COMPUTED_VALUE"""),1.13294966985255)</f>
        <v>1.1329496698525501</v>
      </c>
      <c r="T760" s="17">
        <f ca="1">IFERROR(__xludf.DUMMYFUNCTION("""COMPUTED_VALUE"""),1.10621027073851)</f>
        <v>1.10621027073851</v>
      </c>
      <c r="U760" s="17">
        <f ca="1">IFERROR(__xludf.DUMMYFUNCTION("""COMPUTED_VALUE"""),1.0825959123148)</f>
        <v>1.0825959123147999</v>
      </c>
      <c r="V760" s="17">
        <f ca="1">IFERROR(__xludf.DUMMYFUNCTION("""COMPUTED_VALUE"""),1.05067033308205)</f>
        <v>1.0506703330820499</v>
      </c>
      <c r="W760" s="17">
        <f ca="1">IFERROR(__xludf.DUMMYFUNCTION("""COMPUTED_VALUE"""),1.02201189303977)</f>
        <v>1.0220118930397699</v>
      </c>
      <c r="X760" s="17">
        <f ca="1">IFERROR(__xludf.DUMMYFUNCTION("""COMPUTED_VALUE"""),1.01940033469537)</f>
        <v>1.0194003346953699</v>
      </c>
      <c r="Y760" s="17">
        <f ca="1">IFERROR(__xludf.DUMMYFUNCTION("""COMPUTED_VALUE"""),1.01668486024027)</f>
        <v>1.01668486024027</v>
      </c>
      <c r="Z760" s="17">
        <f ca="1">IFERROR(__xludf.DUMMYFUNCTION("""COMPUTED_VALUE"""),1.06157762738062)</f>
        <v>1.0615776273806199</v>
      </c>
      <c r="AA760" s="17">
        <f ca="1">IFERROR(__xludf.DUMMYFUNCTION("""COMPUTED_VALUE"""),1.04548177145931)</f>
        <v>1.0454817714593101</v>
      </c>
      <c r="AB760" s="17">
        <f ca="1">IFERROR(__xludf.DUMMYFUNCTION("""COMPUTED_VALUE"""),1.25668264706287)</f>
        <v>1.25668264706287</v>
      </c>
      <c r="AC760" s="17">
        <f ca="1">IFERROR(__xludf.DUMMYFUNCTION("""COMPUTED_VALUE"""),1.02792178304891)</f>
        <v>1.02792178304891</v>
      </c>
      <c r="AD760" s="17">
        <f ca="1">IFERROR(__xludf.DUMMYFUNCTION("""COMPUTED_VALUE"""),1.0234490152)</f>
        <v>1.0234490152</v>
      </c>
      <c r="AE760" s="17" t="str">
        <f ca="1">IFERROR(__xludf.DUMMYFUNCTION("""COMPUTED_VALUE"""),"nan")</f>
        <v>nan</v>
      </c>
      <c r="AF760" s="17">
        <f ca="1">IFERROR(__xludf.DUMMYFUNCTION("""COMPUTED_VALUE"""),1.03552640575543)</f>
        <v>1.0355264057554301</v>
      </c>
      <c r="AG760" s="17">
        <f ca="1">IFERROR(__xludf.DUMMYFUNCTION("""COMPUTED_VALUE"""),1.17337824457455)</f>
        <v>1.17337824457455</v>
      </c>
      <c r="AH760" s="17">
        <f ca="1">IFERROR(__xludf.DUMMYFUNCTION("""COMPUTED_VALUE"""),1.03095057073794)</f>
        <v>1.0309505707379401</v>
      </c>
      <c r="AI760" s="17">
        <f ca="1">IFERROR(__xludf.DUMMYFUNCTION("""COMPUTED_VALUE"""),1.02613934819611)</f>
        <v>1.0261393481961101</v>
      </c>
      <c r="AJ760" s="17">
        <f ca="1">IFERROR(__xludf.DUMMYFUNCTION("""COMPUTED_VALUE"""),1.27819403540762)</f>
        <v>1.27819403540762</v>
      </c>
    </row>
    <row r="761" spans="2:36" ht="15.75" customHeight="1" x14ac:dyDescent="0.45">
      <c r="B761" s="10" t="str">
        <f ca="1">IFERROR(__xludf.DUMMYFUNCTION("""COMPUTED_VALUE"""),"ShapeletSim")</f>
        <v>ShapeletSim</v>
      </c>
      <c r="C761" s="10" t="str">
        <f ca="1">IFERROR(__xludf.DUMMYFUNCTION("""COMPUTED_VALUE"""),"aligned_timestamps")</f>
        <v>aligned_timestamps</v>
      </c>
      <c r="D761" s="10">
        <f ca="1">IFERROR(__xludf.DUMMYFUNCTION("""COMPUTED_VALUE"""),0.8)</f>
        <v>0.8</v>
      </c>
      <c r="E761" s="17">
        <f ca="1">IFERROR(__xludf.DUMMYFUNCTION("""COMPUTED_VALUE"""),1.01118962456255)</f>
        <v>1.01118962456255</v>
      </c>
      <c r="F761" s="17">
        <f ca="1">IFERROR(__xludf.DUMMYFUNCTION("""COMPUTED_VALUE"""),1.16919244539395)</f>
        <v>1.16919244539395</v>
      </c>
      <c r="G761" s="17">
        <f ca="1">IFERROR(__xludf.DUMMYFUNCTION("""COMPUTED_VALUE"""),1.35104106995102)</f>
        <v>1.35104106995102</v>
      </c>
      <c r="H761" s="17">
        <f ca="1">IFERROR(__xludf.DUMMYFUNCTION("""COMPUTED_VALUE"""),1.11292703083139)</f>
        <v>1.1129270308313901</v>
      </c>
      <c r="I761" s="17">
        <f ca="1">IFERROR(__xludf.DUMMYFUNCTION("""COMPUTED_VALUE"""),1.01148805202197)</f>
        <v>1.01148805202197</v>
      </c>
      <c r="J761" s="17">
        <f ca="1">IFERROR(__xludf.DUMMYFUNCTION("""COMPUTED_VALUE"""),1.10455259890337)</f>
        <v>1.10455259890337</v>
      </c>
      <c r="K761" s="17" t="str">
        <f ca="1">IFERROR(__xludf.DUMMYFUNCTION("""COMPUTED_VALUE"""),"nan")</f>
        <v>nan</v>
      </c>
      <c r="L761" s="17">
        <f ca="1">IFERROR(__xludf.DUMMYFUNCTION("""COMPUTED_VALUE"""),1.25967776305164)</f>
        <v>1.25967776305164</v>
      </c>
      <c r="M761" s="17">
        <f ca="1">IFERROR(__xludf.DUMMYFUNCTION("""COMPUTED_VALUE"""),1.24930351062244)</f>
        <v>1.2493035106224399</v>
      </c>
      <c r="N761" s="17">
        <f ca="1">IFERROR(__xludf.DUMMYFUNCTION("""COMPUTED_VALUE"""),1.07591908502532)</f>
        <v>1.07591908502532</v>
      </c>
      <c r="O761" s="17">
        <f ca="1">IFERROR(__xludf.DUMMYFUNCTION("""COMPUTED_VALUE"""),1.01024757649449)</f>
        <v>1.01024757649449</v>
      </c>
      <c r="P761" s="17">
        <f ca="1">IFERROR(__xludf.DUMMYFUNCTION("""COMPUTED_VALUE"""),1.05343271329079)</f>
        <v>1.0534327132907899</v>
      </c>
      <c r="Q761" s="17">
        <f ca="1">IFERROR(__xludf.DUMMYFUNCTION("""COMPUTED_VALUE"""),1.46700063801236)</f>
        <v>1.4670006380123599</v>
      </c>
      <c r="R761" s="17">
        <f ca="1">IFERROR(__xludf.DUMMYFUNCTION("""COMPUTED_VALUE"""),1.01439553632327)</f>
        <v>1.01439553632327</v>
      </c>
      <c r="S761" s="17">
        <f ca="1">IFERROR(__xludf.DUMMYFUNCTION("""COMPUTED_VALUE"""),1.11250406845998)</f>
        <v>1.1125040684599801</v>
      </c>
      <c r="T761" s="17">
        <f ca="1">IFERROR(__xludf.DUMMYFUNCTION("""COMPUTED_VALUE"""),1.13685756672238)</f>
        <v>1.1368575667223799</v>
      </c>
      <c r="U761" s="17">
        <f ca="1">IFERROR(__xludf.DUMMYFUNCTION("""COMPUTED_VALUE"""),1.07449680375029)</f>
        <v>1.07449680375029</v>
      </c>
      <c r="V761" s="17">
        <f ca="1">IFERROR(__xludf.DUMMYFUNCTION("""COMPUTED_VALUE"""),1.03991250088082)</f>
        <v>1.0399125008808201</v>
      </c>
      <c r="W761" s="17">
        <f ca="1">IFERROR(__xludf.DUMMYFUNCTION("""COMPUTED_VALUE"""),1.01380406186905)</f>
        <v>1.01380406186905</v>
      </c>
      <c r="X761" s="17">
        <f ca="1">IFERROR(__xludf.DUMMYFUNCTION("""COMPUTED_VALUE"""),1.01844145113849)</f>
        <v>1.0184414511384901</v>
      </c>
      <c r="Y761" s="17">
        <f ca="1">IFERROR(__xludf.DUMMYFUNCTION("""COMPUTED_VALUE"""),1.03374093784318)</f>
        <v>1.0337409378431801</v>
      </c>
      <c r="Z761" s="17">
        <f ca="1">IFERROR(__xludf.DUMMYFUNCTION("""COMPUTED_VALUE"""),1.06759662100449)</f>
        <v>1.06759662100449</v>
      </c>
      <c r="AA761" s="17">
        <f ca="1">IFERROR(__xludf.DUMMYFUNCTION("""COMPUTED_VALUE"""),1.0286599691434)</f>
        <v>1.0286599691434</v>
      </c>
      <c r="AB761" s="17">
        <f ca="1">IFERROR(__xludf.DUMMYFUNCTION("""COMPUTED_VALUE"""),1.18489279722276)</f>
        <v>1.1848927972227601</v>
      </c>
      <c r="AC761" s="17">
        <f ca="1">IFERROR(__xludf.DUMMYFUNCTION("""COMPUTED_VALUE"""),1.01823894396382)</f>
        <v>1.01823894396382</v>
      </c>
      <c r="AD761" s="17">
        <f ca="1">IFERROR(__xludf.DUMMYFUNCTION("""COMPUTED_VALUE"""),1.02344682872281)</f>
        <v>1.02344682872281</v>
      </c>
      <c r="AE761" s="17" t="str">
        <f ca="1">IFERROR(__xludf.DUMMYFUNCTION("""COMPUTED_VALUE"""),"nan")</f>
        <v>nan</v>
      </c>
      <c r="AF761" s="17">
        <f ca="1">IFERROR(__xludf.DUMMYFUNCTION("""COMPUTED_VALUE"""),1.0301934330416)</f>
        <v>1.0301934330416</v>
      </c>
      <c r="AG761" s="17">
        <f ca="1">IFERROR(__xludf.DUMMYFUNCTION("""COMPUTED_VALUE"""),1.18663359481776)</f>
        <v>1.18663359481776</v>
      </c>
      <c r="AH761" s="17">
        <f ca="1">IFERROR(__xludf.DUMMYFUNCTION("""COMPUTED_VALUE"""),1.02227049678485)</f>
        <v>1.0222704967848499</v>
      </c>
      <c r="AI761" s="17">
        <f ca="1">IFERROR(__xludf.DUMMYFUNCTION("""COMPUTED_VALUE"""),1.02001745066381)</f>
        <v>1.02001745066381</v>
      </c>
      <c r="AJ761" s="17">
        <f ca="1">IFERROR(__xludf.DUMMYFUNCTION("""COMPUTED_VALUE"""),1.17543086026233)</f>
        <v>1.17543086026233</v>
      </c>
    </row>
    <row r="762" spans="2:36" ht="15.75" customHeight="1" x14ac:dyDescent="0.45">
      <c r="B762" s="10" t="str">
        <f ca="1">IFERROR(__xludf.DUMMYFUNCTION("""COMPUTED_VALUE"""),"ShapeletSim")</f>
        <v>ShapeletSim</v>
      </c>
      <c r="C762" s="10" t="str">
        <f ca="1">IFERROR(__xludf.DUMMYFUNCTION("""COMPUTED_VALUE"""),"mcar")</f>
        <v>mcar</v>
      </c>
      <c r="D762" s="10">
        <f ca="1">IFERROR(__xludf.DUMMYFUNCTION("""COMPUTED_VALUE"""),0.1)</f>
        <v>0.1</v>
      </c>
      <c r="E762" s="17">
        <f ca="1">IFERROR(__xludf.DUMMYFUNCTION("""COMPUTED_VALUE"""),0.950990332215269)</f>
        <v>0.95099033221526896</v>
      </c>
      <c r="F762" s="17">
        <f ca="1">IFERROR(__xludf.DUMMYFUNCTION("""COMPUTED_VALUE"""),1.1646073066237)</f>
        <v>1.1646073066236999</v>
      </c>
      <c r="G762" s="17">
        <f ca="1">IFERROR(__xludf.DUMMYFUNCTION("""COMPUTED_VALUE"""),1.19204942067278)</f>
        <v>1.1920494206727801</v>
      </c>
      <c r="H762" s="17">
        <f ca="1">IFERROR(__xludf.DUMMYFUNCTION("""COMPUTED_VALUE"""),0.993981680165972)</f>
        <v>0.99398168016597199</v>
      </c>
      <c r="I762" s="17">
        <f ca="1">IFERROR(__xludf.DUMMYFUNCTION("""COMPUTED_VALUE"""),0.954759709153548)</f>
        <v>0.95475970915354802</v>
      </c>
      <c r="J762" s="17">
        <f ca="1">IFERROR(__xludf.DUMMYFUNCTION("""COMPUTED_VALUE"""),1.1325039465467)</f>
        <v>1.1325039465466999</v>
      </c>
      <c r="K762" s="17" t="str">
        <f ca="1">IFERROR(__xludf.DUMMYFUNCTION("""COMPUTED_VALUE"""),"nan")</f>
        <v>nan</v>
      </c>
      <c r="L762" s="17">
        <f ca="1">IFERROR(__xludf.DUMMYFUNCTION("""COMPUTED_VALUE"""),1.11986044879191)</f>
        <v>1.1198604487919099</v>
      </c>
      <c r="M762" s="17">
        <f ca="1">IFERROR(__xludf.DUMMYFUNCTION("""COMPUTED_VALUE"""),1.11129955122106)</f>
        <v>1.1112995512210599</v>
      </c>
      <c r="N762" s="17">
        <f ca="1">IFERROR(__xludf.DUMMYFUNCTION("""COMPUTED_VALUE"""),0.954430761495936)</f>
        <v>0.95443076149593598</v>
      </c>
      <c r="O762" s="17">
        <f ca="1">IFERROR(__xludf.DUMMYFUNCTION("""COMPUTED_VALUE"""),0.962873564286229)</f>
        <v>0.96287356428622894</v>
      </c>
      <c r="P762" s="17">
        <f ca="1">IFERROR(__xludf.DUMMYFUNCTION("""COMPUTED_VALUE"""),0.9539903711058)</f>
        <v>0.95399037110579998</v>
      </c>
      <c r="Q762" s="17">
        <f ca="1">IFERROR(__xludf.DUMMYFUNCTION("""COMPUTED_VALUE"""),1.35343841490889)</f>
        <v>1.3534384149088901</v>
      </c>
      <c r="R762" s="17">
        <f ca="1">IFERROR(__xludf.DUMMYFUNCTION("""COMPUTED_VALUE"""),0.954235775051522)</f>
        <v>0.95423577505152202</v>
      </c>
      <c r="S762" s="17">
        <f ca="1">IFERROR(__xludf.DUMMYFUNCTION("""COMPUTED_VALUE"""),1.0381888117364)</f>
        <v>1.0381888117364</v>
      </c>
      <c r="T762" s="17">
        <f ca="1">IFERROR(__xludf.DUMMYFUNCTION("""COMPUTED_VALUE"""),1.08348627200521)</f>
        <v>1.0834862720052101</v>
      </c>
      <c r="U762" s="17">
        <f ca="1">IFERROR(__xludf.DUMMYFUNCTION("""COMPUTED_VALUE"""),0.970634429342431)</f>
        <v>0.97063442934243105</v>
      </c>
      <c r="V762" s="17">
        <f ca="1">IFERROR(__xludf.DUMMYFUNCTION("""COMPUTED_VALUE"""),0.967559314325375)</f>
        <v>0.96755931432537501</v>
      </c>
      <c r="W762" s="17">
        <f ca="1">IFERROR(__xludf.DUMMYFUNCTION("""COMPUTED_VALUE"""),1.00719520714126)</f>
        <v>1.00719520714126</v>
      </c>
      <c r="X762" s="17">
        <f ca="1">IFERROR(__xludf.DUMMYFUNCTION("""COMPUTED_VALUE"""),0.949996644084373)</f>
        <v>0.94999664408437301</v>
      </c>
      <c r="Y762" s="17">
        <f ca="1">IFERROR(__xludf.DUMMYFUNCTION("""COMPUTED_VALUE"""),0.952423383228048)</f>
        <v>0.95242338322804798</v>
      </c>
      <c r="Z762" s="17">
        <f ca="1">IFERROR(__xludf.DUMMYFUNCTION("""COMPUTED_VALUE"""),1.04070071510837)</f>
        <v>1.04070071510837</v>
      </c>
      <c r="AA762" s="17">
        <f ca="1">IFERROR(__xludf.DUMMYFUNCTION("""COMPUTED_VALUE"""),0.957629464940139)</f>
        <v>0.95762946494013901</v>
      </c>
      <c r="AB762" s="17">
        <f ca="1">IFERROR(__xludf.DUMMYFUNCTION("""COMPUTED_VALUE"""),1.1170660561051)</f>
        <v>1.1170660561051</v>
      </c>
      <c r="AC762" s="17">
        <f ca="1">IFERROR(__xludf.DUMMYFUNCTION("""COMPUTED_VALUE"""),0.965278738252969)</f>
        <v>0.96527873825296895</v>
      </c>
      <c r="AD762" s="17">
        <f ca="1">IFERROR(__xludf.DUMMYFUNCTION("""COMPUTED_VALUE"""),0.968550095671394)</f>
        <v>0.96855009567139405</v>
      </c>
      <c r="AE762" s="17">
        <f ca="1">IFERROR(__xludf.DUMMYFUNCTION("""COMPUTED_VALUE"""),1.00559710770553)</f>
        <v>1.0055971077055299</v>
      </c>
      <c r="AF762" s="17">
        <f ca="1">IFERROR(__xludf.DUMMYFUNCTION("""COMPUTED_VALUE"""),1.11117600846564)</f>
        <v>1.1111760084656399</v>
      </c>
      <c r="AG762" s="17">
        <f ca="1">IFERROR(__xludf.DUMMYFUNCTION("""COMPUTED_VALUE"""),0.956522298114487)</f>
        <v>0.95652229811448697</v>
      </c>
      <c r="AH762" s="17">
        <f ca="1">IFERROR(__xludf.DUMMYFUNCTION("""COMPUTED_VALUE"""),0.957243849008358)</f>
        <v>0.95724384900835802</v>
      </c>
      <c r="AI762" s="17">
        <f ca="1">IFERROR(__xludf.DUMMYFUNCTION("""COMPUTED_VALUE"""),0.952707996132947)</f>
        <v>0.95270799613294699</v>
      </c>
      <c r="AJ762" s="17">
        <f ca="1">IFERROR(__xludf.DUMMYFUNCTION("""COMPUTED_VALUE"""),0.995675386412967)</f>
        <v>0.99567538641296705</v>
      </c>
    </row>
    <row r="763" spans="2:36" ht="15.75" customHeight="1" x14ac:dyDescent="0.45">
      <c r="B763" s="10" t="str">
        <f ca="1">IFERROR(__xludf.DUMMYFUNCTION("""COMPUTED_VALUE"""),"ShapeletSim")</f>
        <v>ShapeletSim</v>
      </c>
      <c r="C763" s="10" t="str">
        <f ca="1">IFERROR(__xludf.DUMMYFUNCTION("""COMPUTED_VALUE"""),"mcar")</f>
        <v>mcar</v>
      </c>
      <c r="D763" s="10">
        <f ca="1">IFERROR(__xludf.DUMMYFUNCTION("""COMPUTED_VALUE"""),0.2)</f>
        <v>0.2</v>
      </c>
      <c r="E763" s="17">
        <f ca="1">IFERROR(__xludf.DUMMYFUNCTION("""COMPUTED_VALUE"""),0.983463317357748)</f>
        <v>0.98346331735774795</v>
      </c>
      <c r="F763" s="17">
        <f ca="1">IFERROR(__xludf.DUMMYFUNCTION("""COMPUTED_VALUE"""),1.26966938827136)</f>
        <v>1.2696693882713601</v>
      </c>
      <c r="G763" s="17">
        <f ca="1">IFERROR(__xludf.DUMMYFUNCTION("""COMPUTED_VALUE"""),1.37121012413759)</f>
        <v>1.37121012413759</v>
      </c>
      <c r="H763" s="17">
        <f ca="1">IFERROR(__xludf.DUMMYFUNCTION("""COMPUTED_VALUE"""),1.06480407737255)</f>
        <v>1.06480407737255</v>
      </c>
      <c r="I763" s="17">
        <f ca="1">IFERROR(__xludf.DUMMYFUNCTION("""COMPUTED_VALUE"""),0.983713686733705)</f>
        <v>0.98371368673370496</v>
      </c>
      <c r="J763" s="17">
        <f ca="1">IFERROR(__xludf.DUMMYFUNCTION("""COMPUTED_VALUE"""),1.20622231112838)</f>
        <v>1.2062223111283801</v>
      </c>
      <c r="K763" s="17" t="str">
        <f ca="1">IFERROR(__xludf.DUMMYFUNCTION("""COMPUTED_VALUE"""),"nan")</f>
        <v>nan</v>
      </c>
      <c r="L763" s="17">
        <f ca="1">IFERROR(__xludf.DUMMYFUNCTION("""COMPUTED_VALUE"""),1.15257997346842)</f>
        <v>1.1525799734684199</v>
      </c>
      <c r="M763" s="17">
        <f ca="1">IFERROR(__xludf.DUMMYFUNCTION("""COMPUTED_VALUE"""),1.14014250561951)</f>
        <v>1.14014250561951</v>
      </c>
      <c r="N763" s="17">
        <f ca="1">IFERROR(__xludf.DUMMYFUNCTION("""COMPUTED_VALUE"""),0.995415190742734)</f>
        <v>0.99541519074273399</v>
      </c>
      <c r="O763" s="17">
        <f ca="1">IFERROR(__xludf.DUMMYFUNCTION("""COMPUTED_VALUE"""),0.986293402252123)</f>
        <v>0.98629340225212303</v>
      </c>
      <c r="P763" s="17">
        <f ca="1">IFERROR(__xludf.DUMMYFUNCTION("""COMPUTED_VALUE"""),1.00530538788461)</f>
        <v>1.0053053878846101</v>
      </c>
      <c r="Q763" s="17">
        <f ca="1">IFERROR(__xludf.DUMMYFUNCTION("""COMPUTED_VALUE"""),1.38030977346883)</f>
        <v>1.3803097734688301</v>
      </c>
      <c r="R763" s="17">
        <f ca="1">IFERROR(__xludf.DUMMYFUNCTION("""COMPUTED_VALUE"""),0.983048579705621)</f>
        <v>0.98304857970562098</v>
      </c>
      <c r="S763" s="17">
        <f ca="1">IFERROR(__xludf.DUMMYFUNCTION("""COMPUTED_VALUE"""),1.07735694706774)</f>
        <v>1.07735694706774</v>
      </c>
      <c r="T763" s="17">
        <f ca="1">IFERROR(__xludf.DUMMYFUNCTION("""COMPUTED_VALUE"""),1.05886444784099)</f>
        <v>1.0588644478409901</v>
      </c>
      <c r="U763" s="17">
        <f ca="1">IFERROR(__xludf.DUMMYFUNCTION("""COMPUTED_VALUE"""),1.05093078941284)</f>
        <v>1.0509307894128399</v>
      </c>
      <c r="V763" s="17">
        <f ca="1">IFERROR(__xludf.DUMMYFUNCTION("""COMPUTED_VALUE"""),0.984278878649854)</f>
        <v>0.98427887864985397</v>
      </c>
      <c r="W763" s="17">
        <f ca="1">IFERROR(__xludf.DUMMYFUNCTION("""COMPUTED_VALUE"""),1.01094514615928)</f>
        <v>1.01094514615928</v>
      </c>
      <c r="X763" s="17">
        <f ca="1">IFERROR(__xludf.DUMMYFUNCTION("""COMPUTED_VALUE"""),0.991696528670514)</f>
        <v>0.99169652867051405</v>
      </c>
      <c r="Y763" s="17">
        <f ca="1">IFERROR(__xludf.DUMMYFUNCTION("""COMPUTED_VALUE"""),1.01143506312209)</f>
        <v>1.0114350631220901</v>
      </c>
      <c r="Z763" s="17">
        <f ca="1">IFERROR(__xludf.DUMMYFUNCTION("""COMPUTED_VALUE"""),1.04809464884295)</f>
        <v>1.0480946488429499</v>
      </c>
      <c r="AA763" s="17">
        <f ca="1">IFERROR(__xludf.DUMMYFUNCTION("""COMPUTED_VALUE"""),0.988062421904519)</f>
        <v>0.98806242190451898</v>
      </c>
      <c r="AB763" s="17">
        <f ca="1">IFERROR(__xludf.DUMMYFUNCTION("""COMPUTED_VALUE"""),1.16688827593886)</f>
        <v>1.1668882759388599</v>
      </c>
      <c r="AC763" s="17">
        <f ca="1">IFERROR(__xludf.DUMMYFUNCTION("""COMPUTED_VALUE"""),0.988910401073329)</f>
        <v>0.98891040107332895</v>
      </c>
      <c r="AD763" s="17">
        <f ca="1">IFERROR(__xludf.DUMMYFUNCTION("""COMPUTED_VALUE"""),0.998328283893141)</f>
        <v>0.99832828389314099</v>
      </c>
      <c r="AE763" s="17">
        <f ca="1">IFERROR(__xludf.DUMMYFUNCTION("""COMPUTED_VALUE"""),1.01471396142143)</f>
        <v>1.01471396142143</v>
      </c>
      <c r="AF763" s="17">
        <f ca="1">IFERROR(__xludf.DUMMYFUNCTION("""COMPUTED_VALUE"""),1.06825896858787)</f>
        <v>1.0682589685878701</v>
      </c>
      <c r="AG763" s="17">
        <f ca="1">IFERROR(__xludf.DUMMYFUNCTION("""COMPUTED_VALUE"""),1.00160233690758)</f>
        <v>1.0016023369075799</v>
      </c>
      <c r="AH763" s="17">
        <f ca="1">IFERROR(__xludf.DUMMYFUNCTION("""COMPUTED_VALUE"""),1.01014531402333)</f>
        <v>1.0101453140233301</v>
      </c>
      <c r="AI763" s="17">
        <f ca="1">IFERROR(__xludf.DUMMYFUNCTION("""COMPUTED_VALUE"""),0.995365505502072)</f>
        <v>0.99536550550207203</v>
      </c>
      <c r="AJ763" s="17">
        <f ca="1">IFERROR(__xludf.DUMMYFUNCTION("""COMPUTED_VALUE"""),1.0121872740375)</f>
        <v>1.0121872740375</v>
      </c>
    </row>
    <row r="764" spans="2:36" ht="15.75" customHeight="1" x14ac:dyDescent="0.45">
      <c r="B764" s="10" t="str">
        <f ca="1">IFERROR(__xludf.DUMMYFUNCTION("""COMPUTED_VALUE"""),"ShapeletSim")</f>
        <v>ShapeletSim</v>
      </c>
      <c r="C764" s="10" t="str">
        <f ca="1">IFERROR(__xludf.DUMMYFUNCTION("""COMPUTED_VALUE"""),"mcar")</f>
        <v>mcar</v>
      </c>
      <c r="D764" s="10">
        <f ca="1">IFERROR(__xludf.DUMMYFUNCTION("""COMPUTED_VALUE"""),0.4)</f>
        <v>0.4</v>
      </c>
      <c r="E764" s="17">
        <f ca="1">IFERROR(__xludf.DUMMYFUNCTION("""COMPUTED_VALUE"""),1.00709241452861)</f>
        <v>1.00709241452861</v>
      </c>
      <c r="F764" s="17">
        <f ca="1">IFERROR(__xludf.DUMMYFUNCTION("""COMPUTED_VALUE"""),1.23636552134966)</f>
        <v>1.23636552134966</v>
      </c>
      <c r="G764" s="17">
        <f ca="1">IFERROR(__xludf.DUMMYFUNCTION("""COMPUTED_VALUE"""),1.41515449771611)</f>
        <v>1.4151544977161099</v>
      </c>
      <c r="H764" s="17">
        <f ca="1">IFERROR(__xludf.DUMMYFUNCTION("""COMPUTED_VALUE"""),1.13235523291458)</f>
        <v>1.1323552329145801</v>
      </c>
      <c r="I764" s="17">
        <f ca="1">IFERROR(__xludf.DUMMYFUNCTION("""COMPUTED_VALUE"""),1.00514088186568)</f>
        <v>1.00514088186568</v>
      </c>
      <c r="J764" s="17">
        <f ca="1">IFERROR(__xludf.DUMMYFUNCTION("""COMPUTED_VALUE"""),1.2067901592271)</f>
        <v>1.2067901592271</v>
      </c>
      <c r="K764" s="17" t="str">
        <f ca="1">IFERROR(__xludf.DUMMYFUNCTION("""COMPUTED_VALUE"""),"nan")</f>
        <v>nan</v>
      </c>
      <c r="L764" s="17">
        <f ca="1">IFERROR(__xludf.DUMMYFUNCTION("""COMPUTED_VALUE"""),1.13847349418686)</f>
        <v>1.1384734941868599</v>
      </c>
      <c r="M764" s="17">
        <f ca="1">IFERROR(__xludf.DUMMYFUNCTION("""COMPUTED_VALUE"""),1.07232532404658)</f>
        <v>1.07232532404658</v>
      </c>
      <c r="N764" s="17">
        <f ca="1">IFERROR(__xludf.DUMMYFUNCTION("""COMPUTED_VALUE"""),1.03939094468299)</f>
        <v>1.0393909446829901</v>
      </c>
      <c r="O764" s="17">
        <f ca="1">IFERROR(__xludf.DUMMYFUNCTION("""COMPUTED_VALUE"""),1.00644799299227)</f>
        <v>1.0064479929922701</v>
      </c>
      <c r="P764" s="17">
        <f ca="1">IFERROR(__xludf.DUMMYFUNCTION("""COMPUTED_VALUE"""),1.02328413114072)</f>
        <v>1.0232841311407199</v>
      </c>
      <c r="Q764" s="17">
        <f ca="1">IFERROR(__xludf.DUMMYFUNCTION("""COMPUTED_VALUE"""),1.38288476282136)</f>
        <v>1.3828847628213601</v>
      </c>
      <c r="R764" s="17">
        <f ca="1">IFERROR(__xludf.DUMMYFUNCTION("""COMPUTED_VALUE"""),1.00611134666367)</f>
        <v>1.00611134666367</v>
      </c>
      <c r="S764" s="17">
        <f ca="1">IFERROR(__xludf.DUMMYFUNCTION("""COMPUTED_VALUE"""),1.11871588613061)</f>
        <v>1.1187158861306099</v>
      </c>
      <c r="T764" s="17">
        <f ca="1">IFERROR(__xludf.DUMMYFUNCTION("""COMPUTED_VALUE"""),1.07280522214427)</f>
        <v>1.0728052221442701</v>
      </c>
      <c r="U764" s="17">
        <f ca="1">IFERROR(__xludf.DUMMYFUNCTION("""COMPUTED_VALUE"""),1.04804820934081)</f>
        <v>1.0480482093408101</v>
      </c>
      <c r="V764" s="17">
        <f ca="1">IFERROR(__xludf.DUMMYFUNCTION("""COMPUTED_VALUE"""),1.01792792408045)</f>
        <v>1.01792792408045</v>
      </c>
      <c r="W764" s="17">
        <f ca="1">IFERROR(__xludf.DUMMYFUNCTION("""COMPUTED_VALUE"""),1.05276275539623)</f>
        <v>1.05276275539623</v>
      </c>
      <c r="X764" s="17">
        <f ca="1">IFERROR(__xludf.DUMMYFUNCTION("""COMPUTED_VALUE"""),2.17071807625235)</f>
        <v>2.1707180762523501</v>
      </c>
      <c r="Y764" s="17">
        <f ca="1">IFERROR(__xludf.DUMMYFUNCTION("""COMPUTED_VALUE"""),1.02687044790873)</f>
        <v>1.0268704479087301</v>
      </c>
      <c r="Z764" s="17">
        <f ca="1">IFERROR(__xludf.DUMMYFUNCTION("""COMPUTED_VALUE"""),1.05559465620109)</f>
        <v>1.0555946562010901</v>
      </c>
      <c r="AA764" s="17">
        <f ca="1">IFERROR(__xludf.DUMMYFUNCTION("""COMPUTED_VALUE"""),1.00836477485127)</f>
        <v>1.0083647748512701</v>
      </c>
      <c r="AB764" s="17">
        <f ca="1">IFERROR(__xludf.DUMMYFUNCTION("""COMPUTED_VALUE"""),1.06997268963273)</f>
        <v>1.06997268963273</v>
      </c>
      <c r="AC764" s="17">
        <f ca="1">IFERROR(__xludf.DUMMYFUNCTION("""COMPUTED_VALUE"""),1.01619578626385)</f>
        <v>1.01619578626385</v>
      </c>
      <c r="AD764" s="17">
        <f ca="1">IFERROR(__xludf.DUMMYFUNCTION("""COMPUTED_VALUE"""),1.00620962879974)</f>
        <v>1.00620962879974</v>
      </c>
      <c r="AE764" s="17">
        <f ca="1">IFERROR(__xludf.DUMMYFUNCTION("""COMPUTED_VALUE"""),1.023865583203)</f>
        <v>1.0238655832029999</v>
      </c>
      <c r="AF764" s="17">
        <f ca="1">IFERROR(__xludf.DUMMYFUNCTION("""COMPUTED_VALUE"""),1.08465246212537)</f>
        <v>1.0846524621253699</v>
      </c>
      <c r="AG764" s="17">
        <f ca="1">IFERROR(__xludf.DUMMYFUNCTION("""COMPUTED_VALUE"""),1.06328921529229)</f>
        <v>1.0632892152922899</v>
      </c>
      <c r="AH764" s="17">
        <f ca="1">IFERROR(__xludf.DUMMYFUNCTION("""COMPUTED_VALUE"""),1.03542016160043)</f>
        <v>1.0354201616004299</v>
      </c>
      <c r="AI764" s="17">
        <f ca="1">IFERROR(__xludf.DUMMYFUNCTION("""COMPUTED_VALUE"""),1.01031746734753)</f>
        <v>1.0103174673475299</v>
      </c>
      <c r="AJ764" s="17">
        <f ca="1">IFERROR(__xludf.DUMMYFUNCTION("""COMPUTED_VALUE"""),1.01609128626582)</f>
        <v>1.01609128626582</v>
      </c>
    </row>
    <row r="765" spans="2:36" ht="15.75" customHeight="1" x14ac:dyDescent="0.45">
      <c r="B765" s="10" t="str">
        <f ca="1">IFERROR(__xludf.DUMMYFUNCTION("""COMPUTED_VALUE"""),"ShapeletSim")</f>
        <v>ShapeletSim</v>
      </c>
      <c r="C765" s="10" t="str">
        <f ca="1">IFERROR(__xludf.DUMMYFUNCTION("""COMPUTED_VALUE"""),"mcar")</f>
        <v>mcar</v>
      </c>
      <c r="D765" s="10">
        <f ca="1">IFERROR(__xludf.DUMMYFUNCTION("""COMPUTED_VALUE"""),0.6)</f>
        <v>0.6</v>
      </c>
      <c r="E765" s="17">
        <f ca="1">IFERROR(__xludf.DUMMYFUNCTION("""COMPUTED_VALUE"""),1.00271109862083)</f>
        <v>1.0027110986208301</v>
      </c>
      <c r="F765" s="17">
        <f ca="1">IFERROR(__xludf.DUMMYFUNCTION("""COMPUTED_VALUE"""),1.17309486649605)</f>
        <v>1.1730948664960501</v>
      </c>
      <c r="G765" s="17">
        <f ca="1">IFERROR(__xludf.DUMMYFUNCTION("""COMPUTED_VALUE"""),1.30363587362644)</f>
        <v>1.30363587362644</v>
      </c>
      <c r="H765" s="17">
        <f ca="1">IFERROR(__xludf.DUMMYFUNCTION("""COMPUTED_VALUE"""),1.12208833940849)</f>
        <v>1.12208833940849</v>
      </c>
      <c r="I765" s="17">
        <f ca="1">IFERROR(__xludf.DUMMYFUNCTION("""COMPUTED_VALUE"""),1.00230746634475)</f>
        <v>1.00230746634475</v>
      </c>
      <c r="J765" s="17">
        <f ca="1">IFERROR(__xludf.DUMMYFUNCTION("""COMPUTED_VALUE"""),1.15248361129866)</f>
        <v>1.1524836112986601</v>
      </c>
      <c r="K765" s="17" t="str">
        <f ca="1">IFERROR(__xludf.DUMMYFUNCTION("""COMPUTED_VALUE"""),"nan")</f>
        <v>nan</v>
      </c>
      <c r="L765" s="17">
        <f ca="1">IFERROR(__xludf.DUMMYFUNCTION("""COMPUTED_VALUE"""),1.21274597046341)</f>
        <v>1.21274597046341</v>
      </c>
      <c r="M765" s="17">
        <f ca="1">IFERROR(__xludf.DUMMYFUNCTION("""COMPUTED_VALUE"""),1.13442240162332)</f>
        <v>1.13442240162332</v>
      </c>
      <c r="N765" s="17">
        <f ca="1">IFERROR(__xludf.DUMMYFUNCTION("""COMPUTED_VALUE"""),1.04428672763386)</f>
        <v>1.0442867276338601</v>
      </c>
      <c r="O765" s="17">
        <f ca="1">IFERROR(__xludf.DUMMYFUNCTION("""COMPUTED_VALUE"""),1.00300497234069)</f>
        <v>1.00300497234069</v>
      </c>
      <c r="P765" s="17">
        <f ca="1">IFERROR(__xludf.DUMMYFUNCTION("""COMPUTED_VALUE"""),1.05461826767608)</f>
        <v>1.05461826767608</v>
      </c>
      <c r="Q765" s="17">
        <f ca="1">IFERROR(__xludf.DUMMYFUNCTION("""COMPUTED_VALUE"""),1.33880867396677)</f>
        <v>1.3388086739667699</v>
      </c>
      <c r="R765" s="17">
        <f ca="1">IFERROR(__xludf.DUMMYFUNCTION("""COMPUTED_VALUE"""),1.00409425949308)</f>
        <v>1.00409425949308</v>
      </c>
      <c r="S765" s="17">
        <f ca="1">IFERROR(__xludf.DUMMYFUNCTION("""COMPUTED_VALUE"""),1.14478694669431)</f>
        <v>1.1447869466943099</v>
      </c>
      <c r="T765" s="17">
        <f ca="1">IFERROR(__xludf.DUMMYFUNCTION("""COMPUTED_VALUE"""),1.08099337985379)</f>
        <v>1.0809933798537901</v>
      </c>
      <c r="U765" s="17">
        <f ca="1">IFERROR(__xludf.DUMMYFUNCTION("""COMPUTED_VALUE"""),1.05718101548536)</f>
        <v>1.05718101548536</v>
      </c>
      <c r="V765" s="17">
        <f ca="1">IFERROR(__xludf.DUMMYFUNCTION("""COMPUTED_VALUE"""),1.02099664503348)</f>
        <v>1.02099664503348</v>
      </c>
      <c r="W765" s="17">
        <f ca="1">IFERROR(__xludf.DUMMYFUNCTION("""COMPUTED_VALUE"""),1.04901294477074)</f>
        <v>1.0490129447707399</v>
      </c>
      <c r="X765" s="17">
        <f ca="1">IFERROR(__xludf.DUMMYFUNCTION("""COMPUTED_VALUE"""),1.00393367201147)</f>
        <v>1.00393367201147</v>
      </c>
      <c r="Y765" s="17">
        <f ca="1">IFERROR(__xludf.DUMMYFUNCTION("""COMPUTED_VALUE"""),1.00565392756753)</f>
        <v>1.00565392756753</v>
      </c>
      <c r="Z765" s="17">
        <f ca="1">IFERROR(__xludf.DUMMYFUNCTION("""COMPUTED_VALUE"""),1.09129189296303)</f>
        <v>1.09129189296303</v>
      </c>
      <c r="AA765" s="17">
        <f ca="1">IFERROR(__xludf.DUMMYFUNCTION("""COMPUTED_VALUE"""),1.01085210378125)</f>
        <v>1.0108521037812499</v>
      </c>
      <c r="AB765" s="17">
        <f ca="1">IFERROR(__xludf.DUMMYFUNCTION("""COMPUTED_VALUE"""),1.15831122814438)</f>
        <v>1.1583112281443799</v>
      </c>
      <c r="AC765" s="17">
        <f ca="1">IFERROR(__xludf.DUMMYFUNCTION("""COMPUTED_VALUE"""),1.01356452506318)</f>
        <v>1.01356452506318</v>
      </c>
      <c r="AD765" s="17">
        <f ca="1">IFERROR(__xludf.DUMMYFUNCTION("""COMPUTED_VALUE"""),1.01904736721166)</f>
        <v>1.01904736721166</v>
      </c>
      <c r="AE765" s="17">
        <f ca="1">IFERROR(__xludf.DUMMYFUNCTION("""COMPUTED_VALUE"""),1.03102418658451)</f>
        <v>1.03102418658451</v>
      </c>
      <c r="AF765" s="17">
        <f ca="1">IFERROR(__xludf.DUMMYFUNCTION("""COMPUTED_VALUE"""),1.02220662327425)</f>
        <v>1.0222066232742499</v>
      </c>
      <c r="AG765" s="17">
        <f ca="1">IFERROR(__xludf.DUMMYFUNCTION("""COMPUTED_VALUE"""),1.12222200476409)</f>
        <v>1.1222220047640901</v>
      </c>
      <c r="AH765" s="17">
        <f ca="1">IFERROR(__xludf.DUMMYFUNCTION("""COMPUTED_VALUE"""),1.01294314098829)</f>
        <v>1.0129431409882901</v>
      </c>
      <c r="AI765" s="17">
        <f ca="1">IFERROR(__xludf.DUMMYFUNCTION("""COMPUTED_VALUE"""),1.00471904705216)</f>
        <v>1.0047190470521601</v>
      </c>
      <c r="AJ765" s="17">
        <f ca="1">IFERROR(__xludf.DUMMYFUNCTION("""COMPUTED_VALUE"""),1.02934186023243)</f>
        <v>1.02934186023243</v>
      </c>
    </row>
    <row r="766" spans="2:36" ht="15.75" customHeight="1" x14ac:dyDescent="0.45">
      <c r="B766" s="10" t="str">
        <f ca="1">IFERROR(__xludf.DUMMYFUNCTION("""COMPUTED_VALUE"""),"ShapeletSim")</f>
        <v>ShapeletSim</v>
      </c>
      <c r="C766" s="10" t="str">
        <f ca="1">IFERROR(__xludf.DUMMYFUNCTION("""COMPUTED_VALUE"""),"mcar")</f>
        <v>mcar</v>
      </c>
      <c r="D766" s="10">
        <f ca="1">IFERROR(__xludf.DUMMYFUNCTION("""COMPUTED_VALUE"""),0.8)</f>
        <v>0.8</v>
      </c>
      <c r="E766" s="17">
        <f ca="1">IFERROR(__xludf.DUMMYFUNCTION("""COMPUTED_VALUE"""),0.995793750612347)</f>
        <v>0.99579375061234698</v>
      </c>
      <c r="F766" s="17">
        <f ca="1">IFERROR(__xludf.DUMMYFUNCTION("""COMPUTED_VALUE"""),1.23664699107019)</f>
        <v>1.23664699107019</v>
      </c>
      <c r="G766" s="17">
        <f ca="1">IFERROR(__xludf.DUMMYFUNCTION("""COMPUTED_VALUE"""),1.51701322934584)</f>
        <v>1.51701322934584</v>
      </c>
      <c r="H766" s="17">
        <f ca="1">IFERROR(__xludf.DUMMYFUNCTION("""COMPUTED_VALUE"""),1.12458863447382)</f>
        <v>1.1245886344738201</v>
      </c>
      <c r="I766" s="17">
        <f ca="1">IFERROR(__xludf.DUMMYFUNCTION("""COMPUTED_VALUE"""),0.994797279771527)</f>
        <v>0.99479727977152699</v>
      </c>
      <c r="J766" s="17">
        <f ca="1">IFERROR(__xludf.DUMMYFUNCTION("""COMPUTED_VALUE"""),1.1071466917098)</f>
        <v>1.1071466917098001</v>
      </c>
      <c r="K766" s="17" t="str">
        <f ca="1">IFERROR(__xludf.DUMMYFUNCTION("""COMPUTED_VALUE"""),"nan")</f>
        <v>nan</v>
      </c>
      <c r="L766" s="17">
        <f ca="1">IFERROR(__xludf.DUMMYFUNCTION("""COMPUTED_VALUE"""),1.17709566288212)</f>
        <v>1.1770956628821201</v>
      </c>
      <c r="M766" s="17">
        <f ca="1">IFERROR(__xludf.DUMMYFUNCTION("""COMPUTED_VALUE"""),1.29427878623929)</f>
        <v>1.2942787862392899</v>
      </c>
      <c r="N766" s="17">
        <f ca="1">IFERROR(__xludf.DUMMYFUNCTION("""COMPUTED_VALUE"""),1.02701848411138)</f>
        <v>1.0270184841113801</v>
      </c>
      <c r="O766" s="17">
        <f ca="1">IFERROR(__xludf.DUMMYFUNCTION("""COMPUTED_VALUE"""),0.995221250099354)</f>
        <v>0.99522125009935403</v>
      </c>
      <c r="P766" s="17">
        <f ca="1">IFERROR(__xludf.DUMMYFUNCTION("""COMPUTED_VALUE"""),1.05548411998308)</f>
        <v>1.05548411998308</v>
      </c>
      <c r="Q766" s="17">
        <f ca="1">IFERROR(__xludf.DUMMYFUNCTION("""COMPUTED_VALUE"""),1.29209129341761)</f>
        <v>1.2920912934176101</v>
      </c>
      <c r="R766" s="17">
        <f ca="1">IFERROR(__xludf.DUMMYFUNCTION("""COMPUTED_VALUE"""),1.0017250234552)</f>
        <v>1.0017250234552</v>
      </c>
      <c r="S766" s="17">
        <f ca="1">IFERROR(__xludf.DUMMYFUNCTION("""COMPUTED_VALUE"""),1.17174496576584)</f>
        <v>1.1717449657658401</v>
      </c>
      <c r="T766" s="17">
        <f ca="1">IFERROR(__xludf.DUMMYFUNCTION("""COMPUTED_VALUE"""),1.09411058889878)</f>
        <v>1.0941105888987801</v>
      </c>
      <c r="U766" s="17">
        <f ca="1">IFERROR(__xludf.DUMMYFUNCTION("""COMPUTED_VALUE"""),1.11324891572906)</f>
        <v>1.1132489157290599</v>
      </c>
      <c r="V766" s="17">
        <f ca="1">IFERROR(__xludf.DUMMYFUNCTION("""COMPUTED_VALUE"""),1.02494367102807)</f>
        <v>1.0249436710280699</v>
      </c>
      <c r="W766" s="17">
        <f ca="1">IFERROR(__xludf.DUMMYFUNCTION("""COMPUTED_VALUE"""),1.01825585000572)</f>
        <v>1.0182558500057199</v>
      </c>
      <c r="X766" s="17">
        <f ca="1">IFERROR(__xludf.DUMMYFUNCTION("""COMPUTED_VALUE"""),0.997899015791734)</f>
        <v>0.99789901579173401</v>
      </c>
      <c r="Y766" s="17">
        <f ca="1">IFERROR(__xludf.DUMMYFUNCTION("""COMPUTED_VALUE"""),1.02928758202893)</f>
        <v>1.02928758202893</v>
      </c>
      <c r="Z766" s="17">
        <f ca="1">IFERROR(__xludf.DUMMYFUNCTION("""COMPUTED_VALUE"""),1.05675474995469)</f>
        <v>1.0567547499546901</v>
      </c>
      <c r="AA766" s="17">
        <f ca="1">IFERROR(__xludf.DUMMYFUNCTION("""COMPUTED_VALUE"""),1.00828354460703)</f>
        <v>1.00828354460703</v>
      </c>
      <c r="AB766" s="17">
        <f ca="1">IFERROR(__xludf.DUMMYFUNCTION("""COMPUTED_VALUE"""),1.09854109081213)</f>
        <v>1.09854109081213</v>
      </c>
      <c r="AC766" s="17">
        <f ca="1">IFERROR(__xludf.DUMMYFUNCTION("""COMPUTED_VALUE"""),1.00047780135663)</f>
        <v>1.00047780135663</v>
      </c>
      <c r="AD766" s="17">
        <f ca="1">IFERROR(__xludf.DUMMYFUNCTION("""COMPUTED_VALUE"""),1.02932577065072)</f>
        <v>1.02932577065072</v>
      </c>
      <c r="AE766" s="17">
        <f ca="1">IFERROR(__xludf.DUMMYFUNCTION("""COMPUTED_VALUE"""),1.23116996324125)</f>
        <v>1.2311699632412501</v>
      </c>
      <c r="AF766" s="17">
        <f ca="1">IFERROR(__xludf.DUMMYFUNCTION("""COMPUTED_VALUE"""),1.02343222991757)</f>
        <v>1.02343222991757</v>
      </c>
      <c r="AG766" s="17">
        <f ca="1">IFERROR(__xludf.DUMMYFUNCTION("""COMPUTED_VALUE"""),1.14691263527692)</f>
        <v>1.1469126352769199</v>
      </c>
      <c r="AH766" s="17">
        <f ca="1">IFERROR(__xludf.DUMMYFUNCTION("""COMPUTED_VALUE"""),1.01729300776343)</f>
        <v>1.0172930077634299</v>
      </c>
      <c r="AI766" s="17">
        <f ca="1">IFERROR(__xludf.DUMMYFUNCTION("""COMPUTED_VALUE"""),1.00313789578873)</f>
        <v>1.00313789578873</v>
      </c>
      <c r="AJ766" s="17">
        <f ca="1">IFERROR(__xludf.DUMMYFUNCTION("""COMPUTED_VALUE"""),1.00295289110484)</f>
        <v>1.00295289110484</v>
      </c>
    </row>
    <row r="767" spans="2:36" ht="15.75" customHeight="1" x14ac:dyDescent="0.45">
      <c r="B767" s="10" t="str">
        <f ca="1">IFERROR(__xludf.DUMMYFUNCTION("""COMPUTED_VALUE"""),"SharePriceIncrease")</f>
        <v>SharePriceIncrease</v>
      </c>
      <c r="C767" s="10" t="str">
        <f ca="1">IFERROR(__xludf.DUMMYFUNCTION("""COMPUTED_VALUE"""),"aligned_series")</f>
        <v>aligned_series</v>
      </c>
      <c r="D767" s="10">
        <f ca="1">IFERROR(__xludf.DUMMYFUNCTION("""COMPUTED_VALUE"""),0.1)</f>
        <v>0.1</v>
      </c>
      <c r="E767" s="17">
        <f ca="1">IFERROR(__xludf.DUMMYFUNCTION("""COMPUTED_VALUE"""),1.02532168858653)</f>
        <v>1.0253216885865299</v>
      </c>
      <c r="F767" s="17">
        <f ca="1">IFERROR(__xludf.DUMMYFUNCTION("""COMPUTED_VALUE"""),1.03778785806588)</f>
        <v>1.0377878580658799</v>
      </c>
      <c r="G767" s="17">
        <f ca="1">IFERROR(__xludf.DUMMYFUNCTION("""COMPUTED_VALUE"""),1.03881984003911)</f>
        <v>1.03881984003911</v>
      </c>
      <c r="H767" s="17">
        <f ca="1">IFERROR(__xludf.DUMMYFUNCTION("""COMPUTED_VALUE"""),1.06279747287391)</f>
        <v>1.06279747287391</v>
      </c>
      <c r="I767" s="17">
        <f ca="1">IFERROR(__xludf.DUMMYFUNCTION("""COMPUTED_VALUE"""),1.00399114582565)</f>
        <v>1.0039911458256501</v>
      </c>
      <c r="J767" s="17">
        <f ca="1">IFERROR(__xludf.DUMMYFUNCTION("""COMPUTED_VALUE"""),1.08903374865719)</f>
        <v>1.0890337486571899</v>
      </c>
      <c r="K767" s="17" t="str">
        <f ca="1">IFERROR(__xludf.DUMMYFUNCTION("""COMPUTED_VALUE"""),"nan")</f>
        <v>nan</v>
      </c>
      <c r="L767" s="17">
        <f ca="1">IFERROR(__xludf.DUMMYFUNCTION("""COMPUTED_VALUE"""),1.09341498204322)</f>
        <v>1.09341498204322</v>
      </c>
      <c r="M767" s="17">
        <f ca="1">IFERROR(__xludf.DUMMYFUNCTION("""COMPUTED_VALUE"""),1.0526003077583)</f>
        <v>1.0526003077582999</v>
      </c>
      <c r="N767" s="17">
        <f ca="1">IFERROR(__xludf.DUMMYFUNCTION("""COMPUTED_VALUE"""),1.20995840775234)</f>
        <v>1.20995840775234</v>
      </c>
      <c r="O767" s="17">
        <f ca="1">IFERROR(__xludf.DUMMYFUNCTION("""COMPUTED_VALUE"""),1.04313070551544)</f>
        <v>1.04313070551544</v>
      </c>
      <c r="P767" s="17">
        <f ca="1">IFERROR(__xludf.DUMMYFUNCTION("""COMPUTED_VALUE"""),1.08394642442129)</f>
        <v>1.08394642442129</v>
      </c>
      <c r="Q767" s="17">
        <f ca="1">IFERROR(__xludf.DUMMYFUNCTION("""COMPUTED_VALUE"""),1.4140440364217)</f>
        <v>1.4140440364217</v>
      </c>
      <c r="R767" s="17">
        <f ca="1">IFERROR(__xludf.DUMMYFUNCTION("""COMPUTED_VALUE"""),1.08623813647195)</f>
        <v>1.08623813647195</v>
      </c>
      <c r="S767" s="17">
        <f ca="1">IFERROR(__xludf.DUMMYFUNCTION("""COMPUTED_VALUE"""),1.18070034918198)</f>
        <v>1.1807003491819801</v>
      </c>
      <c r="T767" s="17">
        <f ca="1">IFERROR(__xludf.DUMMYFUNCTION("""COMPUTED_VALUE"""),1.04874542465954)</f>
        <v>1.04874542465954</v>
      </c>
      <c r="U767" s="17">
        <f ca="1">IFERROR(__xludf.DUMMYFUNCTION("""COMPUTED_VALUE"""),1.11655367691616)</f>
        <v>1.1165536769161599</v>
      </c>
      <c r="V767" s="17">
        <f ca="1">IFERROR(__xludf.DUMMYFUNCTION("""COMPUTED_VALUE"""),1.10849291225344)</f>
        <v>1.1084929122534399</v>
      </c>
      <c r="W767" s="17">
        <f ca="1">IFERROR(__xludf.DUMMYFUNCTION("""COMPUTED_VALUE"""),1.02443212565962)</f>
        <v>1.0244321256596201</v>
      </c>
      <c r="X767" s="17">
        <f ca="1">IFERROR(__xludf.DUMMYFUNCTION("""COMPUTED_VALUE"""),1.02593816402403)</f>
        <v>1.0259381640240299</v>
      </c>
      <c r="Y767" s="17">
        <f ca="1">IFERROR(__xludf.DUMMYFUNCTION("""COMPUTED_VALUE"""),1.18944215877322)</f>
        <v>1.18944215877322</v>
      </c>
      <c r="Z767" s="17">
        <f ca="1">IFERROR(__xludf.DUMMYFUNCTION("""COMPUTED_VALUE"""),1.02678439903673)</f>
        <v>1.02678439903673</v>
      </c>
      <c r="AA767" s="17">
        <f ca="1">IFERROR(__xludf.DUMMYFUNCTION("""COMPUTED_VALUE"""),1.05457971998349)</f>
        <v>1.0545797199834901</v>
      </c>
      <c r="AB767" s="17">
        <f ca="1">IFERROR(__xludf.DUMMYFUNCTION("""COMPUTED_VALUE"""),1.17897210118989)</f>
        <v>1.1789721011898899</v>
      </c>
      <c r="AC767" s="17">
        <f ca="1">IFERROR(__xludf.DUMMYFUNCTION("""COMPUTED_VALUE"""),1.25910895592143)</f>
        <v>1.2591089559214299</v>
      </c>
      <c r="AD767" s="17">
        <f ca="1">IFERROR(__xludf.DUMMYFUNCTION("""COMPUTED_VALUE"""),1.09814122789114)</f>
        <v>1.09814122789114</v>
      </c>
      <c r="AE767" s="17">
        <f ca="1">IFERROR(__xludf.DUMMYFUNCTION("""COMPUTED_VALUE"""),1.0467701056171)</f>
        <v>1.0467701056170999</v>
      </c>
      <c r="AF767" s="17">
        <f ca="1">IFERROR(__xludf.DUMMYFUNCTION("""COMPUTED_VALUE"""),1.0732761441925)</f>
        <v>1.0732761441925001</v>
      </c>
      <c r="AG767" s="17">
        <f ca="1">IFERROR(__xludf.DUMMYFUNCTION("""COMPUTED_VALUE"""),1.1613931676746)</f>
        <v>1.1613931676746001</v>
      </c>
      <c r="AH767" s="17">
        <f ca="1">IFERROR(__xludf.DUMMYFUNCTION("""COMPUTED_VALUE"""),1.06828302953451)</f>
        <v>1.06828302953451</v>
      </c>
      <c r="AI767" s="17">
        <f ca="1">IFERROR(__xludf.DUMMYFUNCTION("""COMPUTED_VALUE"""),1.14076639986728)</f>
        <v>1.1407663998672799</v>
      </c>
      <c r="AJ767" s="17">
        <f ca="1">IFERROR(__xludf.DUMMYFUNCTION("""COMPUTED_VALUE"""),1.10018900989364)</f>
        <v>1.10018900989364</v>
      </c>
    </row>
    <row r="768" spans="2:36" ht="15.75" customHeight="1" x14ac:dyDescent="0.45">
      <c r="B768" s="10" t="str">
        <f ca="1">IFERROR(__xludf.DUMMYFUNCTION("""COMPUTED_VALUE"""),"SharePriceIncrease")</f>
        <v>SharePriceIncrease</v>
      </c>
      <c r="C768" s="10" t="str">
        <f ca="1">IFERROR(__xludf.DUMMYFUNCTION("""COMPUTED_VALUE"""),"aligned_series")</f>
        <v>aligned_series</v>
      </c>
      <c r="D768" s="10">
        <f ca="1">IFERROR(__xludf.DUMMYFUNCTION("""COMPUTED_VALUE"""),0.2)</f>
        <v>0.2</v>
      </c>
      <c r="E768" s="17">
        <f ca="1">IFERROR(__xludf.DUMMYFUNCTION("""COMPUTED_VALUE"""),1.02627750158475)</f>
        <v>1.0262775015847501</v>
      </c>
      <c r="F768" s="17">
        <f ca="1">IFERROR(__xludf.DUMMYFUNCTION("""COMPUTED_VALUE"""),1.03508493134643)</f>
        <v>1.0350849313464301</v>
      </c>
      <c r="G768" s="17">
        <f ca="1">IFERROR(__xludf.DUMMYFUNCTION("""COMPUTED_VALUE"""),1.03601125257848)</f>
        <v>1.0360112525784799</v>
      </c>
      <c r="H768" s="17">
        <f ca="1">IFERROR(__xludf.DUMMYFUNCTION("""COMPUTED_VALUE"""),1.06099351811598)</f>
        <v>1.06099351811598</v>
      </c>
      <c r="I768" s="17">
        <f ca="1">IFERROR(__xludf.DUMMYFUNCTION("""COMPUTED_VALUE"""),1.0041055760977)</f>
        <v>1.0041055760977</v>
      </c>
      <c r="J768" s="17">
        <f ca="1">IFERROR(__xludf.DUMMYFUNCTION("""COMPUTED_VALUE"""),1.07463050729417)</f>
        <v>1.07463050729417</v>
      </c>
      <c r="K768" s="17" t="str">
        <f ca="1">IFERROR(__xludf.DUMMYFUNCTION("""COMPUTED_VALUE"""),"nan")</f>
        <v>nan</v>
      </c>
      <c r="L768" s="17">
        <f ca="1">IFERROR(__xludf.DUMMYFUNCTION("""COMPUTED_VALUE"""),1.08557066996101)</f>
        <v>1.0855706699610099</v>
      </c>
      <c r="M768" s="17">
        <f ca="1">IFERROR(__xludf.DUMMYFUNCTION("""COMPUTED_VALUE"""),1.06054526044703)</f>
        <v>1.06054526044703</v>
      </c>
      <c r="N768" s="17">
        <f ca="1">IFERROR(__xludf.DUMMYFUNCTION("""COMPUTED_VALUE"""),1.23836793383819)</f>
        <v>1.2383679338381901</v>
      </c>
      <c r="O768" s="17">
        <f ca="1">IFERROR(__xludf.DUMMYFUNCTION("""COMPUTED_VALUE"""),1.03307274990246)</f>
        <v>1.0330727499024599</v>
      </c>
      <c r="P768" s="17">
        <f ca="1">IFERROR(__xludf.DUMMYFUNCTION("""COMPUTED_VALUE"""),1.09501957774225)</f>
        <v>1.09501957774225</v>
      </c>
      <c r="Q768" s="17">
        <f ca="1">IFERROR(__xludf.DUMMYFUNCTION("""COMPUTED_VALUE"""),1.42163826940183)</f>
        <v>1.4216382694018299</v>
      </c>
      <c r="R768" s="17">
        <f ca="1">IFERROR(__xludf.DUMMYFUNCTION("""COMPUTED_VALUE"""),1.08931377106239)</f>
        <v>1.0893137710623899</v>
      </c>
      <c r="S768" s="17">
        <f ca="1">IFERROR(__xludf.DUMMYFUNCTION("""COMPUTED_VALUE"""),1.1752441256752)</f>
        <v>1.1752441256752</v>
      </c>
      <c r="T768" s="17">
        <f ca="1">IFERROR(__xludf.DUMMYFUNCTION("""COMPUTED_VALUE"""),1.06043930453594)</f>
        <v>1.0604393045359399</v>
      </c>
      <c r="U768" s="17">
        <f ca="1">IFERROR(__xludf.DUMMYFUNCTION("""COMPUTED_VALUE"""),1.08720086803477)</f>
        <v>1.08720086803477</v>
      </c>
      <c r="V768" s="17">
        <f ca="1">IFERROR(__xludf.DUMMYFUNCTION("""COMPUTED_VALUE"""),1.11420761471195)</f>
        <v>1.11420761471195</v>
      </c>
      <c r="W768" s="17">
        <f ca="1">IFERROR(__xludf.DUMMYFUNCTION("""COMPUTED_VALUE"""),1.02618428302296)</f>
        <v>1.0261842830229599</v>
      </c>
      <c r="X768" s="17">
        <f ca="1">IFERROR(__xludf.DUMMYFUNCTION("""COMPUTED_VALUE"""),1.02694327343693)</f>
        <v>1.0269432734369299</v>
      </c>
      <c r="Y768" s="17">
        <f ca="1">IFERROR(__xludf.DUMMYFUNCTION("""COMPUTED_VALUE"""),1.14707153980148)</f>
        <v>1.1470715398014799</v>
      </c>
      <c r="Z768" s="17">
        <f ca="1">IFERROR(__xludf.DUMMYFUNCTION("""COMPUTED_VALUE"""),1.0295651173394)</f>
        <v>1.0295651173394</v>
      </c>
      <c r="AA768" s="17">
        <f ca="1">IFERROR(__xludf.DUMMYFUNCTION("""COMPUTED_VALUE"""),1.04650110698056)</f>
        <v>1.0465011069805601</v>
      </c>
      <c r="AB768" s="17">
        <f ca="1">IFERROR(__xludf.DUMMYFUNCTION("""COMPUTED_VALUE"""),1.21327328007227)</f>
        <v>1.2132732800722701</v>
      </c>
      <c r="AC768" s="17">
        <f ca="1">IFERROR(__xludf.DUMMYFUNCTION("""COMPUTED_VALUE"""),1.24737785445488)</f>
        <v>1.2473778544548799</v>
      </c>
      <c r="AD768" s="17">
        <f ca="1">IFERROR(__xludf.DUMMYFUNCTION("""COMPUTED_VALUE"""),1.10659681246527)</f>
        <v>1.1065968124652701</v>
      </c>
      <c r="AE768" s="17">
        <f ca="1">IFERROR(__xludf.DUMMYFUNCTION("""COMPUTED_VALUE"""),1.05209426866733)</f>
        <v>1.05209426866733</v>
      </c>
      <c r="AF768" s="17">
        <f ca="1">IFERROR(__xludf.DUMMYFUNCTION("""COMPUTED_VALUE"""),1.08275127919717)</f>
        <v>1.0827512791971701</v>
      </c>
      <c r="AG768" s="17">
        <f ca="1">IFERROR(__xludf.DUMMYFUNCTION("""COMPUTED_VALUE"""),1.17214711914943)</f>
        <v>1.1721471191494299</v>
      </c>
      <c r="AH768" s="17">
        <f ca="1">IFERROR(__xludf.DUMMYFUNCTION("""COMPUTED_VALUE"""),1.06117483228163)</f>
        <v>1.0611748322816299</v>
      </c>
      <c r="AI768" s="17">
        <f ca="1">IFERROR(__xludf.DUMMYFUNCTION("""COMPUTED_VALUE"""),1.12615330381075)</f>
        <v>1.1261533038107501</v>
      </c>
      <c r="AJ768" s="17">
        <f ca="1">IFERROR(__xludf.DUMMYFUNCTION("""COMPUTED_VALUE"""),1.08695089277175)</f>
        <v>1.0869508927717499</v>
      </c>
    </row>
    <row r="769" spans="2:36" ht="15.75" customHeight="1" x14ac:dyDescent="0.45">
      <c r="B769" s="10" t="str">
        <f ca="1">IFERROR(__xludf.DUMMYFUNCTION("""COMPUTED_VALUE"""),"SharePriceIncrease")</f>
        <v>SharePriceIncrease</v>
      </c>
      <c r="C769" s="10" t="str">
        <f ca="1">IFERROR(__xludf.DUMMYFUNCTION("""COMPUTED_VALUE"""),"aligned_series")</f>
        <v>aligned_series</v>
      </c>
      <c r="D769" s="10">
        <f ca="1">IFERROR(__xludf.DUMMYFUNCTION("""COMPUTED_VALUE"""),0.4)</f>
        <v>0.4</v>
      </c>
      <c r="E769" s="17">
        <f ca="1">IFERROR(__xludf.DUMMYFUNCTION("""COMPUTED_VALUE"""),1.00965421219183)</f>
        <v>1.0096542121918299</v>
      </c>
      <c r="F769" s="17">
        <f ca="1">IFERROR(__xludf.DUMMYFUNCTION("""COMPUTED_VALUE"""),1.01812407710198)</f>
        <v>1.0181240771019799</v>
      </c>
      <c r="G769" s="17">
        <f ca="1">IFERROR(__xludf.DUMMYFUNCTION("""COMPUTED_VALUE"""),1.01972774171334)</f>
        <v>1.0197277417133399</v>
      </c>
      <c r="H769" s="17">
        <f ca="1">IFERROR(__xludf.DUMMYFUNCTION("""COMPUTED_VALUE"""),1.03821070592747)</f>
        <v>1.0382107059274699</v>
      </c>
      <c r="I769" s="17">
        <f ca="1">IFERROR(__xludf.DUMMYFUNCTION("""COMPUTED_VALUE"""),0.991958562984)</f>
        <v>0.99195856298399998</v>
      </c>
      <c r="J769" s="17">
        <f ca="1">IFERROR(__xludf.DUMMYFUNCTION("""COMPUTED_VALUE"""),1.10684056511032)</f>
        <v>1.1068405651103199</v>
      </c>
      <c r="K769" s="17" t="str">
        <f ca="1">IFERROR(__xludf.DUMMYFUNCTION("""COMPUTED_VALUE"""),"nan")</f>
        <v>nan</v>
      </c>
      <c r="L769" s="17">
        <f ca="1">IFERROR(__xludf.DUMMYFUNCTION("""COMPUTED_VALUE"""),1.05512327194342)</f>
        <v>1.05512327194342</v>
      </c>
      <c r="M769" s="17">
        <f ca="1">IFERROR(__xludf.DUMMYFUNCTION("""COMPUTED_VALUE"""),1.03546906720415)</f>
        <v>1.03546906720415</v>
      </c>
      <c r="N769" s="17">
        <f ca="1">IFERROR(__xludf.DUMMYFUNCTION("""COMPUTED_VALUE"""),1.35483560565493)</f>
        <v>1.35483560565493</v>
      </c>
      <c r="O769" s="17">
        <f ca="1">IFERROR(__xludf.DUMMYFUNCTION("""COMPUTED_VALUE"""),1.02205880237554)</f>
        <v>1.0220588023755399</v>
      </c>
      <c r="P769" s="17">
        <f ca="1">IFERROR(__xludf.DUMMYFUNCTION("""COMPUTED_VALUE"""),1.08825030550229)</f>
        <v>1.0882503055022901</v>
      </c>
      <c r="Q769" s="17">
        <f ca="1">IFERROR(__xludf.DUMMYFUNCTION("""COMPUTED_VALUE"""),1.37903325096593)</f>
        <v>1.37903325096593</v>
      </c>
      <c r="R769" s="17">
        <f ca="1">IFERROR(__xludf.DUMMYFUNCTION("""COMPUTED_VALUE"""),1.05939668282656)</f>
        <v>1.05939668282656</v>
      </c>
      <c r="S769" s="17">
        <f ca="1">IFERROR(__xludf.DUMMYFUNCTION("""COMPUTED_VALUE"""),1.17131515987587)</f>
        <v>1.17131515987587</v>
      </c>
      <c r="T769" s="17">
        <f ca="1">IFERROR(__xludf.DUMMYFUNCTION("""COMPUTED_VALUE"""),1.04144419122917)</f>
        <v>1.0414441912291701</v>
      </c>
      <c r="U769" s="17">
        <f ca="1">IFERROR(__xludf.DUMMYFUNCTION("""COMPUTED_VALUE"""),1.07025485952217)</f>
        <v>1.0702548595221699</v>
      </c>
      <c r="V769" s="17">
        <f ca="1">IFERROR(__xludf.DUMMYFUNCTION("""COMPUTED_VALUE"""),1.09114034210144)</f>
        <v>1.0911403421014401</v>
      </c>
      <c r="W769" s="17">
        <f ca="1">IFERROR(__xludf.DUMMYFUNCTION("""COMPUTED_VALUE"""),1.00880634988801)</f>
        <v>1.00880634988801</v>
      </c>
      <c r="X769" s="17">
        <f ca="1">IFERROR(__xludf.DUMMYFUNCTION("""COMPUTED_VALUE"""),1.01059522297921)</f>
        <v>1.0105952229792099</v>
      </c>
      <c r="Y769" s="17">
        <f ca="1">IFERROR(__xludf.DUMMYFUNCTION("""COMPUTED_VALUE"""),1.06738340574)</f>
        <v>1.06738340574</v>
      </c>
      <c r="Z769" s="17">
        <f ca="1">IFERROR(__xludf.DUMMYFUNCTION("""COMPUTED_VALUE"""),1.01669876575655)</f>
        <v>1.01669876575655</v>
      </c>
      <c r="AA769" s="17">
        <f ca="1">IFERROR(__xludf.DUMMYFUNCTION("""COMPUTED_VALUE"""),1.02947107306092)</f>
        <v>1.02947107306092</v>
      </c>
      <c r="AB769" s="17">
        <f ca="1">IFERROR(__xludf.DUMMYFUNCTION("""COMPUTED_VALUE"""),1.52086713435538)</f>
        <v>1.5208671343553799</v>
      </c>
      <c r="AC769" s="17">
        <f ca="1">IFERROR(__xludf.DUMMYFUNCTION("""COMPUTED_VALUE"""),1.2106885127354)</f>
        <v>1.2106885127353999</v>
      </c>
      <c r="AD769" s="17">
        <f ca="1">IFERROR(__xludf.DUMMYFUNCTION("""COMPUTED_VALUE"""),1.07190405532777)</f>
        <v>1.0719040553277699</v>
      </c>
      <c r="AE769" s="17">
        <f ca="1">IFERROR(__xludf.DUMMYFUNCTION("""COMPUTED_VALUE"""),1.03974562686257)</f>
        <v>1.03974562686257</v>
      </c>
      <c r="AF769" s="17">
        <f ca="1">IFERROR(__xludf.DUMMYFUNCTION("""COMPUTED_VALUE"""),1.07290992845036)</f>
        <v>1.07290992845036</v>
      </c>
      <c r="AG769" s="17">
        <f ca="1">IFERROR(__xludf.DUMMYFUNCTION("""COMPUTED_VALUE"""),1.14450972745779)</f>
        <v>1.14450972745779</v>
      </c>
      <c r="AH769" s="17">
        <f ca="1">IFERROR(__xludf.DUMMYFUNCTION("""COMPUTED_VALUE"""),1.05026095980223)</f>
        <v>1.0502609598022301</v>
      </c>
      <c r="AI769" s="17">
        <f ca="1">IFERROR(__xludf.DUMMYFUNCTION("""COMPUTED_VALUE"""),1.11622888524915)</f>
        <v>1.11622888524915</v>
      </c>
      <c r="AJ769" s="17">
        <f ca="1">IFERROR(__xludf.DUMMYFUNCTION("""COMPUTED_VALUE"""),1.0722574613259)</f>
        <v>1.0722574613258999</v>
      </c>
    </row>
    <row r="770" spans="2:36" ht="15.75" customHeight="1" x14ac:dyDescent="0.45">
      <c r="B770" s="10" t="str">
        <f ca="1">IFERROR(__xludf.DUMMYFUNCTION("""COMPUTED_VALUE"""),"SharePriceIncrease")</f>
        <v>SharePriceIncrease</v>
      </c>
      <c r="C770" s="10" t="str">
        <f ca="1">IFERROR(__xludf.DUMMYFUNCTION("""COMPUTED_VALUE"""),"aligned_series")</f>
        <v>aligned_series</v>
      </c>
      <c r="D770" s="10">
        <f ca="1">IFERROR(__xludf.DUMMYFUNCTION("""COMPUTED_VALUE"""),0.6)</f>
        <v>0.6</v>
      </c>
      <c r="E770" s="17">
        <f ca="1">IFERROR(__xludf.DUMMYFUNCTION("""COMPUTED_VALUE"""),1.00529494473173)</f>
        <v>1.0052949447317301</v>
      </c>
      <c r="F770" s="17">
        <f ca="1">IFERROR(__xludf.DUMMYFUNCTION("""COMPUTED_VALUE"""),1.02075577688128)</f>
        <v>1.0207557768812801</v>
      </c>
      <c r="G770" s="17">
        <f ca="1">IFERROR(__xludf.DUMMYFUNCTION("""COMPUTED_VALUE"""),1.02654179300519)</f>
        <v>1.0265417930051901</v>
      </c>
      <c r="H770" s="17">
        <f ca="1">IFERROR(__xludf.DUMMYFUNCTION("""COMPUTED_VALUE"""),1.04229254460446)</f>
        <v>1.04229254460446</v>
      </c>
      <c r="I770" s="17">
        <f ca="1">IFERROR(__xludf.DUMMYFUNCTION("""COMPUTED_VALUE"""),0.998302988848072)</f>
        <v>0.998302988848072</v>
      </c>
      <c r="J770" s="17">
        <f ca="1">IFERROR(__xludf.DUMMYFUNCTION("""COMPUTED_VALUE"""),1.23816047474683)</f>
        <v>1.23816047474683</v>
      </c>
      <c r="K770" s="17" t="str">
        <f ca="1">IFERROR(__xludf.DUMMYFUNCTION("""COMPUTED_VALUE"""),"nan")</f>
        <v>nan</v>
      </c>
      <c r="L770" s="17">
        <f ca="1">IFERROR(__xludf.DUMMYFUNCTION("""COMPUTED_VALUE"""),1.05630669242161)</f>
        <v>1.05630669242161</v>
      </c>
      <c r="M770" s="17">
        <f ca="1">IFERROR(__xludf.DUMMYFUNCTION("""COMPUTED_VALUE"""),1.02251351741685)</f>
        <v>1.02251351741685</v>
      </c>
      <c r="N770" s="17">
        <f ca="1">IFERROR(__xludf.DUMMYFUNCTION("""COMPUTED_VALUE"""),1.40872353204545)</f>
        <v>1.4087235320454501</v>
      </c>
      <c r="O770" s="17">
        <f ca="1">IFERROR(__xludf.DUMMYFUNCTION("""COMPUTED_VALUE"""),1.02549876398415)</f>
        <v>1.02549876398415</v>
      </c>
      <c r="P770" s="17">
        <f ca="1">IFERROR(__xludf.DUMMYFUNCTION("""COMPUTED_VALUE"""),1.09578006001713)</f>
        <v>1.0957800600171299</v>
      </c>
      <c r="Q770" s="17">
        <f ca="1">IFERROR(__xludf.DUMMYFUNCTION("""COMPUTED_VALUE"""),1.27107556495408)</f>
        <v>1.2710755649540799</v>
      </c>
      <c r="R770" s="17">
        <f ca="1">IFERROR(__xludf.DUMMYFUNCTION("""COMPUTED_VALUE"""),1.05141885671248)</f>
        <v>1.05141885671248</v>
      </c>
      <c r="S770" s="17">
        <f ca="1">IFERROR(__xludf.DUMMYFUNCTION("""COMPUTED_VALUE"""),1.18040859332349)</f>
        <v>1.18040859332349</v>
      </c>
      <c r="T770" s="17">
        <f ca="1">IFERROR(__xludf.DUMMYFUNCTION("""COMPUTED_VALUE"""),1.03709145678368)</f>
        <v>1.03709145678368</v>
      </c>
      <c r="U770" s="17">
        <f ca="1">IFERROR(__xludf.DUMMYFUNCTION("""COMPUTED_VALUE"""),1.05357806057674)</f>
        <v>1.05357806057674</v>
      </c>
      <c r="V770" s="17">
        <f ca="1">IFERROR(__xludf.DUMMYFUNCTION("""COMPUTED_VALUE"""),1.10251372797191)</f>
        <v>1.1025137279719099</v>
      </c>
      <c r="W770" s="17">
        <f ca="1">IFERROR(__xludf.DUMMYFUNCTION("""COMPUTED_VALUE"""),1.00489923955806)</f>
        <v>1.00489923955806</v>
      </c>
      <c r="X770" s="17">
        <f ca="1">IFERROR(__xludf.DUMMYFUNCTION("""COMPUTED_VALUE"""),1.00596421512151)</f>
        <v>1.00596421512151</v>
      </c>
      <c r="Y770" s="17">
        <f ca="1">IFERROR(__xludf.DUMMYFUNCTION("""COMPUTED_VALUE"""),1.0381870696058)</f>
        <v>1.0381870696058</v>
      </c>
      <c r="Z770" s="17">
        <f ca="1">IFERROR(__xludf.DUMMYFUNCTION("""COMPUTED_VALUE"""),1.0109145203019)</f>
        <v>1.0109145203019001</v>
      </c>
      <c r="AA770" s="17">
        <f ca="1">IFERROR(__xludf.DUMMYFUNCTION("""COMPUTED_VALUE"""),1.03285443751026)</f>
        <v>1.03285443751026</v>
      </c>
      <c r="AB770" s="17">
        <f ca="1">IFERROR(__xludf.DUMMYFUNCTION("""COMPUTED_VALUE"""),2.42401009864298)</f>
        <v>2.42401009864298</v>
      </c>
      <c r="AC770" s="17">
        <f ca="1">IFERROR(__xludf.DUMMYFUNCTION("""COMPUTED_VALUE"""),1.16424267830563)</f>
        <v>1.1642426783056301</v>
      </c>
      <c r="AD770" s="17">
        <f ca="1">IFERROR(__xludf.DUMMYFUNCTION("""COMPUTED_VALUE"""),1.08217441599023)</f>
        <v>1.08217441599023</v>
      </c>
      <c r="AE770" s="17">
        <f ca="1">IFERROR(__xludf.DUMMYFUNCTION("""COMPUTED_VALUE"""),1.03213294910223)</f>
        <v>1.03213294910223</v>
      </c>
      <c r="AF770" s="17">
        <f ca="1">IFERROR(__xludf.DUMMYFUNCTION("""COMPUTED_VALUE"""),1.08524026619585)</f>
        <v>1.08524026619585</v>
      </c>
      <c r="AG770" s="17">
        <f ca="1">IFERROR(__xludf.DUMMYFUNCTION("""COMPUTED_VALUE"""),1.14280778492261)</f>
        <v>1.1428077849226099</v>
      </c>
      <c r="AH770" s="17">
        <f ca="1">IFERROR(__xludf.DUMMYFUNCTION("""COMPUTED_VALUE"""),1.04782931358466)</f>
        <v>1.0478293135846599</v>
      </c>
      <c r="AI770" s="17">
        <f ca="1">IFERROR(__xludf.DUMMYFUNCTION("""COMPUTED_VALUE"""),1.10955525420652)</f>
        <v>1.1095552542065199</v>
      </c>
      <c r="AJ770" s="17">
        <f ca="1">IFERROR(__xludf.DUMMYFUNCTION("""COMPUTED_VALUE"""),1.04266248436186)</f>
        <v>1.0426624843618599</v>
      </c>
    </row>
    <row r="771" spans="2:36" ht="15.75" customHeight="1" x14ac:dyDescent="0.45">
      <c r="B771" s="10" t="str">
        <f ca="1">IFERROR(__xludf.DUMMYFUNCTION("""COMPUTED_VALUE"""),"SharePriceIncrease")</f>
        <v>SharePriceIncrease</v>
      </c>
      <c r="C771" s="10" t="str">
        <f ca="1">IFERROR(__xludf.DUMMYFUNCTION("""COMPUTED_VALUE"""),"aligned_series")</f>
        <v>aligned_series</v>
      </c>
      <c r="D771" s="10">
        <f ca="1">IFERROR(__xludf.DUMMYFUNCTION("""COMPUTED_VALUE"""),0.8)</f>
        <v>0.8</v>
      </c>
      <c r="E771" s="17">
        <f ca="1">IFERROR(__xludf.DUMMYFUNCTION("""COMPUTED_VALUE"""),0.992190119873122)</f>
        <v>0.992190119873122</v>
      </c>
      <c r="F771" s="17">
        <f ca="1">IFERROR(__xludf.DUMMYFUNCTION("""COMPUTED_VALUE"""),1.01981396959355)</f>
        <v>1.01981396959355</v>
      </c>
      <c r="G771" s="17">
        <f ca="1">IFERROR(__xludf.DUMMYFUNCTION("""COMPUTED_VALUE"""),1.03659551617468)</f>
        <v>1.03659551617468</v>
      </c>
      <c r="H771" s="17">
        <f ca="1">IFERROR(__xludf.DUMMYFUNCTION("""COMPUTED_VALUE"""),1.03688397234245)</f>
        <v>1.0368839723424501</v>
      </c>
      <c r="I771" s="17">
        <f ca="1">IFERROR(__xludf.DUMMYFUNCTION("""COMPUTED_VALUE"""),0.99783680006278)</f>
        <v>0.99783680006277997</v>
      </c>
      <c r="J771" s="17">
        <f ca="1">IFERROR(__xludf.DUMMYFUNCTION("""COMPUTED_VALUE"""),1.28816805421202)</f>
        <v>1.28816805421202</v>
      </c>
      <c r="K771" s="17" t="str">
        <f ca="1">IFERROR(__xludf.DUMMYFUNCTION("""COMPUTED_VALUE"""),"nan")</f>
        <v>nan</v>
      </c>
      <c r="L771" s="17">
        <f ca="1">IFERROR(__xludf.DUMMYFUNCTION("""COMPUTED_VALUE"""),1.07016492277112)</f>
        <v>1.0701649227711201</v>
      </c>
      <c r="M771" s="17">
        <f ca="1">IFERROR(__xludf.DUMMYFUNCTION("""COMPUTED_VALUE"""),1.03002919320567)</f>
        <v>1.03002919320567</v>
      </c>
      <c r="N771" s="17">
        <f ca="1">IFERROR(__xludf.DUMMYFUNCTION("""COMPUTED_VALUE"""),1.49242131040766)</f>
        <v>1.49242131040766</v>
      </c>
      <c r="O771" s="17">
        <f ca="1">IFERROR(__xludf.DUMMYFUNCTION("""COMPUTED_VALUE"""),1.01578142525918)</f>
        <v>1.0157814252591799</v>
      </c>
      <c r="P771" s="17">
        <f ca="1">IFERROR(__xludf.DUMMYFUNCTION("""COMPUTED_VALUE"""),1.09266758634613)</f>
        <v>1.0926675863461299</v>
      </c>
      <c r="Q771" s="17">
        <f ca="1">IFERROR(__xludf.DUMMYFUNCTION("""COMPUTED_VALUE"""),1.11211038396644)</f>
        <v>1.1121103839664399</v>
      </c>
      <c r="R771" s="17">
        <f ca="1">IFERROR(__xludf.DUMMYFUNCTION("""COMPUTED_VALUE"""),1.03026278034261)</f>
        <v>1.0302627803426101</v>
      </c>
      <c r="S771" s="17">
        <f ca="1">IFERROR(__xludf.DUMMYFUNCTION("""COMPUTED_VALUE"""),1.17365930752507)</f>
        <v>1.1736593075250701</v>
      </c>
      <c r="T771" s="17">
        <f ca="1">IFERROR(__xludf.DUMMYFUNCTION("""COMPUTED_VALUE"""),1.02377521080196)</f>
        <v>1.02377521080196</v>
      </c>
      <c r="U771" s="17">
        <f ca="1">IFERROR(__xludf.DUMMYFUNCTION("""COMPUTED_VALUE"""),1.04209919585495)</f>
        <v>1.0420991958549499</v>
      </c>
      <c r="V771" s="17">
        <f ca="1">IFERROR(__xludf.DUMMYFUNCTION("""COMPUTED_VALUE"""),1.09319320233281)</f>
        <v>1.0931932023328099</v>
      </c>
      <c r="W771" s="17">
        <f ca="1">IFERROR(__xludf.DUMMYFUNCTION("""COMPUTED_VALUE"""),0.991545381931985)</f>
        <v>0.99154538193198505</v>
      </c>
      <c r="X771" s="17">
        <f ca="1">IFERROR(__xludf.DUMMYFUNCTION("""COMPUTED_VALUE"""),1.0397856852103)</f>
        <v>1.0397856852103</v>
      </c>
      <c r="Y771" s="17">
        <f ca="1">IFERROR(__xludf.DUMMYFUNCTION("""COMPUTED_VALUE"""),1.01121562350716)</f>
        <v>1.0112156235071601</v>
      </c>
      <c r="Z771" s="17">
        <f ca="1">IFERROR(__xludf.DUMMYFUNCTION("""COMPUTED_VALUE"""),1.00173430226432)</f>
        <v>1.0017343022643199</v>
      </c>
      <c r="AA771" s="17">
        <f ca="1">IFERROR(__xludf.DUMMYFUNCTION("""COMPUTED_VALUE"""),1.02723962563718)</f>
        <v>1.0272396256371801</v>
      </c>
      <c r="AB771" s="17">
        <f ca="1">IFERROR(__xludf.DUMMYFUNCTION("""COMPUTED_VALUE"""),2.74480737392139)</f>
        <v>2.7448073739213901</v>
      </c>
      <c r="AC771" s="17">
        <f ca="1">IFERROR(__xludf.DUMMYFUNCTION("""COMPUTED_VALUE"""),1.17324676823782)</f>
        <v>1.17324676823782</v>
      </c>
      <c r="AD771" s="17">
        <f ca="1">IFERROR(__xludf.DUMMYFUNCTION("""COMPUTED_VALUE"""),1.06276708651871)</f>
        <v>1.06276708651871</v>
      </c>
      <c r="AE771" s="17">
        <f ca="1">IFERROR(__xludf.DUMMYFUNCTION("""COMPUTED_VALUE"""),1.02079177457386)</f>
        <v>1.0207917745738599</v>
      </c>
      <c r="AF771" s="17">
        <f ca="1">IFERROR(__xludf.DUMMYFUNCTION("""COMPUTED_VALUE"""),1.11736979981618)</f>
        <v>1.11736979981618</v>
      </c>
      <c r="AG771" s="17">
        <f ca="1">IFERROR(__xludf.DUMMYFUNCTION("""COMPUTED_VALUE"""),1.12732452424696)</f>
        <v>1.1273245242469601</v>
      </c>
      <c r="AH771" s="17">
        <f ca="1">IFERROR(__xludf.DUMMYFUNCTION("""COMPUTED_VALUE"""),1.03424236165228)</f>
        <v>1.03424236165228</v>
      </c>
      <c r="AI771" s="17">
        <f ca="1">IFERROR(__xludf.DUMMYFUNCTION("""COMPUTED_VALUE"""),1.09111787767942)</f>
        <v>1.0911178776794199</v>
      </c>
      <c r="AJ771" s="17">
        <f ca="1">IFERROR(__xludf.DUMMYFUNCTION("""COMPUTED_VALUE"""),1.058360353698)</f>
        <v>1.058360353698</v>
      </c>
    </row>
    <row r="772" spans="2:36" ht="15.75" customHeight="1" x14ac:dyDescent="0.45">
      <c r="B772" s="10" t="str">
        <f ca="1">IFERROR(__xludf.DUMMYFUNCTION("""COMPUTED_VALUE"""),"SharePriceIncrease")</f>
        <v>SharePriceIncrease</v>
      </c>
      <c r="C772" s="10" t="str">
        <f ca="1">IFERROR(__xludf.DUMMYFUNCTION("""COMPUTED_VALUE"""),"aligned_timestamps")</f>
        <v>aligned_timestamps</v>
      </c>
      <c r="D772" s="10">
        <f ca="1">IFERROR(__xludf.DUMMYFUNCTION("""COMPUTED_VALUE"""),0.1)</f>
        <v>0.1</v>
      </c>
      <c r="E772" s="17">
        <f ca="1">IFERROR(__xludf.DUMMYFUNCTION("""COMPUTED_VALUE"""),1.04515281972425)</f>
        <v>1.0451528197242499</v>
      </c>
      <c r="F772" s="17">
        <f ca="1">IFERROR(__xludf.DUMMYFUNCTION("""COMPUTED_VALUE"""),1.05330421723007)</f>
        <v>1.05330421723007</v>
      </c>
      <c r="G772" s="17">
        <f ca="1">IFERROR(__xludf.DUMMYFUNCTION("""COMPUTED_VALUE"""),1.0542646291488)</f>
        <v>1.0542646291488</v>
      </c>
      <c r="H772" s="17">
        <f ca="1">IFERROR(__xludf.DUMMYFUNCTION("""COMPUTED_VALUE"""),1.09459770090008)</f>
        <v>1.09459770090008</v>
      </c>
      <c r="I772" s="17">
        <f ca="1">IFERROR(__xludf.DUMMYFUNCTION("""COMPUTED_VALUE"""),0.989394132566139)</f>
        <v>0.98939413256613895</v>
      </c>
      <c r="J772" s="17">
        <f ca="1">IFERROR(__xludf.DUMMYFUNCTION("""COMPUTED_VALUE"""),1.06965852077365)</f>
        <v>1.06965852077365</v>
      </c>
      <c r="K772" s="17" t="str">
        <f ca="1">IFERROR(__xludf.DUMMYFUNCTION("""COMPUTED_VALUE"""),"nan")</f>
        <v>nan</v>
      </c>
      <c r="L772" s="17">
        <f ca="1">IFERROR(__xludf.DUMMYFUNCTION("""COMPUTED_VALUE"""),1.0949986689998)</f>
        <v>1.0949986689997999</v>
      </c>
      <c r="M772" s="17">
        <f ca="1">IFERROR(__xludf.DUMMYFUNCTION("""COMPUTED_VALUE"""),1.06799926628583)</f>
        <v>1.06799926628583</v>
      </c>
      <c r="N772" s="17">
        <f ca="1">IFERROR(__xludf.DUMMYFUNCTION("""COMPUTED_VALUE"""),1.23525206303978)</f>
        <v>1.2352520630397801</v>
      </c>
      <c r="O772" s="17">
        <f ca="1">IFERROR(__xludf.DUMMYFUNCTION("""COMPUTED_VALUE"""),1.05315363989326)</f>
        <v>1.0531536398932599</v>
      </c>
      <c r="P772" s="17">
        <f ca="1">IFERROR(__xludf.DUMMYFUNCTION("""COMPUTED_VALUE"""),1.11218350408889)</f>
        <v>1.1121835040888901</v>
      </c>
      <c r="Q772" s="17">
        <f ca="1">IFERROR(__xludf.DUMMYFUNCTION("""COMPUTED_VALUE"""),1.45961268341305)</f>
        <v>1.4596126834130501</v>
      </c>
      <c r="R772" s="17">
        <f ca="1">IFERROR(__xludf.DUMMYFUNCTION("""COMPUTED_VALUE"""),1.11657357363133)</f>
        <v>1.11657357363133</v>
      </c>
      <c r="S772" s="17">
        <f ca="1">IFERROR(__xludf.DUMMYFUNCTION("""COMPUTED_VALUE"""),1.19538920195448)</f>
        <v>1.1953892019544801</v>
      </c>
      <c r="T772" s="17">
        <f ca="1">IFERROR(__xludf.DUMMYFUNCTION("""COMPUTED_VALUE"""),1.07421161592535)</f>
        <v>1.0742116159253501</v>
      </c>
      <c r="U772" s="17">
        <f ca="1">IFERROR(__xludf.DUMMYFUNCTION("""COMPUTED_VALUE"""),1.12312245260171)</f>
        <v>1.1231224526017101</v>
      </c>
      <c r="V772" s="17">
        <f ca="1">IFERROR(__xludf.DUMMYFUNCTION("""COMPUTED_VALUE"""),1.13999176015827)</f>
        <v>1.1399917601582701</v>
      </c>
      <c r="W772" s="17">
        <f ca="1">IFERROR(__xludf.DUMMYFUNCTION("""COMPUTED_VALUE"""),1.04773710179152)</f>
        <v>1.04773710179152</v>
      </c>
      <c r="X772" s="17">
        <f ca="1">IFERROR(__xludf.DUMMYFUNCTION("""COMPUTED_VALUE"""),1.0453268370249)</f>
        <v>1.0453268370249</v>
      </c>
      <c r="Y772" s="17">
        <f ca="1">IFERROR(__xludf.DUMMYFUNCTION("""COMPUTED_VALUE"""),1.20135965903781)</f>
        <v>1.2013596590378099</v>
      </c>
      <c r="Z772" s="17">
        <f ca="1">IFERROR(__xludf.DUMMYFUNCTION("""COMPUTED_VALUE"""),1.04945330855717)</f>
        <v>1.04945330855717</v>
      </c>
      <c r="AA772" s="17">
        <f ca="1">IFERROR(__xludf.DUMMYFUNCTION("""COMPUTED_VALUE"""),1.10520265751729)</f>
        <v>1.10520265751729</v>
      </c>
      <c r="AB772" s="17">
        <f ca="1">IFERROR(__xludf.DUMMYFUNCTION("""COMPUTED_VALUE"""),1.29552454590588)</f>
        <v>1.29552454590588</v>
      </c>
      <c r="AC772" s="17">
        <f ca="1">IFERROR(__xludf.DUMMYFUNCTION("""COMPUTED_VALUE"""),1.2892994238142)</f>
        <v>1.2892994238141999</v>
      </c>
      <c r="AD772" s="17">
        <f ca="1">IFERROR(__xludf.DUMMYFUNCTION("""COMPUTED_VALUE"""),1.12581117210685)</f>
        <v>1.12581117210685</v>
      </c>
      <c r="AE772" s="17">
        <f ca="1">IFERROR(__xludf.DUMMYFUNCTION("""COMPUTED_VALUE"""),1.07347998887096)</f>
        <v>1.0734799888709601</v>
      </c>
      <c r="AF772" s="17">
        <f ca="1">IFERROR(__xludf.DUMMYFUNCTION("""COMPUTED_VALUE"""),1.06337874301289)</f>
        <v>1.06337874301289</v>
      </c>
      <c r="AG772" s="17">
        <f ca="1">IFERROR(__xludf.DUMMYFUNCTION("""COMPUTED_VALUE"""),1.16363186818478)</f>
        <v>1.1636318681847799</v>
      </c>
      <c r="AH772" s="17">
        <f ca="1">IFERROR(__xludf.DUMMYFUNCTION("""COMPUTED_VALUE"""),1.13939834099704)</f>
        <v>1.1393983409970401</v>
      </c>
      <c r="AI772" s="17">
        <f ca="1">IFERROR(__xludf.DUMMYFUNCTION("""COMPUTED_VALUE"""),1.21584730081893)</f>
        <v>1.2158473008189301</v>
      </c>
      <c r="AJ772" s="17">
        <f ca="1">IFERROR(__xludf.DUMMYFUNCTION("""COMPUTED_VALUE"""),1.08174160427705)</f>
        <v>1.08174160427705</v>
      </c>
    </row>
    <row r="773" spans="2:36" ht="15.75" customHeight="1" x14ac:dyDescent="0.45">
      <c r="B773" s="10" t="str">
        <f ca="1">IFERROR(__xludf.DUMMYFUNCTION("""COMPUTED_VALUE"""),"SharePriceIncrease")</f>
        <v>SharePriceIncrease</v>
      </c>
      <c r="C773" s="10" t="str">
        <f ca="1">IFERROR(__xludf.DUMMYFUNCTION("""COMPUTED_VALUE"""),"aligned_timestamps")</f>
        <v>aligned_timestamps</v>
      </c>
      <c r="D773" s="10">
        <f ca="1">IFERROR(__xludf.DUMMYFUNCTION("""COMPUTED_VALUE"""),0.2)</f>
        <v>0.2</v>
      </c>
      <c r="E773" s="17">
        <f ca="1">IFERROR(__xludf.DUMMYFUNCTION("""COMPUTED_VALUE"""),1.02627750158475)</f>
        <v>1.0262775015847501</v>
      </c>
      <c r="F773" s="17">
        <f ca="1">IFERROR(__xludf.DUMMYFUNCTION("""COMPUTED_VALUE"""),1.03508493134643)</f>
        <v>1.0350849313464301</v>
      </c>
      <c r="G773" s="17">
        <f ca="1">IFERROR(__xludf.DUMMYFUNCTION("""COMPUTED_VALUE"""),1.03601125257848)</f>
        <v>1.0360112525784799</v>
      </c>
      <c r="H773" s="17">
        <f ca="1">IFERROR(__xludf.DUMMYFUNCTION("""COMPUTED_VALUE"""),1.06099351811598)</f>
        <v>1.06099351811598</v>
      </c>
      <c r="I773" s="17">
        <f ca="1">IFERROR(__xludf.DUMMYFUNCTION("""COMPUTED_VALUE"""),1.0041055760977)</f>
        <v>1.0041055760977</v>
      </c>
      <c r="J773" s="17">
        <f ca="1">IFERROR(__xludf.DUMMYFUNCTION("""COMPUTED_VALUE"""),1.07463050729417)</f>
        <v>1.07463050729417</v>
      </c>
      <c r="K773" s="17" t="str">
        <f ca="1">IFERROR(__xludf.DUMMYFUNCTION("""COMPUTED_VALUE"""),"nan")</f>
        <v>nan</v>
      </c>
      <c r="L773" s="17">
        <f ca="1">IFERROR(__xludf.DUMMYFUNCTION("""COMPUTED_VALUE"""),1.08557066996101)</f>
        <v>1.0855706699610099</v>
      </c>
      <c r="M773" s="17">
        <f ca="1">IFERROR(__xludf.DUMMYFUNCTION("""COMPUTED_VALUE"""),1.06054526044703)</f>
        <v>1.06054526044703</v>
      </c>
      <c r="N773" s="17">
        <f ca="1">IFERROR(__xludf.DUMMYFUNCTION("""COMPUTED_VALUE"""),1.23836793383819)</f>
        <v>1.2383679338381901</v>
      </c>
      <c r="O773" s="17">
        <f ca="1">IFERROR(__xludf.DUMMYFUNCTION("""COMPUTED_VALUE"""),1.03307274990246)</f>
        <v>1.0330727499024599</v>
      </c>
      <c r="P773" s="17">
        <f ca="1">IFERROR(__xludf.DUMMYFUNCTION("""COMPUTED_VALUE"""),1.09501957774225)</f>
        <v>1.09501957774225</v>
      </c>
      <c r="Q773" s="17">
        <f ca="1">IFERROR(__xludf.DUMMYFUNCTION("""COMPUTED_VALUE"""),1.42163826940183)</f>
        <v>1.4216382694018299</v>
      </c>
      <c r="R773" s="17">
        <f ca="1">IFERROR(__xludf.DUMMYFUNCTION("""COMPUTED_VALUE"""),1.08931377106239)</f>
        <v>1.0893137710623899</v>
      </c>
      <c r="S773" s="17">
        <f ca="1">IFERROR(__xludf.DUMMYFUNCTION("""COMPUTED_VALUE"""),1.1752441256752)</f>
        <v>1.1752441256752</v>
      </c>
      <c r="T773" s="17">
        <f ca="1">IFERROR(__xludf.DUMMYFUNCTION("""COMPUTED_VALUE"""),1.06043930453594)</f>
        <v>1.0604393045359399</v>
      </c>
      <c r="U773" s="17">
        <f ca="1">IFERROR(__xludf.DUMMYFUNCTION("""COMPUTED_VALUE"""),1.08720086803477)</f>
        <v>1.08720086803477</v>
      </c>
      <c r="V773" s="17">
        <f ca="1">IFERROR(__xludf.DUMMYFUNCTION("""COMPUTED_VALUE"""),1.11420761471195)</f>
        <v>1.11420761471195</v>
      </c>
      <c r="W773" s="17">
        <f ca="1">IFERROR(__xludf.DUMMYFUNCTION("""COMPUTED_VALUE"""),1.02684568835334)</f>
        <v>1.0268456883533399</v>
      </c>
      <c r="X773" s="17">
        <f ca="1">IFERROR(__xludf.DUMMYFUNCTION("""COMPUTED_VALUE"""),1.02636366312585)</f>
        <v>1.0263636631258499</v>
      </c>
      <c r="Y773" s="17">
        <f ca="1">IFERROR(__xludf.DUMMYFUNCTION("""COMPUTED_VALUE"""),1.14707153980148)</f>
        <v>1.1470715398014799</v>
      </c>
      <c r="Z773" s="17">
        <f ca="1">IFERROR(__xludf.DUMMYFUNCTION("""COMPUTED_VALUE"""),1.0295651173394)</f>
        <v>1.0295651173394</v>
      </c>
      <c r="AA773" s="17">
        <f ca="1">IFERROR(__xludf.DUMMYFUNCTION("""COMPUTED_VALUE"""),1.04650110698056)</f>
        <v>1.0465011069805601</v>
      </c>
      <c r="AB773" s="17">
        <f ca="1">IFERROR(__xludf.DUMMYFUNCTION("""COMPUTED_VALUE"""),1.23617699901331)</f>
        <v>1.23617699901331</v>
      </c>
      <c r="AC773" s="17">
        <f ca="1">IFERROR(__xludf.DUMMYFUNCTION("""COMPUTED_VALUE"""),1.24737785445488)</f>
        <v>1.2473778544548799</v>
      </c>
      <c r="AD773" s="17">
        <f ca="1">IFERROR(__xludf.DUMMYFUNCTION("""COMPUTED_VALUE"""),1.09600892197582)</f>
        <v>1.09600892197582</v>
      </c>
      <c r="AE773" s="17">
        <f ca="1">IFERROR(__xludf.DUMMYFUNCTION("""COMPUTED_VALUE"""),1.05487953511717)</f>
        <v>1.05487953511717</v>
      </c>
      <c r="AF773" s="17">
        <f ca="1">IFERROR(__xludf.DUMMYFUNCTION("""COMPUTED_VALUE"""),1.08275127919717)</f>
        <v>1.0827512791971701</v>
      </c>
      <c r="AG773" s="17">
        <f ca="1">IFERROR(__xludf.DUMMYFUNCTION("""COMPUTED_VALUE"""),1.14105278014166)</f>
        <v>1.1410527801416599</v>
      </c>
      <c r="AH773" s="17">
        <f ca="1">IFERROR(__xludf.DUMMYFUNCTION("""COMPUTED_VALUE"""),1.06113611382647)</f>
        <v>1.0611361138264701</v>
      </c>
      <c r="AI773" s="17">
        <f ca="1">IFERROR(__xludf.DUMMYFUNCTION("""COMPUTED_VALUE"""),1.12615330381075)</f>
        <v>1.1261533038107501</v>
      </c>
      <c r="AJ773" s="17">
        <f ca="1">IFERROR(__xludf.DUMMYFUNCTION("""COMPUTED_VALUE"""),1.07708696661976)</f>
        <v>1.07708696661976</v>
      </c>
    </row>
    <row r="774" spans="2:36" ht="15.75" customHeight="1" x14ac:dyDescent="0.45">
      <c r="B774" s="10" t="str">
        <f ca="1">IFERROR(__xludf.DUMMYFUNCTION("""COMPUTED_VALUE"""),"SharePriceIncrease")</f>
        <v>SharePriceIncrease</v>
      </c>
      <c r="C774" s="10" t="str">
        <f ca="1">IFERROR(__xludf.DUMMYFUNCTION("""COMPUTED_VALUE"""),"aligned_timestamps")</f>
        <v>aligned_timestamps</v>
      </c>
      <c r="D774" s="10">
        <f ca="1">IFERROR(__xludf.DUMMYFUNCTION("""COMPUTED_VALUE"""),0.4)</f>
        <v>0.4</v>
      </c>
      <c r="E774" s="17">
        <f ca="1">IFERROR(__xludf.DUMMYFUNCTION("""COMPUTED_VALUE"""),0.97739421096244)</f>
        <v>0.97739421096243995</v>
      </c>
      <c r="F774" s="17">
        <f ca="1">IFERROR(__xludf.DUMMYFUNCTION("""COMPUTED_VALUE"""),0.989280388972825)</f>
        <v>0.989280388972825</v>
      </c>
      <c r="G774" s="17">
        <f ca="1">IFERROR(__xludf.DUMMYFUNCTION("""COMPUTED_VALUE"""),0.990742168251967)</f>
        <v>0.99074216825196704</v>
      </c>
      <c r="H774" s="17">
        <f ca="1">IFERROR(__xludf.DUMMYFUNCTION("""COMPUTED_VALUE"""),0.996132904513625)</f>
        <v>0.99613290451362502</v>
      </c>
      <c r="I774" s="17">
        <f ca="1">IFERROR(__xludf.DUMMYFUNCTION("""COMPUTED_VALUE"""),0.968364224277649)</f>
        <v>0.96836422427764901</v>
      </c>
      <c r="J774" s="17">
        <f ca="1">IFERROR(__xludf.DUMMYFUNCTION("""COMPUTED_VALUE"""),1.21673658551081)</f>
        <v>1.2167365855108101</v>
      </c>
      <c r="K774" s="17" t="str">
        <f ca="1">IFERROR(__xludf.DUMMYFUNCTION("""COMPUTED_VALUE"""),"nan")</f>
        <v>nan</v>
      </c>
      <c r="L774" s="17">
        <f ca="1">IFERROR(__xludf.DUMMYFUNCTION("""COMPUTED_VALUE"""),1.01130188119498)</f>
        <v>1.0113018811949801</v>
      </c>
      <c r="M774" s="17">
        <f ca="1">IFERROR(__xludf.DUMMYFUNCTION("""COMPUTED_VALUE"""),1.0001745191224)</f>
        <v>1.0001745191224001</v>
      </c>
      <c r="N774" s="17">
        <f ca="1">IFERROR(__xludf.DUMMYFUNCTION("""COMPUTED_VALUE"""),1.18948178934447)</f>
        <v>1.18948178934447</v>
      </c>
      <c r="O774" s="17">
        <f ca="1">IFERROR(__xludf.DUMMYFUNCTION("""COMPUTED_VALUE"""),0.9956441050385)</f>
        <v>0.99564410503849998</v>
      </c>
      <c r="P774" s="17">
        <f ca="1">IFERROR(__xludf.DUMMYFUNCTION("""COMPUTED_VALUE"""),1.05182597323687)</f>
        <v>1.05182597323687</v>
      </c>
      <c r="Q774" s="17">
        <f ca="1">IFERROR(__xludf.DUMMYFUNCTION("""COMPUTED_VALUE"""),1.37100741520755)</f>
        <v>1.37100741520755</v>
      </c>
      <c r="R774" s="17">
        <f ca="1">IFERROR(__xludf.DUMMYFUNCTION("""COMPUTED_VALUE"""),1.02743403791265)</f>
        <v>1.0274340379126501</v>
      </c>
      <c r="S774" s="17">
        <f ca="1">IFERROR(__xludf.DUMMYFUNCTION("""COMPUTED_VALUE"""),1.15383110088678)</f>
        <v>1.1538311008867801</v>
      </c>
      <c r="T774" s="17">
        <f ca="1">IFERROR(__xludf.DUMMYFUNCTION("""COMPUTED_VALUE"""),1.034504008672)</f>
        <v>1.0345040086720001</v>
      </c>
      <c r="U774" s="17">
        <f ca="1">IFERROR(__xludf.DUMMYFUNCTION("""COMPUTED_VALUE"""),1.10751284363873)</f>
        <v>1.10751284363873</v>
      </c>
      <c r="V774" s="17">
        <f ca="1">IFERROR(__xludf.DUMMYFUNCTION("""COMPUTED_VALUE"""),1.08447636528185)</f>
        <v>1.0844763652818501</v>
      </c>
      <c r="W774" s="17">
        <f ca="1">IFERROR(__xludf.DUMMYFUNCTION("""COMPUTED_VALUE"""),0.976737901972666)</f>
        <v>0.97673790197266597</v>
      </c>
      <c r="X774" s="17">
        <f ca="1">IFERROR(__xludf.DUMMYFUNCTION("""COMPUTED_VALUE"""),0.977823224643853)</f>
        <v>0.97782322464385296</v>
      </c>
      <c r="Y774" s="17">
        <f ca="1">IFERROR(__xludf.DUMMYFUNCTION("""COMPUTED_VALUE"""),1.05415471747569)</f>
        <v>1.05415471747569</v>
      </c>
      <c r="Z774" s="17">
        <f ca="1">IFERROR(__xludf.DUMMYFUNCTION("""COMPUTED_VALUE"""),0.98181937980638)</f>
        <v>0.98181937980638001</v>
      </c>
      <c r="AA774" s="17">
        <f ca="1">IFERROR(__xludf.DUMMYFUNCTION("""COMPUTED_VALUE"""),0.989910415882739)</f>
        <v>0.98991041588273898</v>
      </c>
      <c r="AB774" s="17">
        <f ca="1">IFERROR(__xludf.DUMMYFUNCTION("""COMPUTED_VALUE"""),1.19900147247891)</f>
        <v>1.19900147247891</v>
      </c>
      <c r="AC774" s="17">
        <f ca="1">IFERROR(__xludf.DUMMYFUNCTION("""COMPUTED_VALUE"""),1.17879643404751)</f>
        <v>1.1787964340475101</v>
      </c>
      <c r="AD774" s="17">
        <f ca="1">IFERROR(__xludf.DUMMYFUNCTION("""COMPUTED_VALUE"""),1.04100182229076)</f>
        <v>1.04100182229076</v>
      </c>
      <c r="AE774" s="17">
        <f ca="1">IFERROR(__xludf.DUMMYFUNCTION("""COMPUTED_VALUE"""),1.02681647092321)</f>
        <v>1.0268164709232099</v>
      </c>
      <c r="AF774" s="17">
        <f ca="1">IFERROR(__xludf.DUMMYFUNCTION("""COMPUTED_VALUE"""),1.0283782158835)</f>
        <v>1.0283782158835</v>
      </c>
      <c r="AG774" s="17">
        <f ca="1">IFERROR(__xludf.DUMMYFUNCTION("""COMPUTED_VALUE"""),1.10942582543738)</f>
        <v>1.1094258254373801</v>
      </c>
      <c r="AH774" s="17">
        <f ca="1">IFERROR(__xludf.DUMMYFUNCTION("""COMPUTED_VALUE"""),0.998199152904437)</f>
        <v>0.99819915290443695</v>
      </c>
      <c r="AI774" s="17" t="str">
        <f ca="1">IFERROR(__xludf.DUMMYFUNCTION("""COMPUTED_VALUE"""),"nan")</f>
        <v>nan</v>
      </c>
      <c r="AJ774" s="17">
        <f ca="1">IFERROR(__xludf.DUMMYFUNCTION("""COMPUTED_VALUE"""),1.02709059261105)</f>
        <v>1.0270905926110501</v>
      </c>
    </row>
    <row r="775" spans="2:36" ht="15.75" customHeight="1" x14ac:dyDescent="0.45">
      <c r="B775" s="10" t="str">
        <f ca="1">IFERROR(__xludf.DUMMYFUNCTION("""COMPUTED_VALUE"""),"SharePriceIncrease")</f>
        <v>SharePriceIncrease</v>
      </c>
      <c r="C775" s="10" t="str">
        <f ca="1">IFERROR(__xludf.DUMMYFUNCTION("""COMPUTED_VALUE"""),"aligned_timestamps")</f>
        <v>aligned_timestamps</v>
      </c>
      <c r="D775" s="10">
        <f ca="1">IFERROR(__xludf.DUMMYFUNCTION("""COMPUTED_VALUE"""),0.6)</f>
        <v>0.6</v>
      </c>
      <c r="E775" s="17">
        <f ca="1">IFERROR(__xludf.DUMMYFUNCTION("""COMPUTED_VALUE"""),0.965325683430512)</f>
        <v>0.96532568343051195</v>
      </c>
      <c r="F775" s="17">
        <f ca="1">IFERROR(__xludf.DUMMYFUNCTION("""COMPUTED_VALUE"""),0.975900966610018)</f>
        <v>0.97590096661001802</v>
      </c>
      <c r="G775" s="17">
        <f ca="1">IFERROR(__xludf.DUMMYFUNCTION("""COMPUTED_VALUE"""),0.97749729832406)</f>
        <v>0.97749729832405996</v>
      </c>
      <c r="H775" s="17">
        <f ca="1">IFERROR(__xludf.DUMMYFUNCTION("""COMPUTED_VALUE"""),0.97648023719744)</f>
        <v>0.97648023719744004</v>
      </c>
      <c r="I775" s="17">
        <f ca="1">IFERROR(__xludf.DUMMYFUNCTION("""COMPUTED_VALUE"""),0.962349829894549)</f>
        <v>0.96234982989454898</v>
      </c>
      <c r="J775" s="17">
        <f ca="1">IFERROR(__xludf.DUMMYFUNCTION("""COMPUTED_VALUE"""),1.29940043839149)</f>
        <v>1.2994004383914901</v>
      </c>
      <c r="K775" s="17" t="str">
        <f ca="1">IFERROR(__xludf.DUMMYFUNCTION("""COMPUTED_VALUE"""),"nan")</f>
        <v>nan</v>
      </c>
      <c r="L775" s="17">
        <f ca="1">IFERROR(__xludf.DUMMYFUNCTION("""COMPUTED_VALUE"""),1.02222843464978)</f>
        <v>1.0222284346497801</v>
      </c>
      <c r="M775" s="17">
        <f ca="1">IFERROR(__xludf.DUMMYFUNCTION("""COMPUTED_VALUE"""),1.02854458163504)</f>
        <v>1.02854458163504</v>
      </c>
      <c r="N775" s="17">
        <f ca="1">IFERROR(__xludf.DUMMYFUNCTION("""COMPUTED_VALUE"""),1.17433025696816)</f>
        <v>1.17433025696816</v>
      </c>
      <c r="O775" s="17">
        <f ca="1">IFERROR(__xludf.DUMMYFUNCTION("""COMPUTED_VALUE"""),0.987986950261224)</f>
        <v>0.98798695026122396</v>
      </c>
      <c r="P775" s="17">
        <f ca="1">IFERROR(__xludf.DUMMYFUNCTION("""COMPUTED_VALUE"""),1.04662095552176)</f>
        <v>1.04662095552176</v>
      </c>
      <c r="Q775" s="17">
        <f ca="1">IFERROR(__xludf.DUMMYFUNCTION("""COMPUTED_VALUE"""),1.36565745190651)</f>
        <v>1.3656574519065099</v>
      </c>
      <c r="R775" s="17">
        <f ca="1">IFERROR(__xludf.DUMMYFUNCTION("""COMPUTED_VALUE"""),1.01285810665825)</f>
        <v>1.01285810665825</v>
      </c>
      <c r="S775" s="17">
        <f ca="1">IFERROR(__xludf.DUMMYFUNCTION("""COMPUTED_VALUE"""),1.15628351792025)</f>
        <v>1.15628351792025</v>
      </c>
      <c r="T775" s="17">
        <f ca="1">IFERROR(__xludf.DUMMYFUNCTION("""COMPUTED_VALUE"""),1.06671406927491)</f>
        <v>1.06671406927491</v>
      </c>
      <c r="U775" s="17">
        <f ca="1">IFERROR(__xludf.DUMMYFUNCTION("""COMPUTED_VALUE"""),1.12842469904142)</f>
        <v>1.12842469904142</v>
      </c>
      <c r="V775" s="17">
        <f ca="1">IFERROR(__xludf.DUMMYFUNCTION("""COMPUTED_VALUE"""),1.00795296422821)</f>
        <v>1.0079529642282099</v>
      </c>
      <c r="W775" s="17">
        <f ca="1">IFERROR(__xludf.DUMMYFUNCTION("""COMPUTED_VALUE"""),0.965035981352249)</f>
        <v>0.96503598135224899</v>
      </c>
      <c r="X775" s="17">
        <f ca="1">IFERROR(__xludf.DUMMYFUNCTION("""COMPUTED_VALUE"""),0.967727304882381)</f>
        <v>0.96772730488238101</v>
      </c>
      <c r="Y775" s="17">
        <f ca="1">IFERROR(__xludf.DUMMYFUNCTION("""COMPUTED_VALUE"""),1.01086157984859)</f>
        <v>1.01086157984859</v>
      </c>
      <c r="Z775" s="17">
        <f ca="1">IFERROR(__xludf.DUMMYFUNCTION("""COMPUTED_VALUE"""),0.969924607141075)</f>
        <v>0.96992460714107498</v>
      </c>
      <c r="AA775" s="17">
        <f ca="1">IFERROR(__xludf.DUMMYFUNCTION("""COMPUTED_VALUE"""),0.978707690662359)</f>
        <v>0.97870769066235896</v>
      </c>
      <c r="AB775" s="17">
        <f ca="1">IFERROR(__xludf.DUMMYFUNCTION("""COMPUTED_VALUE"""),1.54967008661169)</f>
        <v>1.5496700866116899</v>
      </c>
      <c r="AC775" s="17">
        <f ca="1">IFERROR(__xludf.DUMMYFUNCTION("""COMPUTED_VALUE"""),1.07998488152051)</f>
        <v>1.07998488152051</v>
      </c>
      <c r="AD775" s="17">
        <f ca="1">IFERROR(__xludf.DUMMYFUNCTION("""COMPUTED_VALUE"""),1.04062375728787)</f>
        <v>1.04062375728787</v>
      </c>
      <c r="AE775" s="17">
        <f ca="1">IFERROR(__xludf.DUMMYFUNCTION("""COMPUTED_VALUE"""),1.19906998372252)</f>
        <v>1.19906998372252</v>
      </c>
      <c r="AF775" s="17">
        <f ca="1">IFERROR(__xludf.DUMMYFUNCTION("""COMPUTED_VALUE"""),1.02845225198461)</f>
        <v>1.02845225198461</v>
      </c>
      <c r="AG775" s="17">
        <f ca="1">IFERROR(__xludf.DUMMYFUNCTION("""COMPUTED_VALUE"""),1.08893023368904)</f>
        <v>1.0889302336890401</v>
      </c>
      <c r="AH775" s="17">
        <f ca="1">IFERROR(__xludf.DUMMYFUNCTION("""COMPUTED_VALUE"""),0.990450434079714)</f>
        <v>0.990450434079714</v>
      </c>
      <c r="AI775" s="17" t="str">
        <f ca="1">IFERROR(__xludf.DUMMYFUNCTION("""COMPUTED_VALUE"""),"nan")</f>
        <v>nan</v>
      </c>
      <c r="AJ775" s="17">
        <f ca="1">IFERROR(__xludf.DUMMYFUNCTION("""COMPUTED_VALUE"""),1.09264821550778)</f>
        <v>1.0926482155077799</v>
      </c>
    </row>
    <row r="776" spans="2:36" ht="15.75" customHeight="1" x14ac:dyDescent="0.45">
      <c r="B776" s="10" t="str">
        <f ca="1">IFERROR(__xludf.DUMMYFUNCTION("""COMPUTED_VALUE"""),"SharePriceIncrease")</f>
        <v>SharePriceIncrease</v>
      </c>
      <c r="C776" s="10" t="str">
        <f ca="1">IFERROR(__xludf.DUMMYFUNCTION("""COMPUTED_VALUE"""),"aligned_timestamps")</f>
        <v>aligned_timestamps</v>
      </c>
      <c r="D776" s="10">
        <f ca="1">IFERROR(__xludf.DUMMYFUNCTION("""COMPUTED_VALUE"""),0.8)</f>
        <v>0.8</v>
      </c>
      <c r="E776" s="17">
        <f ca="1">IFERROR(__xludf.DUMMYFUNCTION("""COMPUTED_VALUE"""),0.967434746805966)</f>
        <v>0.96743474680596597</v>
      </c>
      <c r="F776" s="17">
        <f ca="1">IFERROR(__xludf.DUMMYFUNCTION("""COMPUTED_VALUE"""),0.987248821332813)</f>
        <v>0.987248821332813</v>
      </c>
      <c r="G776" s="17">
        <f ca="1">IFERROR(__xludf.DUMMYFUNCTION("""COMPUTED_VALUE"""),1.00122002581533)</f>
        <v>1.0012200258153301</v>
      </c>
      <c r="H776" s="17">
        <f ca="1">IFERROR(__xludf.DUMMYFUNCTION("""COMPUTED_VALUE"""),0.976661138220729)</f>
        <v>0.97666113822072897</v>
      </c>
      <c r="I776" s="17">
        <f ca="1">IFERROR(__xludf.DUMMYFUNCTION("""COMPUTED_VALUE"""),0.966222887856648)</f>
        <v>0.96622288785664801</v>
      </c>
      <c r="J776" s="17">
        <f ca="1">IFERROR(__xludf.DUMMYFUNCTION("""COMPUTED_VALUE"""),1.32398315644616)</f>
        <v>1.3239831564461599</v>
      </c>
      <c r="K776" s="17" t="str">
        <f ca="1">IFERROR(__xludf.DUMMYFUNCTION("""COMPUTED_VALUE"""),"nan")</f>
        <v>nan</v>
      </c>
      <c r="L776" s="17">
        <f ca="1">IFERROR(__xludf.DUMMYFUNCTION("""COMPUTED_VALUE"""),1.01421219742074)</f>
        <v>1.0142121974207401</v>
      </c>
      <c r="M776" s="17">
        <f ca="1">IFERROR(__xludf.DUMMYFUNCTION("""COMPUTED_VALUE"""),1.07692771494054)</f>
        <v>1.0769277149405401</v>
      </c>
      <c r="N776" s="17">
        <f ca="1">IFERROR(__xludf.DUMMYFUNCTION("""COMPUTED_VALUE"""),1.21214680833457)</f>
        <v>1.2121468083345699</v>
      </c>
      <c r="O776" s="17">
        <f ca="1">IFERROR(__xludf.DUMMYFUNCTION("""COMPUTED_VALUE"""),0.996403232223506)</f>
        <v>0.99640323222350602</v>
      </c>
      <c r="P776" s="17">
        <f ca="1">IFERROR(__xludf.DUMMYFUNCTION("""COMPUTED_VALUE"""),1.08517263383842)</f>
        <v>1.08517263383842</v>
      </c>
      <c r="Q776" s="17">
        <f ca="1">IFERROR(__xludf.DUMMYFUNCTION("""COMPUTED_VALUE"""),1.36863443134736)</f>
        <v>1.36863443134736</v>
      </c>
      <c r="R776" s="17">
        <f ca="1">IFERROR(__xludf.DUMMYFUNCTION("""COMPUTED_VALUE"""),1.03060747600574)</f>
        <v>1.03060747600574</v>
      </c>
      <c r="S776" s="17">
        <f ca="1">IFERROR(__xludf.DUMMYFUNCTION("""COMPUTED_VALUE"""),1.18551426472703)</f>
        <v>1.18551426472703</v>
      </c>
      <c r="T776" s="17">
        <f ca="1">IFERROR(__xludf.DUMMYFUNCTION("""COMPUTED_VALUE"""),1.11415433622522)</f>
        <v>1.11415433622522</v>
      </c>
      <c r="U776" s="17">
        <f ca="1">IFERROR(__xludf.DUMMYFUNCTION("""COMPUTED_VALUE"""),1.45122865433142)</f>
        <v>1.4512286543314199</v>
      </c>
      <c r="V776" s="17">
        <f ca="1">IFERROR(__xludf.DUMMYFUNCTION("""COMPUTED_VALUE"""),1.11391392492312)</f>
        <v>1.11391392492312</v>
      </c>
      <c r="W776" s="17">
        <f ca="1">IFERROR(__xludf.DUMMYFUNCTION("""COMPUTED_VALUE"""),0.969803436421266)</f>
        <v>0.96980343642126599</v>
      </c>
      <c r="X776" s="17">
        <f ca="1">IFERROR(__xludf.DUMMYFUNCTION("""COMPUTED_VALUE"""),0.970082540228506)</f>
        <v>0.97008254022850604</v>
      </c>
      <c r="Y776" s="17">
        <f ca="1">IFERROR(__xludf.DUMMYFUNCTION("""COMPUTED_VALUE"""),1.01296883084384)</f>
        <v>1.01296883084384</v>
      </c>
      <c r="Z776" s="17">
        <f ca="1">IFERROR(__xludf.DUMMYFUNCTION("""COMPUTED_VALUE"""),0.973618347257111)</f>
        <v>0.97361834725711105</v>
      </c>
      <c r="AA776" s="17">
        <f ca="1">IFERROR(__xludf.DUMMYFUNCTION("""COMPUTED_VALUE"""),0.981597727828101)</f>
        <v>0.98159772782810095</v>
      </c>
      <c r="AB776" s="17">
        <f ca="1">IFERROR(__xludf.DUMMYFUNCTION("""COMPUTED_VALUE"""),1.39984994605918)</f>
        <v>1.39984994605918</v>
      </c>
      <c r="AC776" s="17">
        <f ca="1">IFERROR(__xludf.DUMMYFUNCTION("""COMPUTED_VALUE"""),1.07296926051127)</f>
        <v>1.07296926051127</v>
      </c>
      <c r="AD776" s="17">
        <f ca="1">IFERROR(__xludf.DUMMYFUNCTION("""COMPUTED_VALUE"""),1.04070486803733)</f>
        <v>1.0407048680373301</v>
      </c>
      <c r="AE776" s="17" t="str">
        <f ca="1">IFERROR(__xludf.DUMMYFUNCTION("""COMPUTED_VALUE"""),"nan")</f>
        <v>nan</v>
      </c>
      <c r="AF776" s="17">
        <f ca="1">IFERROR(__xludf.DUMMYFUNCTION("""COMPUTED_VALUE"""),1.05660988121315)</f>
        <v>1.0566098812131499</v>
      </c>
      <c r="AG776" s="17">
        <f ca="1">IFERROR(__xludf.DUMMYFUNCTION("""COMPUTED_VALUE"""),1.07890816157265)</f>
        <v>1.0789081615726499</v>
      </c>
      <c r="AH776" s="17">
        <f ca="1">IFERROR(__xludf.DUMMYFUNCTION("""COMPUTED_VALUE"""),0.983446495886078)</f>
        <v>0.98344649588607802</v>
      </c>
      <c r="AI776" s="17" t="str">
        <f ca="1">IFERROR(__xludf.DUMMYFUNCTION("""COMPUTED_VALUE"""),"nan")</f>
        <v>nan</v>
      </c>
      <c r="AJ776" s="17">
        <f ca="1">IFERROR(__xludf.DUMMYFUNCTION("""COMPUTED_VALUE"""),1.1025539477806)</f>
        <v>1.1025539477805999</v>
      </c>
    </row>
    <row r="777" spans="2:36" ht="15.75" customHeight="1" x14ac:dyDescent="0.45">
      <c r="B777" s="10" t="str">
        <f ca="1">IFERROR(__xludf.DUMMYFUNCTION("""COMPUTED_VALUE"""),"SharePriceIncrease")</f>
        <v>SharePriceIncrease</v>
      </c>
      <c r="C777" s="10" t="str">
        <f ca="1">IFERROR(__xludf.DUMMYFUNCTION("""COMPUTED_VALUE"""),"mcar")</f>
        <v>mcar</v>
      </c>
      <c r="D777" s="10">
        <f ca="1">IFERROR(__xludf.DUMMYFUNCTION("""COMPUTED_VALUE"""),0.1)</f>
        <v>0.1</v>
      </c>
      <c r="E777" s="17">
        <f ca="1">IFERROR(__xludf.DUMMYFUNCTION("""COMPUTED_VALUE"""),0.973225552533169)</f>
        <v>0.973225552533169</v>
      </c>
      <c r="F777" s="17">
        <f ca="1">IFERROR(__xludf.DUMMYFUNCTION("""COMPUTED_VALUE"""),1.08769661374616)</f>
        <v>1.0876966137461599</v>
      </c>
      <c r="G777" s="17">
        <f ca="1">IFERROR(__xludf.DUMMYFUNCTION("""COMPUTED_VALUE"""),1.25855019773868)</f>
        <v>1.2585501977386799</v>
      </c>
      <c r="H777" s="17">
        <f ca="1">IFERROR(__xludf.DUMMYFUNCTION("""COMPUTED_VALUE"""),1.00327511928946)</f>
        <v>1.00327511928946</v>
      </c>
      <c r="I777" s="17">
        <f ca="1">IFERROR(__xludf.DUMMYFUNCTION("""COMPUTED_VALUE"""),0.912073601927721)</f>
        <v>0.91207360192772102</v>
      </c>
      <c r="J777" s="17">
        <f ca="1">IFERROR(__xludf.DUMMYFUNCTION("""COMPUTED_VALUE"""),1.00830820094155)</f>
        <v>1.00830820094155</v>
      </c>
      <c r="K777" s="17" t="str">
        <f ca="1">IFERROR(__xludf.DUMMYFUNCTION("""COMPUTED_VALUE"""),"nan")</f>
        <v>nan</v>
      </c>
      <c r="L777" s="17">
        <f ca="1">IFERROR(__xludf.DUMMYFUNCTION("""COMPUTED_VALUE"""),1.04052426928851)</f>
        <v>1.0405242692885099</v>
      </c>
      <c r="M777" s="17">
        <f ca="1">IFERROR(__xludf.DUMMYFUNCTION("""COMPUTED_VALUE"""),0.999154140484503)</f>
        <v>0.99915414048450302</v>
      </c>
      <c r="N777" s="17">
        <f ca="1">IFERROR(__xludf.DUMMYFUNCTION("""COMPUTED_VALUE"""),1.14598761734417)</f>
        <v>1.1459876173441701</v>
      </c>
      <c r="O777" s="17">
        <f ca="1">IFERROR(__xludf.DUMMYFUNCTION("""COMPUTED_VALUE"""),1.16362727159585)</f>
        <v>1.16362727159585</v>
      </c>
      <c r="P777" s="17">
        <f ca="1">IFERROR(__xludf.DUMMYFUNCTION("""COMPUTED_VALUE"""),1.01702833328268)</f>
        <v>1.0170283332826799</v>
      </c>
      <c r="Q777" s="17">
        <f ca="1">IFERROR(__xludf.DUMMYFUNCTION("""COMPUTED_VALUE"""),1.40328553104337)</f>
        <v>1.4032855310433701</v>
      </c>
      <c r="R777" s="17">
        <f ca="1">IFERROR(__xludf.DUMMYFUNCTION("""COMPUTED_VALUE"""),1.04984232113104)</f>
        <v>1.0498423211310399</v>
      </c>
      <c r="S777" s="17">
        <f ca="1">IFERROR(__xludf.DUMMYFUNCTION("""COMPUTED_VALUE"""),1.27961333328459)</f>
        <v>1.27961333328459</v>
      </c>
      <c r="T777" s="17">
        <f ca="1">IFERROR(__xludf.DUMMYFUNCTION("""COMPUTED_VALUE"""),1.01288104792553)</f>
        <v>1.0128810479255299</v>
      </c>
      <c r="U777" s="17">
        <f ca="1">IFERROR(__xludf.DUMMYFUNCTION("""COMPUTED_VALUE"""),1.08882385851456)</f>
        <v>1.08882385851456</v>
      </c>
      <c r="V777" s="17">
        <f ca="1">IFERROR(__xludf.DUMMYFUNCTION("""COMPUTED_VALUE"""),1.04902809794535)</f>
        <v>1.0490280979453499</v>
      </c>
      <c r="W777" s="17">
        <f ca="1">IFERROR(__xludf.DUMMYFUNCTION("""COMPUTED_VALUE"""),0.971679771070292)</f>
        <v>0.97167977107029202</v>
      </c>
      <c r="X777" s="17">
        <f ca="1">IFERROR(__xludf.DUMMYFUNCTION("""COMPUTED_VALUE"""),0.972007689313836)</f>
        <v>0.97200768931383597</v>
      </c>
      <c r="Y777" s="17">
        <f ca="1">IFERROR(__xludf.DUMMYFUNCTION("""COMPUTED_VALUE"""),1.17666578570492)</f>
        <v>1.1766657857049201</v>
      </c>
      <c r="Z777" s="17">
        <f ca="1">IFERROR(__xludf.DUMMYFUNCTION("""COMPUTED_VALUE"""),0.97768097402519)</f>
        <v>0.97768097402519005</v>
      </c>
      <c r="AA777" s="17">
        <f ca="1">IFERROR(__xludf.DUMMYFUNCTION("""COMPUTED_VALUE"""),1.00574356921457)</f>
        <v>1.00574356921457</v>
      </c>
      <c r="AB777" s="17">
        <f ca="1">IFERROR(__xludf.DUMMYFUNCTION("""COMPUTED_VALUE"""),1.16992741304695)</f>
        <v>1.1699274130469499</v>
      </c>
      <c r="AC777" s="17">
        <f ca="1">IFERROR(__xludf.DUMMYFUNCTION("""COMPUTED_VALUE"""),1.21044830085377)</f>
        <v>1.2104483008537701</v>
      </c>
      <c r="AD777" s="17">
        <f ca="1">IFERROR(__xludf.DUMMYFUNCTION("""COMPUTED_VALUE"""),1.06160768697033)</f>
        <v>1.0616076869703299</v>
      </c>
      <c r="AE777" s="17">
        <f ca="1">IFERROR(__xludf.DUMMYFUNCTION("""COMPUTED_VALUE"""),1.00880150623253)</f>
        <v>1.00880150623253</v>
      </c>
      <c r="AF777" s="17">
        <f ca="1">IFERROR(__xludf.DUMMYFUNCTION("""COMPUTED_VALUE"""),1.00243199931184)</f>
        <v>1.00243199931184</v>
      </c>
      <c r="AG777" s="17">
        <f ca="1">IFERROR(__xludf.DUMMYFUNCTION("""COMPUTED_VALUE"""),1.08713839460935)</f>
        <v>1.08713839460935</v>
      </c>
      <c r="AH777" s="17">
        <f ca="1">IFERROR(__xludf.DUMMYFUNCTION("""COMPUTED_VALUE"""),1.00800286815003)</f>
        <v>1.0080028681500299</v>
      </c>
      <c r="AI777" s="17">
        <f ca="1">IFERROR(__xludf.DUMMYFUNCTION("""COMPUTED_VALUE"""),1.08688406548655)</f>
        <v>1.0868840654865499</v>
      </c>
      <c r="AJ777" s="17">
        <f ca="1">IFERROR(__xludf.DUMMYFUNCTION("""COMPUTED_VALUE"""),1.00402116668283)</f>
        <v>1.00402116668283</v>
      </c>
    </row>
    <row r="778" spans="2:36" ht="15.75" customHeight="1" x14ac:dyDescent="0.45">
      <c r="B778" s="10" t="str">
        <f ca="1">IFERROR(__xludf.DUMMYFUNCTION("""COMPUTED_VALUE"""),"SharePriceIncrease")</f>
        <v>SharePriceIncrease</v>
      </c>
      <c r="C778" s="10" t="str">
        <f ca="1">IFERROR(__xludf.DUMMYFUNCTION("""COMPUTED_VALUE"""),"mcar")</f>
        <v>mcar</v>
      </c>
      <c r="D778" s="10">
        <f ca="1">IFERROR(__xludf.DUMMYFUNCTION("""COMPUTED_VALUE"""),0.2)</f>
        <v>0.2</v>
      </c>
      <c r="E778" s="17">
        <f ca="1">IFERROR(__xludf.DUMMYFUNCTION("""COMPUTED_VALUE"""),0.953695307744322)</f>
        <v>0.95369530774432199</v>
      </c>
      <c r="F778" s="17">
        <f ca="1">IFERROR(__xludf.DUMMYFUNCTION("""COMPUTED_VALUE"""),1.04660233566878)</f>
        <v>1.0466023356687799</v>
      </c>
      <c r="G778" s="17">
        <f ca="1">IFERROR(__xludf.DUMMYFUNCTION("""COMPUTED_VALUE"""),1.19333031884347)</f>
        <v>1.1933303188434701</v>
      </c>
      <c r="H778" s="17">
        <f ca="1">IFERROR(__xludf.DUMMYFUNCTION("""COMPUTED_VALUE"""),0.984539644106697)</f>
        <v>0.98453964410669703</v>
      </c>
      <c r="I778" s="17">
        <f ca="1">IFERROR(__xludf.DUMMYFUNCTION("""COMPUTED_VALUE"""),0.919448276980976)</f>
        <v>0.91944827698097598</v>
      </c>
      <c r="J778" s="17">
        <f ca="1">IFERROR(__xludf.DUMMYFUNCTION("""COMPUTED_VALUE"""),0.990512161428588)</f>
        <v>0.990512161428588</v>
      </c>
      <c r="K778" s="17" t="str">
        <f ca="1">IFERROR(__xludf.DUMMYFUNCTION("""COMPUTED_VALUE"""),"nan")</f>
        <v>nan</v>
      </c>
      <c r="L778" s="17">
        <f ca="1">IFERROR(__xludf.DUMMYFUNCTION("""COMPUTED_VALUE"""),1.02639400899577)</f>
        <v>1.0263940089957699</v>
      </c>
      <c r="M778" s="17">
        <f ca="1">IFERROR(__xludf.DUMMYFUNCTION("""COMPUTED_VALUE"""),0.986942492700618)</f>
        <v>0.98694249270061796</v>
      </c>
      <c r="N778" s="17">
        <f ca="1">IFERROR(__xludf.DUMMYFUNCTION("""COMPUTED_VALUE"""),1.15013986083398)</f>
        <v>1.1501398608339799</v>
      </c>
      <c r="O778" s="17">
        <f ca="1">IFERROR(__xludf.DUMMYFUNCTION("""COMPUTED_VALUE"""),1.10925865993285)</f>
        <v>1.10925865993285</v>
      </c>
      <c r="P778" s="17">
        <f ca="1">IFERROR(__xludf.DUMMYFUNCTION("""COMPUTED_VALUE"""),1.02507527410788)</f>
        <v>1.0250752741078799</v>
      </c>
      <c r="Q778" s="17">
        <f ca="1">IFERROR(__xludf.DUMMYFUNCTION("""COMPUTED_VALUE"""),1.38837355245115)</f>
        <v>1.38837355245115</v>
      </c>
      <c r="R778" s="17">
        <f ca="1">IFERROR(__xludf.DUMMYFUNCTION("""COMPUTED_VALUE"""),1.01807302494072)</f>
        <v>1.0180730249407199</v>
      </c>
      <c r="S778" s="17">
        <f ca="1">IFERROR(__xludf.DUMMYFUNCTION("""COMPUTED_VALUE"""),1.23115851608738)</f>
        <v>1.2311585160873799</v>
      </c>
      <c r="T778" s="17">
        <f ca="1">IFERROR(__xludf.DUMMYFUNCTION("""COMPUTED_VALUE"""),0.999461792784227)</f>
        <v>0.99946179278422698</v>
      </c>
      <c r="U778" s="17">
        <f ca="1">IFERROR(__xludf.DUMMYFUNCTION("""COMPUTED_VALUE"""),1.05256639416181)</f>
        <v>1.05256639416181</v>
      </c>
      <c r="V778" s="17">
        <f ca="1">IFERROR(__xludf.DUMMYFUNCTION("""COMPUTED_VALUE"""),1.01679602301662)</f>
        <v>1.01679602301662</v>
      </c>
      <c r="W778" s="17">
        <f ca="1">IFERROR(__xludf.DUMMYFUNCTION("""COMPUTED_VALUE"""),0.953211884511735)</f>
        <v>0.953211884511735</v>
      </c>
      <c r="X778" s="17">
        <f ca="1">IFERROR(__xludf.DUMMYFUNCTION("""COMPUTED_VALUE"""),0.953630224082487)</f>
        <v>0.95363022408248699</v>
      </c>
      <c r="Y778" s="17">
        <f ca="1">IFERROR(__xludf.DUMMYFUNCTION("""COMPUTED_VALUE"""),1.11216561771316)</f>
        <v>1.11216561771316</v>
      </c>
      <c r="Z778" s="17">
        <f ca="1">IFERROR(__xludf.DUMMYFUNCTION("""COMPUTED_VALUE"""),0.961614819300067)</f>
        <v>0.96161481930006698</v>
      </c>
      <c r="AA778" s="17">
        <f ca="1">IFERROR(__xludf.DUMMYFUNCTION("""COMPUTED_VALUE"""),0.98460169275089)</f>
        <v>0.98460169275089005</v>
      </c>
      <c r="AB778" s="17">
        <f ca="1">IFERROR(__xludf.DUMMYFUNCTION("""COMPUTED_VALUE"""),1.16960886588616)</f>
        <v>1.1696088658861601</v>
      </c>
      <c r="AC778" s="17">
        <f ca="1">IFERROR(__xludf.DUMMYFUNCTION("""COMPUTED_VALUE"""),1.1623582060767)</f>
        <v>1.1623582060766999</v>
      </c>
      <c r="AD778" s="17">
        <f ca="1">IFERROR(__xludf.DUMMYFUNCTION("""COMPUTED_VALUE"""),1.03890472673738)</f>
        <v>1.0389047267373801</v>
      </c>
      <c r="AE778" s="17">
        <f ca="1">IFERROR(__xludf.DUMMYFUNCTION("""COMPUTED_VALUE"""),0.985866200509116)</f>
        <v>0.985866200509116</v>
      </c>
      <c r="AF778" s="17">
        <f ca="1">IFERROR(__xludf.DUMMYFUNCTION("""COMPUTED_VALUE"""),0.998385870988258)</f>
        <v>0.99838587098825804</v>
      </c>
      <c r="AG778" s="17">
        <f ca="1">IFERROR(__xludf.DUMMYFUNCTION("""COMPUTED_VALUE"""),1.0828455555218)</f>
        <v>1.0828455555218</v>
      </c>
      <c r="AH778" s="17">
        <f ca="1">IFERROR(__xludf.DUMMYFUNCTION("""COMPUTED_VALUE"""),0.993714912190197)</f>
        <v>0.99371491219019703</v>
      </c>
      <c r="AI778" s="17">
        <f ca="1">IFERROR(__xludf.DUMMYFUNCTION("""COMPUTED_VALUE"""),1.02239593002941)</f>
        <v>1.0223959300294101</v>
      </c>
      <c r="AJ778" s="17">
        <f ca="1">IFERROR(__xludf.DUMMYFUNCTION("""COMPUTED_VALUE"""),1.0109680363088)</f>
        <v>1.0109680363088001</v>
      </c>
    </row>
    <row r="779" spans="2:36" ht="15.75" customHeight="1" x14ac:dyDescent="0.45">
      <c r="B779" s="10" t="str">
        <f ca="1">IFERROR(__xludf.DUMMYFUNCTION("""COMPUTED_VALUE"""),"SharePriceIncrease")</f>
        <v>SharePriceIncrease</v>
      </c>
      <c r="C779" s="10" t="str">
        <f ca="1">IFERROR(__xludf.DUMMYFUNCTION("""COMPUTED_VALUE"""),"mcar")</f>
        <v>mcar</v>
      </c>
      <c r="D779" s="10">
        <f ca="1">IFERROR(__xludf.DUMMYFUNCTION("""COMPUTED_VALUE"""),0.4)</f>
        <v>0.4</v>
      </c>
      <c r="E779" s="17">
        <f ca="1">IFERROR(__xludf.DUMMYFUNCTION("""COMPUTED_VALUE"""),1.00007747370165)</f>
        <v>1.00007747370165</v>
      </c>
      <c r="F779" s="17">
        <f ca="1">IFERROR(__xludf.DUMMYFUNCTION("""COMPUTED_VALUE"""),1.12498376958861)</f>
        <v>1.12498376958861</v>
      </c>
      <c r="G779" s="17">
        <f ca="1">IFERROR(__xludf.DUMMYFUNCTION("""COMPUTED_VALUE"""),1.2882612595663)</f>
        <v>1.2882612595663001</v>
      </c>
      <c r="H779" s="17">
        <f ca="1">IFERROR(__xludf.DUMMYFUNCTION("""COMPUTED_VALUE"""),1.03073814794378)</f>
        <v>1.03073814794378</v>
      </c>
      <c r="I779" s="17">
        <f ca="1">IFERROR(__xludf.DUMMYFUNCTION("""COMPUTED_VALUE"""),0.987986203606706)</f>
        <v>0.98798620360670597</v>
      </c>
      <c r="J779" s="17">
        <f ca="1">IFERROR(__xludf.DUMMYFUNCTION("""COMPUTED_VALUE"""),1.03303710812953)</f>
        <v>1.03303710812953</v>
      </c>
      <c r="K779" s="17" t="str">
        <f ca="1">IFERROR(__xludf.DUMMYFUNCTION("""COMPUTED_VALUE"""),"nan")</f>
        <v>nan</v>
      </c>
      <c r="L779" s="17">
        <f ca="1">IFERROR(__xludf.DUMMYFUNCTION("""COMPUTED_VALUE"""),1.08606866299995)</f>
        <v>1.0860686629999501</v>
      </c>
      <c r="M779" s="17">
        <f ca="1">IFERROR(__xludf.DUMMYFUNCTION("""COMPUTED_VALUE"""),1.03737080761482)</f>
        <v>1.03737080761482</v>
      </c>
      <c r="N779" s="17">
        <f ca="1">IFERROR(__xludf.DUMMYFUNCTION("""COMPUTED_VALUE"""),1.21033178017516)</f>
        <v>1.2103317801751601</v>
      </c>
      <c r="O779" s="17">
        <f ca="1">IFERROR(__xludf.DUMMYFUNCTION("""COMPUTED_VALUE"""),1.14504614908303)</f>
        <v>1.1450461490830299</v>
      </c>
      <c r="P779" s="17">
        <f ca="1">IFERROR(__xludf.DUMMYFUNCTION("""COMPUTED_VALUE"""),1.07055380619363)</f>
        <v>1.0705538061936299</v>
      </c>
      <c r="Q779" s="17">
        <f ca="1">IFERROR(__xludf.DUMMYFUNCTION("""COMPUTED_VALUE"""),1.40869417831864)</f>
        <v>1.40869417831864</v>
      </c>
      <c r="R779" s="17">
        <f ca="1">IFERROR(__xludf.DUMMYFUNCTION("""COMPUTED_VALUE"""),1.05760605864767)</f>
        <v>1.0576060586476701</v>
      </c>
      <c r="S779" s="17">
        <f ca="1">IFERROR(__xludf.DUMMYFUNCTION("""COMPUTED_VALUE"""),1.27637056879739)</f>
        <v>1.2763705687973901</v>
      </c>
      <c r="T779" s="17">
        <f ca="1">IFERROR(__xludf.DUMMYFUNCTION("""COMPUTED_VALUE"""),1.04481746858625)</f>
        <v>1.0448174685862499</v>
      </c>
      <c r="U779" s="17">
        <f ca="1">IFERROR(__xludf.DUMMYFUNCTION("""COMPUTED_VALUE"""),1.12744213873108)</f>
        <v>1.12744213873108</v>
      </c>
      <c r="V779" s="17">
        <f ca="1">IFERROR(__xludf.DUMMYFUNCTION("""COMPUTED_VALUE"""),1.06924152377509)</f>
        <v>1.0692415237750901</v>
      </c>
      <c r="W779" s="17">
        <f ca="1">IFERROR(__xludf.DUMMYFUNCTION("""COMPUTED_VALUE"""),0.999947884807574)</f>
        <v>0.99994788480757402</v>
      </c>
      <c r="X779" s="17">
        <f ca="1">IFERROR(__xludf.DUMMYFUNCTION("""COMPUTED_VALUE"""),0.999748611775152)</f>
        <v>0.99974861177515195</v>
      </c>
      <c r="Y779" s="17">
        <f ca="1">IFERROR(__xludf.DUMMYFUNCTION("""COMPUTED_VALUE"""),1.15093813416513)</f>
        <v>1.1509381341651299</v>
      </c>
      <c r="Z779" s="17">
        <f ca="1">IFERROR(__xludf.DUMMYFUNCTION("""COMPUTED_VALUE"""),1.00399364810087)</f>
        <v>1.00399364810087</v>
      </c>
      <c r="AA779" s="17">
        <f ca="1">IFERROR(__xludf.DUMMYFUNCTION("""COMPUTED_VALUE"""),1.02892721192599)</f>
        <v>1.02892721192599</v>
      </c>
      <c r="AB779" s="17">
        <f ca="1">IFERROR(__xludf.DUMMYFUNCTION("""COMPUTED_VALUE"""),1.19898910537395)</f>
        <v>1.1989891053739501</v>
      </c>
      <c r="AC779" s="17">
        <f ca="1">IFERROR(__xludf.DUMMYFUNCTION("""COMPUTED_VALUE"""),1.22127297641347)</f>
        <v>1.22127297641347</v>
      </c>
      <c r="AD779" s="17">
        <f ca="1">IFERROR(__xludf.DUMMYFUNCTION("""COMPUTED_VALUE"""),1.07387321885126)</f>
        <v>1.0738732188512601</v>
      </c>
      <c r="AE779" s="17">
        <f ca="1">IFERROR(__xludf.DUMMYFUNCTION("""COMPUTED_VALUE"""),1.05098011676587)</f>
        <v>1.0509801167658701</v>
      </c>
      <c r="AF779" s="17">
        <f ca="1">IFERROR(__xludf.DUMMYFUNCTION("""COMPUTED_VALUE"""),1.04948244756561)</f>
        <v>1.0494824475656099</v>
      </c>
      <c r="AG779" s="17">
        <f ca="1">IFERROR(__xludf.DUMMYFUNCTION("""COMPUTED_VALUE"""),1.13298863620231)</f>
        <v>1.1329886362023101</v>
      </c>
      <c r="AH779" s="17">
        <f ca="1">IFERROR(__xludf.DUMMYFUNCTION("""COMPUTED_VALUE"""),1.0259367448298)</f>
        <v>1.0259367448298</v>
      </c>
      <c r="AI779" s="17" t="str">
        <f ca="1">IFERROR(__xludf.DUMMYFUNCTION("""COMPUTED_VALUE"""),"nan")</f>
        <v>nan</v>
      </c>
      <c r="AJ779" s="17">
        <f ca="1">IFERROR(__xludf.DUMMYFUNCTION("""COMPUTED_VALUE"""),1.09750938975478)</f>
        <v>1.0975093897547801</v>
      </c>
    </row>
    <row r="780" spans="2:36" ht="15.75" customHeight="1" x14ac:dyDescent="0.45">
      <c r="B780" s="10" t="str">
        <f ca="1">IFERROR(__xludf.DUMMYFUNCTION("""COMPUTED_VALUE"""),"SharePriceIncrease")</f>
        <v>SharePriceIncrease</v>
      </c>
      <c r="C780" s="10" t="str">
        <f ca="1">IFERROR(__xludf.DUMMYFUNCTION("""COMPUTED_VALUE"""),"mcar")</f>
        <v>mcar</v>
      </c>
      <c r="D780" s="10">
        <f ca="1">IFERROR(__xludf.DUMMYFUNCTION("""COMPUTED_VALUE"""),0.6)</f>
        <v>0.6</v>
      </c>
      <c r="E780" s="17">
        <f ca="1">IFERROR(__xludf.DUMMYFUNCTION("""COMPUTED_VALUE"""),0.996600912958927)</f>
        <v>0.99660091295892705</v>
      </c>
      <c r="F780" s="17">
        <f ca="1">IFERROR(__xludf.DUMMYFUNCTION("""COMPUTED_VALUE"""),1.1740434522437)</f>
        <v>1.1740434522437</v>
      </c>
      <c r="G780" s="17">
        <f ca="1">IFERROR(__xludf.DUMMYFUNCTION("""COMPUTED_VALUE"""),1.39429537019023)</f>
        <v>1.3942953701902301</v>
      </c>
      <c r="H780" s="17">
        <f ca="1">IFERROR(__xludf.DUMMYFUNCTION("""COMPUTED_VALUE"""),1.01731542065032)</f>
        <v>1.0173154206503201</v>
      </c>
      <c r="I780" s="17">
        <f ca="1">IFERROR(__xludf.DUMMYFUNCTION("""COMPUTED_VALUE"""),0.992260748129375)</f>
        <v>0.99226074812937504</v>
      </c>
      <c r="J780" s="17">
        <f ca="1">IFERROR(__xludf.DUMMYFUNCTION("""COMPUTED_VALUE"""),1.04364675806909)</f>
        <v>1.04364675806909</v>
      </c>
      <c r="K780" s="17" t="str">
        <f ca="1">IFERROR(__xludf.DUMMYFUNCTION("""COMPUTED_VALUE"""),"nan")</f>
        <v>nan</v>
      </c>
      <c r="L780" s="17">
        <f ca="1">IFERROR(__xludf.DUMMYFUNCTION("""COMPUTED_VALUE"""),1.07956548513069)</f>
        <v>1.07956548513069</v>
      </c>
      <c r="M780" s="17">
        <f ca="1">IFERROR(__xludf.DUMMYFUNCTION("""COMPUTED_VALUE"""),1.0449152570616)</f>
        <v>1.0449152570616</v>
      </c>
      <c r="N780" s="17">
        <f ca="1">IFERROR(__xludf.DUMMYFUNCTION("""COMPUTED_VALUE"""),1.22427598404368)</f>
        <v>1.2242759840436801</v>
      </c>
      <c r="O780" s="17">
        <f ca="1">IFERROR(__xludf.DUMMYFUNCTION("""COMPUTED_VALUE"""),1.20020414579151)</f>
        <v>1.20020414579151</v>
      </c>
      <c r="P780" s="17">
        <f ca="1">IFERROR(__xludf.DUMMYFUNCTION("""COMPUTED_VALUE"""),1.07819283880021)</f>
        <v>1.07819283880021</v>
      </c>
      <c r="Q780" s="17">
        <f ca="1">IFERROR(__xludf.DUMMYFUNCTION("""COMPUTED_VALUE"""),1.38343295921722)</f>
        <v>1.3834329592172201</v>
      </c>
      <c r="R780" s="17">
        <f ca="1">IFERROR(__xludf.DUMMYFUNCTION("""COMPUTED_VALUE"""),1.05041961267592)</f>
        <v>1.05041961267592</v>
      </c>
      <c r="S780" s="17">
        <f ca="1">IFERROR(__xludf.DUMMYFUNCTION("""COMPUTED_VALUE"""),1.28123196800139)</f>
        <v>1.2812319680013899</v>
      </c>
      <c r="T780" s="17">
        <f ca="1">IFERROR(__xludf.DUMMYFUNCTION("""COMPUTED_VALUE"""),1.05588043967049)</f>
        <v>1.0558804396704899</v>
      </c>
      <c r="U780" s="17">
        <f ca="1">IFERROR(__xludf.DUMMYFUNCTION("""COMPUTED_VALUE"""),1.1204796626071)</f>
        <v>1.1204796626071001</v>
      </c>
      <c r="V780" s="17">
        <f ca="1">IFERROR(__xludf.DUMMYFUNCTION("""COMPUTED_VALUE"""),1.06296040769243)</f>
        <v>1.0629604076924299</v>
      </c>
      <c r="W780" s="17">
        <f ca="1">IFERROR(__xludf.DUMMYFUNCTION("""COMPUTED_VALUE"""),0.996189463558839)</f>
        <v>0.99618946355883897</v>
      </c>
      <c r="X780" s="17">
        <f ca="1">IFERROR(__xludf.DUMMYFUNCTION("""COMPUTED_VALUE"""),0.998313079584196)</f>
        <v>0.99831307958419602</v>
      </c>
      <c r="Y780" s="17">
        <f ca="1">IFERROR(__xludf.DUMMYFUNCTION("""COMPUTED_VALUE"""),1.14233922192972)</f>
        <v>1.1423392219297199</v>
      </c>
      <c r="Z780" s="17">
        <f ca="1">IFERROR(__xludf.DUMMYFUNCTION("""COMPUTED_VALUE"""),1.00427990440442)</f>
        <v>1.0042799044044199</v>
      </c>
      <c r="AA780" s="17">
        <f ca="1">IFERROR(__xludf.DUMMYFUNCTION("""COMPUTED_VALUE"""),1.02005762917351)</f>
        <v>1.0200576291735099</v>
      </c>
      <c r="AB780" s="17">
        <f ca="1">IFERROR(__xludf.DUMMYFUNCTION("""COMPUTED_VALUE"""),1.20725735932357)</f>
        <v>1.20725735932357</v>
      </c>
      <c r="AC780" s="17">
        <f ca="1">IFERROR(__xludf.DUMMYFUNCTION("""COMPUTED_VALUE"""),1.20606548722298)</f>
        <v>1.2060654872229799</v>
      </c>
      <c r="AD780" s="17">
        <f ca="1">IFERROR(__xludf.DUMMYFUNCTION("""COMPUTED_VALUE"""),1.07700658613549)</f>
        <v>1.0770065861354901</v>
      </c>
      <c r="AE780" s="17">
        <f ca="1">IFERROR(__xludf.DUMMYFUNCTION("""COMPUTED_VALUE"""),1.17532720107547)</f>
        <v>1.1753272010754701</v>
      </c>
      <c r="AF780" s="17">
        <f ca="1">IFERROR(__xludf.DUMMYFUNCTION("""COMPUTED_VALUE"""),1.05515297365564)</f>
        <v>1.05515297365564</v>
      </c>
      <c r="AG780" s="17">
        <f ca="1">IFERROR(__xludf.DUMMYFUNCTION("""COMPUTED_VALUE"""),1.11114967345687)</f>
        <v>1.11114967345687</v>
      </c>
      <c r="AH780" s="17">
        <f ca="1">IFERROR(__xludf.DUMMYFUNCTION("""COMPUTED_VALUE"""),1.01544059044077)</f>
        <v>1.01544059044077</v>
      </c>
      <c r="AI780" s="17" t="str">
        <f ca="1">IFERROR(__xludf.DUMMYFUNCTION("""COMPUTED_VALUE"""),"nan")</f>
        <v>nan</v>
      </c>
      <c r="AJ780" s="17">
        <f ca="1">IFERROR(__xludf.DUMMYFUNCTION("""COMPUTED_VALUE"""),1.09129758035195)</f>
        <v>1.09129758035195</v>
      </c>
    </row>
    <row r="781" spans="2:36" ht="15.75" customHeight="1" x14ac:dyDescent="0.45">
      <c r="B781" s="10" t="str">
        <f ca="1">IFERROR(__xludf.DUMMYFUNCTION("""COMPUTED_VALUE"""),"SharePriceIncrease")</f>
        <v>SharePriceIncrease</v>
      </c>
      <c r="C781" s="10" t="str">
        <f ca="1">IFERROR(__xludf.DUMMYFUNCTION("""COMPUTED_VALUE"""),"mcar")</f>
        <v>mcar</v>
      </c>
      <c r="D781" s="10">
        <f ca="1">IFERROR(__xludf.DUMMYFUNCTION("""COMPUTED_VALUE"""),0.8)</f>
        <v>0.8</v>
      </c>
      <c r="E781" s="17">
        <f ca="1">IFERROR(__xludf.DUMMYFUNCTION("""COMPUTED_VALUE"""),0.995060998131856)</f>
        <v>0.995060998131856</v>
      </c>
      <c r="F781" s="17">
        <f ca="1">IFERROR(__xludf.DUMMYFUNCTION("""COMPUTED_VALUE"""),1.16868729793192)</f>
        <v>1.1686872979319201</v>
      </c>
      <c r="G781" s="17">
        <f ca="1">IFERROR(__xludf.DUMMYFUNCTION("""COMPUTED_VALUE"""),1.36937777488204)</f>
        <v>1.3693777748820399</v>
      </c>
      <c r="H781" s="17">
        <f ca="1">IFERROR(__xludf.DUMMYFUNCTION("""COMPUTED_VALUE"""),1.01494365549752)</f>
        <v>1.01494365549752</v>
      </c>
      <c r="I781" s="17">
        <f ca="1">IFERROR(__xludf.DUMMYFUNCTION("""COMPUTED_VALUE"""),0.994585488079608)</f>
        <v>0.994585488079608</v>
      </c>
      <c r="J781" s="17">
        <f ca="1">IFERROR(__xludf.DUMMYFUNCTION("""COMPUTED_VALUE"""),1.09340179220655)</f>
        <v>1.09340179220655</v>
      </c>
      <c r="K781" s="17" t="str">
        <f ca="1">IFERROR(__xludf.DUMMYFUNCTION("""COMPUTED_VALUE"""),"nan")</f>
        <v>nan</v>
      </c>
      <c r="L781" s="17">
        <f ca="1">IFERROR(__xludf.DUMMYFUNCTION("""COMPUTED_VALUE"""),1.07223901848659)</f>
        <v>1.07223901848659</v>
      </c>
      <c r="M781" s="17">
        <f ca="1">IFERROR(__xludf.DUMMYFUNCTION("""COMPUTED_VALUE"""),1.07258511879968)</f>
        <v>1.07258511879968</v>
      </c>
      <c r="N781" s="17">
        <f ca="1">IFERROR(__xludf.DUMMYFUNCTION("""COMPUTED_VALUE"""),1.2263025576029)</f>
        <v>1.2263025576029001</v>
      </c>
      <c r="O781" s="17">
        <f ca="1">IFERROR(__xludf.DUMMYFUNCTION("""COMPUTED_VALUE"""),1.21118613502518)</f>
        <v>1.21118613502518</v>
      </c>
      <c r="P781" s="17">
        <f ca="1">IFERROR(__xludf.DUMMYFUNCTION("""COMPUTED_VALUE"""),1.07117099204226)</f>
        <v>1.0711709920422601</v>
      </c>
      <c r="Q781" s="17">
        <f ca="1">IFERROR(__xludf.DUMMYFUNCTION("""COMPUTED_VALUE"""),1.35730784065537)</f>
        <v>1.35730784065537</v>
      </c>
      <c r="R781" s="17">
        <f ca="1">IFERROR(__xludf.DUMMYFUNCTION("""COMPUTED_VALUE"""),1.0464907032849)</f>
        <v>1.0464907032849</v>
      </c>
      <c r="S781" s="17">
        <f ca="1">IFERROR(__xludf.DUMMYFUNCTION("""COMPUTED_VALUE"""),1.27892389264877)</f>
        <v>1.27892389264877</v>
      </c>
      <c r="T781" s="17">
        <f ca="1">IFERROR(__xludf.DUMMYFUNCTION("""COMPUTED_VALUE"""),1.05826575310153)</f>
        <v>1.05826575310153</v>
      </c>
      <c r="U781" s="17">
        <f ca="1">IFERROR(__xludf.DUMMYFUNCTION("""COMPUTED_VALUE"""),1.17461779907642)</f>
        <v>1.1746177990764199</v>
      </c>
      <c r="V781" s="17">
        <f ca="1">IFERROR(__xludf.DUMMYFUNCTION("""COMPUTED_VALUE"""),1.06213341651838)</f>
        <v>1.06213341651838</v>
      </c>
      <c r="W781" s="17">
        <f ca="1">IFERROR(__xludf.DUMMYFUNCTION("""COMPUTED_VALUE"""),0.995287220302973)</f>
        <v>0.99528722030297301</v>
      </c>
      <c r="X781" s="17">
        <f ca="1">IFERROR(__xludf.DUMMYFUNCTION("""COMPUTED_VALUE"""),1.00014640362412)</f>
        <v>1.0001464036241201</v>
      </c>
      <c r="Y781" s="17">
        <f ca="1">IFERROR(__xludf.DUMMYFUNCTION("""COMPUTED_VALUE"""),1.12707941267504)</f>
        <v>1.1270794126750401</v>
      </c>
      <c r="Z781" s="17">
        <f ca="1">IFERROR(__xludf.DUMMYFUNCTION("""COMPUTED_VALUE"""),0.998715431027454)</f>
        <v>0.99871543102745397</v>
      </c>
      <c r="AA781" s="17">
        <f ca="1">IFERROR(__xludf.DUMMYFUNCTION("""COMPUTED_VALUE"""),1.01543667500709)</f>
        <v>1.01543667500709</v>
      </c>
      <c r="AB781" s="17">
        <f ca="1">IFERROR(__xludf.DUMMYFUNCTION("""COMPUTED_VALUE"""),1.19358208208972)</f>
        <v>1.1935820820897201</v>
      </c>
      <c r="AC781" s="17">
        <f ca="1">IFERROR(__xludf.DUMMYFUNCTION("""COMPUTED_VALUE"""),1.18913641619024)</f>
        <v>1.18913641619024</v>
      </c>
      <c r="AD781" s="17">
        <f ca="1">IFERROR(__xludf.DUMMYFUNCTION("""COMPUTED_VALUE"""),1.07292602367266)</f>
        <v>1.0729260236726601</v>
      </c>
      <c r="AE781" s="17" t="str">
        <f ca="1">IFERROR(__xludf.DUMMYFUNCTION("""COMPUTED_VALUE"""),"nan")</f>
        <v>nan</v>
      </c>
      <c r="AF781" s="17">
        <f ca="1">IFERROR(__xludf.DUMMYFUNCTION("""COMPUTED_VALUE"""),1.06256486951977)</f>
        <v>1.06256486951977</v>
      </c>
      <c r="AG781" s="17">
        <f ca="1">IFERROR(__xludf.DUMMYFUNCTION("""COMPUTED_VALUE"""),1.1357294659696)</f>
        <v>1.1357294659696</v>
      </c>
      <c r="AH781" s="17">
        <f ca="1">IFERROR(__xludf.DUMMYFUNCTION("""COMPUTED_VALUE"""),1.00906488433282)</f>
        <v>1.00906488433282</v>
      </c>
      <c r="AI781" s="17" t="str">
        <f ca="1">IFERROR(__xludf.DUMMYFUNCTION("""COMPUTED_VALUE"""),"nan")</f>
        <v>nan</v>
      </c>
      <c r="AJ781" s="17">
        <f ca="1">IFERROR(__xludf.DUMMYFUNCTION("""COMPUTED_VALUE"""),1.15143401862439)</f>
        <v>1.1514340186243901</v>
      </c>
    </row>
    <row r="782" spans="2:36" ht="15.75" customHeight="1" x14ac:dyDescent="0.45">
      <c r="B782" s="10" t="str">
        <f ca="1">IFERROR(__xludf.DUMMYFUNCTION("""COMPUTED_VALUE"""),"SmallKitchenAppliances")</f>
        <v>SmallKitchenAppliances</v>
      </c>
      <c r="C782" s="10" t="str">
        <f ca="1">IFERROR(__xludf.DUMMYFUNCTION("""COMPUTED_VALUE"""),"aligned_series")</f>
        <v>aligned_series</v>
      </c>
      <c r="D782" s="10">
        <f ca="1">IFERROR(__xludf.DUMMYFUNCTION("""COMPUTED_VALUE"""),0.1)</f>
        <v>0.1</v>
      </c>
      <c r="E782" s="17">
        <f ca="1">IFERROR(__xludf.DUMMYFUNCTION("""COMPUTED_VALUE"""),0.299009336159193)</f>
        <v>0.29900933615919301</v>
      </c>
      <c r="F782" s="17">
        <f ca="1">IFERROR(__xludf.DUMMYFUNCTION("""COMPUTED_VALUE"""),0.297658499734679)</f>
        <v>0.29765849973467901</v>
      </c>
      <c r="G782" s="17">
        <f ca="1">IFERROR(__xludf.DUMMYFUNCTION("""COMPUTED_VALUE"""),0.297782369069515)</f>
        <v>0.297782369069515</v>
      </c>
      <c r="H782" s="17">
        <f ca="1">IFERROR(__xludf.DUMMYFUNCTION("""COMPUTED_VALUE"""),0.326684344312795)</f>
        <v>0.32668434431279503</v>
      </c>
      <c r="I782" s="17">
        <f ca="1">IFERROR(__xludf.DUMMYFUNCTION("""COMPUTED_VALUE"""),0.302877952213133)</f>
        <v>0.30287795221313302</v>
      </c>
      <c r="J782" s="17">
        <f ca="1">IFERROR(__xludf.DUMMYFUNCTION("""COMPUTED_VALUE"""),0.283977640031583)</f>
        <v>0.28397764003158299</v>
      </c>
      <c r="K782" s="17" t="str">
        <f ca="1">IFERROR(__xludf.DUMMYFUNCTION("""COMPUTED_VALUE"""),"nan")</f>
        <v>nan</v>
      </c>
      <c r="L782" s="17">
        <f ca="1">IFERROR(__xludf.DUMMYFUNCTION("""COMPUTED_VALUE"""),0.313050996274665)</f>
        <v>0.31305099627466498</v>
      </c>
      <c r="M782" s="17">
        <f ca="1">IFERROR(__xludf.DUMMYFUNCTION("""COMPUTED_VALUE"""),0.31380351435811)</f>
        <v>0.31380351435810999</v>
      </c>
      <c r="N782" s="17">
        <f ca="1">IFERROR(__xludf.DUMMYFUNCTION("""COMPUTED_VALUE"""),0.451162831295864)</f>
        <v>0.45116283129586399</v>
      </c>
      <c r="O782" s="17">
        <f ca="1">IFERROR(__xludf.DUMMYFUNCTION("""COMPUTED_VALUE"""),0.298241998280991)</f>
        <v>0.29824199828099102</v>
      </c>
      <c r="P782" s="17">
        <f ca="1">IFERROR(__xludf.DUMMYFUNCTION("""COMPUTED_VALUE"""),0.429071968710279)</f>
        <v>0.42907196871027897</v>
      </c>
      <c r="Q782" s="17">
        <f ca="1">IFERROR(__xludf.DUMMYFUNCTION("""COMPUTED_VALUE"""),0.286986012873799)</f>
        <v>0.28698601287379899</v>
      </c>
      <c r="R782" s="17">
        <f ca="1">IFERROR(__xludf.DUMMYFUNCTION("""COMPUTED_VALUE"""),0.304472152372278)</f>
        <v>0.30447215237227798</v>
      </c>
      <c r="S782" s="17">
        <f ca="1">IFERROR(__xludf.DUMMYFUNCTION("""COMPUTED_VALUE"""),0.298089391896403)</f>
        <v>0.29808939189640299</v>
      </c>
      <c r="T782" s="17">
        <f ca="1">IFERROR(__xludf.DUMMYFUNCTION("""COMPUTED_VALUE"""),0.28426006552887)</f>
        <v>0.28426006552887001</v>
      </c>
      <c r="U782" s="17">
        <f ca="1">IFERROR(__xludf.DUMMYFUNCTION("""COMPUTED_VALUE"""),0.285692075064607)</f>
        <v>0.28569207506460698</v>
      </c>
      <c r="V782" s="17">
        <f ca="1">IFERROR(__xludf.DUMMYFUNCTION("""COMPUTED_VALUE"""),0.284484818227169)</f>
        <v>0.28448481822716898</v>
      </c>
      <c r="W782" s="17">
        <f ca="1">IFERROR(__xludf.DUMMYFUNCTION("""COMPUTED_VALUE"""),0.284911859056691)</f>
        <v>0.28491185905669097</v>
      </c>
      <c r="X782" s="17">
        <f ca="1">IFERROR(__xludf.DUMMYFUNCTION("""COMPUTED_VALUE"""),0.296210603611769)</f>
        <v>0.29621060361176899</v>
      </c>
      <c r="Y782" s="17">
        <f ca="1">IFERROR(__xludf.DUMMYFUNCTION("""COMPUTED_VALUE"""),0.292576035281304)</f>
        <v>0.29257603528130399</v>
      </c>
      <c r="Z782" s="17">
        <f ca="1">IFERROR(__xludf.DUMMYFUNCTION("""COMPUTED_VALUE"""),0.285973150573994)</f>
        <v>0.28597315057399397</v>
      </c>
      <c r="AA782" s="17">
        <f ca="1">IFERROR(__xludf.DUMMYFUNCTION("""COMPUTED_VALUE"""),0.525998793330753)</f>
        <v>0.52599879333075295</v>
      </c>
      <c r="AB782" s="17">
        <f ca="1">IFERROR(__xludf.DUMMYFUNCTION("""COMPUTED_VALUE"""),0.324498778929111)</f>
        <v>0.324498778929111</v>
      </c>
      <c r="AC782" s="17">
        <f ca="1">IFERROR(__xludf.DUMMYFUNCTION("""COMPUTED_VALUE"""),0.879864093207598)</f>
        <v>0.87986409320759795</v>
      </c>
      <c r="AD782" s="17">
        <f ca="1">IFERROR(__xludf.DUMMYFUNCTION("""COMPUTED_VALUE"""),0.326028957122495)</f>
        <v>0.32602895712249502</v>
      </c>
      <c r="AE782" s="17">
        <f ca="1">IFERROR(__xludf.DUMMYFUNCTION("""COMPUTED_VALUE"""),0.559766415954537)</f>
        <v>0.55976641595453702</v>
      </c>
      <c r="AF782" s="17">
        <f ca="1">IFERROR(__xludf.DUMMYFUNCTION("""COMPUTED_VALUE"""),0.284293460126522)</f>
        <v>0.28429346012652201</v>
      </c>
      <c r="AG782" s="17">
        <f ca="1">IFERROR(__xludf.DUMMYFUNCTION("""COMPUTED_VALUE"""),0.361892816515575)</f>
        <v>0.36189281651557498</v>
      </c>
      <c r="AH782" s="17">
        <f ca="1">IFERROR(__xludf.DUMMYFUNCTION("""COMPUTED_VALUE"""),0.319625595740191)</f>
        <v>0.319625595740191</v>
      </c>
      <c r="AI782" s="17" t="str">
        <f ca="1">IFERROR(__xludf.DUMMYFUNCTION("""COMPUTED_VALUE"""),"nan")</f>
        <v>nan</v>
      </c>
      <c r="AJ782" s="17">
        <f ca="1">IFERROR(__xludf.DUMMYFUNCTION("""COMPUTED_VALUE"""),0.308965673294916)</f>
        <v>0.30896567329491598</v>
      </c>
    </row>
    <row r="783" spans="2:36" ht="15.75" customHeight="1" x14ac:dyDescent="0.45">
      <c r="B783" s="10" t="str">
        <f ca="1">IFERROR(__xludf.DUMMYFUNCTION("""COMPUTED_VALUE"""),"SmallKitchenAppliances")</f>
        <v>SmallKitchenAppliances</v>
      </c>
      <c r="C783" s="10" t="str">
        <f ca="1">IFERROR(__xludf.DUMMYFUNCTION("""COMPUTED_VALUE"""),"aligned_series")</f>
        <v>aligned_series</v>
      </c>
      <c r="D783" s="10">
        <f ca="1">IFERROR(__xludf.DUMMYFUNCTION("""COMPUTED_VALUE"""),0.2)</f>
        <v>0.2</v>
      </c>
      <c r="E783" s="17">
        <f ca="1">IFERROR(__xludf.DUMMYFUNCTION("""COMPUTED_VALUE"""),0.227073792455623)</f>
        <v>0.22707379245562301</v>
      </c>
      <c r="F783" s="17">
        <f ca="1">IFERROR(__xludf.DUMMYFUNCTION("""COMPUTED_VALUE"""),0.787684791105786)</f>
        <v>0.78768479110578604</v>
      </c>
      <c r="G783" s="17">
        <f ca="1">IFERROR(__xludf.DUMMYFUNCTION("""COMPUTED_VALUE"""),1.15311642728614)</f>
        <v>1.1531164272861401</v>
      </c>
      <c r="H783" s="17">
        <f ca="1">IFERROR(__xludf.DUMMYFUNCTION("""COMPUTED_VALUE"""),0.269049605364214)</f>
        <v>0.26904960536421402</v>
      </c>
      <c r="I783" s="17">
        <f ca="1">IFERROR(__xludf.DUMMYFUNCTION("""COMPUTED_VALUE"""),0.230499130230276)</f>
        <v>0.23049913023027599</v>
      </c>
      <c r="J783" s="17">
        <f ca="1">IFERROR(__xludf.DUMMYFUNCTION("""COMPUTED_VALUE"""),0.205447355462419)</f>
        <v>0.20544735546241899</v>
      </c>
      <c r="K783" s="17" t="str">
        <f ca="1">IFERROR(__xludf.DUMMYFUNCTION("""COMPUTED_VALUE"""),"nan")</f>
        <v>nan</v>
      </c>
      <c r="L783" s="17">
        <f ca="1">IFERROR(__xludf.DUMMYFUNCTION("""COMPUTED_VALUE"""),0.280820075482816)</f>
        <v>0.28082007548281601</v>
      </c>
      <c r="M783" s="17">
        <f ca="1">IFERROR(__xludf.DUMMYFUNCTION("""COMPUTED_VALUE"""),0.239244016431551)</f>
        <v>0.23924401643155099</v>
      </c>
      <c r="N783" s="17">
        <f ca="1">IFERROR(__xludf.DUMMYFUNCTION("""COMPUTED_VALUE"""),1.35483875530016)</f>
        <v>1.35483875530016</v>
      </c>
      <c r="O783" s="17">
        <f ca="1">IFERROR(__xludf.DUMMYFUNCTION("""COMPUTED_VALUE"""),0.242352581162681)</f>
        <v>0.24235258116268099</v>
      </c>
      <c r="P783" s="17">
        <f ca="1">IFERROR(__xludf.DUMMYFUNCTION("""COMPUTED_VALUE"""),1.68606262170353)</f>
        <v>1.6860626217035299</v>
      </c>
      <c r="Q783" s="17">
        <f ca="1">IFERROR(__xludf.DUMMYFUNCTION("""COMPUTED_VALUE"""),0.360039048715091)</f>
        <v>0.36003904871509101</v>
      </c>
      <c r="R783" s="17">
        <f ca="1">IFERROR(__xludf.DUMMYFUNCTION("""COMPUTED_VALUE"""),0.232388450423471)</f>
        <v>0.232388450423471</v>
      </c>
      <c r="S783" s="17">
        <f ca="1">IFERROR(__xludf.DUMMYFUNCTION("""COMPUTED_VALUE"""),0.224523568542855)</f>
        <v>0.22452356854285499</v>
      </c>
      <c r="T783" s="17">
        <f ca="1">IFERROR(__xludf.DUMMYFUNCTION("""COMPUTED_VALUE"""),0.205313679760369)</f>
        <v>0.20531367976036899</v>
      </c>
      <c r="U783" s="17">
        <f ca="1">IFERROR(__xludf.DUMMYFUNCTION("""COMPUTED_VALUE"""),0.208651517515527)</f>
        <v>0.20865151751552699</v>
      </c>
      <c r="V783" s="17">
        <f ca="1">IFERROR(__xludf.DUMMYFUNCTION("""COMPUTED_VALUE"""),0.205590439723475)</f>
        <v>0.20559043972347499</v>
      </c>
      <c r="W783" s="17">
        <f ca="1">IFERROR(__xludf.DUMMYFUNCTION("""COMPUTED_VALUE"""),0.20635294781678)</f>
        <v>0.20635294781678001</v>
      </c>
      <c r="X783" s="17">
        <f ca="1">IFERROR(__xludf.DUMMYFUNCTION("""COMPUTED_VALUE"""),0.227918005320436)</f>
        <v>0.22791800532043599</v>
      </c>
      <c r="Y783" s="17">
        <f ca="1">IFERROR(__xludf.DUMMYFUNCTION("""COMPUTED_VALUE"""),0.211687893372399)</f>
        <v>0.21168789337239899</v>
      </c>
      <c r="Z783" s="17">
        <f ca="1">IFERROR(__xludf.DUMMYFUNCTION("""COMPUTED_VALUE"""),0.208128162693919)</f>
        <v>0.20812816269391901</v>
      </c>
      <c r="AA783" s="17">
        <f ca="1">IFERROR(__xludf.DUMMYFUNCTION("""COMPUTED_VALUE"""),0.420223842083531)</f>
        <v>0.42022384208353097</v>
      </c>
      <c r="AB783" s="17">
        <f ca="1">IFERROR(__xludf.DUMMYFUNCTION("""COMPUTED_VALUE"""),0.381374569895179)</f>
        <v>0.38137456989517898</v>
      </c>
      <c r="AC783" s="17">
        <f ca="1">IFERROR(__xludf.DUMMYFUNCTION("""COMPUTED_VALUE"""),0.71244626726701)</f>
        <v>0.71244626726700999</v>
      </c>
      <c r="AD783" s="17">
        <f ca="1">IFERROR(__xludf.DUMMYFUNCTION("""COMPUTED_VALUE"""),0.260482285215365)</f>
        <v>0.26048228521536498</v>
      </c>
      <c r="AE783" s="17">
        <f ca="1">IFERROR(__xludf.DUMMYFUNCTION("""COMPUTED_VALUE"""),0.543657488609567)</f>
        <v>0.54365748860956697</v>
      </c>
      <c r="AF783" s="17">
        <f ca="1">IFERROR(__xludf.DUMMYFUNCTION("""COMPUTED_VALUE"""),0.205231343843163)</f>
        <v>0.20523134384316299</v>
      </c>
      <c r="AG783" s="17">
        <f ca="1">IFERROR(__xludf.DUMMYFUNCTION("""COMPUTED_VALUE"""),0.304026011864883)</f>
        <v>0.30402601186488298</v>
      </c>
      <c r="AH783" s="17">
        <f ca="1">IFERROR(__xludf.DUMMYFUNCTION("""COMPUTED_VALUE"""),0.246383159925683)</f>
        <v>0.24638315992568299</v>
      </c>
      <c r="AI783" s="17" t="str">
        <f ca="1">IFERROR(__xludf.DUMMYFUNCTION("""COMPUTED_VALUE"""),"nan")</f>
        <v>nan</v>
      </c>
      <c r="AJ783" s="17">
        <f ca="1">IFERROR(__xludf.DUMMYFUNCTION("""COMPUTED_VALUE"""),0.277019243353415)</f>
        <v>0.27701924335341499</v>
      </c>
    </row>
    <row r="784" spans="2:36" ht="15.75" customHeight="1" x14ac:dyDescent="0.45">
      <c r="B784" s="10" t="str">
        <f ca="1">IFERROR(__xludf.DUMMYFUNCTION("""COMPUTED_VALUE"""),"SmallKitchenAppliances")</f>
        <v>SmallKitchenAppliances</v>
      </c>
      <c r="C784" s="10" t="str">
        <f ca="1">IFERROR(__xludf.DUMMYFUNCTION("""COMPUTED_VALUE"""),"aligned_series")</f>
        <v>aligned_series</v>
      </c>
      <c r="D784" s="10">
        <f ca="1">IFERROR(__xludf.DUMMYFUNCTION("""COMPUTED_VALUE"""),0.4)</f>
        <v>0.4</v>
      </c>
      <c r="E784" s="17">
        <f ca="1">IFERROR(__xludf.DUMMYFUNCTION("""COMPUTED_VALUE"""),0.343224363902127)</f>
        <v>0.34322436390212702</v>
      </c>
      <c r="F784" s="17">
        <f ca="1">IFERROR(__xludf.DUMMYFUNCTION("""COMPUTED_VALUE"""),0.662285128034643)</f>
        <v>0.66228512803464301</v>
      </c>
      <c r="G784" s="17">
        <f ca="1">IFERROR(__xludf.DUMMYFUNCTION("""COMPUTED_VALUE"""),0.910296799894994)</f>
        <v>0.91029679989499401</v>
      </c>
      <c r="H784" s="17">
        <f ca="1">IFERROR(__xludf.DUMMYFUNCTION("""COMPUTED_VALUE"""),0.374915725026888)</f>
        <v>0.37491572502688802</v>
      </c>
      <c r="I784" s="17">
        <f ca="1">IFERROR(__xludf.DUMMYFUNCTION("""COMPUTED_VALUE"""),0.343972436053775)</f>
        <v>0.34397243605377498</v>
      </c>
      <c r="J784" s="17">
        <f ca="1">IFERROR(__xludf.DUMMYFUNCTION("""COMPUTED_VALUE"""),0.332259182393148)</f>
        <v>0.332259182393148</v>
      </c>
      <c r="K784" s="17" t="str">
        <f ca="1">IFERROR(__xludf.DUMMYFUNCTION("""COMPUTED_VALUE"""),"nan")</f>
        <v>nan</v>
      </c>
      <c r="L784" s="17">
        <f ca="1">IFERROR(__xludf.DUMMYFUNCTION("""COMPUTED_VALUE"""),0.377331382077565)</f>
        <v>0.377331382077565</v>
      </c>
      <c r="M784" s="17">
        <f ca="1">IFERROR(__xludf.DUMMYFUNCTION("""COMPUTED_VALUE"""),0.356223073146025)</f>
        <v>0.35622307314602503</v>
      </c>
      <c r="N784" s="17">
        <f ca="1">IFERROR(__xludf.DUMMYFUNCTION("""COMPUTED_VALUE"""),0.680593964430995)</f>
        <v>0.68059396443099496</v>
      </c>
      <c r="O784" s="17">
        <f ca="1">IFERROR(__xludf.DUMMYFUNCTION("""COMPUTED_VALUE"""),0.456642601400405)</f>
        <v>0.45664260140040502</v>
      </c>
      <c r="P784" s="17">
        <f ca="1">IFERROR(__xludf.DUMMYFUNCTION("""COMPUTED_VALUE"""),2.54537933765931)</f>
        <v>2.5453793376593099</v>
      </c>
      <c r="Q784" s="17">
        <f ca="1">IFERROR(__xludf.DUMMYFUNCTION("""COMPUTED_VALUE"""),0.461213087350644)</f>
        <v>0.46121308735064398</v>
      </c>
      <c r="R784" s="17">
        <f ca="1">IFERROR(__xludf.DUMMYFUNCTION("""COMPUTED_VALUE"""),0.347728895406458)</f>
        <v>0.34772889540645802</v>
      </c>
      <c r="S784" s="17">
        <f ca="1">IFERROR(__xludf.DUMMYFUNCTION("""COMPUTED_VALUE"""),0.335485882833254)</f>
        <v>0.33548588283325398</v>
      </c>
      <c r="T784" s="17">
        <f ca="1">IFERROR(__xludf.DUMMYFUNCTION("""COMPUTED_VALUE"""),0.332600437300936)</f>
        <v>0.33260043730093602</v>
      </c>
      <c r="U784" s="17">
        <f ca="1">IFERROR(__xludf.DUMMYFUNCTION("""COMPUTED_VALUE"""),0.336075281004727)</f>
        <v>0.336075281004727</v>
      </c>
      <c r="V784" s="17">
        <f ca="1">IFERROR(__xludf.DUMMYFUNCTION("""COMPUTED_VALUE"""),0.332848867043434)</f>
        <v>0.33284886704343403</v>
      </c>
      <c r="W784" s="17">
        <f ca="1">IFERROR(__xludf.DUMMYFUNCTION("""COMPUTED_VALUE"""),0.33222281311681)</f>
        <v>0.33222281311681001</v>
      </c>
      <c r="X784" s="17">
        <f ca="1">IFERROR(__xludf.DUMMYFUNCTION("""COMPUTED_VALUE"""),0.340725026545356)</f>
        <v>0.34072502654535602</v>
      </c>
      <c r="Y784" s="17">
        <f ca="1">IFERROR(__xludf.DUMMYFUNCTION("""COMPUTED_VALUE"""),0.33230077217995)</f>
        <v>0.33230077217995002</v>
      </c>
      <c r="Z784" s="17">
        <f ca="1">IFERROR(__xludf.DUMMYFUNCTION("""COMPUTED_VALUE"""),0.333308228018993)</f>
        <v>0.33330822801899301</v>
      </c>
      <c r="AA784" s="17">
        <f ca="1">IFERROR(__xludf.DUMMYFUNCTION("""COMPUTED_VALUE"""),0.512055766317934)</f>
        <v>0.51205576631793404</v>
      </c>
      <c r="AB784" s="17">
        <f ca="1">IFERROR(__xludf.DUMMYFUNCTION("""COMPUTED_VALUE"""),4.51537783167421)</f>
        <v>4.5153778316742104</v>
      </c>
      <c r="AC784" s="17">
        <f ca="1">IFERROR(__xludf.DUMMYFUNCTION("""COMPUTED_VALUE"""),0.595956302154012)</f>
        <v>0.59595630215401196</v>
      </c>
      <c r="AD784" s="17">
        <f ca="1">IFERROR(__xludf.DUMMYFUNCTION("""COMPUTED_VALUE"""),0.375864560850359)</f>
        <v>0.37586456085035902</v>
      </c>
      <c r="AE784" s="17">
        <f ca="1">IFERROR(__xludf.DUMMYFUNCTION("""COMPUTED_VALUE"""),0.581651600986077)</f>
        <v>0.58165160098607704</v>
      </c>
      <c r="AF784" s="17">
        <f ca="1">IFERROR(__xludf.DUMMYFUNCTION("""COMPUTED_VALUE"""),0.332091194534061)</f>
        <v>0.332091194534061</v>
      </c>
      <c r="AG784" s="17">
        <f ca="1">IFERROR(__xludf.DUMMYFUNCTION("""COMPUTED_VALUE"""),0.458408449477961)</f>
        <v>0.458408449477961</v>
      </c>
      <c r="AH784" s="17">
        <f ca="1">IFERROR(__xludf.DUMMYFUNCTION("""COMPUTED_VALUE"""),0.348116461931598)</f>
        <v>0.34811646193159801</v>
      </c>
      <c r="AI784" s="17" t="str">
        <f ca="1">IFERROR(__xludf.DUMMYFUNCTION("""COMPUTED_VALUE"""),"nan")</f>
        <v>nan</v>
      </c>
      <c r="AJ784" s="17">
        <f ca="1">IFERROR(__xludf.DUMMYFUNCTION("""COMPUTED_VALUE"""),0.350281118445972)</f>
        <v>0.35028111844597198</v>
      </c>
    </row>
    <row r="785" spans="2:36" ht="15.75" customHeight="1" x14ac:dyDescent="0.45">
      <c r="B785" s="10" t="str">
        <f ca="1">IFERROR(__xludf.DUMMYFUNCTION("""COMPUTED_VALUE"""),"SmallKitchenAppliances")</f>
        <v>SmallKitchenAppliances</v>
      </c>
      <c r="C785" s="10" t="str">
        <f ca="1">IFERROR(__xludf.DUMMYFUNCTION("""COMPUTED_VALUE"""),"aligned_series")</f>
        <v>aligned_series</v>
      </c>
      <c r="D785" s="10">
        <f ca="1">IFERROR(__xludf.DUMMYFUNCTION("""COMPUTED_VALUE"""),0.6)</f>
        <v>0.6</v>
      </c>
      <c r="E785" s="17">
        <f ca="1">IFERROR(__xludf.DUMMYFUNCTION("""COMPUTED_VALUE"""),0.320517036823186)</f>
        <v>0.320517036823186</v>
      </c>
      <c r="F785" s="17">
        <f ca="1">IFERROR(__xludf.DUMMYFUNCTION("""COMPUTED_VALUE"""),0.623778497709389)</f>
        <v>0.62377849770938898</v>
      </c>
      <c r="G785" s="17">
        <f ca="1">IFERROR(__xludf.DUMMYFUNCTION("""COMPUTED_VALUE"""),0.836620926417529)</f>
        <v>0.83662092641752905</v>
      </c>
      <c r="H785" s="17">
        <f ca="1">IFERROR(__xludf.DUMMYFUNCTION("""COMPUTED_VALUE"""),0.433470492917708)</f>
        <v>0.43347049291770801</v>
      </c>
      <c r="I785" s="17">
        <f ca="1">IFERROR(__xludf.DUMMYFUNCTION("""COMPUTED_VALUE"""),0.320116481940686)</f>
        <v>0.32011648194068598</v>
      </c>
      <c r="J785" s="17">
        <f ca="1">IFERROR(__xludf.DUMMYFUNCTION("""COMPUTED_VALUE"""),0.305913672629207)</f>
        <v>0.30591367262920699</v>
      </c>
      <c r="K785" s="17" t="str">
        <f ca="1">IFERROR(__xludf.DUMMYFUNCTION("""COMPUTED_VALUE"""),"nan")</f>
        <v>nan</v>
      </c>
      <c r="L785" s="17">
        <f ca="1">IFERROR(__xludf.DUMMYFUNCTION("""COMPUTED_VALUE"""),0.561591948690014)</f>
        <v>0.56159194869001405</v>
      </c>
      <c r="M785" s="17">
        <f ca="1">IFERROR(__xludf.DUMMYFUNCTION("""COMPUTED_VALUE"""),0.340828705029026)</f>
        <v>0.34082870502902601</v>
      </c>
      <c r="N785" s="17">
        <f ca="1">IFERROR(__xludf.DUMMYFUNCTION("""COMPUTED_VALUE"""),1.63149550634939)</f>
        <v>1.6314955063493899</v>
      </c>
      <c r="O785" s="17">
        <f ca="1">IFERROR(__xludf.DUMMYFUNCTION("""COMPUTED_VALUE"""),0.461615357616157)</f>
        <v>0.46161535761615702</v>
      </c>
      <c r="P785" s="17">
        <f ca="1">IFERROR(__xludf.DUMMYFUNCTION("""COMPUTED_VALUE"""),2.51989946209851)</f>
        <v>2.5198994620985098</v>
      </c>
      <c r="Q785" s="17">
        <f ca="1">IFERROR(__xludf.DUMMYFUNCTION("""COMPUTED_VALUE"""),0.492072861643657)</f>
        <v>0.49207286164365699</v>
      </c>
      <c r="R785" s="17">
        <f ca="1">IFERROR(__xludf.DUMMYFUNCTION("""COMPUTED_VALUE"""),0.326496633725356)</f>
        <v>0.32649663372535598</v>
      </c>
      <c r="S785" s="17">
        <f ca="1">IFERROR(__xludf.DUMMYFUNCTION("""COMPUTED_VALUE"""),0.311548753934462)</f>
        <v>0.31154875393446202</v>
      </c>
      <c r="T785" s="17">
        <f ca="1">IFERROR(__xludf.DUMMYFUNCTION("""COMPUTED_VALUE"""),0.305922347459567)</f>
        <v>0.30592234745956698</v>
      </c>
      <c r="U785" s="17">
        <f ca="1">IFERROR(__xludf.DUMMYFUNCTION("""COMPUTED_VALUE"""),0.310404217782022)</f>
        <v>0.31040421778202198</v>
      </c>
      <c r="V785" s="17">
        <f ca="1">IFERROR(__xludf.DUMMYFUNCTION("""COMPUTED_VALUE"""),0.306757325795903)</f>
        <v>0.30675732579590298</v>
      </c>
      <c r="W785" s="17">
        <f ca="1">IFERROR(__xludf.DUMMYFUNCTION("""COMPUTED_VALUE"""),0.306319651317015)</f>
        <v>0.306319651317015</v>
      </c>
      <c r="X785" s="17">
        <f ca="1">IFERROR(__xludf.DUMMYFUNCTION("""COMPUTED_VALUE"""),0.318596226222626)</f>
        <v>0.31859622622262601</v>
      </c>
      <c r="Y785" s="17">
        <f ca="1">IFERROR(__xludf.DUMMYFUNCTION("""COMPUTED_VALUE"""),0.306221742414375)</f>
        <v>0.306221742414375</v>
      </c>
      <c r="Z785" s="17">
        <f ca="1">IFERROR(__xludf.DUMMYFUNCTION("""COMPUTED_VALUE"""),0.306603018104932)</f>
        <v>0.30660301810493201</v>
      </c>
      <c r="AA785" s="17">
        <f ca="1">IFERROR(__xludf.DUMMYFUNCTION("""COMPUTED_VALUE"""),0.505446007691113)</f>
        <v>0.50544600769111303</v>
      </c>
      <c r="AB785" s="17">
        <f ca="1">IFERROR(__xludf.DUMMYFUNCTION("""COMPUTED_VALUE"""),5.01987680822111)</f>
        <v>5.0198768082211096</v>
      </c>
      <c r="AC785" s="17">
        <f ca="1">IFERROR(__xludf.DUMMYFUNCTION("""COMPUTED_VALUE"""),0.53562350350336)</f>
        <v>0.53562350350335997</v>
      </c>
      <c r="AD785" s="17">
        <f ca="1">IFERROR(__xludf.DUMMYFUNCTION("""COMPUTED_VALUE"""),0.347072231974208)</f>
        <v>0.347072231974208</v>
      </c>
      <c r="AE785" s="17">
        <f ca="1">IFERROR(__xludf.DUMMYFUNCTION("""COMPUTED_VALUE"""),0.577159721862087)</f>
        <v>0.57715972186208697</v>
      </c>
      <c r="AF785" s="17">
        <f ca="1">IFERROR(__xludf.DUMMYFUNCTION("""COMPUTED_VALUE"""),0.306134165820183)</f>
        <v>0.30613416582018299</v>
      </c>
      <c r="AG785" s="17">
        <f ca="1">IFERROR(__xludf.DUMMYFUNCTION("""COMPUTED_VALUE"""),0.402975021670911)</f>
        <v>0.40297502167091098</v>
      </c>
      <c r="AH785" s="17">
        <f ca="1">IFERROR(__xludf.DUMMYFUNCTION("""COMPUTED_VALUE"""),0.334612804684959)</f>
        <v>0.33461280468495902</v>
      </c>
      <c r="AI785" s="17" t="str">
        <f ca="1">IFERROR(__xludf.DUMMYFUNCTION("""COMPUTED_VALUE"""),"nan")</f>
        <v>nan</v>
      </c>
      <c r="AJ785" s="17">
        <f ca="1">IFERROR(__xludf.DUMMYFUNCTION("""COMPUTED_VALUE"""),0.343724084200225)</f>
        <v>0.34372408420022499</v>
      </c>
    </row>
    <row r="786" spans="2:36" ht="15.75" customHeight="1" x14ac:dyDescent="0.45">
      <c r="B786" s="10" t="str">
        <f ca="1">IFERROR(__xludf.DUMMYFUNCTION("""COMPUTED_VALUE"""),"SmallKitchenAppliances")</f>
        <v>SmallKitchenAppliances</v>
      </c>
      <c r="C786" s="10" t="str">
        <f ca="1">IFERROR(__xludf.DUMMYFUNCTION("""COMPUTED_VALUE"""),"aligned_series")</f>
        <v>aligned_series</v>
      </c>
      <c r="D786" s="10">
        <f ca="1">IFERROR(__xludf.DUMMYFUNCTION("""COMPUTED_VALUE"""),0.8)</f>
        <v>0.8</v>
      </c>
      <c r="E786" s="17">
        <f ca="1">IFERROR(__xludf.DUMMYFUNCTION("""COMPUTED_VALUE"""),0.340895377250998)</f>
        <v>0.340895377250998</v>
      </c>
      <c r="F786" s="17">
        <f ca="1">IFERROR(__xludf.DUMMYFUNCTION("""COMPUTED_VALUE"""),0.733342115625357)</f>
        <v>0.73334211562535701</v>
      </c>
      <c r="G786" s="17">
        <f ca="1">IFERROR(__xludf.DUMMYFUNCTION("""COMPUTED_VALUE"""),0.997360243465992)</f>
        <v>0.99736024346599195</v>
      </c>
      <c r="H786" s="17">
        <f ca="1">IFERROR(__xludf.DUMMYFUNCTION("""COMPUTED_VALUE"""),0.422496979027891)</f>
        <v>0.42249697902789102</v>
      </c>
      <c r="I786" s="17">
        <f ca="1">IFERROR(__xludf.DUMMYFUNCTION("""COMPUTED_VALUE"""),0.338108098540487)</f>
        <v>0.33810809854048701</v>
      </c>
      <c r="J786" s="17">
        <f ca="1">IFERROR(__xludf.DUMMYFUNCTION("""COMPUTED_VALUE"""),0.328154848483011)</f>
        <v>0.32815484848301102</v>
      </c>
      <c r="K786" s="17" t="str">
        <f ca="1">IFERROR(__xludf.DUMMYFUNCTION("""COMPUTED_VALUE"""),"nan")</f>
        <v>nan</v>
      </c>
      <c r="L786" s="17">
        <f ca="1">IFERROR(__xludf.DUMMYFUNCTION("""COMPUTED_VALUE"""),0.614646470950122)</f>
        <v>0.61464647095012204</v>
      </c>
      <c r="M786" s="17">
        <f ca="1">IFERROR(__xludf.DUMMYFUNCTION("""COMPUTED_VALUE"""),0.422491803011849)</f>
        <v>0.42249180301184902</v>
      </c>
      <c r="N786" s="17">
        <f ca="1">IFERROR(__xludf.DUMMYFUNCTION("""COMPUTED_VALUE"""),2.80695217821907)</f>
        <v>2.8069521782190701</v>
      </c>
      <c r="O786" s="17">
        <f ca="1">IFERROR(__xludf.DUMMYFUNCTION("""COMPUTED_VALUE"""),0.492742031995942)</f>
        <v>0.49274203199594202</v>
      </c>
      <c r="P786" s="17">
        <f ca="1">IFERROR(__xludf.DUMMYFUNCTION("""COMPUTED_VALUE"""),2.95589483788682)</f>
        <v>2.9558948378868202</v>
      </c>
      <c r="Q786" s="17">
        <f ca="1">IFERROR(__xludf.DUMMYFUNCTION("""COMPUTED_VALUE"""),0.427418545491411)</f>
        <v>0.42741854549141101</v>
      </c>
      <c r="R786" s="17">
        <f ca="1">IFERROR(__xludf.DUMMYFUNCTION("""COMPUTED_VALUE"""),0.345444665529193)</f>
        <v>0.34544466552919301</v>
      </c>
      <c r="S786" s="17">
        <f ca="1">IFERROR(__xludf.DUMMYFUNCTION("""COMPUTED_VALUE"""),0.331279809582474)</f>
        <v>0.33127980958247399</v>
      </c>
      <c r="T786" s="17">
        <f ca="1">IFERROR(__xludf.DUMMYFUNCTION("""COMPUTED_VALUE"""),0.328873455183901)</f>
        <v>0.32887345518390099</v>
      </c>
      <c r="U786" s="17">
        <f ca="1">IFERROR(__xludf.DUMMYFUNCTION("""COMPUTED_VALUE"""),0.344460017834992)</f>
        <v>0.34446001783499203</v>
      </c>
      <c r="V786" s="17">
        <f ca="1">IFERROR(__xludf.DUMMYFUNCTION("""COMPUTED_VALUE"""),0.329026817570043)</f>
        <v>0.32902681757004298</v>
      </c>
      <c r="W786" s="17">
        <f ca="1">IFERROR(__xludf.DUMMYFUNCTION("""COMPUTED_VALUE"""),0.328596932504997)</f>
        <v>0.328596932504997</v>
      </c>
      <c r="X786" s="17">
        <f ca="1">IFERROR(__xludf.DUMMYFUNCTION("""COMPUTED_VALUE"""),0.337814046567422)</f>
        <v>0.33781404656742198</v>
      </c>
      <c r="Y786" s="17">
        <f ca="1">IFERROR(__xludf.DUMMYFUNCTION("""COMPUTED_VALUE"""),0.328378764048775)</f>
        <v>0.32837876404877497</v>
      </c>
      <c r="Z786" s="17">
        <f ca="1">IFERROR(__xludf.DUMMYFUNCTION("""COMPUTED_VALUE"""),0.327930400762845)</f>
        <v>0.32793040076284502</v>
      </c>
      <c r="AA786" s="17">
        <f ca="1">IFERROR(__xludf.DUMMYFUNCTION("""COMPUTED_VALUE"""),0.462762664119295)</f>
        <v>0.46276266411929501</v>
      </c>
      <c r="AB786" s="17">
        <f ca="1">IFERROR(__xludf.DUMMYFUNCTION("""COMPUTED_VALUE"""),9.52406461558656)</f>
        <v>9.5240646155865605</v>
      </c>
      <c r="AC786" s="17">
        <f ca="1">IFERROR(__xludf.DUMMYFUNCTION("""COMPUTED_VALUE"""),0.507168006693051)</f>
        <v>0.50716800669305095</v>
      </c>
      <c r="AD786" s="17">
        <f ca="1">IFERROR(__xludf.DUMMYFUNCTION("""COMPUTED_VALUE"""),0.371137743342122)</f>
        <v>0.37113774334212202</v>
      </c>
      <c r="AE786" s="17">
        <f ca="1">IFERROR(__xludf.DUMMYFUNCTION("""COMPUTED_VALUE"""),0.570464572464031)</f>
        <v>0.57046457246403104</v>
      </c>
      <c r="AF786" s="17">
        <f ca="1">IFERROR(__xludf.DUMMYFUNCTION("""COMPUTED_VALUE"""),0.327928324461041)</f>
        <v>0.32792832446104098</v>
      </c>
      <c r="AG786" s="17">
        <f ca="1">IFERROR(__xludf.DUMMYFUNCTION("""COMPUTED_VALUE"""),0.436101166563793)</f>
        <v>0.436101166563793</v>
      </c>
      <c r="AH786" s="17">
        <f ca="1">IFERROR(__xludf.DUMMYFUNCTION("""COMPUTED_VALUE"""),0.359392266096728)</f>
        <v>0.35939226609672797</v>
      </c>
      <c r="AI786" s="17" t="str">
        <f ca="1">IFERROR(__xludf.DUMMYFUNCTION("""COMPUTED_VALUE"""),"nan")</f>
        <v>nan</v>
      </c>
      <c r="AJ786" s="17">
        <f ca="1">IFERROR(__xludf.DUMMYFUNCTION("""COMPUTED_VALUE"""),0.358297503347778)</f>
        <v>0.35829750334777799</v>
      </c>
    </row>
    <row r="787" spans="2:36" ht="15.75" customHeight="1" x14ac:dyDescent="0.45">
      <c r="B787" s="10" t="str">
        <f ca="1">IFERROR(__xludf.DUMMYFUNCTION("""COMPUTED_VALUE"""),"SmallKitchenAppliances")</f>
        <v>SmallKitchenAppliances</v>
      </c>
      <c r="C787" s="10" t="str">
        <f ca="1">IFERROR(__xludf.DUMMYFUNCTION("""COMPUTED_VALUE"""),"aligned_timestamps")</f>
        <v>aligned_timestamps</v>
      </c>
      <c r="D787" s="10">
        <f ca="1">IFERROR(__xludf.DUMMYFUNCTION("""COMPUTED_VALUE"""),0.1)</f>
        <v>0.1</v>
      </c>
      <c r="E787" s="17">
        <f ca="1">IFERROR(__xludf.DUMMYFUNCTION("""COMPUTED_VALUE"""),0.235077752700196)</f>
        <v>0.23507775270019601</v>
      </c>
      <c r="F787" s="17">
        <f ca="1">IFERROR(__xludf.DUMMYFUNCTION("""COMPUTED_VALUE"""),1.08856657315902)</f>
        <v>1.0885665731590199</v>
      </c>
      <c r="G787" s="17">
        <f ca="1">IFERROR(__xludf.DUMMYFUNCTION("""COMPUTED_VALUE"""),1.61212483898906)</f>
        <v>1.6121248389890599</v>
      </c>
      <c r="H787" s="17">
        <f ca="1">IFERROR(__xludf.DUMMYFUNCTION("""COMPUTED_VALUE"""),0.303698654328712)</f>
        <v>0.30369865432871201</v>
      </c>
      <c r="I787" s="17">
        <f ca="1">IFERROR(__xludf.DUMMYFUNCTION("""COMPUTED_VALUE"""),0.233134252948988)</f>
        <v>0.23313425294898801</v>
      </c>
      <c r="J787" s="17">
        <f ca="1">IFERROR(__xludf.DUMMYFUNCTION("""COMPUTED_VALUE"""),0.214790698627606)</f>
        <v>0.214790698627606</v>
      </c>
      <c r="K787" s="17" t="str">
        <f ca="1">IFERROR(__xludf.DUMMYFUNCTION("""COMPUTED_VALUE"""),"nan")</f>
        <v>nan</v>
      </c>
      <c r="L787" s="17">
        <f ca="1">IFERROR(__xludf.DUMMYFUNCTION("""COMPUTED_VALUE"""),0.404142593086893)</f>
        <v>0.40414259308689299</v>
      </c>
      <c r="M787" s="17">
        <f ca="1">IFERROR(__xludf.DUMMYFUNCTION("""COMPUTED_VALUE"""),0.239786190740388)</f>
        <v>0.23978619074038801</v>
      </c>
      <c r="N787" s="17">
        <f ca="1">IFERROR(__xludf.DUMMYFUNCTION("""COMPUTED_VALUE"""),1.08182436578108)</f>
        <v>1.08182436578108</v>
      </c>
      <c r="O787" s="17">
        <f ca="1">IFERROR(__xludf.DUMMYFUNCTION("""COMPUTED_VALUE"""),0.261061463238847)</f>
        <v>0.26106146323884699</v>
      </c>
      <c r="P787" s="17">
        <f ca="1">IFERROR(__xludf.DUMMYFUNCTION("""COMPUTED_VALUE"""),1.59525822819059)</f>
        <v>1.59525822819059</v>
      </c>
      <c r="Q787" s="17">
        <f ca="1">IFERROR(__xludf.DUMMYFUNCTION("""COMPUTED_VALUE"""),0.257843907789879)</f>
        <v>0.25784390778987898</v>
      </c>
      <c r="R787" s="17">
        <f ca="1">IFERROR(__xludf.DUMMYFUNCTION("""COMPUTED_VALUE"""),0.235777133154843)</f>
        <v>0.235777133154843</v>
      </c>
      <c r="S787" s="17">
        <f ca="1">IFERROR(__xludf.DUMMYFUNCTION("""COMPUTED_VALUE"""),0.215970298589505)</f>
        <v>0.21597029858950501</v>
      </c>
      <c r="T787" s="17">
        <f ca="1">IFERROR(__xludf.DUMMYFUNCTION("""COMPUTED_VALUE"""),0.215505768718414)</f>
        <v>0.21550576871841401</v>
      </c>
      <c r="U787" s="17">
        <f ca="1">IFERROR(__xludf.DUMMYFUNCTION("""COMPUTED_VALUE"""),0.218678109332174)</f>
        <v>0.21867810933217399</v>
      </c>
      <c r="V787" s="17">
        <f ca="1">IFERROR(__xludf.DUMMYFUNCTION("""COMPUTED_VALUE"""),0.215300584570983)</f>
        <v>0.215300584570983</v>
      </c>
      <c r="W787" s="17">
        <f ca="1">IFERROR(__xludf.DUMMYFUNCTION("""COMPUTED_VALUE"""),0.216010285849255)</f>
        <v>0.216010285849255</v>
      </c>
      <c r="X787" s="17">
        <f ca="1">IFERROR(__xludf.DUMMYFUNCTION("""COMPUTED_VALUE"""),0.23069593717544)</f>
        <v>0.23069593717544001</v>
      </c>
      <c r="Y787" s="17">
        <f ca="1">IFERROR(__xludf.DUMMYFUNCTION("""COMPUTED_VALUE"""),0.214779926651565)</f>
        <v>0.21477992665156501</v>
      </c>
      <c r="Z787" s="17">
        <f ca="1">IFERROR(__xludf.DUMMYFUNCTION("""COMPUTED_VALUE"""),0.216760917810578)</f>
        <v>0.21676091781057799</v>
      </c>
      <c r="AA787" s="17">
        <f ca="1">IFERROR(__xludf.DUMMYFUNCTION("""COMPUTED_VALUE"""),0.559043171850875)</f>
        <v>0.55904317185087504</v>
      </c>
      <c r="AB787" s="17">
        <f ca="1">IFERROR(__xludf.DUMMYFUNCTION("""COMPUTED_VALUE"""),1.18676898130976)</f>
        <v>1.1867689813097599</v>
      </c>
      <c r="AC787" s="17">
        <f ca="1">IFERROR(__xludf.DUMMYFUNCTION("""COMPUTED_VALUE"""),0.673441504763025)</f>
        <v>0.673441504763025</v>
      </c>
      <c r="AD787" s="17">
        <f ca="1">IFERROR(__xludf.DUMMYFUNCTION("""COMPUTED_VALUE"""),0.28115865877346)</f>
        <v>0.28115865877346002</v>
      </c>
      <c r="AE787" s="17">
        <f ca="1">IFERROR(__xludf.DUMMYFUNCTION("""COMPUTED_VALUE"""),0.502119483277763)</f>
        <v>0.50211948327776301</v>
      </c>
      <c r="AF787" s="17">
        <f ca="1">IFERROR(__xludf.DUMMYFUNCTION("""COMPUTED_VALUE"""),0.214885536958912)</f>
        <v>0.21488553695891199</v>
      </c>
      <c r="AG787" s="17">
        <f ca="1">IFERROR(__xludf.DUMMYFUNCTION("""COMPUTED_VALUE"""),0.229989934101635)</f>
        <v>0.22998993410163501</v>
      </c>
      <c r="AH787" s="17">
        <f ca="1">IFERROR(__xludf.DUMMYFUNCTION("""COMPUTED_VALUE"""),0.21498427691067)</f>
        <v>0.21498427691067001</v>
      </c>
      <c r="AI787" s="17" t="str">
        <f ca="1">IFERROR(__xludf.DUMMYFUNCTION("""COMPUTED_VALUE"""),"nan")</f>
        <v>nan</v>
      </c>
      <c r="AJ787" s="17">
        <f ca="1">IFERROR(__xludf.DUMMYFUNCTION("""COMPUTED_VALUE"""),0.214043767437512)</f>
        <v>0.21404376743751199</v>
      </c>
    </row>
    <row r="788" spans="2:36" ht="15.75" customHeight="1" x14ac:dyDescent="0.45">
      <c r="B788" s="10" t="str">
        <f ca="1">IFERROR(__xludf.DUMMYFUNCTION("""COMPUTED_VALUE"""),"SmallKitchenAppliances")</f>
        <v>SmallKitchenAppliances</v>
      </c>
      <c r="C788" s="10" t="str">
        <f ca="1">IFERROR(__xludf.DUMMYFUNCTION("""COMPUTED_VALUE"""),"aligned_timestamps")</f>
        <v>aligned_timestamps</v>
      </c>
      <c r="D788" s="10">
        <f ca="1">IFERROR(__xludf.DUMMYFUNCTION("""COMPUTED_VALUE"""),0.2)</f>
        <v>0.2</v>
      </c>
      <c r="E788" s="17">
        <f ca="1">IFERROR(__xludf.DUMMYFUNCTION("""COMPUTED_VALUE"""),0.227073792455623)</f>
        <v>0.22707379245562301</v>
      </c>
      <c r="F788" s="17">
        <f ca="1">IFERROR(__xludf.DUMMYFUNCTION("""COMPUTED_VALUE"""),0.787684791105786)</f>
        <v>0.78768479110578604</v>
      </c>
      <c r="G788" s="17">
        <f ca="1">IFERROR(__xludf.DUMMYFUNCTION("""COMPUTED_VALUE"""),1.15311642728614)</f>
        <v>1.1531164272861401</v>
      </c>
      <c r="H788" s="17">
        <f ca="1">IFERROR(__xludf.DUMMYFUNCTION("""COMPUTED_VALUE"""),0.269049605364214)</f>
        <v>0.26904960536421402</v>
      </c>
      <c r="I788" s="17">
        <f ca="1">IFERROR(__xludf.DUMMYFUNCTION("""COMPUTED_VALUE"""),0.230499130230276)</f>
        <v>0.23049913023027599</v>
      </c>
      <c r="J788" s="17">
        <f ca="1">IFERROR(__xludf.DUMMYFUNCTION("""COMPUTED_VALUE"""),0.205447355462419)</f>
        <v>0.20544735546241899</v>
      </c>
      <c r="K788" s="17" t="str">
        <f ca="1">IFERROR(__xludf.DUMMYFUNCTION("""COMPUTED_VALUE"""),"nan")</f>
        <v>nan</v>
      </c>
      <c r="L788" s="17">
        <f ca="1">IFERROR(__xludf.DUMMYFUNCTION("""COMPUTED_VALUE"""),0.280820075482816)</f>
        <v>0.28082007548281601</v>
      </c>
      <c r="M788" s="17">
        <f ca="1">IFERROR(__xludf.DUMMYFUNCTION("""COMPUTED_VALUE"""),0.239244016431551)</f>
        <v>0.23924401643155099</v>
      </c>
      <c r="N788" s="17">
        <f ca="1">IFERROR(__xludf.DUMMYFUNCTION("""COMPUTED_VALUE"""),1.35483875530016)</f>
        <v>1.35483875530016</v>
      </c>
      <c r="O788" s="17">
        <f ca="1">IFERROR(__xludf.DUMMYFUNCTION("""COMPUTED_VALUE"""),0.242352581162681)</f>
        <v>0.24235258116268099</v>
      </c>
      <c r="P788" s="17">
        <f ca="1">IFERROR(__xludf.DUMMYFUNCTION("""COMPUTED_VALUE"""),1.68606262170353)</f>
        <v>1.6860626217035299</v>
      </c>
      <c r="Q788" s="17">
        <f ca="1">IFERROR(__xludf.DUMMYFUNCTION("""COMPUTED_VALUE"""),0.360039048715091)</f>
        <v>0.36003904871509101</v>
      </c>
      <c r="R788" s="17">
        <f ca="1">IFERROR(__xludf.DUMMYFUNCTION("""COMPUTED_VALUE"""),0.232388450423471)</f>
        <v>0.232388450423471</v>
      </c>
      <c r="S788" s="17">
        <f ca="1">IFERROR(__xludf.DUMMYFUNCTION("""COMPUTED_VALUE"""),0.224523568542855)</f>
        <v>0.22452356854285499</v>
      </c>
      <c r="T788" s="17">
        <f ca="1">IFERROR(__xludf.DUMMYFUNCTION("""COMPUTED_VALUE"""),0.205313679760369)</f>
        <v>0.20531367976036899</v>
      </c>
      <c r="U788" s="17">
        <f ca="1">IFERROR(__xludf.DUMMYFUNCTION("""COMPUTED_VALUE"""),0.208651517515527)</f>
        <v>0.20865151751552699</v>
      </c>
      <c r="V788" s="17">
        <f ca="1">IFERROR(__xludf.DUMMYFUNCTION("""COMPUTED_VALUE"""),0.205590439723475)</f>
        <v>0.20559043972347499</v>
      </c>
      <c r="W788" s="17">
        <f ca="1">IFERROR(__xludf.DUMMYFUNCTION("""COMPUTED_VALUE"""),0.205339884110203)</f>
        <v>0.20533988411020301</v>
      </c>
      <c r="X788" s="17">
        <f ca="1">IFERROR(__xludf.DUMMYFUNCTION("""COMPUTED_VALUE"""),0.243579956028587)</f>
        <v>0.24357995602858701</v>
      </c>
      <c r="Y788" s="17">
        <f ca="1">IFERROR(__xludf.DUMMYFUNCTION("""COMPUTED_VALUE"""),0.211687893372399)</f>
        <v>0.21168789337239899</v>
      </c>
      <c r="Z788" s="17">
        <f ca="1">IFERROR(__xludf.DUMMYFUNCTION("""COMPUTED_VALUE"""),0.208128162693919)</f>
        <v>0.20812816269391901</v>
      </c>
      <c r="AA788" s="17">
        <f ca="1">IFERROR(__xludf.DUMMYFUNCTION("""COMPUTED_VALUE"""),0.420223842083531)</f>
        <v>0.42022384208353097</v>
      </c>
      <c r="AB788" s="17">
        <f ca="1">IFERROR(__xludf.DUMMYFUNCTION("""COMPUTED_VALUE"""),0.553904068410023)</f>
        <v>0.55390406841002304</v>
      </c>
      <c r="AC788" s="17">
        <f ca="1">IFERROR(__xludf.DUMMYFUNCTION("""COMPUTED_VALUE"""),0.71244626726701)</f>
        <v>0.71244626726700999</v>
      </c>
      <c r="AD788" s="17">
        <f ca="1">IFERROR(__xludf.DUMMYFUNCTION("""COMPUTED_VALUE"""),0.270848187601309)</f>
        <v>0.27084818760130902</v>
      </c>
      <c r="AE788" s="17">
        <f ca="1">IFERROR(__xludf.DUMMYFUNCTION("""COMPUTED_VALUE"""),0.540431216943194)</f>
        <v>0.54043121694319396</v>
      </c>
      <c r="AF788" s="17">
        <f ca="1">IFERROR(__xludf.DUMMYFUNCTION("""COMPUTED_VALUE"""),0.205231343843163)</f>
        <v>0.20523134384316299</v>
      </c>
      <c r="AG788" s="17">
        <f ca="1">IFERROR(__xludf.DUMMYFUNCTION("""COMPUTED_VALUE"""),0.421935307314248)</f>
        <v>0.421935307314248</v>
      </c>
      <c r="AH788" s="17">
        <f ca="1">IFERROR(__xludf.DUMMYFUNCTION("""COMPUTED_VALUE"""),0.246090016597463)</f>
        <v>0.24609001659746299</v>
      </c>
      <c r="AI788" s="17" t="str">
        <f ca="1">IFERROR(__xludf.DUMMYFUNCTION("""COMPUTED_VALUE"""),"nan")</f>
        <v>nan</v>
      </c>
      <c r="AJ788" s="17">
        <f ca="1">IFERROR(__xludf.DUMMYFUNCTION("""COMPUTED_VALUE"""),0.257616829977285)</f>
        <v>0.25761682997728502</v>
      </c>
    </row>
    <row r="789" spans="2:36" ht="15.75" customHeight="1" x14ac:dyDescent="0.45">
      <c r="B789" s="10" t="str">
        <f ca="1">IFERROR(__xludf.DUMMYFUNCTION("""COMPUTED_VALUE"""),"SmallKitchenAppliances")</f>
        <v>SmallKitchenAppliances</v>
      </c>
      <c r="C789" s="10" t="str">
        <f ca="1">IFERROR(__xludf.DUMMYFUNCTION("""COMPUTED_VALUE"""),"aligned_timestamps")</f>
        <v>aligned_timestamps</v>
      </c>
      <c r="D789" s="10">
        <f ca="1">IFERROR(__xludf.DUMMYFUNCTION("""COMPUTED_VALUE"""),0.4)</f>
        <v>0.4</v>
      </c>
      <c r="E789" s="17">
        <f ca="1">IFERROR(__xludf.DUMMYFUNCTION("""COMPUTED_VALUE"""),1.01918292284039)</f>
        <v>1.0191829228403899</v>
      </c>
      <c r="F789" s="17">
        <f ca="1">IFERROR(__xludf.DUMMYFUNCTION("""COMPUTED_VALUE"""),1.48007221614538)</f>
        <v>1.4800722161453801</v>
      </c>
      <c r="G789" s="17">
        <f ca="1">IFERROR(__xludf.DUMMYFUNCTION("""COMPUTED_VALUE"""),1.8598128505898)</f>
        <v>1.8598128505897999</v>
      </c>
      <c r="H789" s="17">
        <f ca="1">IFERROR(__xludf.DUMMYFUNCTION("""COMPUTED_VALUE"""),1.03751050496052)</f>
        <v>1.03751050496052</v>
      </c>
      <c r="I789" s="17">
        <f ca="1">IFERROR(__xludf.DUMMYFUNCTION("""COMPUTED_VALUE"""),1.02930347961863)</f>
        <v>1.02930347961863</v>
      </c>
      <c r="J789" s="17">
        <f ca="1">IFERROR(__xludf.DUMMYFUNCTION("""COMPUTED_VALUE"""),1.02243004783416)</f>
        <v>1.0224300478341599</v>
      </c>
      <c r="K789" s="17" t="str">
        <f ca="1">IFERROR(__xludf.DUMMYFUNCTION("""COMPUTED_VALUE"""),"nan")</f>
        <v>nan</v>
      </c>
      <c r="L789" s="17">
        <f ca="1">IFERROR(__xludf.DUMMYFUNCTION("""COMPUTED_VALUE"""),1.46916159213769)</f>
        <v>1.4691615921376899</v>
      </c>
      <c r="M789" s="17">
        <f ca="1">IFERROR(__xludf.DUMMYFUNCTION("""COMPUTED_VALUE"""),1.03224060395461)</f>
        <v>1.0322406039546099</v>
      </c>
      <c r="N789" s="17">
        <f ca="1">IFERROR(__xludf.DUMMYFUNCTION("""COMPUTED_VALUE"""),3.25450291095264)</f>
        <v>3.25450291095264</v>
      </c>
      <c r="O789" s="17">
        <f ca="1">IFERROR(__xludf.DUMMYFUNCTION("""COMPUTED_VALUE"""),1.21069775202027)</f>
        <v>1.21069775202027</v>
      </c>
      <c r="P789" s="17">
        <f ca="1">IFERROR(__xludf.DUMMYFUNCTION("""COMPUTED_VALUE"""),1.70186741298173)</f>
        <v>1.7018674129817299</v>
      </c>
      <c r="Q789" s="17">
        <f ca="1">IFERROR(__xludf.DUMMYFUNCTION("""COMPUTED_VALUE"""),1.32542601411176)</f>
        <v>1.32542601411176</v>
      </c>
      <c r="R789" s="17">
        <f ca="1">IFERROR(__xludf.DUMMYFUNCTION("""COMPUTED_VALUE"""),1.07584064864361)</f>
        <v>1.0758406486436101</v>
      </c>
      <c r="S789" s="17">
        <f ca="1">IFERROR(__xludf.DUMMYFUNCTION("""COMPUTED_VALUE"""),1.03472329919975)</f>
        <v>1.0347232991997499</v>
      </c>
      <c r="T789" s="17">
        <f ca="1">IFERROR(__xludf.DUMMYFUNCTION("""COMPUTED_VALUE"""),1.02239329162165)</f>
        <v>1.02239329162165</v>
      </c>
      <c r="U789" s="17">
        <f ca="1">IFERROR(__xludf.DUMMYFUNCTION("""COMPUTED_VALUE"""),1.02525507211437)</f>
        <v>1.0252550721143701</v>
      </c>
      <c r="V789" s="17">
        <f ca="1">IFERROR(__xludf.DUMMYFUNCTION("""COMPUTED_VALUE"""),1.02287778303619)</f>
        <v>1.0228777830361899</v>
      </c>
      <c r="W789" s="17">
        <f ca="1">IFERROR(__xludf.DUMMYFUNCTION("""COMPUTED_VALUE"""),1.02267022216669)</f>
        <v>1.0226702221666899</v>
      </c>
      <c r="X789" s="17">
        <f ca="1">IFERROR(__xludf.DUMMYFUNCTION("""COMPUTED_VALUE"""),1.032200593087)</f>
        <v>1.032200593087</v>
      </c>
      <c r="Y789" s="17">
        <f ca="1">IFERROR(__xludf.DUMMYFUNCTION("""COMPUTED_VALUE"""),1.02330634200003)</f>
        <v>1.0233063420000299</v>
      </c>
      <c r="Z789" s="17">
        <f ca="1">IFERROR(__xludf.DUMMYFUNCTION("""COMPUTED_VALUE"""),1.02072400033172)</f>
        <v>1.0207240003317199</v>
      </c>
      <c r="AA789" s="17">
        <f ca="1">IFERROR(__xludf.DUMMYFUNCTION("""COMPUTED_VALUE"""),1.59136871276037)</f>
        <v>1.59136871276037</v>
      </c>
      <c r="AB789" s="17">
        <f ca="1">IFERROR(__xludf.DUMMYFUNCTION("""COMPUTED_VALUE"""),1.03420942942169)</f>
        <v>1.0342094294216899</v>
      </c>
      <c r="AC789" s="17">
        <f ca="1">IFERROR(__xludf.DUMMYFUNCTION("""COMPUTED_VALUE"""),1.1640054605151)</f>
        <v>1.1640054605151</v>
      </c>
      <c r="AD789" s="17">
        <f ca="1">IFERROR(__xludf.DUMMYFUNCTION("""COMPUTED_VALUE"""),1.03261957992718)</f>
        <v>1.03261957992718</v>
      </c>
      <c r="AE789" s="17" t="str">
        <f ca="1">IFERROR(__xludf.DUMMYFUNCTION("""COMPUTED_VALUE"""),"nan")</f>
        <v>nan</v>
      </c>
      <c r="AF789" s="17">
        <f ca="1">IFERROR(__xludf.DUMMYFUNCTION("""COMPUTED_VALUE"""),1.02201487294303)</f>
        <v>1.0220148729430301</v>
      </c>
      <c r="AG789" s="17">
        <f ca="1">IFERROR(__xludf.DUMMYFUNCTION("""COMPUTED_VALUE"""),1.07412857546807)</f>
        <v>1.0741285754680701</v>
      </c>
      <c r="AH789" s="17">
        <f ca="1">IFERROR(__xludf.DUMMYFUNCTION("""COMPUTED_VALUE"""),1.02536379457088)</f>
        <v>1.02536379457088</v>
      </c>
      <c r="AI789" s="17" t="str">
        <f ca="1">IFERROR(__xludf.DUMMYFUNCTION("""COMPUTED_VALUE"""),"nan")</f>
        <v>nan</v>
      </c>
      <c r="AJ789" s="17">
        <f ca="1">IFERROR(__xludf.DUMMYFUNCTION("""COMPUTED_VALUE"""),1.05196772300351)</f>
        <v>1.05196772300351</v>
      </c>
    </row>
    <row r="790" spans="2:36" ht="15.75" customHeight="1" x14ac:dyDescent="0.45">
      <c r="B790" s="10" t="str">
        <f ca="1">IFERROR(__xludf.DUMMYFUNCTION("""COMPUTED_VALUE"""),"SmallKitchenAppliances")</f>
        <v>SmallKitchenAppliances</v>
      </c>
      <c r="C790" s="10" t="str">
        <f ca="1">IFERROR(__xludf.DUMMYFUNCTION("""COMPUTED_VALUE"""),"aligned_timestamps")</f>
        <v>aligned_timestamps</v>
      </c>
      <c r="D790" s="10">
        <f ca="1">IFERROR(__xludf.DUMMYFUNCTION("""COMPUTED_VALUE"""),0.6)</f>
        <v>0.6</v>
      </c>
      <c r="E790" s="17">
        <f ca="1">IFERROR(__xludf.DUMMYFUNCTION("""COMPUTED_VALUE"""),0.976165241739967)</f>
        <v>0.97616524173996699</v>
      </c>
      <c r="F790" s="17">
        <f ca="1">IFERROR(__xludf.DUMMYFUNCTION("""COMPUTED_VALUE"""),1.38575703430402)</f>
        <v>1.38575703430402</v>
      </c>
      <c r="G790" s="17">
        <f ca="1">IFERROR(__xludf.DUMMYFUNCTION("""COMPUTED_VALUE"""),1.7518094568292)</f>
        <v>1.7518094568292</v>
      </c>
      <c r="H790" s="17">
        <f ca="1">IFERROR(__xludf.DUMMYFUNCTION("""COMPUTED_VALUE"""),0.990510388599102)</f>
        <v>0.99051038859910201</v>
      </c>
      <c r="I790" s="17">
        <f ca="1">IFERROR(__xludf.DUMMYFUNCTION("""COMPUTED_VALUE"""),0.988879198619465)</f>
        <v>0.98887919861946505</v>
      </c>
      <c r="J790" s="17">
        <f ca="1">IFERROR(__xludf.DUMMYFUNCTION("""COMPUTED_VALUE"""),0.980432530418917)</f>
        <v>0.98043253041891698</v>
      </c>
      <c r="K790" s="17" t="str">
        <f ca="1">IFERROR(__xludf.DUMMYFUNCTION("""COMPUTED_VALUE"""),"nan")</f>
        <v>nan</v>
      </c>
      <c r="L790" s="17">
        <f ca="1">IFERROR(__xludf.DUMMYFUNCTION("""COMPUTED_VALUE"""),1.61592251667006)</f>
        <v>1.6159225166700599</v>
      </c>
      <c r="M790" s="17">
        <f ca="1">IFERROR(__xludf.DUMMYFUNCTION("""COMPUTED_VALUE"""),1.00108974974039)</f>
        <v>1.0010897497403899</v>
      </c>
      <c r="N790" s="17">
        <f ca="1">IFERROR(__xludf.DUMMYFUNCTION("""COMPUTED_VALUE"""),5.02064279795119)</f>
        <v>5.0206427979511901</v>
      </c>
      <c r="O790" s="17">
        <f ca="1">IFERROR(__xludf.DUMMYFUNCTION("""COMPUTED_VALUE"""),1.13193585666219)</f>
        <v>1.13193585666219</v>
      </c>
      <c r="P790" s="17">
        <f ca="1">IFERROR(__xludf.DUMMYFUNCTION("""COMPUTED_VALUE"""),1.52515598206838)</f>
        <v>1.52515598206838</v>
      </c>
      <c r="Q790" s="17">
        <f ca="1">IFERROR(__xludf.DUMMYFUNCTION("""COMPUTED_VALUE"""),1.39544246340073)</f>
        <v>1.3954424634007301</v>
      </c>
      <c r="R790" s="17">
        <f ca="1">IFERROR(__xludf.DUMMYFUNCTION("""COMPUTED_VALUE"""),1.03550048656564)</f>
        <v>1.0355004865656401</v>
      </c>
      <c r="S790" s="17">
        <f ca="1">IFERROR(__xludf.DUMMYFUNCTION("""COMPUTED_VALUE"""),0.990085898057407)</f>
        <v>0.99008589805740699</v>
      </c>
      <c r="T790" s="17">
        <f ca="1">IFERROR(__xludf.DUMMYFUNCTION("""COMPUTED_VALUE"""),0.98036013188397)</f>
        <v>0.98036013188396998</v>
      </c>
      <c r="U790" s="17">
        <f ca="1">IFERROR(__xludf.DUMMYFUNCTION("""COMPUTED_VALUE"""),0.985493139897842)</f>
        <v>0.98549313989784204</v>
      </c>
      <c r="V790" s="17">
        <f ca="1">IFERROR(__xludf.DUMMYFUNCTION("""COMPUTED_VALUE"""),0.98089113713102)</f>
        <v>0.98089113713102005</v>
      </c>
      <c r="W790" s="17">
        <f ca="1">IFERROR(__xludf.DUMMYFUNCTION("""COMPUTED_VALUE"""),0.981017329844998)</f>
        <v>0.98101732984499801</v>
      </c>
      <c r="X790" s="17">
        <f ca="1">IFERROR(__xludf.DUMMYFUNCTION("""COMPUTED_VALUE"""),1.09648983156657)</f>
        <v>1.0964898315665701</v>
      </c>
      <c r="Y790" s="17">
        <f ca="1">IFERROR(__xludf.DUMMYFUNCTION("""COMPUTED_VALUE"""),0.981170153091056)</f>
        <v>0.98117015309105604</v>
      </c>
      <c r="Z790" s="17">
        <f ca="1">IFERROR(__xludf.DUMMYFUNCTION("""COMPUTED_VALUE"""),0.975358843743809)</f>
        <v>0.97535884374380899</v>
      </c>
      <c r="AA790" s="17">
        <f ca="1">IFERROR(__xludf.DUMMYFUNCTION("""COMPUTED_VALUE"""),2.07087199280798)</f>
        <v>2.0708719928079802</v>
      </c>
      <c r="AB790" s="17">
        <f ca="1">IFERROR(__xludf.DUMMYFUNCTION("""COMPUTED_VALUE"""),1.22210557143102)</f>
        <v>1.2221055714310201</v>
      </c>
      <c r="AC790" s="17">
        <f ca="1">IFERROR(__xludf.DUMMYFUNCTION("""COMPUTED_VALUE"""),1.11607258171027)</f>
        <v>1.1160725817102699</v>
      </c>
      <c r="AD790" s="17">
        <f ca="1">IFERROR(__xludf.DUMMYFUNCTION("""COMPUTED_VALUE"""),0.989588344253239)</f>
        <v>0.98958834425323905</v>
      </c>
      <c r="AE790" s="17" t="str">
        <f ca="1">IFERROR(__xludf.DUMMYFUNCTION("""COMPUTED_VALUE"""),"nan")</f>
        <v>nan</v>
      </c>
      <c r="AF790" s="17">
        <f ca="1">IFERROR(__xludf.DUMMYFUNCTION("""COMPUTED_VALUE"""),0.980775703310753)</f>
        <v>0.98077570331075303</v>
      </c>
      <c r="AG790" s="17">
        <f ca="1">IFERROR(__xludf.DUMMYFUNCTION("""COMPUTED_VALUE"""),1.06520359865612)</f>
        <v>1.0652035986561199</v>
      </c>
      <c r="AH790" s="17">
        <f ca="1">IFERROR(__xludf.DUMMYFUNCTION("""COMPUTED_VALUE"""),0.980685710594951)</f>
        <v>0.98068571059495102</v>
      </c>
      <c r="AI790" s="17" t="str">
        <f ca="1">IFERROR(__xludf.DUMMYFUNCTION("""COMPUTED_VALUE"""),"nan")</f>
        <v>nan</v>
      </c>
      <c r="AJ790" s="17">
        <f ca="1">IFERROR(__xludf.DUMMYFUNCTION("""COMPUTED_VALUE"""),1.12047119859411)</f>
        <v>1.12047119859411</v>
      </c>
    </row>
    <row r="791" spans="2:36" ht="15.75" customHeight="1" x14ac:dyDescent="0.45">
      <c r="B791" s="10" t="str">
        <f ca="1">IFERROR(__xludf.DUMMYFUNCTION("""COMPUTED_VALUE"""),"SmallKitchenAppliances")</f>
        <v>SmallKitchenAppliances</v>
      </c>
      <c r="C791" s="10" t="str">
        <f ca="1">IFERROR(__xludf.DUMMYFUNCTION("""COMPUTED_VALUE"""),"aligned_timestamps")</f>
        <v>aligned_timestamps</v>
      </c>
      <c r="D791" s="10">
        <f ca="1">IFERROR(__xludf.DUMMYFUNCTION("""COMPUTED_VALUE"""),0.8)</f>
        <v>0.8</v>
      </c>
      <c r="E791" s="17">
        <f ca="1">IFERROR(__xludf.DUMMYFUNCTION("""COMPUTED_VALUE"""),1.02540989488784)</f>
        <v>1.0254098948878401</v>
      </c>
      <c r="F791" s="17">
        <f ca="1">IFERROR(__xludf.DUMMYFUNCTION("""COMPUTED_VALUE"""),1.35437029214475)</f>
        <v>1.35437029214475</v>
      </c>
      <c r="G791" s="17">
        <f ca="1">IFERROR(__xludf.DUMMYFUNCTION("""COMPUTED_VALUE"""),1.61913286750976)</f>
        <v>1.61913286750976</v>
      </c>
      <c r="H791" s="17">
        <f ca="1">IFERROR(__xludf.DUMMYFUNCTION("""COMPUTED_VALUE"""),1.03660725665329)</f>
        <v>1.03660725665329</v>
      </c>
      <c r="I791" s="17">
        <f ca="1">IFERROR(__xludf.DUMMYFUNCTION("""COMPUTED_VALUE"""),1.02771209138178)</f>
        <v>1.0277120913817801</v>
      </c>
      <c r="J791" s="17">
        <f ca="1">IFERROR(__xludf.DUMMYFUNCTION("""COMPUTED_VALUE"""),1.03066018283627)</f>
        <v>1.03066018283627</v>
      </c>
      <c r="K791" s="17" t="str">
        <f ca="1">IFERROR(__xludf.DUMMYFUNCTION("""COMPUTED_VALUE"""),"nan")</f>
        <v>nan</v>
      </c>
      <c r="L791" s="17">
        <f ca="1">IFERROR(__xludf.DUMMYFUNCTION("""COMPUTED_VALUE"""),1.51991071921076)</f>
        <v>1.5199107192107599</v>
      </c>
      <c r="M791" s="17">
        <f ca="1">IFERROR(__xludf.DUMMYFUNCTION("""COMPUTED_VALUE"""),1.37303116571456)</f>
        <v>1.37303116571456</v>
      </c>
      <c r="N791" s="17">
        <f ca="1">IFERROR(__xludf.DUMMYFUNCTION("""COMPUTED_VALUE"""),3.09134859553684)</f>
        <v>3.0913485955368398</v>
      </c>
      <c r="O791" s="17">
        <f ca="1">IFERROR(__xludf.DUMMYFUNCTION("""COMPUTED_VALUE"""),1.16835162502493)</f>
        <v>1.16835162502493</v>
      </c>
      <c r="P791" s="17">
        <f ca="1">IFERROR(__xludf.DUMMYFUNCTION("""COMPUTED_VALUE"""),1.29767351210111)</f>
        <v>1.29767351210111</v>
      </c>
      <c r="Q791" s="17">
        <f ca="1">IFERROR(__xludf.DUMMYFUNCTION("""COMPUTED_VALUE"""),1.45101908832602)</f>
        <v>1.4510190883260199</v>
      </c>
      <c r="R791" s="17">
        <f ca="1">IFERROR(__xludf.DUMMYFUNCTION("""COMPUTED_VALUE"""),1.66179813948281)</f>
        <v>1.6617981394828101</v>
      </c>
      <c r="S791" s="17">
        <f ca="1">IFERROR(__xludf.DUMMYFUNCTION("""COMPUTED_VALUE"""),1.03343326373714)</f>
        <v>1.03343326373714</v>
      </c>
      <c r="T791" s="17">
        <f ca="1">IFERROR(__xludf.DUMMYFUNCTION("""COMPUTED_VALUE"""),1.03080544997377)</f>
        <v>1.03080544997377</v>
      </c>
      <c r="U791" s="17">
        <f ca="1">IFERROR(__xludf.DUMMYFUNCTION("""COMPUTED_VALUE"""),1.03413085517148)</f>
        <v>1.0341308551714801</v>
      </c>
      <c r="V791" s="17">
        <f ca="1">IFERROR(__xludf.DUMMYFUNCTION("""COMPUTED_VALUE"""),1.03072424472081)</f>
        <v>1.03072424472081</v>
      </c>
      <c r="W791" s="17">
        <f ca="1">IFERROR(__xludf.DUMMYFUNCTION("""COMPUTED_VALUE"""),1.03039209362612)</f>
        <v>1.0303920936261199</v>
      </c>
      <c r="X791" s="17">
        <f ca="1">IFERROR(__xludf.DUMMYFUNCTION("""COMPUTED_VALUE"""),1.76688862105667)</f>
        <v>1.7668886210566701</v>
      </c>
      <c r="Y791" s="17">
        <f ca="1">IFERROR(__xludf.DUMMYFUNCTION("""COMPUTED_VALUE"""),1.03104030411274)</f>
        <v>1.0310403041127401</v>
      </c>
      <c r="Z791" s="17">
        <f ca="1">IFERROR(__xludf.DUMMYFUNCTION("""COMPUTED_VALUE"""),1.02487632595571)</f>
        <v>1.0248763259557101</v>
      </c>
      <c r="AA791" s="17">
        <f ca="1">IFERROR(__xludf.DUMMYFUNCTION("""COMPUTED_VALUE"""),2.98081194550149)</f>
        <v>2.9808119455014901</v>
      </c>
      <c r="AB791" s="17">
        <f ca="1">IFERROR(__xludf.DUMMYFUNCTION("""COMPUTED_VALUE"""),3.82593449774911)</f>
        <v>3.8259344977491101</v>
      </c>
      <c r="AC791" s="17">
        <f ca="1">IFERROR(__xludf.DUMMYFUNCTION("""COMPUTED_VALUE"""),1.16221836845697)</f>
        <v>1.16221836845697</v>
      </c>
      <c r="AD791" s="17">
        <f ca="1">IFERROR(__xludf.DUMMYFUNCTION("""COMPUTED_VALUE"""),1.03946505583648)</f>
        <v>1.03946505583648</v>
      </c>
      <c r="AE791" s="17" t="str">
        <f ca="1">IFERROR(__xludf.DUMMYFUNCTION("""COMPUTED_VALUE"""),"nan")</f>
        <v>nan</v>
      </c>
      <c r="AF791" s="17">
        <f ca="1">IFERROR(__xludf.DUMMYFUNCTION("""COMPUTED_VALUE"""),1.03322708342339)</f>
        <v>1.0332270834233901</v>
      </c>
      <c r="AG791" s="17">
        <f ca="1">IFERROR(__xludf.DUMMYFUNCTION("""COMPUTED_VALUE"""),1.08181364069475)</f>
        <v>1.0818136406947501</v>
      </c>
      <c r="AH791" s="17">
        <f ca="1">IFERROR(__xludf.DUMMYFUNCTION("""COMPUTED_VALUE"""),1.02683062616329)</f>
        <v>1.02683062616329</v>
      </c>
      <c r="AI791" s="17" t="str">
        <f ca="1">IFERROR(__xludf.DUMMYFUNCTION("""COMPUTED_VALUE"""),"nan")</f>
        <v>nan</v>
      </c>
      <c r="AJ791" s="17">
        <f ca="1">IFERROR(__xludf.DUMMYFUNCTION("""COMPUTED_VALUE"""),1.21463736402524)</f>
        <v>1.2146373640252399</v>
      </c>
    </row>
    <row r="792" spans="2:36" ht="15.75" customHeight="1" x14ac:dyDescent="0.45">
      <c r="B792" s="10" t="str">
        <f ca="1">IFERROR(__xludf.DUMMYFUNCTION("""COMPUTED_VALUE"""),"SmallKitchenAppliances")</f>
        <v>SmallKitchenAppliances</v>
      </c>
      <c r="C792" s="10" t="str">
        <f ca="1">IFERROR(__xludf.DUMMYFUNCTION("""COMPUTED_VALUE"""),"mcar")</f>
        <v>mcar</v>
      </c>
      <c r="D792" s="10">
        <f ca="1">IFERROR(__xludf.DUMMYFUNCTION("""COMPUTED_VALUE"""),0.1)</f>
        <v>0.1</v>
      </c>
      <c r="E792" s="17">
        <f ca="1">IFERROR(__xludf.DUMMYFUNCTION("""COMPUTED_VALUE"""),0.878552534438104)</f>
        <v>0.87855253443810399</v>
      </c>
      <c r="F792" s="17">
        <f ca="1">IFERROR(__xludf.DUMMYFUNCTION("""COMPUTED_VALUE"""),2.8510364263928)</f>
        <v>2.8510364263927999</v>
      </c>
      <c r="G792" s="17">
        <f ca="1">IFERROR(__xludf.DUMMYFUNCTION("""COMPUTED_VALUE"""),3.84387499626262)</f>
        <v>3.84387499626262</v>
      </c>
      <c r="H792" s="17">
        <f ca="1">IFERROR(__xludf.DUMMYFUNCTION("""COMPUTED_VALUE"""),0.891111012949362)</f>
        <v>0.89111101294936201</v>
      </c>
      <c r="I792" s="17">
        <f ca="1">IFERROR(__xludf.DUMMYFUNCTION("""COMPUTED_VALUE"""),0.907196235897922)</f>
        <v>0.90719623589792198</v>
      </c>
      <c r="J792" s="17">
        <f ca="1">IFERROR(__xludf.DUMMYFUNCTION("""COMPUTED_VALUE"""),0.893382222926147)</f>
        <v>0.893382222926147</v>
      </c>
      <c r="K792" s="17" t="str">
        <f ca="1">IFERROR(__xludf.DUMMYFUNCTION("""COMPUTED_VALUE"""),"nan")</f>
        <v>nan</v>
      </c>
      <c r="L792" s="17">
        <f ca="1">IFERROR(__xludf.DUMMYFUNCTION("""COMPUTED_VALUE"""),2.20109647410704)</f>
        <v>2.20109647410704</v>
      </c>
      <c r="M792" s="17">
        <f ca="1">IFERROR(__xludf.DUMMYFUNCTION("""COMPUTED_VALUE"""),0.89231311043467)</f>
        <v>0.89231311043466999</v>
      </c>
      <c r="N792" s="17">
        <f ca="1">IFERROR(__xludf.DUMMYFUNCTION("""COMPUTED_VALUE"""),1.09858754003557)</f>
        <v>1.09858754003557</v>
      </c>
      <c r="O792" s="17">
        <f ca="1">IFERROR(__xludf.DUMMYFUNCTION("""COMPUTED_VALUE"""),1.33938446003366)</f>
        <v>1.33938446003366</v>
      </c>
      <c r="P792" s="17">
        <f ca="1">IFERROR(__xludf.DUMMYFUNCTION("""COMPUTED_VALUE"""),0.980853813508458)</f>
        <v>0.98085381350845802</v>
      </c>
      <c r="Q792" s="17">
        <f ca="1">IFERROR(__xludf.DUMMYFUNCTION("""COMPUTED_VALUE"""),1.20933816342391)</f>
        <v>1.20933816342391</v>
      </c>
      <c r="R792" s="17">
        <f ca="1">IFERROR(__xludf.DUMMYFUNCTION("""COMPUTED_VALUE"""),2.3663532915164)</f>
        <v>2.3663532915164001</v>
      </c>
      <c r="S792" s="17">
        <f ca="1">IFERROR(__xludf.DUMMYFUNCTION("""COMPUTED_VALUE"""),0.885153603305627)</f>
        <v>0.88515360330562698</v>
      </c>
      <c r="T792" s="17">
        <f ca="1">IFERROR(__xludf.DUMMYFUNCTION("""COMPUTED_VALUE"""),0.885014043868683)</f>
        <v>0.88501404386868299</v>
      </c>
      <c r="U792" s="17">
        <f ca="1">IFERROR(__xludf.DUMMYFUNCTION("""COMPUTED_VALUE"""),0.885752977789979)</f>
        <v>0.88575297778997897</v>
      </c>
      <c r="V792" s="17">
        <f ca="1">IFERROR(__xludf.DUMMYFUNCTION("""COMPUTED_VALUE"""),0.882255146202244)</f>
        <v>0.88225514620224399</v>
      </c>
      <c r="W792" s="17">
        <f ca="1">IFERROR(__xludf.DUMMYFUNCTION("""COMPUTED_VALUE"""),0.887275776952509)</f>
        <v>0.88727577695250903</v>
      </c>
      <c r="X792" s="17">
        <f ca="1">IFERROR(__xludf.DUMMYFUNCTION("""COMPUTED_VALUE"""),0.901905387223497)</f>
        <v>0.901905387223497</v>
      </c>
      <c r="Y792" s="17">
        <f ca="1">IFERROR(__xludf.DUMMYFUNCTION("""COMPUTED_VALUE"""),0.877897271908559)</f>
        <v>0.87789727190855904</v>
      </c>
      <c r="Z792" s="17">
        <f ca="1">IFERROR(__xludf.DUMMYFUNCTION("""COMPUTED_VALUE"""),0.881334727490986)</f>
        <v>0.88133472749098596</v>
      </c>
      <c r="AA792" s="17">
        <f ca="1">IFERROR(__xludf.DUMMYFUNCTION("""COMPUTED_VALUE"""),1.72146927663461)</f>
        <v>1.72146927663461</v>
      </c>
      <c r="AB792" s="17">
        <f ca="1">IFERROR(__xludf.DUMMYFUNCTION("""COMPUTED_VALUE"""),0.891030642516611)</f>
        <v>0.89103064251661102</v>
      </c>
      <c r="AC792" s="17">
        <f ca="1">IFERROR(__xludf.DUMMYFUNCTION("""COMPUTED_VALUE"""),1.14031967002794)</f>
        <v>1.1403196700279401</v>
      </c>
      <c r="AD792" s="17">
        <f ca="1">IFERROR(__xludf.DUMMYFUNCTION("""COMPUTED_VALUE"""),0.886949099090774)</f>
        <v>0.88694909909077402</v>
      </c>
      <c r="AE792" s="17">
        <f ca="1">IFERROR(__xludf.DUMMYFUNCTION("""COMPUTED_VALUE"""),1.00262246837088)</f>
        <v>1.00262246837088</v>
      </c>
      <c r="AF792" s="17">
        <f ca="1">IFERROR(__xludf.DUMMYFUNCTION("""COMPUTED_VALUE"""),0.884796913200549)</f>
        <v>0.88479691320054898</v>
      </c>
      <c r="AG792" s="17">
        <f ca="1">IFERROR(__xludf.DUMMYFUNCTION("""COMPUTED_VALUE"""),0.942621143526769)</f>
        <v>0.94262114352676896</v>
      </c>
      <c r="AH792" s="17">
        <f ca="1">IFERROR(__xludf.DUMMYFUNCTION("""COMPUTED_VALUE"""),0.899712177615043)</f>
        <v>0.89971217761504296</v>
      </c>
      <c r="AI792" s="17" t="str">
        <f ca="1">IFERROR(__xludf.DUMMYFUNCTION("""COMPUTED_VALUE"""),"nan")</f>
        <v>nan</v>
      </c>
      <c r="AJ792" s="17">
        <f ca="1">IFERROR(__xludf.DUMMYFUNCTION("""COMPUTED_VALUE"""),0.910965930729989)</f>
        <v>0.91096593072998899</v>
      </c>
    </row>
    <row r="793" spans="2:36" ht="15.75" customHeight="1" x14ac:dyDescent="0.45">
      <c r="B793" s="10" t="str">
        <f ca="1">IFERROR(__xludf.DUMMYFUNCTION("""COMPUTED_VALUE"""),"SmallKitchenAppliances")</f>
        <v>SmallKitchenAppliances</v>
      </c>
      <c r="C793" s="10" t="str">
        <f ca="1">IFERROR(__xludf.DUMMYFUNCTION("""COMPUTED_VALUE"""),"mcar")</f>
        <v>mcar</v>
      </c>
      <c r="D793" s="10">
        <f ca="1">IFERROR(__xludf.DUMMYFUNCTION("""COMPUTED_VALUE"""),0.2)</f>
        <v>0.2</v>
      </c>
      <c r="E793" s="17">
        <f ca="1">IFERROR(__xludf.DUMMYFUNCTION("""COMPUTED_VALUE"""),0.955537325963537)</f>
        <v>0.95553732596353702</v>
      </c>
      <c r="F793" s="17">
        <f ca="1">IFERROR(__xludf.DUMMYFUNCTION("""COMPUTED_VALUE"""),2.45790134538467)</f>
        <v>2.4579013453846699</v>
      </c>
      <c r="G793" s="17">
        <f ca="1">IFERROR(__xludf.DUMMYFUNCTION("""COMPUTED_VALUE"""),3.2843241293658)</f>
        <v>3.2843241293658001</v>
      </c>
      <c r="H793" s="17">
        <f ca="1">IFERROR(__xludf.DUMMYFUNCTION("""COMPUTED_VALUE"""),0.971273486566461)</f>
        <v>0.97127348656646095</v>
      </c>
      <c r="I793" s="17">
        <f ca="1">IFERROR(__xludf.DUMMYFUNCTION("""COMPUTED_VALUE"""),0.970823441773936)</f>
        <v>0.97082344177393598</v>
      </c>
      <c r="J793" s="17">
        <f ca="1">IFERROR(__xludf.DUMMYFUNCTION("""COMPUTED_VALUE"""),0.963583518274976)</f>
        <v>0.96358351827497601</v>
      </c>
      <c r="K793" s="17" t="str">
        <f ca="1">IFERROR(__xludf.DUMMYFUNCTION("""COMPUTED_VALUE"""),"nan")</f>
        <v>nan</v>
      </c>
      <c r="L793" s="17">
        <f ca="1">IFERROR(__xludf.DUMMYFUNCTION("""COMPUTED_VALUE"""),2.54154792836653)</f>
        <v>2.5415479283665299</v>
      </c>
      <c r="M793" s="17">
        <f ca="1">IFERROR(__xludf.DUMMYFUNCTION("""COMPUTED_VALUE"""),0.968139269526388)</f>
        <v>0.96813926952638796</v>
      </c>
      <c r="N793" s="17">
        <f ca="1">IFERROR(__xludf.DUMMYFUNCTION("""COMPUTED_VALUE"""),1.48663684561582)</f>
        <v>1.4866368456158201</v>
      </c>
      <c r="O793" s="17">
        <f ca="1">IFERROR(__xludf.DUMMYFUNCTION("""COMPUTED_VALUE"""),1.24194215521717)</f>
        <v>1.2419421552171701</v>
      </c>
      <c r="P793" s="17">
        <f ca="1">IFERROR(__xludf.DUMMYFUNCTION("""COMPUTED_VALUE"""),1.03792997539621)</f>
        <v>1.0379299753962099</v>
      </c>
      <c r="Q793" s="17">
        <f ca="1">IFERROR(__xludf.DUMMYFUNCTION("""COMPUTED_VALUE"""),1.36207424600433)</f>
        <v>1.36207424600433</v>
      </c>
      <c r="R793" s="17">
        <f ca="1">IFERROR(__xludf.DUMMYFUNCTION("""COMPUTED_VALUE"""),1.79622849487279)</f>
        <v>1.79622849487279</v>
      </c>
      <c r="S793" s="17">
        <f ca="1">IFERROR(__xludf.DUMMYFUNCTION("""COMPUTED_VALUE"""),0.964527226071455)</f>
        <v>0.96452722607145502</v>
      </c>
      <c r="T793" s="17">
        <f ca="1">IFERROR(__xludf.DUMMYFUNCTION("""COMPUTED_VALUE"""),0.962002009212873)</f>
        <v>0.96200200921287304</v>
      </c>
      <c r="U793" s="17">
        <f ca="1">IFERROR(__xludf.DUMMYFUNCTION("""COMPUTED_VALUE"""),0.966751629950336)</f>
        <v>0.96675162995033603</v>
      </c>
      <c r="V793" s="17">
        <f ca="1">IFERROR(__xludf.DUMMYFUNCTION("""COMPUTED_VALUE"""),0.959661711547145)</f>
        <v>0.95966171154714497</v>
      </c>
      <c r="W793" s="17">
        <f ca="1">IFERROR(__xludf.DUMMYFUNCTION("""COMPUTED_VALUE"""),0.961875590706829)</f>
        <v>0.96187559070682904</v>
      </c>
      <c r="X793" s="17">
        <f ca="1">IFERROR(__xludf.DUMMYFUNCTION("""COMPUTED_VALUE"""),0.972993985501748)</f>
        <v>0.97299398550174798</v>
      </c>
      <c r="Y793" s="17">
        <f ca="1">IFERROR(__xludf.DUMMYFUNCTION("""COMPUTED_VALUE"""),0.958530154584806)</f>
        <v>0.95853015458480595</v>
      </c>
      <c r="Z793" s="17">
        <f ca="1">IFERROR(__xludf.DUMMYFUNCTION("""COMPUTED_VALUE"""),0.957717523845104)</f>
        <v>0.957717523845104</v>
      </c>
      <c r="AA793" s="17">
        <f ca="1">IFERROR(__xludf.DUMMYFUNCTION("""COMPUTED_VALUE"""),1.60021370404221)</f>
        <v>1.60021370404221</v>
      </c>
      <c r="AB793" s="17">
        <f ca="1">IFERROR(__xludf.DUMMYFUNCTION("""COMPUTED_VALUE"""),1.13172469557008)</f>
        <v>1.1317246955700799</v>
      </c>
      <c r="AC793" s="17">
        <f ca="1">IFERROR(__xludf.DUMMYFUNCTION("""COMPUTED_VALUE"""),1.32644460771742)</f>
        <v>1.3264446077174199</v>
      </c>
      <c r="AD793" s="17">
        <f ca="1">IFERROR(__xludf.DUMMYFUNCTION("""COMPUTED_VALUE"""),0.968753000529939)</f>
        <v>0.96875300052993896</v>
      </c>
      <c r="AE793" s="17">
        <f ca="1">IFERROR(__xludf.DUMMYFUNCTION("""COMPUTED_VALUE"""),1.10016277681088)</f>
        <v>1.1001627768108799</v>
      </c>
      <c r="AF793" s="17">
        <f ca="1">IFERROR(__xludf.DUMMYFUNCTION("""COMPUTED_VALUE"""),0.961001669058835)</f>
        <v>0.961001669058835</v>
      </c>
      <c r="AG793" s="17">
        <f ca="1">IFERROR(__xludf.DUMMYFUNCTION("""COMPUTED_VALUE"""),1.0005199953204)</f>
        <v>1.0005199953204</v>
      </c>
      <c r="AH793" s="17">
        <f ca="1">IFERROR(__xludf.DUMMYFUNCTION("""COMPUTED_VALUE"""),0.981105037285413)</f>
        <v>0.98110503728541298</v>
      </c>
      <c r="AI793" s="17" t="str">
        <f ca="1">IFERROR(__xludf.DUMMYFUNCTION("""COMPUTED_VALUE"""),"nan")</f>
        <v>nan</v>
      </c>
      <c r="AJ793" s="17">
        <f ca="1">IFERROR(__xludf.DUMMYFUNCTION("""COMPUTED_VALUE"""),0.985565877534409)</f>
        <v>0.98556587753440905</v>
      </c>
    </row>
    <row r="794" spans="2:36" ht="15.75" customHeight="1" x14ac:dyDescent="0.45">
      <c r="B794" s="10" t="str">
        <f ca="1">IFERROR(__xludf.DUMMYFUNCTION("""COMPUTED_VALUE"""),"SmallKitchenAppliances")</f>
        <v>SmallKitchenAppliances</v>
      </c>
      <c r="C794" s="10" t="str">
        <f ca="1">IFERROR(__xludf.DUMMYFUNCTION("""COMPUTED_VALUE"""),"mcar")</f>
        <v>mcar</v>
      </c>
      <c r="D794" s="10">
        <f ca="1">IFERROR(__xludf.DUMMYFUNCTION("""COMPUTED_VALUE"""),0.4)</f>
        <v>0.4</v>
      </c>
      <c r="E794" s="17">
        <f ca="1">IFERROR(__xludf.DUMMYFUNCTION("""COMPUTED_VALUE"""),0.972736973145213)</f>
        <v>0.97273697314521301</v>
      </c>
      <c r="F794" s="17">
        <f ca="1">IFERROR(__xludf.DUMMYFUNCTION("""COMPUTED_VALUE"""),2.13999449957137)</f>
        <v>2.1399944995713698</v>
      </c>
      <c r="G794" s="17">
        <f ca="1">IFERROR(__xludf.DUMMYFUNCTION("""COMPUTED_VALUE"""),2.65851398149724)</f>
        <v>2.6585139814972401</v>
      </c>
      <c r="H794" s="17">
        <f ca="1">IFERROR(__xludf.DUMMYFUNCTION("""COMPUTED_VALUE"""),0.991587911115365)</f>
        <v>0.99158791111536504</v>
      </c>
      <c r="I794" s="17">
        <f ca="1">IFERROR(__xludf.DUMMYFUNCTION("""COMPUTED_VALUE"""),0.988826929840222)</f>
        <v>0.98882692984022202</v>
      </c>
      <c r="J794" s="17">
        <f ca="1">IFERROR(__xludf.DUMMYFUNCTION("""COMPUTED_VALUE"""),0.983486564207901)</f>
        <v>0.98348656420790104</v>
      </c>
      <c r="K794" s="17" t="str">
        <f ca="1">IFERROR(__xludf.DUMMYFUNCTION("""COMPUTED_VALUE"""),"nan")</f>
        <v>nan</v>
      </c>
      <c r="L794" s="17">
        <f ca="1">IFERROR(__xludf.DUMMYFUNCTION("""COMPUTED_VALUE"""),2.5479688285028)</f>
        <v>2.5479688285028002</v>
      </c>
      <c r="M794" s="17">
        <f ca="1">IFERROR(__xludf.DUMMYFUNCTION("""COMPUTED_VALUE"""),0.991659917502405)</f>
        <v>0.99165991750240501</v>
      </c>
      <c r="N794" s="17">
        <f ca="1">IFERROR(__xludf.DUMMYFUNCTION("""COMPUTED_VALUE"""),1.27206392893281)</f>
        <v>1.27206392893281</v>
      </c>
      <c r="O794" s="17">
        <f ca="1">IFERROR(__xludf.DUMMYFUNCTION("""COMPUTED_VALUE"""),1.19160812771376)</f>
        <v>1.19160812771376</v>
      </c>
      <c r="P794" s="17">
        <f ca="1">IFERROR(__xludf.DUMMYFUNCTION("""COMPUTED_VALUE"""),1.05018172261232)</f>
        <v>1.05018172261232</v>
      </c>
      <c r="Q794" s="17">
        <f ca="1">IFERROR(__xludf.DUMMYFUNCTION("""COMPUTED_VALUE"""),1.39148077173958)</f>
        <v>1.3914807717395801</v>
      </c>
      <c r="R794" s="17">
        <f ca="1">IFERROR(__xludf.DUMMYFUNCTION("""COMPUTED_VALUE"""),2.40365784418067)</f>
        <v>2.4036578441806702</v>
      </c>
      <c r="S794" s="17">
        <f ca="1">IFERROR(__xludf.DUMMYFUNCTION("""COMPUTED_VALUE"""),0.982397895528757)</f>
        <v>0.982397895528757</v>
      </c>
      <c r="T794" s="17">
        <f ca="1">IFERROR(__xludf.DUMMYFUNCTION("""COMPUTED_VALUE"""),0.979625026383426)</f>
        <v>0.97962502638342597</v>
      </c>
      <c r="U794" s="17">
        <f ca="1">IFERROR(__xludf.DUMMYFUNCTION("""COMPUTED_VALUE"""),0.987431378950716)</f>
        <v>0.98743137895071598</v>
      </c>
      <c r="V794" s="17">
        <f ca="1">IFERROR(__xludf.DUMMYFUNCTION("""COMPUTED_VALUE"""),0.977435866490832)</f>
        <v>0.97743586649083203</v>
      </c>
      <c r="W794" s="17">
        <f ca="1">IFERROR(__xludf.DUMMYFUNCTION("""COMPUTED_VALUE"""),0.976803248310776)</f>
        <v>0.97680324831077603</v>
      </c>
      <c r="X794" s="17">
        <f ca="1">IFERROR(__xludf.DUMMYFUNCTION("""COMPUTED_VALUE"""),1.04350280145493)</f>
        <v>1.0435028014549299</v>
      </c>
      <c r="Y794" s="17">
        <f ca="1">IFERROR(__xludf.DUMMYFUNCTION("""COMPUTED_VALUE"""),0.983483207993417)</f>
        <v>0.98348320799341704</v>
      </c>
      <c r="Z794" s="17">
        <f ca="1">IFERROR(__xludf.DUMMYFUNCTION("""COMPUTED_VALUE"""),0.975158283257847)</f>
        <v>0.97515828325784704</v>
      </c>
      <c r="AA794" s="17">
        <f ca="1">IFERROR(__xludf.DUMMYFUNCTION("""COMPUTED_VALUE"""),1.76114697732094)</f>
        <v>1.7611469773209401</v>
      </c>
      <c r="AB794" s="17">
        <f ca="1">IFERROR(__xludf.DUMMYFUNCTION("""COMPUTED_VALUE"""),1.06151499054639)</f>
        <v>1.0615149905463901</v>
      </c>
      <c r="AC794" s="17">
        <f ca="1">IFERROR(__xludf.DUMMYFUNCTION("""COMPUTED_VALUE"""),1.36603943525006)</f>
        <v>1.36603943525006</v>
      </c>
      <c r="AD794" s="17">
        <f ca="1">IFERROR(__xludf.DUMMYFUNCTION("""COMPUTED_VALUE"""),0.985371389630977)</f>
        <v>0.98537138963097703</v>
      </c>
      <c r="AE794" s="17">
        <f ca="1">IFERROR(__xludf.DUMMYFUNCTION("""COMPUTED_VALUE"""),1.07133093605153)</f>
        <v>1.07133093605153</v>
      </c>
      <c r="AF794" s="17">
        <f ca="1">IFERROR(__xludf.DUMMYFUNCTION("""COMPUTED_VALUE"""),0.976697003693294)</f>
        <v>0.97669700369329404</v>
      </c>
      <c r="AG794" s="17">
        <f ca="1">IFERROR(__xludf.DUMMYFUNCTION("""COMPUTED_VALUE"""),1.05665988969312)</f>
        <v>1.0566598896931201</v>
      </c>
      <c r="AH794" s="17">
        <f ca="1">IFERROR(__xludf.DUMMYFUNCTION("""COMPUTED_VALUE"""),0.994667938194303)</f>
        <v>0.99466793819430299</v>
      </c>
      <c r="AI794" s="17" t="str">
        <f ca="1">IFERROR(__xludf.DUMMYFUNCTION("""COMPUTED_VALUE"""),"nan")</f>
        <v>nan</v>
      </c>
      <c r="AJ794" s="17">
        <f ca="1">IFERROR(__xludf.DUMMYFUNCTION("""COMPUTED_VALUE"""),1.00574741163025)</f>
        <v>1.0057474116302501</v>
      </c>
    </row>
    <row r="795" spans="2:36" ht="15.75" customHeight="1" x14ac:dyDescent="0.45">
      <c r="B795" s="10" t="str">
        <f ca="1">IFERROR(__xludf.DUMMYFUNCTION("""COMPUTED_VALUE"""),"SmallKitchenAppliances")</f>
        <v>SmallKitchenAppliances</v>
      </c>
      <c r="C795" s="10" t="str">
        <f ca="1">IFERROR(__xludf.DUMMYFUNCTION("""COMPUTED_VALUE"""),"mcar")</f>
        <v>mcar</v>
      </c>
      <c r="D795" s="10">
        <f ca="1">IFERROR(__xludf.DUMMYFUNCTION("""COMPUTED_VALUE"""),0.6)</f>
        <v>0.6</v>
      </c>
      <c r="E795" s="17">
        <f ca="1">IFERROR(__xludf.DUMMYFUNCTION("""COMPUTED_VALUE"""),1.00760747332028)</f>
        <v>1.00760747332028</v>
      </c>
      <c r="F795" s="17">
        <f ca="1">IFERROR(__xludf.DUMMYFUNCTION("""COMPUTED_VALUE"""),2.18449073576877)</f>
        <v>2.1844907357687702</v>
      </c>
      <c r="G795" s="17">
        <f ca="1">IFERROR(__xludf.DUMMYFUNCTION("""COMPUTED_VALUE"""),2.68296045172837)</f>
        <v>2.6829604517283698</v>
      </c>
      <c r="H795" s="17">
        <f ca="1">IFERROR(__xludf.DUMMYFUNCTION("""COMPUTED_VALUE"""),1.02282540332512)</f>
        <v>1.0228254033251201</v>
      </c>
      <c r="I795" s="17">
        <f ca="1">IFERROR(__xludf.DUMMYFUNCTION("""COMPUTED_VALUE"""),1.02073743110332)</f>
        <v>1.0207374311033199</v>
      </c>
      <c r="J795" s="17">
        <f ca="1">IFERROR(__xludf.DUMMYFUNCTION("""COMPUTED_VALUE"""),1.01912308569157)</f>
        <v>1.0191230856915701</v>
      </c>
      <c r="K795" s="17" t="str">
        <f ca="1">IFERROR(__xludf.DUMMYFUNCTION("""COMPUTED_VALUE"""),"nan")</f>
        <v>nan</v>
      </c>
      <c r="L795" s="17">
        <f ca="1">IFERROR(__xludf.DUMMYFUNCTION("""COMPUTED_VALUE"""),2.37479447289059)</f>
        <v>2.3747944728905899</v>
      </c>
      <c r="M795" s="17">
        <f ca="1">IFERROR(__xludf.DUMMYFUNCTION("""COMPUTED_VALUE"""),1.04277225367726)</f>
        <v>1.0427722536772599</v>
      </c>
      <c r="N795" s="17">
        <f ca="1">IFERROR(__xludf.DUMMYFUNCTION("""COMPUTED_VALUE"""),1.45667974998277)</f>
        <v>1.4566797499827699</v>
      </c>
      <c r="O795" s="17">
        <f ca="1">IFERROR(__xludf.DUMMYFUNCTION("""COMPUTED_VALUE"""),1.2293153406412)</f>
        <v>1.2293153406412001</v>
      </c>
      <c r="P795" s="17">
        <f ca="1">IFERROR(__xludf.DUMMYFUNCTION("""COMPUTED_VALUE"""),1.04316594605786)</f>
        <v>1.0431659460578599</v>
      </c>
      <c r="Q795" s="17">
        <f ca="1">IFERROR(__xludf.DUMMYFUNCTION("""COMPUTED_VALUE"""),1.38518165988945)</f>
        <v>1.38518165988945</v>
      </c>
      <c r="R795" s="17">
        <f ca="1">IFERROR(__xludf.DUMMYFUNCTION("""COMPUTED_VALUE"""),1.24997617472617)</f>
        <v>1.24997617472617</v>
      </c>
      <c r="S795" s="17">
        <f ca="1">IFERROR(__xludf.DUMMYFUNCTION("""COMPUTED_VALUE"""),1.01788020604091)</f>
        <v>1.01788020604091</v>
      </c>
      <c r="T795" s="17">
        <f ca="1">IFERROR(__xludf.DUMMYFUNCTION("""COMPUTED_VALUE"""),1.01481257590802)</f>
        <v>1.01481257590802</v>
      </c>
      <c r="U795" s="17">
        <f ca="1">IFERROR(__xludf.DUMMYFUNCTION("""COMPUTED_VALUE"""),1.01834344464144)</f>
        <v>1.0183434446414401</v>
      </c>
      <c r="V795" s="17">
        <f ca="1">IFERROR(__xludf.DUMMYFUNCTION("""COMPUTED_VALUE"""),1.01498266950274)</f>
        <v>1.01498266950274</v>
      </c>
      <c r="W795" s="17">
        <f ca="1">IFERROR(__xludf.DUMMYFUNCTION("""COMPUTED_VALUE"""),1.0168180304359)</f>
        <v>1.0168180304359</v>
      </c>
      <c r="X795" s="17">
        <f ca="1">IFERROR(__xludf.DUMMYFUNCTION("""COMPUTED_VALUE"""),1.13037727520909)</f>
        <v>1.1303772752090899</v>
      </c>
      <c r="Y795" s="17">
        <f ca="1">IFERROR(__xludf.DUMMYFUNCTION("""COMPUTED_VALUE"""),1.01641451719442)</f>
        <v>1.0164145171944201</v>
      </c>
      <c r="Z795" s="17">
        <f ca="1">IFERROR(__xludf.DUMMYFUNCTION("""COMPUTED_VALUE"""),1.00924051706757)</f>
        <v>1.00924051706757</v>
      </c>
      <c r="AA795" s="17">
        <f ca="1">IFERROR(__xludf.DUMMYFUNCTION("""COMPUTED_VALUE"""),1.65726469407634)</f>
        <v>1.65726469407634</v>
      </c>
      <c r="AB795" s="17">
        <f ca="1">IFERROR(__xludf.DUMMYFUNCTION("""COMPUTED_VALUE"""),1.03821318233718)</f>
        <v>1.0382131823371801</v>
      </c>
      <c r="AC795" s="17">
        <f ca="1">IFERROR(__xludf.DUMMYFUNCTION("""COMPUTED_VALUE"""),1.27755618724931)</f>
        <v>1.27755618724931</v>
      </c>
      <c r="AD795" s="17">
        <f ca="1">IFERROR(__xludf.DUMMYFUNCTION("""COMPUTED_VALUE"""),1.02268462494308)</f>
        <v>1.0226846249430801</v>
      </c>
      <c r="AE795" s="17" t="str">
        <f ca="1">IFERROR(__xludf.DUMMYFUNCTION("""COMPUTED_VALUE"""),"nan")</f>
        <v>nan</v>
      </c>
      <c r="AF795" s="17">
        <f ca="1">IFERROR(__xludf.DUMMYFUNCTION("""COMPUTED_VALUE"""),1.01238981596285)</f>
        <v>1.0123898159628499</v>
      </c>
      <c r="AG795" s="17">
        <f ca="1">IFERROR(__xludf.DUMMYFUNCTION("""COMPUTED_VALUE"""),1.09610732339516)</f>
        <v>1.0961073233951599</v>
      </c>
      <c r="AH795" s="17">
        <f ca="1">IFERROR(__xludf.DUMMYFUNCTION("""COMPUTED_VALUE"""),1.02181519300886)</f>
        <v>1.0218151930088599</v>
      </c>
      <c r="AI795" s="17" t="str">
        <f ca="1">IFERROR(__xludf.DUMMYFUNCTION("""COMPUTED_VALUE"""),"nan")</f>
        <v>nan</v>
      </c>
      <c r="AJ795" s="17">
        <f ca="1">IFERROR(__xludf.DUMMYFUNCTION("""COMPUTED_VALUE"""),1.08288158310983)</f>
        <v>1.08288158310983</v>
      </c>
    </row>
    <row r="796" spans="2:36" ht="15.75" customHeight="1" x14ac:dyDescent="0.45">
      <c r="B796" s="10" t="str">
        <f ca="1">IFERROR(__xludf.DUMMYFUNCTION("""COMPUTED_VALUE"""),"SmallKitchenAppliances")</f>
        <v>SmallKitchenAppliances</v>
      </c>
      <c r="C796" s="10" t="str">
        <f ca="1">IFERROR(__xludf.DUMMYFUNCTION("""COMPUTED_VALUE"""),"mcar")</f>
        <v>mcar</v>
      </c>
      <c r="D796" s="10">
        <f ca="1">IFERROR(__xludf.DUMMYFUNCTION("""COMPUTED_VALUE"""),0.8)</f>
        <v>0.8</v>
      </c>
      <c r="E796" s="17">
        <f ca="1">IFERROR(__xludf.DUMMYFUNCTION("""COMPUTED_VALUE"""),1.01485878633007)</f>
        <v>1.01485878633007</v>
      </c>
      <c r="F796" s="17">
        <f ca="1">IFERROR(__xludf.DUMMYFUNCTION("""COMPUTED_VALUE"""),1.88474572571855)</f>
        <v>1.88474572571855</v>
      </c>
      <c r="G796" s="17">
        <f ca="1">IFERROR(__xludf.DUMMYFUNCTION("""COMPUTED_VALUE"""),2.29120083137614)</f>
        <v>2.2912008313761398</v>
      </c>
      <c r="H796" s="17">
        <f ca="1">IFERROR(__xludf.DUMMYFUNCTION("""COMPUTED_VALUE"""),1.02932896743609)</f>
        <v>1.0293289674360899</v>
      </c>
      <c r="I796" s="17">
        <f ca="1">IFERROR(__xludf.DUMMYFUNCTION("""COMPUTED_VALUE"""),1.02384565354185)</f>
        <v>1.0238456535418501</v>
      </c>
      <c r="J796" s="17">
        <f ca="1">IFERROR(__xludf.DUMMYFUNCTION("""COMPUTED_VALUE"""),1.02976992468768)</f>
        <v>1.0297699246876799</v>
      </c>
      <c r="K796" s="17" t="str">
        <f ca="1">IFERROR(__xludf.DUMMYFUNCTION("""COMPUTED_VALUE"""),"nan")</f>
        <v>nan</v>
      </c>
      <c r="L796" s="17">
        <f ca="1">IFERROR(__xludf.DUMMYFUNCTION("""COMPUTED_VALUE"""),1.79519738489493)</f>
        <v>1.7951973848949301</v>
      </c>
      <c r="M796" s="17">
        <f ca="1">IFERROR(__xludf.DUMMYFUNCTION("""COMPUTED_VALUE"""),1.14405801576187)</f>
        <v>1.1440580157618701</v>
      </c>
      <c r="N796" s="17">
        <f ca="1">IFERROR(__xludf.DUMMYFUNCTION("""COMPUTED_VALUE"""),1.47786081509573)</f>
        <v>1.47786081509573</v>
      </c>
      <c r="O796" s="17">
        <f ca="1">IFERROR(__xludf.DUMMYFUNCTION("""COMPUTED_VALUE"""),1.21756909612783)</f>
        <v>1.21756909612783</v>
      </c>
      <c r="P796" s="17">
        <f ca="1">IFERROR(__xludf.DUMMYFUNCTION("""COMPUTED_VALUE"""),1.04487167411535)</f>
        <v>1.0448716741153501</v>
      </c>
      <c r="Q796" s="17">
        <f ca="1">IFERROR(__xludf.DUMMYFUNCTION("""COMPUTED_VALUE"""),1.41410376523473)</f>
        <v>1.4141037652347299</v>
      </c>
      <c r="R796" s="17">
        <f ca="1">IFERROR(__xludf.DUMMYFUNCTION("""COMPUTED_VALUE"""),2.67715793003656)</f>
        <v>2.67715793003656</v>
      </c>
      <c r="S796" s="17">
        <f ca="1">IFERROR(__xludf.DUMMYFUNCTION("""COMPUTED_VALUE"""),1.02477335267711)</f>
        <v>1.0247733526771099</v>
      </c>
      <c r="T796" s="17">
        <f ca="1">IFERROR(__xludf.DUMMYFUNCTION("""COMPUTED_VALUE"""),1.02283788087126)</f>
        <v>1.0228378808712599</v>
      </c>
      <c r="U796" s="17">
        <f ca="1">IFERROR(__xludf.DUMMYFUNCTION("""COMPUTED_VALUE"""),1.02625143034998)</f>
        <v>1.0262514303499799</v>
      </c>
      <c r="V796" s="17">
        <f ca="1">IFERROR(__xludf.DUMMYFUNCTION("""COMPUTED_VALUE"""),1.0216405329715)</f>
        <v>1.0216405329714999</v>
      </c>
      <c r="W796" s="17">
        <f ca="1">IFERROR(__xludf.DUMMYFUNCTION("""COMPUTED_VALUE"""),1.02433967921704)</f>
        <v>1.0243396792170401</v>
      </c>
      <c r="X796" s="17">
        <f ca="1">IFERROR(__xludf.DUMMYFUNCTION("""COMPUTED_VALUE"""),3.82442276291025)</f>
        <v>3.8244227629102499</v>
      </c>
      <c r="Y796" s="17">
        <f ca="1">IFERROR(__xludf.DUMMYFUNCTION("""COMPUTED_VALUE"""),1.01842233096343)</f>
        <v>1.0184223309634299</v>
      </c>
      <c r="Z796" s="17">
        <f ca="1">IFERROR(__xludf.DUMMYFUNCTION("""COMPUTED_VALUE"""),1.01509288939584)</f>
        <v>1.01509288939584</v>
      </c>
      <c r="AA796" s="17">
        <f ca="1">IFERROR(__xludf.DUMMYFUNCTION("""COMPUTED_VALUE"""),1.87910477521905)</f>
        <v>1.8791047752190499</v>
      </c>
      <c r="AB796" s="17">
        <f ca="1">IFERROR(__xludf.DUMMYFUNCTION("""COMPUTED_VALUE"""),1.04482982211049)</f>
        <v>1.0448298221104899</v>
      </c>
      <c r="AC796" s="17">
        <f ca="1">IFERROR(__xludf.DUMMYFUNCTION("""COMPUTED_VALUE"""),1.22304834320188)</f>
        <v>1.2230483432018799</v>
      </c>
      <c r="AD796" s="17">
        <f ca="1">IFERROR(__xludf.DUMMYFUNCTION("""COMPUTED_VALUE"""),1.03050411642345)</f>
        <v>1.0305041164234501</v>
      </c>
      <c r="AE796" s="17" t="str">
        <f ca="1">IFERROR(__xludf.DUMMYFUNCTION("""COMPUTED_VALUE"""),"nan")</f>
        <v>nan</v>
      </c>
      <c r="AF796" s="17">
        <f ca="1">IFERROR(__xludf.DUMMYFUNCTION("""COMPUTED_VALUE"""),1.0197276591459)</f>
        <v>1.0197276591458999</v>
      </c>
      <c r="AG796" s="17">
        <f ca="1">IFERROR(__xludf.DUMMYFUNCTION("""COMPUTED_VALUE"""),1.09814494342045)</f>
        <v>1.09814494342045</v>
      </c>
      <c r="AH796" s="17">
        <f ca="1">IFERROR(__xludf.DUMMYFUNCTION("""COMPUTED_VALUE"""),1.02155610770145)</f>
        <v>1.0215561077014499</v>
      </c>
      <c r="AI796" s="17" t="str">
        <f ca="1">IFERROR(__xludf.DUMMYFUNCTION("""COMPUTED_VALUE"""),"nan")</f>
        <v>nan</v>
      </c>
      <c r="AJ796" s="17">
        <f ca="1">IFERROR(__xludf.DUMMYFUNCTION("""COMPUTED_VALUE"""),1.02984709125852)</f>
        <v>1.02984709125852</v>
      </c>
    </row>
    <row r="797" spans="2:36" ht="15.75" customHeight="1" x14ac:dyDescent="0.45">
      <c r="B797" s="10" t="str">
        <f ca="1">IFERROR(__xludf.DUMMYFUNCTION("""COMPUTED_VALUE"""),"SonyAIBORobotSurface1")</f>
        <v>SonyAIBORobotSurface1</v>
      </c>
      <c r="C797" s="10" t="str">
        <f ca="1">IFERROR(__xludf.DUMMYFUNCTION("""COMPUTED_VALUE"""),"aligned_series")</f>
        <v>aligned_series</v>
      </c>
      <c r="D797" s="10">
        <f ca="1">IFERROR(__xludf.DUMMYFUNCTION("""COMPUTED_VALUE"""),0.1)</f>
        <v>0.1</v>
      </c>
      <c r="E797" s="17">
        <f ca="1">IFERROR(__xludf.DUMMYFUNCTION("""COMPUTED_VALUE"""),1.36337444105723)</f>
        <v>1.3633744410572299</v>
      </c>
      <c r="F797" s="17">
        <f ca="1">IFERROR(__xludf.DUMMYFUNCTION("""COMPUTED_VALUE"""),0.49228116324045)</f>
        <v>0.49228116324045001</v>
      </c>
      <c r="G797" s="17">
        <f ca="1">IFERROR(__xludf.DUMMYFUNCTION("""COMPUTED_VALUE"""),0.474078554426954)</f>
        <v>0.47407855442695401</v>
      </c>
      <c r="H797" s="17">
        <f ca="1">IFERROR(__xludf.DUMMYFUNCTION("""COMPUTED_VALUE"""),0.816552535086777)</f>
        <v>0.81655253508677705</v>
      </c>
      <c r="I797" s="17">
        <f ca="1">IFERROR(__xludf.DUMMYFUNCTION("""COMPUTED_VALUE"""),0.753067076409366)</f>
        <v>0.75306707640936599</v>
      </c>
      <c r="J797" s="17">
        <f ca="1">IFERROR(__xludf.DUMMYFUNCTION("""COMPUTED_VALUE"""),1.18885177877152)</f>
        <v>1.18885177877152</v>
      </c>
      <c r="K797" s="17" t="str">
        <f ca="1">IFERROR(__xludf.DUMMYFUNCTION("""COMPUTED_VALUE"""),"nan")</f>
        <v>nan</v>
      </c>
      <c r="L797" s="17">
        <f ca="1">IFERROR(__xludf.DUMMYFUNCTION("""COMPUTED_VALUE"""),0.594361598426408)</f>
        <v>0.59436159842640801</v>
      </c>
      <c r="M797" s="17">
        <f ca="1">IFERROR(__xludf.DUMMYFUNCTION("""COMPUTED_VALUE"""),0.492447873010434)</f>
        <v>0.49244787301043402</v>
      </c>
      <c r="N797" s="17">
        <f ca="1">IFERROR(__xludf.DUMMYFUNCTION("""COMPUTED_VALUE"""),0.941594403956847)</f>
        <v>0.94159440395684701</v>
      </c>
      <c r="O797" s="17">
        <f ca="1">IFERROR(__xludf.DUMMYFUNCTION("""COMPUTED_VALUE"""),0.485342275991941)</f>
        <v>0.48534227599194102</v>
      </c>
      <c r="P797" s="17">
        <f ca="1">IFERROR(__xludf.DUMMYFUNCTION("""COMPUTED_VALUE"""),1.10772158620866)</f>
        <v>1.10772158620866</v>
      </c>
      <c r="Q797" s="17">
        <f ca="1">IFERROR(__xludf.DUMMYFUNCTION("""COMPUTED_VALUE"""),0.564973938056399)</f>
        <v>0.56497393805639895</v>
      </c>
      <c r="R797" s="17">
        <f ca="1">IFERROR(__xludf.DUMMYFUNCTION("""COMPUTED_VALUE"""),0.572608375094025)</f>
        <v>0.57260837509402496</v>
      </c>
      <c r="S797" s="17">
        <f ca="1">IFERROR(__xludf.DUMMYFUNCTION("""COMPUTED_VALUE"""),0.862361901690718)</f>
        <v>0.86236190169071802</v>
      </c>
      <c r="T797" s="17">
        <f ca="1">IFERROR(__xludf.DUMMYFUNCTION("""COMPUTED_VALUE"""),0.871046807976468)</f>
        <v>0.87104680797646805</v>
      </c>
      <c r="U797" s="17">
        <f ca="1">IFERROR(__xludf.DUMMYFUNCTION("""COMPUTED_VALUE"""),0.750161667744782)</f>
        <v>0.75016166774478199</v>
      </c>
      <c r="V797" s="17">
        <f ca="1">IFERROR(__xludf.DUMMYFUNCTION("""COMPUTED_VALUE"""),0.866332028600094)</f>
        <v>0.86633202860009395</v>
      </c>
      <c r="W797" s="17">
        <f ca="1">IFERROR(__xludf.DUMMYFUNCTION("""COMPUTED_VALUE"""),0.888112060286143)</f>
        <v>0.88811206028614298</v>
      </c>
      <c r="X797" s="17">
        <f ca="1">IFERROR(__xludf.DUMMYFUNCTION("""COMPUTED_VALUE"""),0.878321302441721)</f>
        <v>0.87832130244172102</v>
      </c>
      <c r="Y797" s="17">
        <f ca="1">IFERROR(__xludf.DUMMYFUNCTION("""COMPUTED_VALUE"""),0.690947496121614)</f>
        <v>0.69094749612161399</v>
      </c>
      <c r="Z797" s="17">
        <f ca="1">IFERROR(__xludf.DUMMYFUNCTION("""COMPUTED_VALUE"""),0.856303908909082)</f>
        <v>0.85630390890908203</v>
      </c>
      <c r="AA797" s="17">
        <f ca="1">IFERROR(__xludf.DUMMYFUNCTION("""COMPUTED_VALUE"""),0.775405379830506)</f>
        <v>0.77540537983050595</v>
      </c>
      <c r="AB797" s="17">
        <f ca="1">IFERROR(__xludf.DUMMYFUNCTION("""COMPUTED_VALUE"""),1.07798556643957)</f>
        <v>1.0779855664395701</v>
      </c>
      <c r="AC797" s="17">
        <f ca="1">IFERROR(__xludf.DUMMYFUNCTION("""COMPUTED_VALUE"""),1.10589453120907)</f>
        <v>1.10589453120907</v>
      </c>
      <c r="AD797" s="17">
        <f ca="1">IFERROR(__xludf.DUMMYFUNCTION("""COMPUTED_VALUE"""),0.680014321289334)</f>
        <v>0.68001432128933403</v>
      </c>
      <c r="AE797" s="17">
        <f ca="1">IFERROR(__xludf.DUMMYFUNCTION("""COMPUTED_VALUE"""),1.39832573112893)</f>
        <v>1.3983257311289301</v>
      </c>
      <c r="AF797" s="17">
        <f ca="1">IFERROR(__xludf.DUMMYFUNCTION("""COMPUTED_VALUE"""),0.595159017753448)</f>
        <v>0.59515901775344804</v>
      </c>
      <c r="AG797" s="17">
        <f ca="1">IFERROR(__xludf.DUMMYFUNCTION("""COMPUTED_VALUE"""),1.76208656029745)</f>
        <v>1.76208656029745</v>
      </c>
      <c r="AH797" s="17">
        <f ca="1">IFERROR(__xludf.DUMMYFUNCTION("""COMPUTED_VALUE"""),1.63050931580498)</f>
        <v>1.6305093158049799</v>
      </c>
      <c r="AI797" s="17">
        <f ca="1">IFERROR(__xludf.DUMMYFUNCTION("""COMPUTED_VALUE"""),1.77360972522239)</f>
        <v>1.7736097252223899</v>
      </c>
      <c r="AJ797" s="17">
        <f ca="1">IFERROR(__xludf.DUMMYFUNCTION("""COMPUTED_VALUE"""),1.45183645187174)</f>
        <v>1.4518364518717399</v>
      </c>
    </row>
    <row r="798" spans="2:36" ht="15.75" customHeight="1" x14ac:dyDescent="0.45">
      <c r="B798" s="10" t="str">
        <f ca="1">IFERROR(__xludf.DUMMYFUNCTION("""COMPUTED_VALUE"""),"SonyAIBORobotSurface1")</f>
        <v>SonyAIBORobotSurface1</v>
      </c>
      <c r="C798" s="10" t="str">
        <f ca="1">IFERROR(__xludf.DUMMYFUNCTION("""COMPUTED_VALUE"""),"aligned_series")</f>
        <v>aligned_series</v>
      </c>
      <c r="D798" s="10">
        <f ca="1">IFERROR(__xludf.DUMMYFUNCTION("""COMPUTED_VALUE"""),0.2)</f>
        <v>0.2</v>
      </c>
      <c r="E798" s="17">
        <f ca="1">IFERROR(__xludf.DUMMYFUNCTION("""COMPUTED_VALUE"""),1.34272997966994)</f>
        <v>1.3427299796699399</v>
      </c>
      <c r="F798" s="17">
        <f ca="1">IFERROR(__xludf.DUMMYFUNCTION("""COMPUTED_VALUE"""),0.515639262381584)</f>
        <v>0.51563926238158397</v>
      </c>
      <c r="G798" s="17">
        <f ca="1">IFERROR(__xludf.DUMMYFUNCTION("""COMPUTED_VALUE"""),0.50091798541294)</f>
        <v>0.50091798541293997</v>
      </c>
      <c r="H798" s="17">
        <f ca="1">IFERROR(__xludf.DUMMYFUNCTION("""COMPUTED_VALUE"""),0.851017003351948)</f>
        <v>0.85101700335194796</v>
      </c>
      <c r="I798" s="17">
        <f ca="1">IFERROR(__xludf.DUMMYFUNCTION("""COMPUTED_VALUE"""),0.766559531854528)</f>
        <v>0.76655953185452796</v>
      </c>
      <c r="J798" s="17">
        <f ca="1">IFERROR(__xludf.DUMMYFUNCTION("""COMPUTED_VALUE"""),1.10066631508885)</f>
        <v>1.10066631508885</v>
      </c>
      <c r="K798" s="17" t="str">
        <f ca="1">IFERROR(__xludf.DUMMYFUNCTION("""COMPUTED_VALUE"""),"nan")</f>
        <v>nan</v>
      </c>
      <c r="L798" s="17">
        <f ca="1">IFERROR(__xludf.DUMMYFUNCTION("""COMPUTED_VALUE"""),0.59762160779426)</f>
        <v>0.59762160779425999</v>
      </c>
      <c r="M798" s="17">
        <f ca="1">IFERROR(__xludf.DUMMYFUNCTION("""COMPUTED_VALUE"""),0.515164500878723)</f>
        <v>0.51516450087872301</v>
      </c>
      <c r="N798" s="17">
        <f ca="1">IFERROR(__xludf.DUMMYFUNCTION("""COMPUTED_VALUE"""),0.835037824400292)</f>
        <v>0.83503782440029195</v>
      </c>
      <c r="O798" s="17">
        <f ca="1">IFERROR(__xludf.DUMMYFUNCTION("""COMPUTED_VALUE"""),0.464776603685523)</f>
        <v>0.46477660368552298</v>
      </c>
      <c r="P798" s="17">
        <f ca="1">IFERROR(__xludf.DUMMYFUNCTION("""COMPUTED_VALUE"""),1.21792929417628)</f>
        <v>1.21792929417628</v>
      </c>
      <c r="Q798" s="17">
        <f ca="1">IFERROR(__xludf.DUMMYFUNCTION("""COMPUTED_VALUE"""),0.689565234048951)</f>
        <v>0.68956523404895098</v>
      </c>
      <c r="R798" s="17">
        <f ca="1">IFERROR(__xludf.DUMMYFUNCTION("""COMPUTED_VALUE"""),0.727374714772148)</f>
        <v>0.72737471477214799</v>
      </c>
      <c r="S798" s="17">
        <f ca="1">IFERROR(__xludf.DUMMYFUNCTION("""COMPUTED_VALUE"""),0.971578750673564)</f>
        <v>0.97157875067356403</v>
      </c>
      <c r="T798" s="17">
        <f ca="1">IFERROR(__xludf.DUMMYFUNCTION("""COMPUTED_VALUE"""),0.974183216403771)</f>
        <v>0.97418321640377104</v>
      </c>
      <c r="U798" s="17">
        <f ca="1">IFERROR(__xludf.DUMMYFUNCTION("""COMPUTED_VALUE"""),0.757226407152533)</f>
        <v>0.75722640715253298</v>
      </c>
      <c r="V798" s="17">
        <f ca="1">IFERROR(__xludf.DUMMYFUNCTION("""COMPUTED_VALUE"""),0.96001721732523)</f>
        <v>0.96001721732523004</v>
      </c>
      <c r="W798" s="17">
        <f ca="1">IFERROR(__xludf.DUMMYFUNCTION("""COMPUTED_VALUE"""),0.83607997135751)</f>
        <v>0.83607997135751</v>
      </c>
      <c r="X798" s="17">
        <f ca="1">IFERROR(__xludf.DUMMYFUNCTION("""COMPUTED_VALUE"""),0.873921151899203)</f>
        <v>0.87392115189920305</v>
      </c>
      <c r="Y798" s="17">
        <f ca="1">IFERROR(__xludf.DUMMYFUNCTION("""COMPUTED_VALUE"""),0.779397039998288)</f>
        <v>0.77939703999828802</v>
      </c>
      <c r="Z798" s="17">
        <f ca="1">IFERROR(__xludf.DUMMYFUNCTION("""COMPUTED_VALUE"""),0.924836018782512)</f>
        <v>0.92483601878251198</v>
      </c>
      <c r="AA798" s="17">
        <f ca="1">IFERROR(__xludf.DUMMYFUNCTION("""COMPUTED_VALUE"""),0.721430059283158)</f>
        <v>0.72143005928315795</v>
      </c>
      <c r="AB798" s="17">
        <f ca="1">IFERROR(__xludf.DUMMYFUNCTION("""COMPUTED_VALUE"""),0.942803084248751)</f>
        <v>0.94280308424875103</v>
      </c>
      <c r="AC798" s="17">
        <f ca="1">IFERROR(__xludf.DUMMYFUNCTION("""COMPUTED_VALUE"""),1.01162673083318)</f>
        <v>1.0116267308331801</v>
      </c>
      <c r="AD798" s="17">
        <f ca="1">IFERROR(__xludf.DUMMYFUNCTION("""COMPUTED_VALUE"""),0.746758633508088)</f>
        <v>0.74675863350808802</v>
      </c>
      <c r="AE798" s="17">
        <f ca="1">IFERROR(__xludf.DUMMYFUNCTION("""COMPUTED_VALUE"""),1.40807390363841)</f>
        <v>1.40807390363841</v>
      </c>
      <c r="AF798" s="17">
        <f ca="1">IFERROR(__xludf.DUMMYFUNCTION("""COMPUTED_VALUE"""),0.561137110033036)</f>
        <v>0.56113711003303601</v>
      </c>
      <c r="AG798" s="17">
        <f ca="1">IFERROR(__xludf.DUMMYFUNCTION("""COMPUTED_VALUE"""),1.47417644662039)</f>
        <v>1.4741764466203899</v>
      </c>
      <c r="AH798" s="17">
        <f ca="1">IFERROR(__xludf.DUMMYFUNCTION("""COMPUTED_VALUE"""),1.53194329240142)</f>
        <v>1.53194329240142</v>
      </c>
      <c r="AI798" s="17">
        <f ca="1">IFERROR(__xludf.DUMMYFUNCTION("""COMPUTED_VALUE"""),1.64804703973258)</f>
        <v>1.6480470397325799</v>
      </c>
      <c r="AJ798" s="17">
        <f ca="1">IFERROR(__xludf.DUMMYFUNCTION("""COMPUTED_VALUE"""),1.46582185162443)</f>
        <v>1.4658218516244299</v>
      </c>
    </row>
    <row r="799" spans="2:36" ht="15.75" customHeight="1" x14ac:dyDescent="0.45">
      <c r="B799" s="10" t="str">
        <f ca="1">IFERROR(__xludf.DUMMYFUNCTION("""COMPUTED_VALUE"""),"SonyAIBORobotSurface1")</f>
        <v>SonyAIBORobotSurface1</v>
      </c>
      <c r="C799" s="10" t="str">
        <f ca="1">IFERROR(__xludf.DUMMYFUNCTION("""COMPUTED_VALUE"""),"aligned_series")</f>
        <v>aligned_series</v>
      </c>
      <c r="D799" s="10">
        <f ca="1">IFERROR(__xludf.DUMMYFUNCTION("""COMPUTED_VALUE"""),0.4)</f>
        <v>0.4</v>
      </c>
      <c r="E799" s="17">
        <f ca="1">IFERROR(__xludf.DUMMYFUNCTION("""COMPUTED_VALUE"""),1.33648400712549)</f>
        <v>1.33648400712549</v>
      </c>
      <c r="F799" s="17">
        <f ca="1">IFERROR(__xludf.DUMMYFUNCTION("""COMPUTED_VALUE"""),0.965367743338528)</f>
        <v>0.96536774333852804</v>
      </c>
      <c r="G799" s="17">
        <f ca="1">IFERROR(__xludf.DUMMYFUNCTION("""COMPUTED_VALUE"""),1.2995541226074)</f>
        <v>1.2995541226074001</v>
      </c>
      <c r="H799" s="17">
        <f ca="1">IFERROR(__xludf.DUMMYFUNCTION("""COMPUTED_VALUE"""),0.858733713841725)</f>
        <v>0.85873371384172503</v>
      </c>
      <c r="I799" s="17">
        <f ca="1">IFERROR(__xludf.DUMMYFUNCTION("""COMPUTED_VALUE"""),0.824884868937728)</f>
        <v>0.82488486893772806</v>
      </c>
      <c r="J799" s="17">
        <f ca="1">IFERROR(__xludf.DUMMYFUNCTION("""COMPUTED_VALUE"""),2.60885335227476)</f>
        <v>2.6088533522747599</v>
      </c>
      <c r="K799" s="17" t="str">
        <f ca="1">IFERROR(__xludf.DUMMYFUNCTION("""COMPUTED_VALUE"""),"nan")</f>
        <v>nan</v>
      </c>
      <c r="L799" s="17">
        <f ca="1">IFERROR(__xludf.DUMMYFUNCTION("""COMPUTED_VALUE"""),0.610587407186744)</f>
        <v>0.61058740718674398</v>
      </c>
      <c r="M799" s="17">
        <f ca="1">IFERROR(__xludf.DUMMYFUNCTION("""COMPUTED_VALUE"""),1.19148219718808)</f>
        <v>1.19148219718808</v>
      </c>
      <c r="N799" s="17">
        <f ca="1">IFERROR(__xludf.DUMMYFUNCTION("""COMPUTED_VALUE"""),0.965876665081774)</f>
        <v>0.96587666508177406</v>
      </c>
      <c r="O799" s="17">
        <f ca="1">IFERROR(__xludf.DUMMYFUNCTION("""COMPUTED_VALUE"""),0.564404074860487)</f>
        <v>0.56440407486048705</v>
      </c>
      <c r="P799" s="17">
        <f ca="1">IFERROR(__xludf.DUMMYFUNCTION("""COMPUTED_VALUE"""),1.47239823741598)</f>
        <v>1.4723982374159801</v>
      </c>
      <c r="Q799" s="17">
        <f ca="1">IFERROR(__xludf.DUMMYFUNCTION("""COMPUTED_VALUE"""),0.744264746542151)</f>
        <v>0.74426474654215102</v>
      </c>
      <c r="R799" s="17">
        <f ca="1">IFERROR(__xludf.DUMMYFUNCTION("""COMPUTED_VALUE"""),0.983349945295621)</f>
        <v>0.98334994529562103</v>
      </c>
      <c r="S799" s="17">
        <f ca="1">IFERROR(__xludf.DUMMYFUNCTION("""COMPUTED_VALUE"""),0.955587524514931)</f>
        <v>0.95558752451493101</v>
      </c>
      <c r="T799" s="17">
        <f ca="1">IFERROR(__xludf.DUMMYFUNCTION("""COMPUTED_VALUE"""),0.881143445967594)</f>
        <v>0.88114344596759397</v>
      </c>
      <c r="U799" s="17">
        <f ca="1">IFERROR(__xludf.DUMMYFUNCTION("""COMPUTED_VALUE"""),0.611337043483015)</f>
        <v>0.61133704348301499</v>
      </c>
      <c r="V799" s="17">
        <f ca="1">IFERROR(__xludf.DUMMYFUNCTION("""COMPUTED_VALUE"""),0.889995356927813)</f>
        <v>0.88999535692781295</v>
      </c>
      <c r="W799" s="17">
        <f ca="1">IFERROR(__xludf.DUMMYFUNCTION("""COMPUTED_VALUE"""),0.723160965541504)</f>
        <v>0.723160965541504</v>
      </c>
      <c r="X799" s="17">
        <f ca="1">IFERROR(__xludf.DUMMYFUNCTION("""COMPUTED_VALUE"""),0.836659430524444)</f>
        <v>0.83665943052444403</v>
      </c>
      <c r="Y799" s="17">
        <f ca="1">IFERROR(__xludf.DUMMYFUNCTION("""COMPUTED_VALUE"""),0.885149803706681)</f>
        <v>0.88514980370668095</v>
      </c>
      <c r="Z799" s="17">
        <f ca="1">IFERROR(__xludf.DUMMYFUNCTION("""COMPUTED_VALUE"""),1.19623507476324)</f>
        <v>1.19623507476324</v>
      </c>
      <c r="AA799" s="17">
        <f ca="1">IFERROR(__xludf.DUMMYFUNCTION("""COMPUTED_VALUE"""),0.75985998181557)</f>
        <v>0.75985998181557002</v>
      </c>
      <c r="AB799" s="17">
        <f ca="1">IFERROR(__xludf.DUMMYFUNCTION("""COMPUTED_VALUE"""),0.73986556499625)</f>
        <v>0.73986556499625</v>
      </c>
      <c r="AC799" s="17">
        <f ca="1">IFERROR(__xludf.DUMMYFUNCTION("""COMPUTED_VALUE"""),1.036551394583)</f>
        <v>1.0365513945830001</v>
      </c>
      <c r="AD799" s="17">
        <f ca="1">IFERROR(__xludf.DUMMYFUNCTION("""COMPUTED_VALUE"""),0.821812822046284)</f>
        <v>0.82181282204628403</v>
      </c>
      <c r="AE799" s="17">
        <f ca="1">IFERROR(__xludf.DUMMYFUNCTION("""COMPUTED_VALUE"""),1.37954144078436)</f>
        <v>1.37954144078436</v>
      </c>
      <c r="AF799" s="17">
        <f ca="1">IFERROR(__xludf.DUMMYFUNCTION("""COMPUTED_VALUE"""),0.675166323423055)</f>
        <v>0.67516632342305505</v>
      </c>
      <c r="AG799" s="17">
        <f ca="1">IFERROR(__xludf.DUMMYFUNCTION("""COMPUTED_VALUE"""),1.54236716338102)</f>
        <v>1.5423671633810201</v>
      </c>
      <c r="AH799" s="17">
        <f ca="1">IFERROR(__xludf.DUMMYFUNCTION("""COMPUTED_VALUE"""),1.53447077399686)</f>
        <v>1.5344707739968599</v>
      </c>
      <c r="AI799" s="17">
        <f ca="1">IFERROR(__xludf.DUMMYFUNCTION("""COMPUTED_VALUE"""),1.63848257335284)</f>
        <v>1.6384825733528401</v>
      </c>
      <c r="AJ799" s="17">
        <f ca="1">IFERROR(__xludf.DUMMYFUNCTION("""COMPUTED_VALUE"""),1.47229192267338)</f>
        <v>1.4722919226733799</v>
      </c>
    </row>
    <row r="800" spans="2:36" ht="15.75" customHeight="1" x14ac:dyDescent="0.45">
      <c r="B800" s="10" t="str">
        <f ca="1">IFERROR(__xludf.DUMMYFUNCTION("""COMPUTED_VALUE"""),"SonyAIBORobotSurface1")</f>
        <v>SonyAIBORobotSurface1</v>
      </c>
      <c r="C800" s="10" t="str">
        <f ca="1">IFERROR(__xludf.DUMMYFUNCTION("""COMPUTED_VALUE"""),"aligned_series")</f>
        <v>aligned_series</v>
      </c>
      <c r="D800" s="10">
        <f ca="1">IFERROR(__xludf.DUMMYFUNCTION("""COMPUTED_VALUE"""),0.6)</f>
        <v>0.6</v>
      </c>
      <c r="E800" s="17">
        <f ca="1">IFERROR(__xludf.DUMMYFUNCTION("""COMPUTED_VALUE"""),1.36123325678564)</f>
        <v>1.36123325678564</v>
      </c>
      <c r="F800" s="17">
        <f ca="1">IFERROR(__xludf.DUMMYFUNCTION("""COMPUTED_VALUE"""),0.944646166965634)</f>
        <v>0.94464616696563397</v>
      </c>
      <c r="G800" s="17">
        <f ca="1">IFERROR(__xludf.DUMMYFUNCTION("""COMPUTED_VALUE"""),1.20203220549662)</f>
        <v>1.2020322054966199</v>
      </c>
      <c r="H800" s="17">
        <f ca="1">IFERROR(__xludf.DUMMYFUNCTION("""COMPUTED_VALUE"""),0.896091851019114)</f>
        <v>0.89609185101911404</v>
      </c>
      <c r="I800" s="17">
        <f ca="1">IFERROR(__xludf.DUMMYFUNCTION("""COMPUTED_VALUE"""),0.980127523800588)</f>
        <v>0.98012752380058799</v>
      </c>
      <c r="J800" s="17">
        <f ca="1">IFERROR(__xludf.DUMMYFUNCTION("""COMPUTED_VALUE"""),3.06230053684233)</f>
        <v>3.0623005368423302</v>
      </c>
      <c r="K800" s="17" t="str">
        <f ca="1">IFERROR(__xludf.DUMMYFUNCTION("""COMPUTED_VALUE"""),"nan")</f>
        <v>nan</v>
      </c>
      <c r="L800" s="17">
        <f ca="1">IFERROR(__xludf.DUMMYFUNCTION("""COMPUTED_VALUE"""),0.773656485021215)</f>
        <v>0.77365648502121498</v>
      </c>
      <c r="M800" s="17">
        <f ca="1">IFERROR(__xludf.DUMMYFUNCTION("""COMPUTED_VALUE"""),1.51734835129406)</f>
        <v>1.51734835129406</v>
      </c>
      <c r="N800" s="17">
        <f ca="1">IFERROR(__xludf.DUMMYFUNCTION("""COMPUTED_VALUE"""),0.975034979046009)</f>
        <v>0.975034979046009</v>
      </c>
      <c r="O800" s="17">
        <f ca="1">IFERROR(__xludf.DUMMYFUNCTION("""COMPUTED_VALUE"""),0.938599815875372)</f>
        <v>0.938599815875372</v>
      </c>
      <c r="P800" s="17">
        <f ca="1">IFERROR(__xludf.DUMMYFUNCTION("""COMPUTED_VALUE"""),1.53875816581755)</f>
        <v>1.53875816581755</v>
      </c>
      <c r="Q800" s="17">
        <f ca="1">IFERROR(__xludf.DUMMYFUNCTION("""COMPUTED_VALUE"""),1.06304144145018)</f>
        <v>1.0630414414501801</v>
      </c>
      <c r="R800" s="17">
        <f ca="1">IFERROR(__xludf.DUMMYFUNCTION("""COMPUTED_VALUE"""),1.14690653813762)</f>
        <v>1.14690653813762</v>
      </c>
      <c r="S800" s="17">
        <f ca="1">IFERROR(__xludf.DUMMYFUNCTION("""COMPUTED_VALUE"""),1.32673114878806)</f>
        <v>1.32673114878806</v>
      </c>
      <c r="T800" s="17">
        <f ca="1">IFERROR(__xludf.DUMMYFUNCTION("""COMPUTED_VALUE"""),0.990305970517526)</f>
        <v>0.990305970517526</v>
      </c>
      <c r="U800" s="17">
        <f ca="1">IFERROR(__xludf.DUMMYFUNCTION("""COMPUTED_VALUE"""),0.684191334972398)</f>
        <v>0.68419133497239804</v>
      </c>
      <c r="V800" s="17">
        <f ca="1">IFERROR(__xludf.DUMMYFUNCTION("""COMPUTED_VALUE"""),1.00943092866657)</f>
        <v>1.0094309286665699</v>
      </c>
      <c r="W800" s="17">
        <f ca="1">IFERROR(__xludf.DUMMYFUNCTION("""COMPUTED_VALUE"""),0.760424304434482)</f>
        <v>0.76042430443448195</v>
      </c>
      <c r="X800" s="17">
        <f ca="1">IFERROR(__xludf.DUMMYFUNCTION("""COMPUTED_VALUE"""),0.893574003451531)</f>
        <v>0.89357400345153104</v>
      </c>
      <c r="Y800" s="17">
        <f ca="1">IFERROR(__xludf.DUMMYFUNCTION("""COMPUTED_VALUE"""),0.891338689561332)</f>
        <v>0.891338689561332</v>
      </c>
      <c r="Z800" s="17">
        <f ca="1">IFERROR(__xludf.DUMMYFUNCTION("""COMPUTED_VALUE"""),1.04088337607655)</f>
        <v>1.0408833760765499</v>
      </c>
      <c r="AA800" s="17">
        <f ca="1">IFERROR(__xludf.DUMMYFUNCTION("""COMPUTED_VALUE"""),0.850543090608142)</f>
        <v>0.85054309060814204</v>
      </c>
      <c r="AB800" s="17">
        <f ca="1">IFERROR(__xludf.DUMMYFUNCTION("""COMPUTED_VALUE"""),1.63556015604813)</f>
        <v>1.6355601560481301</v>
      </c>
      <c r="AC800" s="17">
        <f ca="1">IFERROR(__xludf.DUMMYFUNCTION("""COMPUTED_VALUE"""),1.44863552588759)</f>
        <v>1.44863552588759</v>
      </c>
      <c r="AD800" s="17">
        <f ca="1">IFERROR(__xludf.DUMMYFUNCTION("""COMPUTED_VALUE"""),0.952319930861052)</f>
        <v>0.95231993086105204</v>
      </c>
      <c r="AE800" s="17">
        <f ca="1">IFERROR(__xludf.DUMMYFUNCTION("""COMPUTED_VALUE"""),1.37953159939423)</f>
        <v>1.3795315993942301</v>
      </c>
      <c r="AF800" s="17">
        <f ca="1">IFERROR(__xludf.DUMMYFUNCTION("""COMPUTED_VALUE"""),0.81545236490839)</f>
        <v>0.81545236490839001</v>
      </c>
      <c r="AG800" s="17">
        <f ca="1">IFERROR(__xludf.DUMMYFUNCTION("""COMPUTED_VALUE"""),1.52284608077914)</f>
        <v>1.52284608077914</v>
      </c>
      <c r="AH800" s="17">
        <f ca="1">IFERROR(__xludf.DUMMYFUNCTION("""COMPUTED_VALUE"""),1.5195573081978)</f>
        <v>1.5195573081978</v>
      </c>
      <c r="AI800" s="17">
        <f ca="1">IFERROR(__xludf.DUMMYFUNCTION("""COMPUTED_VALUE"""),1.62368426665166)</f>
        <v>1.62368426665166</v>
      </c>
      <c r="AJ800" s="17">
        <f ca="1">IFERROR(__xludf.DUMMYFUNCTION("""COMPUTED_VALUE"""),1.46429972987951)</f>
        <v>1.46429972987951</v>
      </c>
    </row>
    <row r="801" spans="2:36" ht="15.75" customHeight="1" x14ac:dyDescent="0.45">
      <c r="B801" s="10" t="str">
        <f ca="1">IFERROR(__xludf.DUMMYFUNCTION("""COMPUTED_VALUE"""),"SonyAIBORobotSurface1")</f>
        <v>SonyAIBORobotSurface1</v>
      </c>
      <c r="C801" s="10" t="str">
        <f ca="1">IFERROR(__xludf.DUMMYFUNCTION("""COMPUTED_VALUE"""),"aligned_series")</f>
        <v>aligned_series</v>
      </c>
      <c r="D801" s="10">
        <f ca="1">IFERROR(__xludf.DUMMYFUNCTION("""COMPUTED_VALUE"""),0.8)</f>
        <v>0.8</v>
      </c>
      <c r="E801" s="17">
        <f ca="1">IFERROR(__xludf.DUMMYFUNCTION("""COMPUTED_VALUE"""),1.31390870874679)</f>
        <v>1.31390870874679</v>
      </c>
      <c r="F801" s="17">
        <f ca="1">IFERROR(__xludf.DUMMYFUNCTION("""COMPUTED_VALUE"""),0.813940029886364)</f>
        <v>0.81394002988636405</v>
      </c>
      <c r="G801" s="17">
        <f ca="1">IFERROR(__xludf.DUMMYFUNCTION("""COMPUTED_VALUE"""),0.807357354404868)</f>
        <v>0.807357354404868</v>
      </c>
      <c r="H801" s="17">
        <f ca="1">IFERROR(__xludf.DUMMYFUNCTION("""COMPUTED_VALUE"""),1.62359333787584)</f>
        <v>1.62359333787584</v>
      </c>
      <c r="I801" s="17">
        <f ca="1">IFERROR(__xludf.DUMMYFUNCTION("""COMPUTED_VALUE"""),1.03245886225824)</f>
        <v>1.03245886225824</v>
      </c>
      <c r="J801" s="17">
        <f ca="1">IFERROR(__xludf.DUMMYFUNCTION("""COMPUTED_VALUE"""),2.91023762396534)</f>
        <v>2.9102376239653398</v>
      </c>
      <c r="K801" s="17" t="str">
        <f ca="1">IFERROR(__xludf.DUMMYFUNCTION("""COMPUTED_VALUE"""),"nan")</f>
        <v>nan</v>
      </c>
      <c r="L801" s="17">
        <f ca="1">IFERROR(__xludf.DUMMYFUNCTION("""COMPUTED_VALUE"""),0.897512955104618)</f>
        <v>0.89751295510461804</v>
      </c>
      <c r="M801" s="17">
        <f ca="1">IFERROR(__xludf.DUMMYFUNCTION("""COMPUTED_VALUE"""),1.10324068890905)</f>
        <v>1.10324068890905</v>
      </c>
      <c r="N801" s="17">
        <f ca="1">IFERROR(__xludf.DUMMYFUNCTION("""COMPUTED_VALUE"""),0.976340809847225)</f>
        <v>0.97634080984722504</v>
      </c>
      <c r="O801" s="17">
        <f ca="1">IFERROR(__xludf.DUMMYFUNCTION("""COMPUTED_VALUE"""),1.45729817373722)</f>
        <v>1.4572981737372199</v>
      </c>
      <c r="P801" s="17">
        <f ca="1">IFERROR(__xludf.DUMMYFUNCTION("""COMPUTED_VALUE"""),1.49899370121669)</f>
        <v>1.4989937012166901</v>
      </c>
      <c r="Q801" s="17">
        <f ca="1">IFERROR(__xludf.DUMMYFUNCTION("""COMPUTED_VALUE"""),1.25555260236356)</f>
        <v>1.2555526023635599</v>
      </c>
      <c r="R801" s="17">
        <f ca="1">IFERROR(__xludf.DUMMYFUNCTION("""COMPUTED_VALUE"""),1.20258099082921)</f>
        <v>1.20258099082921</v>
      </c>
      <c r="S801" s="17">
        <f ca="1">IFERROR(__xludf.DUMMYFUNCTION("""COMPUTED_VALUE"""),1.24279531829084)</f>
        <v>1.24279531829084</v>
      </c>
      <c r="T801" s="17">
        <f ca="1">IFERROR(__xludf.DUMMYFUNCTION("""COMPUTED_VALUE"""),1.11024732955339)</f>
        <v>1.1102473295533899</v>
      </c>
      <c r="U801" s="17">
        <f ca="1">IFERROR(__xludf.DUMMYFUNCTION("""COMPUTED_VALUE"""),0.723733892665876)</f>
        <v>0.72373389266587596</v>
      </c>
      <c r="V801" s="17">
        <f ca="1">IFERROR(__xludf.DUMMYFUNCTION("""COMPUTED_VALUE"""),1.26886329901878)</f>
        <v>1.26886329901878</v>
      </c>
      <c r="W801" s="17">
        <f ca="1">IFERROR(__xludf.DUMMYFUNCTION("""COMPUTED_VALUE"""),0.839888514259792)</f>
        <v>0.83988851425979205</v>
      </c>
      <c r="X801" s="17">
        <f ca="1">IFERROR(__xludf.DUMMYFUNCTION("""COMPUTED_VALUE"""),0.829666729194038)</f>
        <v>0.82966672919403806</v>
      </c>
      <c r="Y801" s="17">
        <f ca="1">IFERROR(__xludf.DUMMYFUNCTION("""COMPUTED_VALUE"""),0.939719748635857)</f>
        <v>0.93971974863585706</v>
      </c>
      <c r="Z801" s="17">
        <f ca="1">IFERROR(__xludf.DUMMYFUNCTION("""COMPUTED_VALUE"""),1.14538977776092)</f>
        <v>1.1453897777609201</v>
      </c>
      <c r="AA801" s="17">
        <f ca="1">IFERROR(__xludf.DUMMYFUNCTION("""COMPUTED_VALUE"""),0.99022660137315)</f>
        <v>0.99022660137314999</v>
      </c>
      <c r="AB801" s="17">
        <f ca="1">IFERROR(__xludf.DUMMYFUNCTION("""COMPUTED_VALUE"""),1.69062954751583)</f>
        <v>1.6906295475158299</v>
      </c>
      <c r="AC801" s="17">
        <f ca="1">IFERROR(__xludf.DUMMYFUNCTION("""COMPUTED_VALUE"""),1.54353142608439)</f>
        <v>1.54353142608439</v>
      </c>
      <c r="AD801" s="17">
        <f ca="1">IFERROR(__xludf.DUMMYFUNCTION("""COMPUTED_VALUE"""),1.31710470169152)</f>
        <v>1.3171047016915201</v>
      </c>
      <c r="AE801" s="17">
        <f ca="1">IFERROR(__xludf.DUMMYFUNCTION("""COMPUTED_VALUE"""),1.29667928341293)</f>
        <v>1.2966792834129299</v>
      </c>
      <c r="AF801" s="17">
        <f ca="1">IFERROR(__xludf.DUMMYFUNCTION("""COMPUTED_VALUE"""),0.857089145099881)</f>
        <v>0.85708914509988099</v>
      </c>
      <c r="AG801" s="17">
        <f ca="1">IFERROR(__xludf.DUMMYFUNCTION("""COMPUTED_VALUE"""),1.35810446429413)</f>
        <v>1.35810446429413</v>
      </c>
      <c r="AH801" s="17">
        <f ca="1">IFERROR(__xludf.DUMMYFUNCTION("""COMPUTED_VALUE"""),1.45606073972106)</f>
        <v>1.4560607397210601</v>
      </c>
      <c r="AI801" s="17">
        <f ca="1">IFERROR(__xludf.DUMMYFUNCTION("""COMPUTED_VALUE"""),1.55489877708442)</f>
        <v>1.55489877708442</v>
      </c>
      <c r="AJ801" s="17">
        <f ca="1">IFERROR(__xludf.DUMMYFUNCTION("""COMPUTED_VALUE"""),1.4108052613375)</f>
        <v>1.4108052613374999</v>
      </c>
    </row>
    <row r="802" spans="2:36" ht="15.75" customHeight="1" x14ac:dyDescent="0.45">
      <c r="B802" s="10" t="str">
        <f ca="1">IFERROR(__xludf.DUMMYFUNCTION("""COMPUTED_VALUE"""),"SonyAIBORobotSurface1")</f>
        <v>SonyAIBORobotSurface1</v>
      </c>
      <c r="C802" s="10" t="str">
        <f ca="1">IFERROR(__xludf.DUMMYFUNCTION("""COMPUTED_VALUE"""),"aligned_timestamps")</f>
        <v>aligned_timestamps</v>
      </c>
      <c r="D802" s="10">
        <f ca="1">IFERROR(__xludf.DUMMYFUNCTION("""COMPUTED_VALUE"""),0.1)</f>
        <v>0.1</v>
      </c>
      <c r="E802" s="17">
        <f ca="1">IFERROR(__xludf.DUMMYFUNCTION("""COMPUTED_VALUE"""),1.17421109259093)</f>
        <v>1.1742110925909299</v>
      </c>
      <c r="F802" s="17">
        <f ca="1">IFERROR(__xludf.DUMMYFUNCTION("""COMPUTED_VALUE"""),0.551279723497767)</f>
        <v>0.55127972349776699</v>
      </c>
      <c r="G802" s="17">
        <f ca="1">IFERROR(__xludf.DUMMYFUNCTION("""COMPUTED_VALUE"""),0.553508888516004)</f>
        <v>0.55350888851600399</v>
      </c>
      <c r="H802" s="17">
        <f ca="1">IFERROR(__xludf.DUMMYFUNCTION("""COMPUTED_VALUE"""),0.660665087050338)</f>
        <v>0.660665087050338</v>
      </c>
      <c r="I802" s="17">
        <f ca="1">IFERROR(__xludf.DUMMYFUNCTION("""COMPUTED_VALUE"""),0.645557157428618)</f>
        <v>0.64555715742861797</v>
      </c>
      <c r="J802" s="17">
        <f ca="1">IFERROR(__xludf.DUMMYFUNCTION("""COMPUTED_VALUE"""),0.541613895506397)</f>
        <v>0.54161389550639705</v>
      </c>
      <c r="K802" s="17" t="str">
        <f ca="1">IFERROR(__xludf.DUMMYFUNCTION("""COMPUTED_VALUE"""),"nan")</f>
        <v>nan</v>
      </c>
      <c r="L802" s="17">
        <f ca="1">IFERROR(__xludf.DUMMYFUNCTION("""COMPUTED_VALUE"""),0.615729122563582)</f>
        <v>0.61572912256358203</v>
      </c>
      <c r="M802" s="17">
        <f ca="1">IFERROR(__xludf.DUMMYFUNCTION("""COMPUTED_VALUE"""),0.563724495091348)</f>
        <v>0.56372449509134803</v>
      </c>
      <c r="N802" s="17">
        <f ca="1">IFERROR(__xludf.DUMMYFUNCTION("""COMPUTED_VALUE"""),0.695311074455506)</f>
        <v>0.695311074455506</v>
      </c>
      <c r="O802" s="17">
        <f ca="1">IFERROR(__xludf.DUMMYFUNCTION("""COMPUTED_VALUE"""),0.443413466898169)</f>
        <v>0.44341346689816902</v>
      </c>
      <c r="P802" s="17">
        <f ca="1">IFERROR(__xludf.DUMMYFUNCTION("""COMPUTED_VALUE"""),0.906995259968692)</f>
        <v>0.90699525996869201</v>
      </c>
      <c r="Q802" s="17">
        <f ca="1">IFERROR(__xludf.DUMMYFUNCTION("""COMPUTED_VALUE"""),0.817288015603566)</f>
        <v>0.81728801560356601</v>
      </c>
      <c r="R802" s="17">
        <f ca="1">IFERROR(__xludf.DUMMYFUNCTION("""COMPUTED_VALUE"""),0.708074193601717)</f>
        <v>0.70807419360171697</v>
      </c>
      <c r="S802" s="17">
        <f ca="1">IFERROR(__xludf.DUMMYFUNCTION("""COMPUTED_VALUE"""),0.89329072098649)</f>
        <v>0.89329072098648998</v>
      </c>
      <c r="T802" s="17">
        <f ca="1">IFERROR(__xludf.DUMMYFUNCTION("""COMPUTED_VALUE"""),0.769141897699315)</f>
        <v>0.76914189769931496</v>
      </c>
      <c r="U802" s="17">
        <f ca="1">IFERROR(__xludf.DUMMYFUNCTION("""COMPUTED_VALUE"""),0.637904639554749)</f>
        <v>0.63790463955474896</v>
      </c>
      <c r="V802" s="17">
        <f ca="1">IFERROR(__xludf.DUMMYFUNCTION("""COMPUTED_VALUE"""),0.516809223042482)</f>
        <v>0.516809223042482</v>
      </c>
      <c r="W802" s="17">
        <f ca="1">IFERROR(__xludf.DUMMYFUNCTION("""COMPUTED_VALUE"""),0.723197536745982)</f>
        <v>0.72319753674598197</v>
      </c>
      <c r="X802" s="17">
        <f ca="1">IFERROR(__xludf.DUMMYFUNCTION("""COMPUTED_VALUE"""),0.792995961422928)</f>
        <v>0.79299596142292805</v>
      </c>
      <c r="Y802" s="17">
        <f ca="1">IFERROR(__xludf.DUMMYFUNCTION("""COMPUTED_VALUE"""),0.568471368591737)</f>
        <v>0.56847136859173697</v>
      </c>
      <c r="Z802" s="17">
        <f ca="1">IFERROR(__xludf.DUMMYFUNCTION("""COMPUTED_VALUE"""),0.812654439134716)</f>
        <v>0.81265443913471602</v>
      </c>
      <c r="AA802" s="17">
        <f ca="1">IFERROR(__xludf.DUMMYFUNCTION("""COMPUTED_VALUE"""),0.492917744319113)</f>
        <v>0.492917744319113</v>
      </c>
      <c r="AB802" s="17">
        <f ca="1">IFERROR(__xludf.DUMMYFUNCTION("""COMPUTED_VALUE"""),0.690542829055395)</f>
        <v>0.69054282905539499</v>
      </c>
      <c r="AC802" s="17">
        <f ca="1">IFERROR(__xludf.DUMMYFUNCTION("""COMPUTED_VALUE"""),1.028297783914)</f>
        <v>1.028297783914</v>
      </c>
      <c r="AD802" s="17">
        <f ca="1">IFERROR(__xludf.DUMMYFUNCTION("""COMPUTED_VALUE"""),0.648516903176537)</f>
        <v>0.64851690317653699</v>
      </c>
      <c r="AE802" s="17">
        <f ca="1">IFERROR(__xludf.DUMMYFUNCTION("""COMPUTED_VALUE"""),1.03735683979592)</f>
        <v>1.0373568397959201</v>
      </c>
      <c r="AF802" s="17">
        <f ca="1">IFERROR(__xludf.DUMMYFUNCTION("""COMPUTED_VALUE"""),0.683893367330828)</f>
        <v>0.68389336733082795</v>
      </c>
      <c r="AG802" s="17">
        <f ca="1">IFERROR(__xludf.DUMMYFUNCTION("""COMPUTED_VALUE"""),1.05929794599145)</f>
        <v>1.05929794599145</v>
      </c>
      <c r="AH802" s="17">
        <f ca="1">IFERROR(__xludf.DUMMYFUNCTION("""COMPUTED_VALUE"""),1.27185815474783)</f>
        <v>1.27185815474783</v>
      </c>
      <c r="AI802" s="17">
        <f ca="1">IFERROR(__xludf.DUMMYFUNCTION("""COMPUTED_VALUE"""),0.970535247538969)</f>
        <v>0.97053524753896903</v>
      </c>
      <c r="AJ802" s="17">
        <f ca="1">IFERROR(__xludf.DUMMYFUNCTION("""COMPUTED_VALUE"""),0.696540003551565)</f>
        <v>0.69654000355156498</v>
      </c>
    </row>
    <row r="803" spans="2:36" ht="15.75" customHeight="1" x14ac:dyDescent="0.45">
      <c r="B803" s="10" t="str">
        <f ca="1">IFERROR(__xludf.DUMMYFUNCTION("""COMPUTED_VALUE"""),"SonyAIBORobotSurface1")</f>
        <v>SonyAIBORobotSurface1</v>
      </c>
      <c r="C803" s="10" t="str">
        <f ca="1">IFERROR(__xludf.DUMMYFUNCTION("""COMPUTED_VALUE"""),"aligned_timestamps")</f>
        <v>aligned_timestamps</v>
      </c>
      <c r="D803" s="10">
        <f ca="1">IFERROR(__xludf.DUMMYFUNCTION("""COMPUTED_VALUE"""),0.2)</f>
        <v>0.2</v>
      </c>
      <c r="E803" s="17">
        <f ca="1">IFERROR(__xludf.DUMMYFUNCTION("""COMPUTED_VALUE"""),1.34272997966994)</f>
        <v>1.3427299796699399</v>
      </c>
      <c r="F803" s="17">
        <f ca="1">IFERROR(__xludf.DUMMYFUNCTION("""COMPUTED_VALUE"""),0.515639262381584)</f>
        <v>0.51563926238158397</v>
      </c>
      <c r="G803" s="17">
        <f ca="1">IFERROR(__xludf.DUMMYFUNCTION("""COMPUTED_VALUE"""),0.50091798541294)</f>
        <v>0.50091798541293997</v>
      </c>
      <c r="H803" s="17">
        <f ca="1">IFERROR(__xludf.DUMMYFUNCTION("""COMPUTED_VALUE"""),0.851017003351948)</f>
        <v>0.85101700335194796</v>
      </c>
      <c r="I803" s="17">
        <f ca="1">IFERROR(__xludf.DUMMYFUNCTION("""COMPUTED_VALUE"""),0.766559531854528)</f>
        <v>0.76655953185452796</v>
      </c>
      <c r="J803" s="17">
        <f ca="1">IFERROR(__xludf.DUMMYFUNCTION("""COMPUTED_VALUE"""),1.10066631508885)</f>
        <v>1.10066631508885</v>
      </c>
      <c r="K803" s="17" t="str">
        <f ca="1">IFERROR(__xludf.DUMMYFUNCTION("""COMPUTED_VALUE"""),"nan")</f>
        <v>nan</v>
      </c>
      <c r="L803" s="17">
        <f ca="1">IFERROR(__xludf.DUMMYFUNCTION("""COMPUTED_VALUE"""),0.59762160779426)</f>
        <v>0.59762160779425999</v>
      </c>
      <c r="M803" s="17">
        <f ca="1">IFERROR(__xludf.DUMMYFUNCTION("""COMPUTED_VALUE"""),0.515164500878723)</f>
        <v>0.51516450087872301</v>
      </c>
      <c r="N803" s="17">
        <f ca="1">IFERROR(__xludf.DUMMYFUNCTION("""COMPUTED_VALUE"""),0.835037824400292)</f>
        <v>0.83503782440029195</v>
      </c>
      <c r="O803" s="17">
        <f ca="1">IFERROR(__xludf.DUMMYFUNCTION("""COMPUTED_VALUE"""),0.464776603685523)</f>
        <v>0.46477660368552298</v>
      </c>
      <c r="P803" s="17">
        <f ca="1">IFERROR(__xludf.DUMMYFUNCTION("""COMPUTED_VALUE"""),1.21792929417628)</f>
        <v>1.21792929417628</v>
      </c>
      <c r="Q803" s="17">
        <f ca="1">IFERROR(__xludf.DUMMYFUNCTION("""COMPUTED_VALUE"""),0.689565234048951)</f>
        <v>0.68956523404895098</v>
      </c>
      <c r="R803" s="17">
        <f ca="1">IFERROR(__xludf.DUMMYFUNCTION("""COMPUTED_VALUE"""),0.727374714772148)</f>
        <v>0.72737471477214799</v>
      </c>
      <c r="S803" s="17">
        <f ca="1">IFERROR(__xludf.DUMMYFUNCTION("""COMPUTED_VALUE"""),0.971578750673564)</f>
        <v>0.97157875067356403</v>
      </c>
      <c r="T803" s="17">
        <f ca="1">IFERROR(__xludf.DUMMYFUNCTION("""COMPUTED_VALUE"""),0.974183216403771)</f>
        <v>0.97418321640377104</v>
      </c>
      <c r="U803" s="17">
        <f ca="1">IFERROR(__xludf.DUMMYFUNCTION("""COMPUTED_VALUE"""),0.757226407152533)</f>
        <v>0.75722640715253298</v>
      </c>
      <c r="V803" s="17">
        <f ca="1">IFERROR(__xludf.DUMMYFUNCTION("""COMPUTED_VALUE"""),0.96001721732523)</f>
        <v>0.96001721732523004</v>
      </c>
      <c r="W803" s="17">
        <f ca="1">IFERROR(__xludf.DUMMYFUNCTION("""COMPUTED_VALUE"""),0.787044415382606)</f>
        <v>0.78704441538260606</v>
      </c>
      <c r="X803" s="17">
        <f ca="1">IFERROR(__xludf.DUMMYFUNCTION("""COMPUTED_VALUE"""),0.861460765105573)</f>
        <v>0.86146076510557301</v>
      </c>
      <c r="Y803" s="17">
        <f ca="1">IFERROR(__xludf.DUMMYFUNCTION("""COMPUTED_VALUE"""),0.779397039998288)</f>
        <v>0.77939703999828802</v>
      </c>
      <c r="Z803" s="17">
        <f ca="1">IFERROR(__xludf.DUMMYFUNCTION("""COMPUTED_VALUE"""),0.924836018782512)</f>
        <v>0.92483601878251198</v>
      </c>
      <c r="AA803" s="17">
        <f ca="1">IFERROR(__xludf.DUMMYFUNCTION("""COMPUTED_VALUE"""),0.721430059283158)</f>
        <v>0.72143005928315795</v>
      </c>
      <c r="AB803" s="17">
        <f ca="1">IFERROR(__xludf.DUMMYFUNCTION("""COMPUTED_VALUE"""),1.0832672785874)</f>
        <v>1.0832672785874</v>
      </c>
      <c r="AC803" s="17">
        <f ca="1">IFERROR(__xludf.DUMMYFUNCTION("""COMPUTED_VALUE"""),1.01162673083318)</f>
        <v>1.0116267308331801</v>
      </c>
      <c r="AD803" s="17">
        <f ca="1">IFERROR(__xludf.DUMMYFUNCTION("""COMPUTED_VALUE"""),0.817003906582549)</f>
        <v>0.81700390658254896</v>
      </c>
      <c r="AE803" s="17">
        <f ca="1">IFERROR(__xludf.DUMMYFUNCTION("""COMPUTED_VALUE"""),1.39945731770647)</f>
        <v>1.39945731770647</v>
      </c>
      <c r="AF803" s="17">
        <f ca="1">IFERROR(__xludf.DUMMYFUNCTION("""COMPUTED_VALUE"""),0.561137110033036)</f>
        <v>0.56113711003303601</v>
      </c>
      <c r="AG803" s="17">
        <f ca="1">IFERROR(__xludf.DUMMYFUNCTION("""COMPUTED_VALUE"""),1.49256668600316)</f>
        <v>1.4925666860031599</v>
      </c>
      <c r="AH803" s="17">
        <f ca="1">IFERROR(__xludf.DUMMYFUNCTION("""COMPUTED_VALUE"""),1.53319486065865)</f>
        <v>1.5331948606586501</v>
      </c>
      <c r="AI803" s="17">
        <f ca="1">IFERROR(__xludf.DUMMYFUNCTION("""COMPUTED_VALUE"""),1.64804703973258)</f>
        <v>1.6480470397325799</v>
      </c>
      <c r="AJ803" s="17">
        <f ca="1">IFERROR(__xludf.DUMMYFUNCTION("""COMPUTED_VALUE"""),1.49392315236351)</f>
        <v>1.4939231523635099</v>
      </c>
    </row>
    <row r="804" spans="2:36" ht="15.75" customHeight="1" x14ac:dyDescent="0.45">
      <c r="B804" s="10" t="str">
        <f ca="1">IFERROR(__xludf.DUMMYFUNCTION("""COMPUTED_VALUE"""),"SonyAIBORobotSurface1")</f>
        <v>SonyAIBORobotSurface1</v>
      </c>
      <c r="C804" s="10" t="str">
        <f ca="1">IFERROR(__xludf.DUMMYFUNCTION("""COMPUTED_VALUE"""),"aligned_timestamps")</f>
        <v>aligned_timestamps</v>
      </c>
      <c r="D804" s="10">
        <f ca="1">IFERROR(__xludf.DUMMYFUNCTION("""COMPUTED_VALUE"""),0.4)</f>
        <v>0.4</v>
      </c>
      <c r="E804" s="17">
        <f ca="1">IFERROR(__xludf.DUMMYFUNCTION("""COMPUTED_VALUE"""),1.00920268450217)</f>
        <v>1.00920268450217</v>
      </c>
      <c r="F804" s="17">
        <f ca="1">IFERROR(__xludf.DUMMYFUNCTION("""COMPUTED_VALUE"""),0.466442315616834)</f>
        <v>0.46644231561683402</v>
      </c>
      <c r="G804" s="17">
        <f ca="1">IFERROR(__xludf.DUMMYFUNCTION("""COMPUTED_VALUE"""),0.46211647019464)</f>
        <v>0.46211647019464003</v>
      </c>
      <c r="H804" s="17">
        <f ca="1">IFERROR(__xludf.DUMMYFUNCTION("""COMPUTED_VALUE"""),0.686365986131566)</f>
        <v>0.68636598613156596</v>
      </c>
      <c r="I804" s="17">
        <f ca="1">IFERROR(__xludf.DUMMYFUNCTION("""COMPUTED_VALUE"""),0.621807437724969)</f>
        <v>0.62180743772496905</v>
      </c>
      <c r="J804" s="17">
        <f ca="1">IFERROR(__xludf.DUMMYFUNCTION("""COMPUTED_VALUE"""),1.46046449169651)</f>
        <v>1.4604644916965099</v>
      </c>
      <c r="K804" s="17" t="str">
        <f ca="1">IFERROR(__xludf.DUMMYFUNCTION("""COMPUTED_VALUE"""),"nan")</f>
        <v>nan</v>
      </c>
      <c r="L804" s="17">
        <f ca="1">IFERROR(__xludf.DUMMYFUNCTION("""COMPUTED_VALUE"""),0.559575095922935)</f>
        <v>0.55957509592293497</v>
      </c>
      <c r="M804" s="17">
        <f ca="1">IFERROR(__xludf.DUMMYFUNCTION("""COMPUTED_VALUE"""),0.709314843789601)</f>
        <v>0.70931484378960097</v>
      </c>
      <c r="N804" s="17">
        <f ca="1">IFERROR(__xludf.DUMMYFUNCTION("""COMPUTED_VALUE"""),0.617820626857438)</f>
        <v>0.61782062685743799</v>
      </c>
      <c r="O804" s="17">
        <f ca="1">IFERROR(__xludf.DUMMYFUNCTION("""COMPUTED_VALUE"""),0.416876945292309)</f>
        <v>0.41687694529230901</v>
      </c>
      <c r="P804" s="17">
        <f ca="1">IFERROR(__xludf.DUMMYFUNCTION("""COMPUTED_VALUE"""),0.976420078416161)</f>
        <v>0.97642007841616096</v>
      </c>
      <c r="Q804" s="17">
        <f ca="1">IFERROR(__xludf.DUMMYFUNCTION("""COMPUTED_VALUE"""),0.579040145533841)</f>
        <v>0.57904014553384098</v>
      </c>
      <c r="R804" s="17">
        <f ca="1">IFERROR(__xludf.DUMMYFUNCTION("""COMPUTED_VALUE"""),0.600952064369062)</f>
        <v>0.60095206436906201</v>
      </c>
      <c r="S804" s="17">
        <f ca="1">IFERROR(__xludf.DUMMYFUNCTION("""COMPUTED_VALUE"""),0.796106641691685)</f>
        <v>0.79610664169168499</v>
      </c>
      <c r="T804" s="17">
        <f ca="1">IFERROR(__xludf.DUMMYFUNCTION("""COMPUTED_VALUE"""),0.7854010724452)</f>
        <v>0.78540107244519997</v>
      </c>
      <c r="U804" s="17">
        <f ca="1">IFERROR(__xludf.DUMMYFUNCTION("""COMPUTED_VALUE"""),0.525739348955067)</f>
        <v>0.52573934895506702</v>
      </c>
      <c r="V804" s="17">
        <f ca="1">IFERROR(__xludf.DUMMYFUNCTION("""COMPUTED_VALUE"""),0.903902179730404)</f>
        <v>0.90390217973040399</v>
      </c>
      <c r="W804" s="17">
        <f ca="1">IFERROR(__xludf.DUMMYFUNCTION("""COMPUTED_VALUE"""),0.695296035433924)</f>
        <v>0.69529603543392404</v>
      </c>
      <c r="X804" s="17">
        <f ca="1">IFERROR(__xludf.DUMMYFUNCTION("""COMPUTED_VALUE"""),0.656113711899605)</f>
        <v>0.65611371189960499</v>
      </c>
      <c r="Y804" s="17">
        <f ca="1">IFERROR(__xludf.DUMMYFUNCTION("""COMPUTED_VALUE"""),0.624065646733035)</f>
        <v>0.624065646733035</v>
      </c>
      <c r="Z804" s="17">
        <f ca="1">IFERROR(__xludf.DUMMYFUNCTION("""COMPUTED_VALUE"""),0.963230144805534)</f>
        <v>0.96323014480553404</v>
      </c>
      <c r="AA804" s="17">
        <f ca="1">IFERROR(__xludf.DUMMYFUNCTION("""COMPUTED_VALUE"""),0.694369660014129)</f>
        <v>0.69436966001412903</v>
      </c>
      <c r="AB804" s="17">
        <f ca="1">IFERROR(__xludf.DUMMYFUNCTION("""COMPUTED_VALUE"""),0.957372301143942)</f>
        <v>0.95737230114394201</v>
      </c>
      <c r="AC804" s="17">
        <f ca="1">IFERROR(__xludf.DUMMYFUNCTION("""COMPUTED_VALUE"""),0.936423100745684)</f>
        <v>0.93642310074568402</v>
      </c>
      <c r="AD804" s="17">
        <f ca="1">IFERROR(__xludf.DUMMYFUNCTION("""COMPUTED_VALUE"""),0.737949855940167)</f>
        <v>0.73794985594016704</v>
      </c>
      <c r="AE804" s="17">
        <f ca="1">IFERROR(__xludf.DUMMYFUNCTION("""COMPUTED_VALUE"""),1.14734753216629)</f>
        <v>1.14734753216629</v>
      </c>
      <c r="AF804" s="17">
        <f ca="1">IFERROR(__xludf.DUMMYFUNCTION("""COMPUTED_VALUE"""),0.490377183774058)</f>
        <v>0.49037718377405798</v>
      </c>
      <c r="AG804" s="17">
        <f ca="1">IFERROR(__xludf.DUMMYFUNCTION("""COMPUTED_VALUE"""),1.43813469355041)</f>
        <v>1.43813469355041</v>
      </c>
      <c r="AH804" s="17">
        <f ca="1">IFERROR(__xludf.DUMMYFUNCTION("""COMPUTED_VALUE"""),1.21204709710863)</f>
        <v>1.2120470971086299</v>
      </c>
      <c r="AI804" s="17">
        <f ca="1">IFERROR(__xludf.DUMMYFUNCTION("""COMPUTED_VALUE"""),1.30424692199649)</f>
        <v>1.3042469219964901</v>
      </c>
      <c r="AJ804" s="17">
        <f ca="1">IFERROR(__xludf.DUMMYFUNCTION("""COMPUTED_VALUE"""),1.30959513099649)</f>
        <v>1.3095951309964899</v>
      </c>
    </row>
    <row r="805" spans="2:36" ht="15.75" customHeight="1" x14ac:dyDescent="0.45">
      <c r="B805" s="10" t="str">
        <f ca="1">IFERROR(__xludf.DUMMYFUNCTION("""COMPUTED_VALUE"""),"SonyAIBORobotSurface1")</f>
        <v>SonyAIBORobotSurface1</v>
      </c>
      <c r="C805" s="10" t="str">
        <f ca="1">IFERROR(__xludf.DUMMYFUNCTION("""COMPUTED_VALUE"""),"aligned_timestamps")</f>
        <v>aligned_timestamps</v>
      </c>
      <c r="D805" s="10">
        <f ca="1">IFERROR(__xludf.DUMMYFUNCTION("""COMPUTED_VALUE"""),0.6)</f>
        <v>0.6</v>
      </c>
      <c r="E805" s="17">
        <f ca="1">IFERROR(__xludf.DUMMYFUNCTION("""COMPUTED_VALUE"""),0.972115803721342)</f>
        <v>0.97211580372134199</v>
      </c>
      <c r="F805" s="17">
        <f ca="1">IFERROR(__xludf.DUMMYFUNCTION("""COMPUTED_VALUE"""),0.465486859604267)</f>
        <v>0.465486859604267</v>
      </c>
      <c r="G805" s="17">
        <f ca="1">IFERROR(__xludf.DUMMYFUNCTION("""COMPUTED_VALUE"""),0.461677411249739)</f>
        <v>0.46167741124973899</v>
      </c>
      <c r="H805" s="17">
        <f ca="1">IFERROR(__xludf.DUMMYFUNCTION("""COMPUTED_VALUE"""),0.783511678476136)</f>
        <v>0.78351167847613601</v>
      </c>
      <c r="I805" s="17">
        <f ca="1">IFERROR(__xludf.DUMMYFUNCTION("""COMPUTED_VALUE"""),0.598264603619254)</f>
        <v>0.59826460361925404</v>
      </c>
      <c r="J805" s="17">
        <f ca="1">IFERROR(__xludf.DUMMYFUNCTION("""COMPUTED_VALUE"""),1.67875454721733)</f>
        <v>1.67875454721733</v>
      </c>
      <c r="K805" s="17" t="str">
        <f ca="1">IFERROR(__xludf.DUMMYFUNCTION("""COMPUTED_VALUE"""),"nan")</f>
        <v>nan</v>
      </c>
      <c r="L805" s="17">
        <f ca="1">IFERROR(__xludf.DUMMYFUNCTION("""COMPUTED_VALUE"""),0.567068589943224)</f>
        <v>0.56706858994322396</v>
      </c>
      <c r="M805" s="17">
        <f ca="1">IFERROR(__xludf.DUMMYFUNCTION("""COMPUTED_VALUE"""),0.541501910408563)</f>
        <v>0.54150191040856299</v>
      </c>
      <c r="N805" s="17">
        <f ca="1">IFERROR(__xludf.DUMMYFUNCTION("""COMPUTED_VALUE"""),0.69075708584014)</f>
        <v>0.69075708584013995</v>
      </c>
      <c r="O805" s="17">
        <f ca="1">IFERROR(__xludf.DUMMYFUNCTION("""COMPUTED_VALUE"""),0.457563209520423)</f>
        <v>0.45756320952042301</v>
      </c>
      <c r="P805" s="17">
        <f ca="1">IFERROR(__xludf.DUMMYFUNCTION("""COMPUTED_VALUE"""),1.00913670278879)</f>
        <v>1.0091367027887901</v>
      </c>
      <c r="Q805" s="17">
        <f ca="1">IFERROR(__xludf.DUMMYFUNCTION("""COMPUTED_VALUE"""),0.774862775366741)</f>
        <v>0.77486277536674097</v>
      </c>
      <c r="R805" s="17">
        <f ca="1">IFERROR(__xludf.DUMMYFUNCTION("""COMPUTED_VALUE"""),0.615121795197311)</f>
        <v>0.61512179519731103</v>
      </c>
      <c r="S805" s="17">
        <f ca="1">IFERROR(__xludf.DUMMYFUNCTION("""COMPUTED_VALUE"""),0.748178782420777)</f>
        <v>0.74817878242077696</v>
      </c>
      <c r="T805" s="17">
        <f ca="1">IFERROR(__xludf.DUMMYFUNCTION("""COMPUTED_VALUE"""),0.816710795054457)</f>
        <v>0.81671079505445698</v>
      </c>
      <c r="U805" s="17">
        <f ca="1">IFERROR(__xludf.DUMMYFUNCTION("""COMPUTED_VALUE"""),0.629601304623644)</f>
        <v>0.62960130462364405</v>
      </c>
      <c r="V805" s="17">
        <f ca="1">IFERROR(__xludf.DUMMYFUNCTION("""COMPUTED_VALUE"""),0.786209056406515)</f>
        <v>0.78620905640651495</v>
      </c>
      <c r="W805" s="17">
        <f ca="1">IFERROR(__xludf.DUMMYFUNCTION("""COMPUTED_VALUE"""),0.647475049531894)</f>
        <v>0.64747504953189405</v>
      </c>
      <c r="X805" s="17">
        <f ca="1">IFERROR(__xludf.DUMMYFUNCTION("""COMPUTED_VALUE"""),0.56672776969506)</f>
        <v>0.56672776969506</v>
      </c>
      <c r="Y805" s="17">
        <f ca="1">IFERROR(__xludf.DUMMYFUNCTION("""COMPUTED_VALUE"""),0.543001767650598)</f>
        <v>0.54300176765059804</v>
      </c>
      <c r="Z805" s="17">
        <f ca="1">IFERROR(__xludf.DUMMYFUNCTION("""COMPUTED_VALUE"""),0.87273502972533)</f>
        <v>0.87273502972533001</v>
      </c>
      <c r="AA805" s="17">
        <f ca="1">IFERROR(__xludf.DUMMYFUNCTION("""COMPUTED_VALUE"""),0.682568788739227)</f>
        <v>0.68256878873922699</v>
      </c>
      <c r="AB805" s="17">
        <f ca="1">IFERROR(__xludf.DUMMYFUNCTION("""COMPUTED_VALUE"""),0.822494597186304)</f>
        <v>0.82249459718630402</v>
      </c>
      <c r="AC805" s="17">
        <f ca="1">IFERROR(__xludf.DUMMYFUNCTION("""COMPUTED_VALUE"""),0.828736276869135)</f>
        <v>0.82873627686913498</v>
      </c>
      <c r="AD805" s="17">
        <f ca="1">IFERROR(__xludf.DUMMYFUNCTION("""COMPUTED_VALUE"""),0.732425219836314)</f>
        <v>0.73242521983631403</v>
      </c>
      <c r="AE805" s="17">
        <f ca="1">IFERROR(__xludf.DUMMYFUNCTION("""COMPUTED_VALUE"""),1.21808955941622)</f>
        <v>1.21808955941622</v>
      </c>
      <c r="AF805" s="17">
        <f ca="1">IFERROR(__xludf.DUMMYFUNCTION("""COMPUTED_VALUE"""),0.544053357290347)</f>
        <v>0.54405335729034698</v>
      </c>
      <c r="AG805" s="17">
        <f ca="1">IFERROR(__xludf.DUMMYFUNCTION("""COMPUTED_VALUE"""),1.15663711313457)</f>
        <v>1.1566371131345701</v>
      </c>
      <c r="AH805" s="17">
        <f ca="1">IFERROR(__xludf.DUMMYFUNCTION("""COMPUTED_VALUE"""),1.04832062435033)</f>
        <v>1.04832062435033</v>
      </c>
      <c r="AI805" s="17" t="str">
        <f ca="1">IFERROR(__xludf.DUMMYFUNCTION("""COMPUTED_VALUE"""),"nan")</f>
        <v>nan</v>
      </c>
      <c r="AJ805" s="17">
        <f ca="1">IFERROR(__xludf.DUMMYFUNCTION("""COMPUTED_VALUE"""),1.13921831347612)</f>
        <v>1.13921831347612</v>
      </c>
    </row>
    <row r="806" spans="2:36" ht="15.75" customHeight="1" x14ac:dyDescent="0.45">
      <c r="B806" s="10" t="str">
        <f ca="1">IFERROR(__xludf.DUMMYFUNCTION("""COMPUTED_VALUE"""),"SonyAIBORobotSurface1")</f>
        <v>SonyAIBORobotSurface1</v>
      </c>
      <c r="C806" s="10" t="str">
        <f ca="1">IFERROR(__xludf.DUMMYFUNCTION("""COMPUTED_VALUE"""),"aligned_timestamps")</f>
        <v>aligned_timestamps</v>
      </c>
      <c r="D806" s="10">
        <f ca="1">IFERROR(__xludf.DUMMYFUNCTION("""COMPUTED_VALUE"""),0.8)</f>
        <v>0.8</v>
      </c>
      <c r="E806" s="17">
        <f ca="1">IFERROR(__xludf.DUMMYFUNCTION("""COMPUTED_VALUE"""),0.997078151862397)</f>
        <v>0.99707815186239701</v>
      </c>
      <c r="F806" s="17">
        <f ca="1">IFERROR(__xludf.DUMMYFUNCTION("""COMPUTED_VALUE"""),0.605133147221767)</f>
        <v>0.60513314722176703</v>
      </c>
      <c r="G806" s="17">
        <f ca="1">IFERROR(__xludf.DUMMYFUNCTION("""COMPUTED_VALUE"""),0.85343545360866)</f>
        <v>0.85343545360866002</v>
      </c>
      <c r="H806" s="17">
        <f ca="1">IFERROR(__xludf.DUMMYFUNCTION("""COMPUTED_VALUE"""),0.926059888563354)</f>
        <v>0.92605988856335397</v>
      </c>
      <c r="I806" s="17">
        <f ca="1">IFERROR(__xludf.DUMMYFUNCTION("""COMPUTED_VALUE"""),0.743047827598896)</f>
        <v>0.74304782759889598</v>
      </c>
      <c r="J806" s="17">
        <f ca="1">IFERROR(__xludf.DUMMYFUNCTION("""COMPUTED_VALUE"""),2.38833058141009)</f>
        <v>2.3883305814100901</v>
      </c>
      <c r="K806" s="17" t="str">
        <f ca="1">IFERROR(__xludf.DUMMYFUNCTION("""COMPUTED_VALUE"""),"nan")</f>
        <v>nan</v>
      </c>
      <c r="L806" s="17">
        <f ca="1">IFERROR(__xludf.DUMMYFUNCTION("""COMPUTED_VALUE"""),0.877015923275913)</f>
        <v>0.87701592327591305</v>
      </c>
      <c r="M806" s="17">
        <f ca="1">IFERROR(__xludf.DUMMYFUNCTION("""COMPUTED_VALUE"""),1.77811612234426)</f>
        <v>1.7781161223442601</v>
      </c>
      <c r="N806" s="17">
        <f ca="1">IFERROR(__xludf.DUMMYFUNCTION("""COMPUTED_VALUE"""),0.725623874662801)</f>
        <v>0.72562387466280098</v>
      </c>
      <c r="O806" s="17">
        <f ca="1">IFERROR(__xludf.DUMMYFUNCTION("""COMPUTED_VALUE"""),0.651968831059634)</f>
        <v>0.65196883105963399</v>
      </c>
      <c r="P806" s="17">
        <f ca="1">IFERROR(__xludf.DUMMYFUNCTION("""COMPUTED_VALUE"""),1.30300388341724)</f>
        <v>1.3030038834172399</v>
      </c>
      <c r="Q806" s="17">
        <f ca="1">IFERROR(__xludf.DUMMYFUNCTION("""COMPUTED_VALUE"""),0.816734764978514)</f>
        <v>0.81673476497851405</v>
      </c>
      <c r="R806" s="17">
        <f ca="1">IFERROR(__xludf.DUMMYFUNCTION("""COMPUTED_VALUE"""),1.36268870865711)</f>
        <v>1.36268870865711</v>
      </c>
      <c r="S806" s="17">
        <f ca="1">IFERROR(__xludf.DUMMYFUNCTION("""COMPUTED_VALUE"""),0.923521573531535)</f>
        <v>0.92352157353153497</v>
      </c>
      <c r="T806" s="17">
        <f ca="1">IFERROR(__xludf.DUMMYFUNCTION("""COMPUTED_VALUE"""),1.12685938916731)</f>
        <v>1.12685938916731</v>
      </c>
      <c r="U806" s="17">
        <f ca="1">IFERROR(__xludf.DUMMYFUNCTION("""COMPUTED_VALUE"""),0.8068222229632)</f>
        <v>0.80682222296320005</v>
      </c>
      <c r="V806" s="17">
        <f ca="1">IFERROR(__xludf.DUMMYFUNCTION("""COMPUTED_VALUE"""),1.21485429220757)</f>
        <v>1.21485429220757</v>
      </c>
      <c r="W806" s="17">
        <f ca="1">IFERROR(__xludf.DUMMYFUNCTION("""COMPUTED_VALUE"""),0.876402694882171)</f>
        <v>0.87640269488217104</v>
      </c>
      <c r="X806" s="17">
        <f ca="1">IFERROR(__xludf.DUMMYFUNCTION("""COMPUTED_VALUE"""),0.588304233149911)</f>
        <v>0.58830423314991098</v>
      </c>
      <c r="Y806" s="17">
        <f ca="1">IFERROR(__xludf.DUMMYFUNCTION("""COMPUTED_VALUE"""),1.16119970124736)</f>
        <v>1.16119970124736</v>
      </c>
      <c r="Z806" s="17">
        <f ca="1">IFERROR(__xludf.DUMMYFUNCTION("""COMPUTED_VALUE"""),0.980348724277686)</f>
        <v>0.98034872427768605</v>
      </c>
      <c r="AA806" s="17">
        <f ca="1">IFERROR(__xludf.DUMMYFUNCTION("""COMPUTED_VALUE"""),0.834302558195422)</f>
        <v>0.83430255819542198</v>
      </c>
      <c r="AB806" s="17">
        <f ca="1">IFERROR(__xludf.DUMMYFUNCTION("""COMPUTED_VALUE"""),1.28168945341598)</f>
        <v>1.28168945341598</v>
      </c>
      <c r="AC806" s="17">
        <f ca="1">IFERROR(__xludf.DUMMYFUNCTION("""COMPUTED_VALUE"""),0.898202295436933)</f>
        <v>0.89820229543693297</v>
      </c>
      <c r="AD806" s="17">
        <f ca="1">IFERROR(__xludf.DUMMYFUNCTION("""COMPUTED_VALUE"""),0.788288628011121)</f>
        <v>0.78828862801112098</v>
      </c>
      <c r="AE806" s="17">
        <f ca="1">IFERROR(__xludf.DUMMYFUNCTION("""COMPUTED_VALUE"""),2.27845011273287)</f>
        <v>2.27845011273287</v>
      </c>
      <c r="AF806" s="17">
        <f ca="1">IFERROR(__xludf.DUMMYFUNCTION("""COMPUTED_VALUE"""),0.843547078099325)</f>
        <v>0.84354707809932505</v>
      </c>
      <c r="AG806" s="17">
        <f ca="1">IFERROR(__xludf.DUMMYFUNCTION("""COMPUTED_VALUE"""),1.13404966047568)</f>
        <v>1.13404966047568</v>
      </c>
      <c r="AH806" s="17">
        <f ca="1">IFERROR(__xludf.DUMMYFUNCTION("""COMPUTED_VALUE"""),0.978636014376631)</f>
        <v>0.97863601437663095</v>
      </c>
      <c r="AI806" s="17" t="str">
        <f ca="1">IFERROR(__xludf.DUMMYFUNCTION("""COMPUTED_VALUE"""),"nan")</f>
        <v>nan</v>
      </c>
      <c r="AJ806" s="17">
        <f ca="1">IFERROR(__xludf.DUMMYFUNCTION("""COMPUTED_VALUE"""),1.07908763066875)</f>
        <v>1.07908763066875</v>
      </c>
    </row>
    <row r="807" spans="2:36" ht="15.75" customHeight="1" x14ac:dyDescent="0.45">
      <c r="B807" s="10" t="str">
        <f ca="1">IFERROR(__xludf.DUMMYFUNCTION("""COMPUTED_VALUE"""),"SonyAIBORobotSurface1")</f>
        <v>SonyAIBORobotSurface1</v>
      </c>
      <c r="C807" s="10" t="str">
        <f ca="1">IFERROR(__xludf.DUMMYFUNCTION("""COMPUTED_VALUE"""),"mcar")</f>
        <v>mcar</v>
      </c>
      <c r="D807" s="10">
        <f ca="1">IFERROR(__xludf.DUMMYFUNCTION("""COMPUTED_VALUE"""),0.1)</f>
        <v>0.1</v>
      </c>
      <c r="E807" s="17">
        <f ca="1">IFERROR(__xludf.DUMMYFUNCTION("""COMPUTED_VALUE"""),1.21950452486177)</f>
        <v>1.21950452486177</v>
      </c>
      <c r="F807" s="17">
        <f ca="1">IFERROR(__xludf.DUMMYFUNCTION("""COMPUTED_VALUE"""),0.580504922358736)</f>
        <v>0.58050492235873596</v>
      </c>
      <c r="G807" s="17">
        <f ca="1">IFERROR(__xludf.DUMMYFUNCTION("""COMPUTED_VALUE"""),0.602623986084106)</f>
        <v>0.60262398608410594</v>
      </c>
      <c r="H807" s="17">
        <f ca="1">IFERROR(__xludf.DUMMYFUNCTION("""COMPUTED_VALUE"""),0.822031941907612)</f>
        <v>0.82203194190761197</v>
      </c>
      <c r="I807" s="17">
        <f ca="1">IFERROR(__xludf.DUMMYFUNCTION("""COMPUTED_VALUE"""),0.6086245969704)</f>
        <v>0.60862459697039994</v>
      </c>
      <c r="J807" s="17">
        <f ca="1">IFERROR(__xludf.DUMMYFUNCTION("""COMPUTED_VALUE"""),0.688568815772794)</f>
        <v>0.68856881577279405</v>
      </c>
      <c r="K807" s="17" t="str">
        <f ca="1">IFERROR(__xludf.DUMMYFUNCTION("""COMPUTED_VALUE"""),"nan")</f>
        <v>nan</v>
      </c>
      <c r="L807" s="17">
        <f ca="1">IFERROR(__xludf.DUMMYFUNCTION("""COMPUTED_VALUE"""),0.629736797450989)</f>
        <v>0.62973679745098898</v>
      </c>
      <c r="M807" s="17">
        <f ca="1">IFERROR(__xludf.DUMMYFUNCTION("""COMPUTED_VALUE"""),0.54894039037259)</f>
        <v>0.54894039037259001</v>
      </c>
      <c r="N807" s="17">
        <f ca="1">IFERROR(__xludf.DUMMYFUNCTION("""COMPUTED_VALUE"""),0.293575795808858)</f>
        <v>0.29357579580885801</v>
      </c>
      <c r="O807" s="17">
        <f ca="1">IFERROR(__xludf.DUMMYFUNCTION("""COMPUTED_VALUE"""),0.559867472698503)</f>
        <v>0.55986747269850301</v>
      </c>
      <c r="P807" s="17">
        <f ca="1">IFERROR(__xludf.DUMMYFUNCTION("""COMPUTED_VALUE"""),0.975835868734275)</f>
        <v>0.97583586873427497</v>
      </c>
      <c r="Q807" s="17">
        <f ca="1">IFERROR(__xludf.DUMMYFUNCTION("""COMPUTED_VALUE"""),0.862235265357759)</f>
        <v>0.86223526535775896</v>
      </c>
      <c r="R807" s="17">
        <f ca="1">IFERROR(__xludf.DUMMYFUNCTION("""COMPUTED_VALUE"""),0.521377655708039)</f>
        <v>0.52137765570803896</v>
      </c>
      <c r="S807" s="17">
        <f ca="1">IFERROR(__xludf.DUMMYFUNCTION("""COMPUTED_VALUE"""),0.794994046115366)</f>
        <v>0.79499404611536595</v>
      </c>
      <c r="T807" s="17">
        <f ca="1">IFERROR(__xludf.DUMMYFUNCTION("""COMPUTED_VALUE"""),0.737655751001785)</f>
        <v>0.73765575100178504</v>
      </c>
      <c r="U807" s="17">
        <f ca="1">IFERROR(__xludf.DUMMYFUNCTION("""COMPUTED_VALUE"""),0.65104525040606)</f>
        <v>0.65104525040605998</v>
      </c>
      <c r="V807" s="17">
        <f ca="1">IFERROR(__xludf.DUMMYFUNCTION("""COMPUTED_VALUE"""),0.580181546480959)</f>
        <v>0.58018154648095899</v>
      </c>
      <c r="W807" s="17">
        <f ca="1">IFERROR(__xludf.DUMMYFUNCTION("""COMPUTED_VALUE"""),0.730276659792976)</f>
        <v>0.73027665979297596</v>
      </c>
      <c r="X807" s="17">
        <f ca="1">IFERROR(__xludf.DUMMYFUNCTION("""COMPUTED_VALUE"""),0.685676150075366)</f>
        <v>0.68567615007536598</v>
      </c>
      <c r="Y807" s="17">
        <f ca="1">IFERROR(__xludf.DUMMYFUNCTION("""COMPUTED_VALUE"""),0.551230706051208)</f>
        <v>0.55123070605120805</v>
      </c>
      <c r="Z807" s="17">
        <f ca="1">IFERROR(__xludf.DUMMYFUNCTION("""COMPUTED_VALUE"""),0.667192643104323)</f>
        <v>0.66719264310432302</v>
      </c>
      <c r="AA807" s="17">
        <f ca="1">IFERROR(__xludf.DUMMYFUNCTION("""COMPUTED_VALUE"""),0.42508687565711)</f>
        <v>0.42508687565711001</v>
      </c>
      <c r="AB807" s="17">
        <f ca="1">IFERROR(__xludf.DUMMYFUNCTION("""COMPUTED_VALUE"""),0.713096547430407)</f>
        <v>0.71309654743040696</v>
      </c>
      <c r="AC807" s="17">
        <f ca="1">IFERROR(__xludf.DUMMYFUNCTION("""COMPUTED_VALUE"""),0.799438843139839)</f>
        <v>0.79943884313983904</v>
      </c>
      <c r="AD807" s="17">
        <f ca="1">IFERROR(__xludf.DUMMYFUNCTION("""COMPUTED_VALUE"""),0.736603034775571)</f>
        <v>0.73660303477557099</v>
      </c>
      <c r="AE807" s="17">
        <f ca="1">IFERROR(__xludf.DUMMYFUNCTION("""COMPUTED_VALUE"""),1.11222365903125)</f>
        <v>1.11222365903125</v>
      </c>
      <c r="AF807" s="17">
        <f ca="1">IFERROR(__xludf.DUMMYFUNCTION("""COMPUTED_VALUE"""),1.09427497105906)</f>
        <v>1.09427497105906</v>
      </c>
      <c r="AG807" s="17">
        <f ca="1">IFERROR(__xludf.DUMMYFUNCTION("""COMPUTED_VALUE"""),0.885217214667882)</f>
        <v>0.88521721466788195</v>
      </c>
      <c r="AH807" s="17">
        <f ca="1">IFERROR(__xludf.DUMMYFUNCTION("""COMPUTED_VALUE"""),0.824184546859575)</f>
        <v>0.82418454685957498</v>
      </c>
      <c r="AI807" s="17">
        <f ca="1">IFERROR(__xludf.DUMMYFUNCTION("""COMPUTED_VALUE"""),0.777189661188015)</f>
        <v>0.77718966118801502</v>
      </c>
      <c r="AJ807" s="17">
        <f ca="1">IFERROR(__xludf.DUMMYFUNCTION("""COMPUTED_VALUE"""),0.798792408071877)</f>
        <v>0.79879240807187701</v>
      </c>
    </row>
    <row r="808" spans="2:36" ht="15.75" customHeight="1" x14ac:dyDescent="0.45">
      <c r="B808" s="10" t="str">
        <f ca="1">IFERROR(__xludf.DUMMYFUNCTION("""COMPUTED_VALUE"""),"SonyAIBORobotSurface1")</f>
        <v>SonyAIBORobotSurface1</v>
      </c>
      <c r="C808" s="10" t="str">
        <f ca="1">IFERROR(__xludf.DUMMYFUNCTION("""COMPUTED_VALUE"""),"mcar")</f>
        <v>mcar</v>
      </c>
      <c r="D808" s="10">
        <f ca="1">IFERROR(__xludf.DUMMYFUNCTION("""COMPUTED_VALUE"""),0.2)</f>
        <v>0.2</v>
      </c>
      <c r="E808" s="17">
        <f ca="1">IFERROR(__xludf.DUMMYFUNCTION("""COMPUTED_VALUE"""),1.10667502093092)</f>
        <v>1.10667502093092</v>
      </c>
      <c r="F808" s="17">
        <f ca="1">IFERROR(__xludf.DUMMYFUNCTION("""COMPUTED_VALUE"""),0.568668517268193)</f>
        <v>0.56866851726819301</v>
      </c>
      <c r="G808" s="17">
        <f ca="1">IFERROR(__xludf.DUMMYFUNCTION("""COMPUTED_VALUE"""),0.654133979807665)</f>
        <v>0.65413397980766497</v>
      </c>
      <c r="H808" s="17">
        <f ca="1">IFERROR(__xludf.DUMMYFUNCTION("""COMPUTED_VALUE"""),0.72791146791224)</f>
        <v>0.72791146791224004</v>
      </c>
      <c r="I808" s="17">
        <f ca="1">IFERROR(__xludf.DUMMYFUNCTION("""COMPUTED_VALUE"""),0.567749872718456)</f>
        <v>0.56774987271845601</v>
      </c>
      <c r="J808" s="17">
        <f ca="1">IFERROR(__xludf.DUMMYFUNCTION("""COMPUTED_VALUE"""),0.618674714182426)</f>
        <v>0.61867471418242603</v>
      </c>
      <c r="K808" s="17" t="str">
        <f ca="1">IFERROR(__xludf.DUMMYFUNCTION("""COMPUTED_VALUE"""),"nan")</f>
        <v>nan</v>
      </c>
      <c r="L808" s="17">
        <f ca="1">IFERROR(__xludf.DUMMYFUNCTION("""COMPUTED_VALUE"""),0.581266553083789)</f>
        <v>0.58126655308378905</v>
      </c>
      <c r="M808" s="17">
        <f ca="1">IFERROR(__xludf.DUMMYFUNCTION("""COMPUTED_VALUE"""),0.472795114248026)</f>
        <v>0.472795114248026</v>
      </c>
      <c r="N808" s="17">
        <f ca="1">IFERROR(__xludf.DUMMYFUNCTION("""COMPUTED_VALUE"""),0.439475531899355)</f>
        <v>0.43947553189935501</v>
      </c>
      <c r="O808" s="17">
        <f ca="1">IFERROR(__xludf.DUMMYFUNCTION("""COMPUTED_VALUE"""),0.541931738774171)</f>
        <v>0.541931738774171</v>
      </c>
      <c r="P808" s="17">
        <f ca="1">IFERROR(__xludf.DUMMYFUNCTION("""COMPUTED_VALUE"""),0.986927410146022)</f>
        <v>0.98692741014602203</v>
      </c>
      <c r="Q808" s="17">
        <f ca="1">IFERROR(__xludf.DUMMYFUNCTION("""COMPUTED_VALUE"""),0.943359433766954)</f>
        <v>0.94335943376695397</v>
      </c>
      <c r="R808" s="17">
        <f ca="1">IFERROR(__xludf.DUMMYFUNCTION("""COMPUTED_VALUE"""),0.428186705386981)</f>
        <v>0.428186705386981</v>
      </c>
      <c r="S808" s="17">
        <f ca="1">IFERROR(__xludf.DUMMYFUNCTION("""COMPUTED_VALUE"""),0.84052495747318)</f>
        <v>0.84052495747318001</v>
      </c>
      <c r="T808" s="17">
        <f ca="1">IFERROR(__xludf.DUMMYFUNCTION("""COMPUTED_VALUE"""),0.661670782810533)</f>
        <v>0.66167078281053304</v>
      </c>
      <c r="U808" s="17">
        <f ca="1">IFERROR(__xludf.DUMMYFUNCTION("""COMPUTED_VALUE"""),0.781917510400668)</f>
        <v>0.78191751040066804</v>
      </c>
      <c r="V808" s="17">
        <f ca="1">IFERROR(__xludf.DUMMYFUNCTION("""COMPUTED_VALUE"""),0.536042475695551)</f>
        <v>0.53604247569555097</v>
      </c>
      <c r="W808" s="17">
        <f ca="1">IFERROR(__xludf.DUMMYFUNCTION("""COMPUTED_VALUE"""),0.710116601478939)</f>
        <v>0.71011660147893896</v>
      </c>
      <c r="X808" s="17">
        <f ca="1">IFERROR(__xludf.DUMMYFUNCTION("""COMPUTED_VALUE"""),0.609534178455289)</f>
        <v>0.60953417845528901</v>
      </c>
      <c r="Y808" s="17">
        <f ca="1">IFERROR(__xludf.DUMMYFUNCTION("""COMPUTED_VALUE"""),0.562879567234388)</f>
        <v>0.56287956723438803</v>
      </c>
      <c r="Z808" s="17">
        <f ca="1">IFERROR(__xludf.DUMMYFUNCTION("""COMPUTED_VALUE"""),0.633865357207199)</f>
        <v>0.63386535720719905</v>
      </c>
      <c r="AA808" s="17">
        <f ca="1">IFERROR(__xludf.DUMMYFUNCTION("""COMPUTED_VALUE"""),0.420670828065994)</f>
        <v>0.42067082806599398</v>
      </c>
      <c r="AB808" s="17">
        <f ca="1">IFERROR(__xludf.DUMMYFUNCTION("""COMPUTED_VALUE"""),0.667699400138598)</f>
        <v>0.66769940013859796</v>
      </c>
      <c r="AC808" s="17">
        <f ca="1">IFERROR(__xludf.DUMMYFUNCTION("""COMPUTED_VALUE"""),0.833683142040586)</f>
        <v>0.83368314204058602</v>
      </c>
      <c r="AD808" s="17">
        <f ca="1">IFERROR(__xludf.DUMMYFUNCTION("""COMPUTED_VALUE"""),0.771269646181719)</f>
        <v>0.771269646181719</v>
      </c>
      <c r="AE808" s="17">
        <f ca="1">IFERROR(__xludf.DUMMYFUNCTION("""COMPUTED_VALUE"""),1.16688109753389)</f>
        <v>1.1668810975338899</v>
      </c>
      <c r="AF808" s="17">
        <f ca="1">IFERROR(__xludf.DUMMYFUNCTION("""COMPUTED_VALUE"""),0.547610788978302)</f>
        <v>0.54761078897830195</v>
      </c>
      <c r="AG808" s="17">
        <f ca="1">IFERROR(__xludf.DUMMYFUNCTION("""COMPUTED_VALUE"""),0.829294512508598)</f>
        <v>0.82929451250859798</v>
      </c>
      <c r="AH808" s="17">
        <f ca="1">IFERROR(__xludf.DUMMYFUNCTION("""COMPUTED_VALUE"""),1.11395221068315)</f>
        <v>1.1139522106831501</v>
      </c>
      <c r="AI808" s="17">
        <f ca="1">IFERROR(__xludf.DUMMYFUNCTION("""COMPUTED_VALUE"""),0.916224636068496)</f>
        <v>0.91622463606849602</v>
      </c>
      <c r="AJ808" s="17">
        <f ca="1">IFERROR(__xludf.DUMMYFUNCTION("""COMPUTED_VALUE"""),0.677648269236127)</f>
        <v>0.67764826923612698</v>
      </c>
    </row>
    <row r="809" spans="2:36" ht="15.75" customHeight="1" x14ac:dyDescent="0.45">
      <c r="B809" s="10" t="str">
        <f ca="1">IFERROR(__xludf.DUMMYFUNCTION("""COMPUTED_VALUE"""),"SonyAIBORobotSurface1")</f>
        <v>SonyAIBORobotSurface1</v>
      </c>
      <c r="C809" s="10" t="str">
        <f ca="1">IFERROR(__xludf.DUMMYFUNCTION("""COMPUTED_VALUE"""),"mcar")</f>
        <v>mcar</v>
      </c>
      <c r="D809" s="10">
        <f ca="1">IFERROR(__xludf.DUMMYFUNCTION("""COMPUTED_VALUE"""),0.4)</f>
        <v>0.4</v>
      </c>
      <c r="E809" s="17">
        <f ca="1">IFERROR(__xludf.DUMMYFUNCTION("""COMPUTED_VALUE"""),1.05293330592109)</f>
        <v>1.0529333059210899</v>
      </c>
      <c r="F809" s="17">
        <f ca="1">IFERROR(__xludf.DUMMYFUNCTION("""COMPUTED_VALUE"""),0.564256751936009)</f>
        <v>0.56425675193600899</v>
      </c>
      <c r="G809" s="17">
        <f ca="1">IFERROR(__xludf.DUMMYFUNCTION("""COMPUTED_VALUE"""),0.687017513163482)</f>
        <v>0.68701751316348203</v>
      </c>
      <c r="H809" s="17">
        <f ca="1">IFERROR(__xludf.DUMMYFUNCTION("""COMPUTED_VALUE"""),0.664509984584953)</f>
        <v>0.66450998458495303</v>
      </c>
      <c r="I809" s="17">
        <f ca="1">IFERROR(__xludf.DUMMYFUNCTION("""COMPUTED_VALUE"""),0.570953791027485)</f>
        <v>0.570953791027485</v>
      </c>
      <c r="J809" s="17">
        <f ca="1">IFERROR(__xludf.DUMMYFUNCTION("""COMPUTED_VALUE"""),0.752624612526864)</f>
        <v>0.75262461252686397</v>
      </c>
      <c r="K809" s="17" t="str">
        <f ca="1">IFERROR(__xludf.DUMMYFUNCTION("""COMPUTED_VALUE"""),"nan")</f>
        <v>nan</v>
      </c>
      <c r="L809" s="17">
        <f ca="1">IFERROR(__xludf.DUMMYFUNCTION("""COMPUTED_VALUE"""),0.492675443598248)</f>
        <v>0.492675443598248</v>
      </c>
      <c r="M809" s="17">
        <f ca="1">IFERROR(__xludf.DUMMYFUNCTION("""COMPUTED_VALUE"""),1.84314440235411)</f>
        <v>1.8431444023541099</v>
      </c>
      <c r="N809" s="17">
        <f ca="1">IFERROR(__xludf.DUMMYFUNCTION("""COMPUTED_VALUE"""),0.399403553369489)</f>
        <v>0.39940355336948902</v>
      </c>
      <c r="O809" s="17">
        <f ca="1">IFERROR(__xludf.DUMMYFUNCTION("""COMPUTED_VALUE"""),0.501257547339505)</f>
        <v>0.50125754733950501</v>
      </c>
      <c r="P809" s="17">
        <f ca="1">IFERROR(__xludf.DUMMYFUNCTION("""COMPUTED_VALUE"""),0.967495028699129)</f>
        <v>0.96749502869912896</v>
      </c>
      <c r="Q809" s="17">
        <f ca="1">IFERROR(__xludf.DUMMYFUNCTION("""COMPUTED_VALUE"""),0.786826075988707)</f>
        <v>0.78682607598870702</v>
      </c>
      <c r="R809" s="17">
        <f ca="1">IFERROR(__xludf.DUMMYFUNCTION("""COMPUTED_VALUE"""),0.436081297627109)</f>
        <v>0.43608129762710901</v>
      </c>
      <c r="S809" s="17">
        <f ca="1">IFERROR(__xludf.DUMMYFUNCTION("""COMPUTED_VALUE"""),0.8149708725327)</f>
        <v>0.81497087253269995</v>
      </c>
      <c r="T809" s="17">
        <f ca="1">IFERROR(__xludf.DUMMYFUNCTION("""COMPUTED_VALUE"""),0.671766881399645)</f>
        <v>0.67176688139964502</v>
      </c>
      <c r="U809" s="17">
        <f ca="1">IFERROR(__xludf.DUMMYFUNCTION("""COMPUTED_VALUE"""),0.523668517304315)</f>
        <v>0.52366851730431496</v>
      </c>
      <c r="V809" s="17">
        <f ca="1">IFERROR(__xludf.DUMMYFUNCTION("""COMPUTED_VALUE"""),0.623908678904624)</f>
        <v>0.62390867890462398</v>
      </c>
      <c r="W809" s="17">
        <f ca="1">IFERROR(__xludf.DUMMYFUNCTION("""COMPUTED_VALUE"""),0.603396734281159)</f>
        <v>0.60339673428115903</v>
      </c>
      <c r="X809" s="17">
        <f ca="1">IFERROR(__xludf.DUMMYFUNCTION("""COMPUTED_VALUE"""),0.607775653945192)</f>
        <v>0.60777565394519195</v>
      </c>
      <c r="Y809" s="17">
        <f ca="1">IFERROR(__xludf.DUMMYFUNCTION("""COMPUTED_VALUE"""),0.495168846162178)</f>
        <v>0.49516884616217799</v>
      </c>
      <c r="Z809" s="17">
        <f ca="1">IFERROR(__xludf.DUMMYFUNCTION("""COMPUTED_VALUE"""),0.875691803274573)</f>
        <v>0.87569180327457297</v>
      </c>
      <c r="AA809" s="17">
        <f ca="1">IFERROR(__xludf.DUMMYFUNCTION("""COMPUTED_VALUE"""),0.385342479700832)</f>
        <v>0.38534247970083202</v>
      </c>
      <c r="AB809" s="17">
        <f ca="1">IFERROR(__xludf.DUMMYFUNCTION("""COMPUTED_VALUE"""),1.01823823412136)</f>
        <v>1.0182382341213601</v>
      </c>
      <c r="AC809" s="17">
        <f ca="1">IFERROR(__xludf.DUMMYFUNCTION("""COMPUTED_VALUE"""),0.910136137579477)</f>
        <v>0.91013613757947698</v>
      </c>
      <c r="AD809" s="17">
        <f ca="1">IFERROR(__xludf.DUMMYFUNCTION("""COMPUTED_VALUE"""),0.708387563786653)</f>
        <v>0.70838756378665302</v>
      </c>
      <c r="AE809" s="17">
        <f ca="1">IFERROR(__xludf.DUMMYFUNCTION("""COMPUTED_VALUE"""),1.21698121789717)</f>
        <v>1.21698121789717</v>
      </c>
      <c r="AF809" s="17">
        <f ca="1">IFERROR(__xludf.DUMMYFUNCTION("""COMPUTED_VALUE"""),0.698950090507428)</f>
        <v>0.69895009050742796</v>
      </c>
      <c r="AG809" s="17">
        <f ca="1">IFERROR(__xludf.DUMMYFUNCTION("""COMPUTED_VALUE"""),1.06138902421274)</f>
        <v>1.06138902421274</v>
      </c>
      <c r="AH809" s="17">
        <f ca="1">IFERROR(__xludf.DUMMYFUNCTION("""COMPUTED_VALUE"""),0.972719636937743)</f>
        <v>0.97271963693774299</v>
      </c>
      <c r="AI809" s="17">
        <f ca="1">IFERROR(__xludf.DUMMYFUNCTION("""COMPUTED_VALUE"""),1.03861217228146)</f>
        <v>1.0386121722814601</v>
      </c>
      <c r="AJ809" s="17">
        <f ca="1">IFERROR(__xludf.DUMMYFUNCTION("""COMPUTED_VALUE"""),1.0463868978723)</f>
        <v>1.0463868978723001</v>
      </c>
    </row>
    <row r="810" spans="2:36" ht="15.75" customHeight="1" x14ac:dyDescent="0.45">
      <c r="B810" s="10" t="str">
        <f ca="1">IFERROR(__xludf.DUMMYFUNCTION("""COMPUTED_VALUE"""),"SonyAIBORobotSurface1")</f>
        <v>SonyAIBORobotSurface1</v>
      </c>
      <c r="C810" s="10" t="str">
        <f ca="1">IFERROR(__xludf.DUMMYFUNCTION("""COMPUTED_VALUE"""),"mcar")</f>
        <v>mcar</v>
      </c>
      <c r="D810" s="10">
        <f ca="1">IFERROR(__xludf.DUMMYFUNCTION("""COMPUTED_VALUE"""),0.6)</f>
        <v>0.6</v>
      </c>
      <c r="E810" s="17">
        <f ca="1">IFERROR(__xludf.DUMMYFUNCTION("""COMPUTED_VALUE"""),0.96338429947334)</f>
        <v>0.96338429947334003</v>
      </c>
      <c r="F810" s="17">
        <f ca="1">IFERROR(__xludf.DUMMYFUNCTION("""COMPUTED_VALUE"""),0.533190960863705)</f>
        <v>0.53319096086370499</v>
      </c>
      <c r="G810" s="17">
        <f ca="1">IFERROR(__xludf.DUMMYFUNCTION("""COMPUTED_VALUE"""),0.728111910996753)</f>
        <v>0.72811191099675299</v>
      </c>
      <c r="H810" s="17">
        <f ca="1">IFERROR(__xludf.DUMMYFUNCTION("""COMPUTED_VALUE"""),0.787427158766803)</f>
        <v>0.78742715876680303</v>
      </c>
      <c r="I810" s="17">
        <f ca="1">IFERROR(__xludf.DUMMYFUNCTION("""COMPUTED_VALUE"""),0.656655385167981)</f>
        <v>0.65665538516798105</v>
      </c>
      <c r="J810" s="17">
        <f ca="1">IFERROR(__xludf.DUMMYFUNCTION("""COMPUTED_VALUE"""),0.716328706122859)</f>
        <v>0.71632870612285904</v>
      </c>
      <c r="K810" s="17" t="str">
        <f ca="1">IFERROR(__xludf.DUMMYFUNCTION("""COMPUTED_VALUE"""),"nan")</f>
        <v>nan</v>
      </c>
      <c r="L810" s="17">
        <f ca="1">IFERROR(__xludf.DUMMYFUNCTION("""COMPUTED_VALUE"""),0.593756684377043)</f>
        <v>0.59375668437704299</v>
      </c>
      <c r="M810" s="17">
        <f ca="1">IFERROR(__xludf.DUMMYFUNCTION("""COMPUTED_VALUE"""),0.966642762886792)</f>
        <v>0.96664276288679196</v>
      </c>
      <c r="N810" s="17">
        <f ca="1">IFERROR(__xludf.DUMMYFUNCTION("""COMPUTED_VALUE"""),0.582097396282471)</f>
        <v>0.58209739628247104</v>
      </c>
      <c r="O810" s="17">
        <f ca="1">IFERROR(__xludf.DUMMYFUNCTION("""COMPUTED_VALUE"""),0.533539800519313)</f>
        <v>0.53353980051931305</v>
      </c>
      <c r="P810" s="17">
        <f ca="1">IFERROR(__xludf.DUMMYFUNCTION("""COMPUTED_VALUE"""),0.877658026072551)</f>
        <v>0.87765802607255095</v>
      </c>
      <c r="Q810" s="17">
        <f ca="1">IFERROR(__xludf.DUMMYFUNCTION("""COMPUTED_VALUE"""),0.837295963678385)</f>
        <v>0.83729596367838499</v>
      </c>
      <c r="R810" s="17">
        <f ca="1">IFERROR(__xludf.DUMMYFUNCTION("""COMPUTED_VALUE"""),0.59719898743261)</f>
        <v>0.59719898743261002</v>
      </c>
      <c r="S810" s="17">
        <f ca="1">IFERROR(__xludf.DUMMYFUNCTION("""COMPUTED_VALUE"""),0.977840193122329)</f>
        <v>0.97784019312232895</v>
      </c>
      <c r="T810" s="17">
        <f ca="1">IFERROR(__xludf.DUMMYFUNCTION("""COMPUTED_VALUE"""),0.804002301860588)</f>
        <v>0.80400230186058796</v>
      </c>
      <c r="U810" s="17">
        <f ca="1">IFERROR(__xludf.DUMMYFUNCTION("""COMPUTED_VALUE"""),0.806772501809131)</f>
        <v>0.80677250180913096</v>
      </c>
      <c r="V810" s="17">
        <f ca="1">IFERROR(__xludf.DUMMYFUNCTION("""COMPUTED_VALUE"""),0.688915400850181)</f>
        <v>0.68891540085018099</v>
      </c>
      <c r="W810" s="17">
        <f ca="1">IFERROR(__xludf.DUMMYFUNCTION("""COMPUTED_VALUE"""),0.678542432649485)</f>
        <v>0.67854243264948499</v>
      </c>
      <c r="X810" s="17">
        <f ca="1">IFERROR(__xludf.DUMMYFUNCTION("""COMPUTED_VALUE"""),0.610966096578306)</f>
        <v>0.61096609657830603</v>
      </c>
      <c r="Y810" s="17">
        <f ca="1">IFERROR(__xludf.DUMMYFUNCTION("""COMPUTED_VALUE"""),0.544890864703403)</f>
        <v>0.54489086470340298</v>
      </c>
      <c r="Z810" s="17">
        <f ca="1">IFERROR(__xludf.DUMMYFUNCTION("""COMPUTED_VALUE"""),0.905450434365209)</f>
        <v>0.905450434365209</v>
      </c>
      <c r="AA810" s="17">
        <f ca="1">IFERROR(__xludf.DUMMYFUNCTION("""COMPUTED_VALUE"""),0.596376608097619)</f>
        <v>0.59637660809761905</v>
      </c>
      <c r="AB810" s="17">
        <f ca="1">IFERROR(__xludf.DUMMYFUNCTION("""COMPUTED_VALUE"""),0.821394701804041)</f>
        <v>0.82139470180404095</v>
      </c>
      <c r="AC810" s="17">
        <f ca="1">IFERROR(__xludf.DUMMYFUNCTION("""COMPUTED_VALUE"""),0.90947758273054)</f>
        <v>0.90947758273054002</v>
      </c>
      <c r="AD810" s="17">
        <f ca="1">IFERROR(__xludf.DUMMYFUNCTION("""COMPUTED_VALUE"""),0.680157483913292)</f>
        <v>0.680157483913292</v>
      </c>
      <c r="AE810" s="17">
        <f ca="1">IFERROR(__xludf.DUMMYFUNCTION("""COMPUTED_VALUE"""),1.40667599642441)</f>
        <v>1.40667599642441</v>
      </c>
      <c r="AF810" s="17">
        <f ca="1">IFERROR(__xludf.DUMMYFUNCTION("""COMPUTED_VALUE"""),0.628479737490613)</f>
        <v>0.62847973749061303</v>
      </c>
      <c r="AG810" s="17">
        <f ca="1">IFERROR(__xludf.DUMMYFUNCTION("""COMPUTED_VALUE"""),1.04487662555815)</f>
        <v>1.0448766255581501</v>
      </c>
      <c r="AH810" s="17">
        <f ca="1">IFERROR(__xludf.DUMMYFUNCTION("""COMPUTED_VALUE"""),1.00656190655921)</f>
        <v>1.00656190655921</v>
      </c>
      <c r="AI810" s="17" t="str">
        <f ca="1">IFERROR(__xludf.DUMMYFUNCTION("""COMPUTED_VALUE"""),"nan")</f>
        <v>nan</v>
      </c>
      <c r="AJ810" s="17">
        <f ca="1">IFERROR(__xludf.DUMMYFUNCTION("""COMPUTED_VALUE"""),1.16403692893081)</f>
        <v>1.1640369289308099</v>
      </c>
    </row>
    <row r="811" spans="2:36" ht="15.75" customHeight="1" x14ac:dyDescent="0.45">
      <c r="B811" s="10" t="str">
        <f ca="1">IFERROR(__xludf.DUMMYFUNCTION("""COMPUTED_VALUE"""),"SonyAIBORobotSurface1")</f>
        <v>SonyAIBORobotSurface1</v>
      </c>
      <c r="C811" s="10" t="str">
        <f ca="1">IFERROR(__xludf.DUMMYFUNCTION("""COMPUTED_VALUE"""),"mcar")</f>
        <v>mcar</v>
      </c>
      <c r="D811" s="10">
        <f ca="1">IFERROR(__xludf.DUMMYFUNCTION("""COMPUTED_VALUE"""),0.8)</f>
        <v>0.8</v>
      </c>
      <c r="E811" s="17">
        <f ca="1">IFERROR(__xludf.DUMMYFUNCTION("""COMPUTED_VALUE"""),0.923519537800475)</f>
        <v>0.92351953780047502</v>
      </c>
      <c r="F811" s="17">
        <f ca="1">IFERROR(__xludf.DUMMYFUNCTION("""COMPUTED_VALUE"""),0.668790248384638)</f>
        <v>0.66879024838463796</v>
      </c>
      <c r="G811" s="17">
        <f ca="1">IFERROR(__xludf.DUMMYFUNCTION("""COMPUTED_VALUE"""),0.834708528925315)</f>
        <v>0.834708528925315</v>
      </c>
      <c r="H811" s="17">
        <f ca="1">IFERROR(__xludf.DUMMYFUNCTION("""COMPUTED_VALUE"""),0.953004086900952)</f>
        <v>0.95300408690095195</v>
      </c>
      <c r="I811" s="17">
        <f ca="1">IFERROR(__xludf.DUMMYFUNCTION("""COMPUTED_VALUE"""),0.687010958030939)</f>
        <v>0.68701095803093903</v>
      </c>
      <c r="J811" s="17">
        <f ca="1">IFERROR(__xludf.DUMMYFUNCTION("""COMPUTED_VALUE"""),1.13699458091103)</f>
        <v>1.13699458091103</v>
      </c>
      <c r="K811" s="17" t="str">
        <f ca="1">IFERROR(__xludf.DUMMYFUNCTION("""COMPUTED_VALUE"""),"nan")</f>
        <v>nan</v>
      </c>
      <c r="L811" s="17">
        <f ca="1">IFERROR(__xludf.DUMMYFUNCTION("""COMPUTED_VALUE"""),0.68590813720412)</f>
        <v>0.68590813720412003</v>
      </c>
      <c r="M811" s="17">
        <f ca="1">IFERROR(__xludf.DUMMYFUNCTION("""COMPUTED_VALUE"""),1.12473567709322)</f>
        <v>1.12473567709322</v>
      </c>
      <c r="N811" s="17">
        <f ca="1">IFERROR(__xludf.DUMMYFUNCTION("""COMPUTED_VALUE"""),0.700586662526942)</f>
        <v>0.70058666252694202</v>
      </c>
      <c r="O811" s="17">
        <f ca="1">IFERROR(__xludf.DUMMYFUNCTION("""COMPUTED_VALUE"""),0.567627950577067)</f>
        <v>0.56762795057706705</v>
      </c>
      <c r="P811" s="17">
        <f ca="1">IFERROR(__xludf.DUMMYFUNCTION("""COMPUTED_VALUE"""),0.901410488775786)</f>
        <v>0.901410488775786</v>
      </c>
      <c r="Q811" s="17">
        <f ca="1">IFERROR(__xludf.DUMMYFUNCTION("""COMPUTED_VALUE"""),0.884850470866569)</f>
        <v>0.88485047086656898</v>
      </c>
      <c r="R811" s="17">
        <f ca="1">IFERROR(__xludf.DUMMYFUNCTION("""COMPUTED_VALUE"""),0.840120301110843)</f>
        <v>0.84012030111084302</v>
      </c>
      <c r="S811" s="17">
        <f ca="1">IFERROR(__xludf.DUMMYFUNCTION("""COMPUTED_VALUE"""),1.35624903997833)</f>
        <v>1.35624903997833</v>
      </c>
      <c r="T811" s="17">
        <f ca="1">IFERROR(__xludf.DUMMYFUNCTION("""COMPUTED_VALUE"""),1.01771455341719)</f>
        <v>1.0177145534171901</v>
      </c>
      <c r="U811" s="17">
        <f ca="1">IFERROR(__xludf.DUMMYFUNCTION("""COMPUTED_VALUE"""),0.730079288571655)</f>
        <v>0.73007928857165505</v>
      </c>
      <c r="V811" s="17">
        <f ca="1">IFERROR(__xludf.DUMMYFUNCTION("""COMPUTED_VALUE"""),0.647662477539925)</f>
        <v>0.64766247753992501</v>
      </c>
      <c r="W811" s="17">
        <f ca="1">IFERROR(__xludf.DUMMYFUNCTION("""COMPUTED_VALUE"""),0.662790956173371)</f>
        <v>0.66279095617337103</v>
      </c>
      <c r="X811" s="17">
        <f ca="1">IFERROR(__xludf.DUMMYFUNCTION("""COMPUTED_VALUE"""),0.603544590324099)</f>
        <v>0.60354459032409902</v>
      </c>
      <c r="Y811" s="17">
        <f ca="1">IFERROR(__xludf.DUMMYFUNCTION("""COMPUTED_VALUE"""),0.692784685304914)</f>
        <v>0.69278468530491399</v>
      </c>
      <c r="Z811" s="17">
        <f ca="1">IFERROR(__xludf.DUMMYFUNCTION("""COMPUTED_VALUE"""),0.983577508661722)</f>
        <v>0.983577508661722</v>
      </c>
      <c r="AA811" s="17">
        <f ca="1">IFERROR(__xludf.DUMMYFUNCTION("""COMPUTED_VALUE"""),0.738393095332195)</f>
        <v>0.73839309533219499</v>
      </c>
      <c r="AB811" s="17">
        <f ca="1">IFERROR(__xludf.DUMMYFUNCTION("""COMPUTED_VALUE"""),0.930189550939446)</f>
        <v>0.930189550939446</v>
      </c>
      <c r="AC811" s="17">
        <f ca="1">IFERROR(__xludf.DUMMYFUNCTION("""COMPUTED_VALUE"""),0.888732062206973)</f>
        <v>0.88873206220697298</v>
      </c>
      <c r="AD811" s="17">
        <f ca="1">IFERROR(__xludf.DUMMYFUNCTION("""COMPUTED_VALUE"""),0.701135901313852)</f>
        <v>0.70113590131385195</v>
      </c>
      <c r="AE811" s="17">
        <f ca="1">IFERROR(__xludf.DUMMYFUNCTION("""COMPUTED_VALUE"""),1.35466592289013)</f>
        <v>1.3546659228901301</v>
      </c>
      <c r="AF811" s="17">
        <f ca="1">IFERROR(__xludf.DUMMYFUNCTION("""COMPUTED_VALUE"""),0.698140704098417)</f>
        <v>0.698140704098417</v>
      </c>
      <c r="AG811" s="17">
        <f ca="1">IFERROR(__xludf.DUMMYFUNCTION("""COMPUTED_VALUE"""),0.917379000564126)</f>
        <v>0.91737900056412602</v>
      </c>
      <c r="AH811" s="17">
        <f ca="1">IFERROR(__xludf.DUMMYFUNCTION("""COMPUTED_VALUE"""),0.962713976714801)</f>
        <v>0.96271397671480097</v>
      </c>
      <c r="AI811" s="17">
        <f ca="1">IFERROR(__xludf.DUMMYFUNCTION("""COMPUTED_VALUE"""),1.02931722574253)</f>
        <v>1.02931722574253</v>
      </c>
      <c r="AJ811" s="17">
        <f ca="1">IFERROR(__xludf.DUMMYFUNCTION("""COMPUTED_VALUE"""),1.09957624872704)</f>
        <v>1.09957624872704</v>
      </c>
    </row>
    <row r="812" spans="2:36" ht="15.75" customHeight="1" x14ac:dyDescent="0.45">
      <c r="B812" s="10" t="str">
        <f ca="1">IFERROR(__xludf.DUMMYFUNCTION("""COMPUTED_VALUE"""),"Strawberry")</f>
        <v>Strawberry</v>
      </c>
      <c r="C812" s="10" t="str">
        <f ca="1">IFERROR(__xludf.DUMMYFUNCTION("""COMPUTED_VALUE"""),"aligned_series")</f>
        <v>aligned_series</v>
      </c>
      <c r="D812" s="10">
        <f ca="1">IFERROR(__xludf.DUMMYFUNCTION("""COMPUTED_VALUE"""),0.1)</f>
        <v>0.1</v>
      </c>
      <c r="E812" s="17">
        <f ca="1">IFERROR(__xludf.DUMMYFUNCTION("""COMPUTED_VALUE"""),1.76327758420938)</f>
        <v>1.76327758420938</v>
      </c>
      <c r="F812" s="17">
        <f ca="1">IFERROR(__xludf.DUMMYFUNCTION("""COMPUTED_VALUE"""),0.160180036353515)</f>
        <v>0.16018003635351499</v>
      </c>
      <c r="G812" s="17">
        <f ca="1">IFERROR(__xludf.DUMMYFUNCTION("""COMPUTED_VALUE"""),0.142489643923867)</f>
        <v>0.14248964392386701</v>
      </c>
      <c r="H812" s="17">
        <f ca="1">IFERROR(__xludf.DUMMYFUNCTION("""COMPUTED_VALUE"""),0.327077259254335)</f>
        <v>0.32707725925433501</v>
      </c>
      <c r="I812" s="17">
        <f ca="1">IFERROR(__xludf.DUMMYFUNCTION("""COMPUTED_VALUE"""),0.108711996733226)</f>
        <v>0.108711996733226</v>
      </c>
      <c r="J812" s="17">
        <f ca="1">IFERROR(__xludf.DUMMYFUNCTION("""COMPUTED_VALUE"""),1.72405230211555)</f>
        <v>1.7240523021155501</v>
      </c>
      <c r="K812" s="17" t="str">
        <f ca="1">IFERROR(__xludf.DUMMYFUNCTION("""COMPUTED_VALUE"""),"nan")</f>
        <v>nan</v>
      </c>
      <c r="L812" s="17">
        <f ca="1">IFERROR(__xludf.DUMMYFUNCTION("""COMPUTED_VALUE"""),0.12833161791749)</f>
        <v>0.12833161791749001</v>
      </c>
      <c r="M812" s="17">
        <f ca="1">IFERROR(__xludf.DUMMYFUNCTION("""COMPUTED_VALUE"""),0.124785331156269)</f>
        <v>0.124785331156269</v>
      </c>
      <c r="N812" s="17">
        <f ca="1">IFERROR(__xludf.DUMMYFUNCTION("""COMPUTED_VALUE"""),0.198668266609921)</f>
        <v>0.19866826660992101</v>
      </c>
      <c r="O812" s="17">
        <f ca="1">IFERROR(__xludf.DUMMYFUNCTION("""COMPUTED_VALUE"""),0.861922929650844)</f>
        <v>0.86192292965084405</v>
      </c>
      <c r="P812" s="17">
        <f ca="1">IFERROR(__xludf.DUMMYFUNCTION("""COMPUTED_VALUE"""),1.77340641566202)</f>
        <v>1.77340641566202</v>
      </c>
      <c r="Q812" s="17">
        <f ca="1">IFERROR(__xludf.DUMMYFUNCTION("""COMPUTED_VALUE"""),0.323443036532943)</f>
        <v>0.32344303653294298</v>
      </c>
      <c r="R812" s="17">
        <f ca="1">IFERROR(__xludf.DUMMYFUNCTION("""COMPUTED_VALUE"""),0.566101901727002)</f>
        <v>0.56610190172700203</v>
      </c>
      <c r="S812" s="17">
        <f ca="1">IFERROR(__xludf.DUMMYFUNCTION("""COMPUTED_VALUE"""),1.17264273268592)</f>
        <v>1.1726427326859199</v>
      </c>
      <c r="T812" s="17">
        <f ca="1">IFERROR(__xludf.DUMMYFUNCTION("""COMPUTED_VALUE"""),0.762722077367496)</f>
        <v>0.76272207736749598</v>
      </c>
      <c r="U812" s="17">
        <f ca="1">IFERROR(__xludf.DUMMYFUNCTION("""COMPUTED_VALUE"""),0.34025628509545)</f>
        <v>0.34025628509544997</v>
      </c>
      <c r="V812" s="17">
        <f ca="1">IFERROR(__xludf.DUMMYFUNCTION("""COMPUTED_VALUE"""),0.157679037771291)</f>
        <v>0.157679037771291</v>
      </c>
      <c r="W812" s="17">
        <f ca="1">IFERROR(__xludf.DUMMYFUNCTION("""COMPUTED_VALUE"""),0.850160708935103)</f>
        <v>0.85016070893510298</v>
      </c>
      <c r="X812" s="17">
        <f ca="1">IFERROR(__xludf.DUMMYFUNCTION("""COMPUTED_VALUE"""),0.32287387535571)</f>
        <v>0.32287387535570999</v>
      </c>
      <c r="Y812" s="17">
        <f ca="1">IFERROR(__xludf.DUMMYFUNCTION("""COMPUTED_VALUE"""),0.213157682107931)</f>
        <v>0.21315768210793101</v>
      </c>
      <c r="Z812" s="17">
        <f ca="1">IFERROR(__xludf.DUMMYFUNCTION("""COMPUTED_VALUE"""),0.470698974762644)</f>
        <v>0.470698974762644</v>
      </c>
      <c r="AA812" s="17">
        <f ca="1">IFERROR(__xludf.DUMMYFUNCTION("""COMPUTED_VALUE"""),0.0580839664000076)</f>
        <v>5.8083966400007597E-2</v>
      </c>
      <c r="AB812" s="17">
        <f ca="1">IFERROR(__xludf.DUMMYFUNCTION("""COMPUTED_VALUE"""),1.24310206414668)</f>
        <v>1.2431020641466799</v>
      </c>
      <c r="AC812" s="17">
        <f ca="1">IFERROR(__xludf.DUMMYFUNCTION("""COMPUTED_VALUE"""),1.6515311297123)</f>
        <v>1.6515311297123001</v>
      </c>
      <c r="AD812" s="17">
        <f ca="1">IFERROR(__xludf.DUMMYFUNCTION("""COMPUTED_VALUE"""),0.427489160338156)</f>
        <v>0.42748916033815598</v>
      </c>
      <c r="AE812" s="17">
        <f ca="1">IFERROR(__xludf.DUMMYFUNCTION("""COMPUTED_VALUE"""),1.75021894269443)</f>
        <v>1.7502189426944299</v>
      </c>
      <c r="AF812" s="17">
        <f ca="1">IFERROR(__xludf.DUMMYFUNCTION("""COMPUTED_VALUE"""),1.07905763853318)</f>
        <v>1.07905763853318</v>
      </c>
      <c r="AG812" s="17">
        <f ca="1">IFERROR(__xludf.DUMMYFUNCTION("""COMPUTED_VALUE"""),1.19714247808168)</f>
        <v>1.19714247808168</v>
      </c>
      <c r="AH812" s="17">
        <f ca="1">IFERROR(__xludf.DUMMYFUNCTION("""COMPUTED_VALUE"""),1.10258893897674)</f>
        <v>1.10258893897674</v>
      </c>
      <c r="AI812" s="17" t="str">
        <f ca="1">IFERROR(__xludf.DUMMYFUNCTION("""COMPUTED_VALUE"""),"nan")</f>
        <v>nan</v>
      </c>
      <c r="AJ812" s="17">
        <f ca="1">IFERROR(__xludf.DUMMYFUNCTION("""COMPUTED_VALUE"""),0.920263455594309)</f>
        <v>0.920263455594309</v>
      </c>
    </row>
    <row r="813" spans="2:36" ht="15.75" customHeight="1" x14ac:dyDescent="0.45">
      <c r="B813" s="10" t="str">
        <f ca="1">IFERROR(__xludf.DUMMYFUNCTION("""COMPUTED_VALUE"""),"Strawberry")</f>
        <v>Strawberry</v>
      </c>
      <c r="C813" s="10" t="str">
        <f ca="1">IFERROR(__xludf.DUMMYFUNCTION("""COMPUTED_VALUE"""),"aligned_series")</f>
        <v>aligned_series</v>
      </c>
      <c r="D813" s="10">
        <f ca="1">IFERROR(__xludf.DUMMYFUNCTION("""COMPUTED_VALUE"""),0.2)</f>
        <v>0.2</v>
      </c>
      <c r="E813" s="17">
        <f ca="1">IFERROR(__xludf.DUMMYFUNCTION("""COMPUTED_VALUE"""),1.8053436768406)</f>
        <v>1.8053436768405999</v>
      </c>
      <c r="F813" s="17">
        <f ca="1">IFERROR(__xludf.DUMMYFUNCTION("""COMPUTED_VALUE"""),0.17432367415566)</f>
        <v>0.17432367415566</v>
      </c>
      <c r="G813" s="17">
        <f ca="1">IFERROR(__xludf.DUMMYFUNCTION("""COMPUTED_VALUE"""),0.803789882980532)</f>
        <v>0.803789882980532</v>
      </c>
      <c r="H813" s="17">
        <f ca="1">IFERROR(__xludf.DUMMYFUNCTION("""COMPUTED_VALUE"""),0.310749546174121)</f>
        <v>0.31074954617412098</v>
      </c>
      <c r="I813" s="17">
        <f ca="1">IFERROR(__xludf.DUMMYFUNCTION("""COMPUTED_VALUE"""),0.538570244792758)</f>
        <v>0.53857024479275795</v>
      </c>
      <c r="J813" s="17">
        <f ca="1">IFERROR(__xludf.DUMMYFUNCTION("""COMPUTED_VALUE"""),2.11996919383232)</f>
        <v>2.1199691938323202</v>
      </c>
      <c r="K813" s="17" t="str">
        <f ca="1">IFERROR(__xludf.DUMMYFUNCTION("""COMPUTED_VALUE"""),"nan")</f>
        <v>nan</v>
      </c>
      <c r="L813" s="17">
        <f ca="1">IFERROR(__xludf.DUMMYFUNCTION("""COMPUTED_VALUE"""),0.13049074927878)</f>
        <v>0.13049074927877999</v>
      </c>
      <c r="M813" s="17">
        <f ca="1">IFERROR(__xludf.DUMMYFUNCTION("""COMPUTED_VALUE"""),0.135634694098898)</f>
        <v>0.135634694098898</v>
      </c>
      <c r="N813" s="17">
        <f ca="1">IFERROR(__xludf.DUMMYFUNCTION("""COMPUTED_VALUE"""),0.252558118934379)</f>
        <v>0.25255811893437902</v>
      </c>
      <c r="O813" s="17">
        <f ca="1">IFERROR(__xludf.DUMMYFUNCTION("""COMPUTED_VALUE"""),1.07921416082865)</f>
        <v>1.0792141608286501</v>
      </c>
      <c r="P813" s="17">
        <f ca="1">IFERROR(__xludf.DUMMYFUNCTION("""COMPUTED_VALUE"""),1.82824355023954)</f>
        <v>1.82824355023954</v>
      </c>
      <c r="Q813" s="17">
        <f ca="1">IFERROR(__xludf.DUMMYFUNCTION("""COMPUTED_VALUE"""),0.296794360208854)</f>
        <v>0.29679436020885402</v>
      </c>
      <c r="R813" s="17">
        <f ca="1">IFERROR(__xludf.DUMMYFUNCTION("""COMPUTED_VALUE"""),0.691624622743932)</f>
        <v>0.69162462274393199</v>
      </c>
      <c r="S813" s="17">
        <f ca="1">IFERROR(__xludf.DUMMYFUNCTION("""COMPUTED_VALUE"""),1.18569705826275)</f>
        <v>1.18569705826275</v>
      </c>
      <c r="T813" s="17">
        <f ca="1">IFERROR(__xludf.DUMMYFUNCTION("""COMPUTED_VALUE"""),0.940301297907229)</f>
        <v>0.94030129790722905</v>
      </c>
      <c r="U813" s="17">
        <f ca="1">IFERROR(__xludf.DUMMYFUNCTION("""COMPUTED_VALUE"""),0.520647696076425)</f>
        <v>0.52064769607642503</v>
      </c>
      <c r="V813" s="17">
        <f ca="1">IFERROR(__xludf.DUMMYFUNCTION("""COMPUTED_VALUE"""),0.227620787765102)</f>
        <v>0.227620787765102</v>
      </c>
      <c r="W813" s="17">
        <f ca="1">IFERROR(__xludf.DUMMYFUNCTION("""COMPUTED_VALUE"""),0.752655558041265)</f>
        <v>0.75265555804126505</v>
      </c>
      <c r="X813" s="17">
        <f ca="1">IFERROR(__xludf.DUMMYFUNCTION("""COMPUTED_VALUE"""),0.350918803388433)</f>
        <v>0.35091880338843301</v>
      </c>
      <c r="Y813" s="17">
        <f ca="1">IFERROR(__xludf.DUMMYFUNCTION("""COMPUTED_VALUE"""),0.226047110795324)</f>
        <v>0.226047110795324</v>
      </c>
      <c r="Z813" s="17">
        <f ca="1">IFERROR(__xludf.DUMMYFUNCTION("""COMPUTED_VALUE"""),0.556300374727226)</f>
        <v>0.55630037472722604</v>
      </c>
      <c r="AA813" s="17">
        <f ca="1">IFERROR(__xludf.DUMMYFUNCTION("""COMPUTED_VALUE"""),0.142689285111136)</f>
        <v>0.14268928511113599</v>
      </c>
      <c r="AB813" s="17">
        <f ca="1">IFERROR(__xludf.DUMMYFUNCTION("""COMPUTED_VALUE"""),1.37253077852714)</f>
        <v>1.3725307785271399</v>
      </c>
      <c r="AC813" s="17">
        <f ca="1">IFERROR(__xludf.DUMMYFUNCTION("""COMPUTED_VALUE"""),1.63385548256929)</f>
        <v>1.6338554825692899</v>
      </c>
      <c r="AD813" s="17">
        <f ca="1">IFERROR(__xludf.DUMMYFUNCTION("""COMPUTED_VALUE"""),0.600669567775431)</f>
        <v>0.60066956777543101</v>
      </c>
      <c r="AE813" s="17">
        <f ca="1">IFERROR(__xludf.DUMMYFUNCTION("""COMPUTED_VALUE"""),1.76785263771969)</f>
        <v>1.7678526377196899</v>
      </c>
      <c r="AF813" s="17">
        <f ca="1">IFERROR(__xludf.DUMMYFUNCTION("""COMPUTED_VALUE"""),1.24283028574729)</f>
        <v>1.2428302857472899</v>
      </c>
      <c r="AG813" s="17">
        <f ca="1">IFERROR(__xludf.DUMMYFUNCTION("""COMPUTED_VALUE"""),1.19192854687399)</f>
        <v>1.19192854687399</v>
      </c>
      <c r="AH813" s="17">
        <f ca="1">IFERROR(__xludf.DUMMYFUNCTION("""COMPUTED_VALUE"""),1.10076825744981)</f>
        <v>1.1007682574498101</v>
      </c>
      <c r="AI813" s="17" t="str">
        <f ca="1">IFERROR(__xludf.DUMMYFUNCTION("""COMPUTED_VALUE"""),"nan")</f>
        <v>nan</v>
      </c>
      <c r="AJ813" s="17">
        <f ca="1">IFERROR(__xludf.DUMMYFUNCTION("""COMPUTED_VALUE"""),0.909063596238113)</f>
        <v>0.90906359623811295</v>
      </c>
    </row>
    <row r="814" spans="2:36" ht="15.75" customHeight="1" x14ac:dyDescent="0.45">
      <c r="B814" s="10" t="str">
        <f ca="1">IFERROR(__xludf.DUMMYFUNCTION("""COMPUTED_VALUE"""),"Strawberry")</f>
        <v>Strawberry</v>
      </c>
      <c r="C814" s="10" t="str">
        <f ca="1">IFERROR(__xludf.DUMMYFUNCTION("""COMPUTED_VALUE"""),"aligned_series")</f>
        <v>aligned_series</v>
      </c>
      <c r="D814" s="10">
        <f ca="1">IFERROR(__xludf.DUMMYFUNCTION("""COMPUTED_VALUE"""),0.4)</f>
        <v>0.4</v>
      </c>
      <c r="E814" s="17">
        <f ca="1">IFERROR(__xludf.DUMMYFUNCTION("""COMPUTED_VALUE"""),1.89631701732793)</f>
        <v>1.89631701732793</v>
      </c>
      <c r="F814" s="17">
        <f ca="1">IFERROR(__xludf.DUMMYFUNCTION("""COMPUTED_VALUE"""),0.244820627476979)</f>
        <v>0.244820627476979</v>
      </c>
      <c r="G814" s="17">
        <f ca="1">IFERROR(__xludf.DUMMYFUNCTION("""COMPUTED_VALUE"""),0.703720375997418)</f>
        <v>0.70372037599741799</v>
      </c>
      <c r="H814" s="17">
        <f ca="1">IFERROR(__xludf.DUMMYFUNCTION("""COMPUTED_VALUE"""),0.258692990594487)</f>
        <v>0.25869299059448703</v>
      </c>
      <c r="I814" s="17">
        <f ca="1">IFERROR(__xludf.DUMMYFUNCTION("""COMPUTED_VALUE"""),1.03555955375876)</f>
        <v>1.0355595537587601</v>
      </c>
      <c r="J814" s="17">
        <f ca="1">IFERROR(__xludf.DUMMYFUNCTION("""COMPUTED_VALUE"""),2.13894382843262)</f>
        <v>2.1389438284326201</v>
      </c>
      <c r="K814" s="17" t="str">
        <f ca="1">IFERROR(__xludf.DUMMYFUNCTION("""COMPUTED_VALUE"""),"nan")</f>
        <v>nan</v>
      </c>
      <c r="L814" s="17">
        <f ca="1">IFERROR(__xludf.DUMMYFUNCTION("""COMPUTED_VALUE"""),0.152292397191003)</f>
        <v>0.15229239719100299</v>
      </c>
      <c r="M814" s="17">
        <f ca="1">IFERROR(__xludf.DUMMYFUNCTION("""COMPUTED_VALUE"""),0.514183172202733)</f>
        <v>0.51418317220273302</v>
      </c>
      <c r="N814" s="17">
        <f ca="1">IFERROR(__xludf.DUMMYFUNCTION("""COMPUTED_VALUE"""),0.243699650887321)</f>
        <v>0.24369965088732101</v>
      </c>
      <c r="O814" s="17">
        <f ca="1">IFERROR(__xludf.DUMMYFUNCTION("""COMPUTED_VALUE"""),1.79016074504004)</f>
        <v>1.7901607450400401</v>
      </c>
      <c r="P814" s="17">
        <f ca="1">IFERROR(__xludf.DUMMYFUNCTION("""COMPUTED_VALUE"""),1.88414036428896)</f>
        <v>1.88414036428896</v>
      </c>
      <c r="Q814" s="17">
        <f ca="1">IFERROR(__xludf.DUMMYFUNCTION("""COMPUTED_VALUE"""),0.321341227830433)</f>
        <v>0.32134122783043301</v>
      </c>
      <c r="R814" s="17">
        <f ca="1">IFERROR(__xludf.DUMMYFUNCTION("""COMPUTED_VALUE"""),0.934544686217127)</f>
        <v>0.93454468621712705</v>
      </c>
      <c r="S814" s="17">
        <f ca="1">IFERROR(__xludf.DUMMYFUNCTION("""COMPUTED_VALUE"""),1.22617444961302)</f>
        <v>1.22617444961302</v>
      </c>
      <c r="T814" s="17">
        <f ca="1">IFERROR(__xludf.DUMMYFUNCTION("""COMPUTED_VALUE"""),0.988048882487111)</f>
        <v>0.98804888248711098</v>
      </c>
      <c r="U814" s="17">
        <f ca="1">IFERROR(__xludf.DUMMYFUNCTION("""COMPUTED_VALUE"""),0.89955101938969)</f>
        <v>0.89955101938968995</v>
      </c>
      <c r="V814" s="17">
        <f ca="1">IFERROR(__xludf.DUMMYFUNCTION("""COMPUTED_VALUE"""),0.490190888026822)</f>
        <v>0.49019088802682198</v>
      </c>
      <c r="W814" s="17">
        <f ca="1">IFERROR(__xludf.DUMMYFUNCTION("""COMPUTED_VALUE"""),0.799569379135323)</f>
        <v>0.799569379135323</v>
      </c>
      <c r="X814" s="17">
        <f ca="1">IFERROR(__xludf.DUMMYFUNCTION("""COMPUTED_VALUE"""),0.429333160758815)</f>
        <v>0.429333160758815</v>
      </c>
      <c r="Y814" s="17">
        <f ca="1">IFERROR(__xludf.DUMMYFUNCTION("""COMPUTED_VALUE"""),0.233312265893819)</f>
        <v>0.23331226589381901</v>
      </c>
      <c r="Z814" s="17">
        <f ca="1">IFERROR(__xludf.DUMMYFUNCTION("""COMPUTED_VALUE"""),0.585630349450181)</f>
        <v>0.585630349450181</v>
      </c>
      <c r="AA814" s="17">
        <f ca="1">IFERROR(__xludf.DUMMYFUNCTION("""COMPUTED_VALUE"""),0.127647513581326)</f>
        <v>0.12764751358132601</v>
      </c>
      <c r="AB814" s="17">
        <f ca="1">IFERROR(__xludf.DUMMYFUNCTION("""COMPUTED_VALUE"""),1.76016221431518)</f>
        <v>1.7601622143151801</v>
      </c>
      <c r="AC814" s="17">
        <f ca="1">IFERROR(__xludf.DUMMYFUNCTION("""COMPUTED_VALUE"""),1.5833159203272)</f>
        <v>1.5833159203272</v>
      </c>
      <c r="AD814" s="17">
        <f ca="1">IFERROR(__xludf.DUMMYFUNCTION("""COMPUTED_VALUE"""),0.454031883934917)</f>
        <v>0.454031883934917</v>
      </c>
      <c r="AE814" s="17">
        <f ca="1">IFERROR(__xludf.DUMMYFUNCTION("""COMPUTED_VALUE"""),1.82963121245597)</f>
        <v>1.8296312124559699</v>
      </c>
      <c r="AF814" s="17">
        <f ca="1">IFERROR(__xludf.DUMMYFUNCTION("""COMPUTED_VALUE"""),1.55606696971125)</f>
        <v>1.5560669697112499</v>
      </c>
      <c r="AG814" s="17">
        <f ca="1">IFERROR(__xludf.DUMMYFUNCTION("""COMPUTED_VALUE"""),1.2129294690023)</f>
        <v>1.2129294690023</v>
      </c>
      <c r="AH814" s="17">
        <f ca="1">IFERROR(__xludf.DUMMYFUNCTION("""COMPUTED_VALUE"""),1.11034886027123)</f>
        <v>1.1103488602712299</v>
      </c>
      <c r="AI814" s="17" t="str">
        <f ca="1">IFERROR(__xludf.DUMMYFUNCTION("""COMPUTED_VALUE"""),"nan")</f>
        <v>nan</v>
      </c>
      <c r="AJ814" s="17">
        <f ca="1">IFERROR(__xludf.DUMMYFUNCTION("""COMPUTED_VALUE"""),1.01987604902582)</f>
        <v>1.0198760490258201</v>
      </c>
    </row>
    <row r="815" spans="2:36" ht="15.75" customHeight="1" x14ac:dyDescent="0.45">
      <c r="B815" s="10" t="str">
        <f ca="1">IFERROR(__xludf.DUMMYFUNCTION("""COMPUTED_VALUE"""),"Strawberry")</f>
        <v>Strawberry</v>
      </c>
      <c r="C815" s="10" t="str">
        <f ca="1">IFERROR(__xludf.DUMMYFUNCTION("""COMPUTED_VALUE"""),"aligned_series")</f>
        <v>aligned_series</v>
      </c>
      <c r="D815" s="10">
        <f ca="1">IFERROR(__xludf.DUMMYFUNCTION("""COMPUTED_VALUE"""),0.6)</f>
        <v>0.6</v>
      </c>
      <c r="E815" s="17">
        <f ca="1">IFERROR(__xludf.DUMMYFUNCTION("""COMPUTED_VALUE"""),1.96621474105923)</f>
        <v>1.9662147410592301</v>
      </c>
      <c r="F815" s="17">
        <f ca="1">IFERROR(__xludf.DUMMYFUNCTION("""COMPUTED_VALUE"""),0.678778831665346)</f>
        <v>0.67877883166534603</v>
      </c>
      <c r="G815" s="17">
        <f ca="1">IFERROR(__xludf.DUMMYFUNCTION("""COMPUTED_VALUE"""),0.764541834415923)</f>
        <v>0.76454183441592305</v>
      </c>
      <c r="H815" s="17">
        <f ca="1">IFERROR(__xludf.DUMMYFUNCTION("""COMPUTED_VALUE"""),0.230249554954442)</f>
        <v>0.23024955495444199</v>
      </c>
      <c r="I815" s="17">
        <f ca="1">IFERROR(__xludf.DUMMYFUNCTION("""COMPUTED_VALUE"""),1.28458489072284)</f>
        <v>1.2845848907228401</v>
      </c>
      <c r="J815" s="17">
        <f ca="1">IFERROR(__xludf.DUMMYFUNCTION("""COMPUTED_VALUE"""),2.13003876056503)</f>
        <v>2.1300387605650299</v>
      </c>
      <c r="K815" s="17" t="str">
        <f ca="1">IFERROR(__xludf.DUMMYFUNCTION("""COMPUTED_VALUE"""),"nan")</f>
        <v>nan</v>
      </c>
      <c r="L815" s="17">
        <f ca="1">IFERROR(__xludf.DUMMYFUNCTION("""COMPUTED_VALUE"""),0.236854936049044)</f>
        <v>0.23685493604904401</v>
      </c>
      <c r="M815" s="17">
        <f ca="1">IFERROR(__xludf.DUMMYFUNCTION("""COMPUTED_VALUE"""),0.848525024478026)</f>
        <v>0.84852502447802602</v>
      </c>
      <c r="N815" s="17">
        <f ca="1">IFERROR(__xludf.DUMMYFUNCTION("""COMPUTED_VALUE"""),0.254251160548311)</f>
        <v>0.25425116054831098</v>
      </c>
      <c r="O815" s="17">
        <f ca="1">IFERROR(__xludf.DUMMYFUNCTION("""COMPUTED_VALUE"""),1.68544318812)</f>
        <v>1.68544318812</v>
      </c>
      <c r="P815" s="17">
        <f ca="1">IFERROR(__xludf.DUMMYFUNCTION("""COMPUTED_VALUE"""),1.9155140989928)</f>
        <v>1.9155140989927999</v>
      </c>
      <c r="Q815" s="17">
        <f ca="1">IFERROR(__xludf.DUMMYFUNCTION("""COMPUTED_VALUE"""),1.23078189992202)</f>
        <v>1.2307818999220199</v>
      </c>
      <c r="R815" s="17">
        <f ca="1">IFERROR(__xludf.DUMMYFUNCTION("""COMPUTED_VALUE"""),1.3526382492144)</f>
        <v>1.3526382492144</v>
      </c>
      <c r="S815" s="17">
        <f ca="1">IFERROR(__xludf.DUMMYFUNCTION("""COMPUTED_VALUE"""),1.26657872900432)</f>
        <v>1.26657872900432</v>
      </c>
      <c r="T815" s="17">
        <f ca="1">IFERROR(__xludf.DUMMYFUNCTION("""COMPUTED_VALUE"""),1.28174993656983)</f>
        <v>1.2817499365698299</v>
      </c>
      <c r="U815" s="17">
        <f ca="1">IFERROR(__xludf.DUMMYFUNCTION("""COMPUTED_VALUE"""),0.992008784675729)</f>
        <v>0.99200878467572895</v>
      </c>
      <c r="V815" s="17">
        <f ca="1">IFERROR(__xludf.DUMMYFUNCTION("""COMPUTED_VALUE"""),0.805405516187859)</f>
        <v>0.80540551618785905</v>
      </c>
      <c r="W815" s="17">
        <f ca="1">IFERROR(__xludf.DUMMYFUNCTION("""COMPUTED_VALUE"""),0.756981477691528)</f>
        <v>0.75698147769152802</v>
      </c>
      <c r="X815" s="17">
        <f ca="1">IFERROR(__xludf.DUMMYFUNCTION("""COMPUTED_VALUE"""),0.504426570590048)</f>
        <v>0.50442657059004803</v>
      </c>
      <c r="Y815" s="17">
        <f ca="1">IFERROR(__xludf.DUMMYFUNCTION("""COMPUTED_VALUE"""),0.288163249660407)</f>
        <v>0.28816324966040702</v>
      </c>
      <c r="Z815" s="17">
        <f ca="1">IFERROR(__xludf.DUMMYFUNCTION("""COMPUTED_VALUE"""),0.762654694137583)</f>
        <v>0.76265469413758302</v>
      </c>
      <c r="AA815" s="17">
        <f ca="1">IFERROR(__xludf.DUMMYFUNCTION("""COMPUTED_VALUE"""),0.186538329140569)</f>
        <v>0.186538329140569</v>
      </c>
      <c r="AB815" s="17">
        <f ca="1">IFERROR(__xludf.DUMMYFUNCTION("""COMPUTED_VALUE"""),2.36739935563141)</f>
        <v>2.3673993556314099</v>
      </c>
      <c r="AC815" s="17">
        <f ca="1">IFERROR(__xludf.DUMMYFUNCTION("""COMPUTED_VALUE"""),1.51564262440962)</f>
        <v>1.5156426244096199</v>
      </c>
      <c r="AD815" s="17">
        <f ca="1">IFERROR(__xludf.DUMMYFUNCTION("""COMPUTED_VALUE"""),0.584253081621981)</f>
        <v>0.58425308162198097</v>
      </c>
      <c r="AE815" s="17">
        <f ca="1">IFERROR(__xludf.DUMMYFUNCTION("""COMPUTED_VALUE"""),1.84404890795739)</f>
        <v>1.8440489079573901</v>
      </c>
      <c r="AF815" s="17">
        <f ca="1">IFERROR(__xludf.DUMMYFUNCTION("""COMPUTED_VALUE"""),1.74355420123205)</f>
        <v>1.74355420123205</v>
      </c>
      <c r="AG815" s="17">
        <f ca="1">IFERROR(__xludf.DUMMYFUNCTION("""COMPUTED_VALUE"""),1.21650123447917)</f>
        <v>1.2165012344791699</v>
      </c>
      <c r="AH815" s="17">
        <f ca="1">IFERROR(__xludf.DUMMYFUNCTION("""COMPUTED_VALUE"""),1.11067730824162)</f>
        <v>1.1106773082416199</v>
      </c>
      <c r="AI815" s="17" t="str">
        <f ca="1">IFERROR(__xludf.DUMMYFUNCTION("""COMPUTED_VALUE"""),"nan")</f>
        <v>nan</v>
      </c>
      <c r="AJ815" s="17">
        <f ca="1">IFERROR(__xludf.DUMMYFUNCTION("""COMPUTED_VALUE"""),1.03179335081922)</f>
        <v>1.0317933508192201</v>
      </c>
    </row>
    <row r="816" spans="2:36" ht="15.75" customHeight="1" x14ac:dyDescent="0.45">
      <c r="B816" s="10" t="str">
        <f ca="1">IFERROR(__xludf.DUMMYFUNCTION("""COMPUTED_VALUE"""),"Strawberry")</f>
        <v>Strawberry</v>
      </c>
      <c r="C816" s="10" t="str">
        <f ca="1">IFERROR(__xludf.DUMMYFUNCTION("""COMPUTED_VALUE"""),"aligned_series")</f>
        <v>aligned_series</v>
      </c>
      <c r="D816" s="10">
        <f ca="1">IFERROR(__xludf.DUMMYFUNCTION("""COMPUTED_VALUE"""),0.8)</f>
        <v>0.8</v>
      </c>
      <c r="E816" s="17">
        <f ca="1">IFERROR(__xludf.DUMMYFUNCTION("""COMPUTED_VALUE"""),2.0234371690768)</f>
        <v>2.0234371690768</v>
      </c>
      <c r="F816" s="17">
        <f ca="1">IFERROR(__xludf.DUMMYFUNCTION("""COMPUTED_VALUE"""),0.911390162327395)</f>
        <v>0.911390162327395</v>
      </c>
      <c r="G816" s="17">
        <f ca="1">IFERROR(__xludf.DUMMYFUNCTION("""COMPUTED_VALUE"""),1.01674154214032)</f>
        <v>1.0167415421403201</v>
      </c>
      <c r="H816" s="17">
        <f ca="1">IFERROR(__xludf.DUMMYFUNCTION("""COMPUTED_VALUE"""),0.271715438323395)</f>
        <v>0.27171543832339501</v>
      </c>
      <c r="I816" s="17">
        <f ca="1">IFERROR(__xludf.DUMMYFUNCTION("""COMPUTED_VALUE"""),1.46884381865794)</f>
        <v>1.46884381865794</v>
      </c>
      <c r="J816" s="17">
        <f ca="1">IFERROR(__xludf.DUMMYFUNCTION("""COMPUTED_VALUE"""),2.13079831313145)</f>
        <v>2.1307983131314501</v>
      </c>
      <c r="K816" s="17" t="str">
        <f ca="1">IFERROR(__xludf.DUMMYFUNCTION("""COMPUTED_VALUE"""),"nan")</f>
        <v>nan</v>
      </c>
      <c r="L816" s="17">
        <f ca="1">IFERROR(__xludf.DUMMYFUNCTION("""COMPUTED_VALUE"""),0.603906514555438)</f>
        <v>0.60390651455543798</v>
      </c>
      <c r="M816" s="17">
        <f ca="1">IFERROR(__xludf.DUMMYFUNCTION("""COMPUTED_VALUE"""),0.98159644804165)</f>
        <v>0.98159644804165003</v>
      </c>
      <c r="N816" s="17">
        <f ca="1">IFERROR(__xludf.DUMMYFUNCTION("""COMPUTED_VALUE"""),0.253268119496437)</f>
        <v>0.25326811949643702</v>
      </c>
      <c r="O816" s="17">
        <f ca="1">IFERROR(__xludf.DUMMYFUNCTION("""COMPUTED_VALUE"""),1.68360269328862)</f>
        <v>1.6836026932886199</v>
      </c>
      <c r="P816" s="17">
        <f ca="1">IFERROR(__xludf.DUMMYFUNCTION("""COMPUTED_VALUE"""),1.92293598250685)</f>
        <v>1.9229359825068499</v>
      </c>
      <c r="Q816" s="17">
        <f ca="1">IFERROR(__xludf.DUMMYFUNCTION("""COMPUTED_VALUE"""),1.8094650802729)</f>
        <v>1.8094650802729</v>
      </c>
      <c r="R816" s="17">
        <f ca="1">IFERROR(__xludf.DUMMYFUNCTION("""COMPUTED_VALUE"""),1.7878417676224)</f>
        <v>1.7878417676224001</v>
      </c>
      <c r="S816" s="17">
        <f ca="1">IFERROR(__xludf.DUMMYFUNCTION("""COMPUTED_VALUE"""),1.44781981002372)</f>
        <v>1.4478198100237201</v>
      </c>
      <c r="T816" s="17">
        <f ca="1">IFERROR(__xludf.DUMMYFUNCTION("""COMPUTED_VALUE"""),1.28695995233626)</f>
        <v>1.28695995233626</v>
      </c>
      <c r="U816" s="17">
        <f ca="1">IFERROR(__xludf.DUMMYFUNCTION("""COMPUTED_VALUE"""),1.16286941417204)</f>
        <v>1.1628694141720399</v>
      </c>
      <c r="V816" s="17">
        <f ca="1">IFERROR(__xludf.DUMMYFUNCTION("""COMPUTED_VALUE"""),1.0984311206653)</f>
        <v>1.0984311206652999</v>
      </c>
      <c r="W816" s="17">
        <f ca="1">IFERROR(__xludf.DUMMYFUNCTION("""COMPUTED_VALUE"""),0.860377510334386)</f>
        <v>0.86037751033438603</v>
      </c>
      <c r="X816" s="17">
        <f ca="1">IFERROR(__xludf.DUMMYFUNCTION("""COMPUTED_VALUE"""),0.545399834903522)</f>
        <v>0.54539983490352195</v>
      </c>
      <c r="Y816" s="17">
        <f ca="1">IFERROR(__xludf.DUMMYFUNCTION("""COMPUTED_VALUE"""),0.367516820705323)</f>
        <v>0.36751682070532299</v>
      </c>
      <c r="Z816" s="17">
        <f ca="1">IFERROR(__xludf.DUMMYFUNCTION("""COMPUTED_VALUE"""),0.782701048560697)</f>
        <v>0.782701048560697</v>
      </c>
      <c r="AA816" s="17">
        <f ca="1">IFERROR(__xludf.DUMMYFUNCTION("""COMPUTED_VALUE"""),0.281458289711957)</f>
        <v>0.28145828971195702</v>
      </c>
      <c r="AB816" s="17">
        <f ca="1">IFERROR(__xludf.DUMMYFUNCTION("""COMPUTED_VALUE"""),2.76586811304182)</f>
        <v>2.7658681130418201</v>
      </c>
      <c r="AC816" s="17">
        <f ca="1">IFERROR(__xludf.DUMMYFUNCTION("""COMPUTED_VALUE"""),1.45291611816448)</f>
        <v>1.4529161181644801</v>
      </c>
      <c r="AD816" s="17">
        <f ca="1">IFERROR(__xludf.DUMMYFUNCTION("""COMPUTED_VALUE"""),0.678174740166784)</f>
        <v>0.67817474016678403</v>
      </c>
      <c r="AE816" s="17">
        <f ca="1">IFERROR(__xludf.DUMMYFUNCTION("""COMPUTED_VALUE"""),1.83530320087127)</f>
        <v>1.83530320087127</v>
      </c>
      <c r="AF816" s="17">
        <f ca="1">IFERROR(__xludf.DUMMYFUNCTION("""COMPUTED_VALUE"""),1.84660778707036)</f>
        <v>1.8466077870703601</v>
      </c>
      <c r="AG816" s="17">
        <f ca="1">IFERROR(__xludf.DUMMYFUNCTION("""COMPUTED_VALUE"""),1.21479729613904)</f>
        <v>1.2147972961390401</v>
      </c>
      <c r="AH816" s="17">
        <f ca="1">IFERROR(__xludf.DUMMYFUNCTION("""COMPUTED_VALUE"""),1.10866862835194)</f>
        <v>1.10866862835194</v>
      </c>
      <c r="AI816" s="17" t="str">
        <f ca="1">IFERROR(__xludf.DUMMYFUNCTION("""COMPUTED_VALUE"""),"nan")</f>
        <v>nan</v>
      </c>
      <c r="AJ816" s="17">
        <f ca="1">IFERROR(__xludf.DUMMYFUNCTION("""COMPUTED_VALUE"""),1.05345754233948)</f>
        <v>1.0534575423394801</v>
      </c>
    </row>
    <row r="817" spans="2:36" ht="15.75" customHeight="1" x14ac:dyDescent="0.45">
      <c r="B817" s="10" t="str">
        <f ca="1">IFERROR(__xludf.DUMMYFUNCTION("""COMPUTED_VALUE"""),"Strawberry")</f>
        <v>Strawberry</v>
      </c>
      <c r="C817" s="10" t="str">
        <f ca="1">IFERROR(__xludf.DUMMYFUNCTION("""COMPUTED_VALUE"""),"aligned_timestamps")</f>
        <v>aligned_timestamps</v>
      </c>
      <c r="D817" s="10">
        <f ca="1">IFERROR(__xludf.DUMMYFUNCTION("""COMPUTED_VALUE"""),0.1)</f>
        <v>0.1</v>
      </c>
      <c r="E817" s="17">
        <f ca="1">IFERROR(__xludf.DUMMYFUNCTION("""COMPUTED_VALUE"""),1.01534678484159)</f>
        <v>1.01534678484159</v>
      </c>
      <c r="F817" s="17">
        <f ca="1">IFERROR(__xludf.DUMMYFUNCTION("""COMPUTED_VALUE"""),0.148849755447278)</f>
        <v>0.14884975544727799</v>
      </c>
      <c r="G817" s="17">
        <f ca="1">IFERROR(__xludf.DUMMYFUNCTION("""COMPUTED_VALUE"""),0.162669338087199)</f>
        <v>0.16266933808719899</v>
      </c>
      <c r="H817" s="17">
        <f ca="1">IFERROR(__xludf.DUMMYFUNCTION("""COMPUTED_VALUE"""),0.288638842986618)</f>
        <v>0.28863884298661802</v>
      </c>
      <c r="I817" s="17">
        <f ca="1">IFERROR(__xludf.DUMMYFUNCTION("""COMPUTED_VALUE"""),0.0385292401943775)</f>
        <v>3.85292401943775E-2</v>
      </c>
      <c r="J817" s="17">
        <f ca="1">IFERROR(__xludf.DUMMYFUNCTION("""COMPUTED_VALUE"""),1.26792487402357)</f>
        <v>1.26792487402357</v>
      </c>
      <c r="K817" s="17" t="str">
        <f ca="1">IFERROR(__xludf.DUMMYFUNCTION("""COMPUTED_VALUE"""),"nan")</f>
        <v>nan</v>
      </c>
      <c r="L817" s="17">
        <f ca="1">IFERROR(__xludf.DUMMYFUNCTION("""COMPUTED_VALUE"""),0.0864639429441957)</f>
        <v>8.6463942944195696E-2</v>
      </c>
      <c r="M817" s="17">
        <f ca="1">IFERROR(__xludf.DUMMYFUNCTION("""COMPUTED_VALUE"""),0.148639109752584)</f>
        <v>0.14863910975258399</v>
      </c>
      <c r="N817" s="17">
        <f ca="1">IFERROR(__xludf.DUMMYFUNCTION("""COMPUTED_VALUE"""),0.281037804415174)</f>
        <v>0.28103780441517401</v>
      </c>
      <c r="O817" s="17">
        <f ca="1">IFERROR(__xludf.DUMMYFUNCTION("""COMPUTED_VALUE"""),0.0899464463656613)</f>
        <v>8.9946446365661306E-2</v>
      </c>
      <c r="P817" s="17">
        <f ca="1">IFERROR(__xludf.DUMMYFUNCTION("""COMPUTED_VALUE"""),0.85159636929739)</f>
        <v>0.85159636929739002</v>
      </c>
      <c r="Q817" s="17">
        <f ca="1">IFERROR(__xludf.DUMMYFUNCTION("""COMPUTED_VALUE"""),0.330645927309723)</f>
        <v>0.33064592730972298</v>
      </c>
      <c r="R817" s="17">
        <f ca="1">IFERROR(__xludf.DUMMYFUNCTION("""COMPUTED_VALUE"""),0.400606760270303)</f>
        <v>0.40060676027030301</v>
      </c>
      <c r="S817" s="17">
        <f ca="1">IFERROR(__xludf.DUMMYFUNCTION("""COMPUTED_VALUE"""),0.277897569815145)</f>
        <v>0.27789756981514502</v>
      </c>
      <c r="T817" s="17">
        <f ca="1">IFERROR(__xludf.DUMMYFUNCTION("""COMPUTED_VALUE"""),0.170527941652892)</f>
        <v>0.17052794165289201</v>
      </c>
      <c r="U817" s="17">
        <f ca="1">IFERROR(__xludf.DUMMYFUNCTION("""COMPUTED_VALUE"""),0.0979405527100454)</f>
        <v>9.7940552710045398E-2</v>
      </c>
      <c r="V817" s="17">
        <f ca="1">IFERROR(__xludf.DUMMYFUNCTION("""COMPUTED_VALUE"""),0.100697270114436)</f>
        <v>0.10069727011443599</v>
      </c>
      <c r="W817" s="17">
        <f ca="1">IFERROR(__xludf.DUMMYFUNCTION("""COMPUTED_VALUE"""),0.482687810024492)</f>
        <v>0.48268781002449201</v>
      </c>
      <c r="X817" s="17">
        <f ca="1">IFERROR(__xludf.DUMMYFUNCTION("""COMPUTED_VALUE"""),0.2290025020277)</f>
        <v>0.22900250202770001</v>
      </c>
      <c r="Y817" s="17">
        <f ca="1">IFERROR(__xludf.DUMMYFUNCTION("""COMPUTED_VALUE"""),0.255846063115784)</f>
        <v>0.25584606311578401</v>
      </c>
      <c r="Z817" s="17">
        <f ca="1">IFERROR(__xludf.DUMMYFUNCTION("""COMPUTED_VALUE"""),0.197141746739539)</f>
        <v>0.19714174673953899</v>
      </c>
      <c r="AA817" s="17">
        <f ca="1">IFERROR(__xludf.DUMMYFUNCTION("""COMPUTED_VALUE"""),0.0268977145410626)</f>
        <v>2.6897714541062601E-2</v>
      </c>
      <c r="AB817" s="17">
        <f ca="1">IFERROR(__xludf.DUMMYFUNCTION("""COMPUTED_VALUE"""),0.283111157442215)</f>
        <v>0.28311115744221499</v>
      </c>
      <c r="AC817" s="17">
        <f ca="1">IFERROR(__xludf.DUMMYFUNCTION("""COMPUTED_VALUE"""),0.522377861046238)</f>
        <v>0.52237786104623796</v>
      </c>
      <c r="AD817" s="17">
        <f ca="1">IFERROR(__xludf.DUMMYFUNCTION("""COMPUTED_VALUE"""),0.202866023238161)</f>
        <v>0.202866023238161</v>
      </c>
      <c r="AE817" s="17">
        <f ca="1">IFERROR(__xludf.DUMMYFUNCTION("""COMPUTED_VALUE"""),0.519595069846702)</f>
        <v>0.51959506984670201</v>
      </c>
      <c r="AF817" s="17">
        <f ca="1">IFERROR(__xludf.DUMMYFUNCTION("""COMPUTED_VALUE"""),0.132507177485355)</f>
        <v>0.13250717748535501</v>
      </c>
      <c r="AG817" s="17">
        <f ca="1">IFERROR(__xludf.DUMMYFUNCTION("""COMPUTED_VALUE"""),0.993885537427854)</f>
        <v>0.99388553742785402</v>
      </c>
      <c r="AH817" s="17">
        <f ca="1">IFERROR(__xludf.DUMMYFUNCTION("""COMPUTED_VALUE"""),1.13187899898002)</f>
        <v>1.13187899898002</v>
      </c>
      <c r="AI817" s="17" t="str">
        <f ca="1">IFERROR(__xludf.DUMMYFUNCTION("""COMPUTED_VALUE"""),"nan")</f>
        <v>nan</v>
      </c>
      <c r="AJ817" s="17">
        <f ca="1">IFERROR(__xludf.DUMMYFUNCTION("""COMPUTED_VALUE"""),0.85594301714014)</f>
        <v>0.85594301714013998</v>
      </c>
    </row>
    <row r="818" spans="2:36" ht="15.75" customHeight="1" x14ac:dyDescent="0.45">
      <c r="B818" s="10" t="str">
        <f ca="1">IFERROR(__xludf.DUMMYFUNCTION("""COMPUTED_VALUE"""),"Strawberry")</f>
        <v>Strawberry</v>
      </c>
      <c r="C818" s="10" t="str">
        <f ca="1">IFERROR(__xludf.DUMMYFUNCTION("""COMPUTED_VALUE"""),"aligned_timestamps")</f>
        <v>aligned_timestamps</v>
      </c>
      <c r="D818" s="10">
        <f ca="1">IFERROR(__xludf.DUMMYFUNCTION("""COMPUTED_VALUE"""),0.2)</f>
        <v>0.2</v>
      </c>
      <c r="E818" s="17">
        <f ca="1">IFERROR(__xludf.DUMMYFUNCTION("""COMPUTED_VALUE"""),1.8053436768406)</f>
        <v>1.8053436768405999</v>
      </c>
      <c r="F818" s="17">
        <f ca="1">IFERROR(__xludf.DUMMYFUNCTION("""COMPUTED_VALUE"""),0.17432367415566)</f>
        <v>0.17432367415566</v>
      </c>
      <c r="G818" s="17">
        <f ca="1">IFERROR(__xludf.DUMMYFUNCTION("""COMPUTED_VALUE"""),0.803789882980532)</f>
        <v>0.803789882980532</v>
      </c>
      <c r="H818" s="17">
        <f ca="1">IFERROR(__xludf.DUMMYFUNCTION("""COMPUTED_VALUE"""),0.310749546174121)</f>
        <v>0.31074954617412098</v>
      </c>
      <c r="I818" s="17">
        <f ca="1">IFERROR(__xludf.DUMMYFUNCTION("""COMPUTED_VALUE"""),0.538570244792758)</f>
        <v>0.53857024479275795</v>
      </c>
      <c r="J818" s="17">
        <f ca="1">IFERROR(__xludf.DUMMYFUNCTION("""COMPUTED_VALUE"""),2.11996919383232)</f>
        <v>2.1199691938323202</v>
      </c>
      <c r="K818" s="17" t="str">
        <f ca="1">IFERROR(__xludf.DUMMYFUNCTION("""COMPUTED_VALUE"""),"nan")</f>
        <v>nan</v>
      </c>
      <c r="L818" s="17">
        <f ca="1">IFERROR(__xludf.DUMMYFUNCTION("""COMPUTED_VALUE"""),0.13049074927878)</f>
        <v>0.13049074927877999</v>
      </c>
      <c r="M818" s="17">
        <f ca="1">IFERROR(__xludf.DUMMYFUNCTION("""COMPUTED_VALUE"""),0.135634694098898)</f>
        <v>0.135634694098898</v>
      </c>
      <c r="N818" s="17">
        <f ca="1">IFERROR(__xludf.DUMMYFUNCTION("""COMPUTED_VALUE"""),0.252558118934379)</f>
        <v>0.25255811893437902</v>
      </c>
      <c r="O818" s="17">
        <f ca="1">IFERROR(__xludf.DUMMYFUNCTION("""COMPUTED_VALUE"""),1.07921416082865)</f>
        <v>1.0792141608286501</v>
      </c>
      <c r="P818" s="17">
        <f ca="1">IFERROR(__xludf.DUMMYFUNCTION("""COMPUTED_VALUE"""),1.82824355023954)</f>
        <v>1.82824355023954</v>
      </c>
      <c r="Q818" s="17">
        <f ca="1">IFERROR(__xludf.DUMMYFUNCTION("""COMPUTED_VALUE"""),0.296794360208854)</f>
        <v>0.29679436020885402</v>
      </c>
      <c r="R818" s="17">
        <f ca="1">IFERROR(__xludf.DUMMYFUNCTION("""COMPUTED_VALUE"""),0.691624622743932)</f>
        <v>0.69162462274393199</v>
      </c>
      <c r="S818" s="17">
        <f ca="1">IFERROR(__xludf.DUMMYFUNCTION("""COMPUTED_VALUE"""),1.18569705826275)</f>
        <v>1.18569705826275</v>
      </c>
      <c r="T818" s="17">
        <f ca="1">IFERROR(__xludf.DUMMYFUNCTION("""COMPUTED_VALUE"""),0.940301297907229)</f>
        <v>0.94030129790722905</v>
      </c>
      <c r="U818" s="17">
        <f ca="1">IFERROR(__xludf.DUMMYFUNCTION("""COMPUTED_VALUE"""),0.520647696076425)</f>
        <v>0.52064769607642503</v>
      </c>
      <c r="V818" s="17">
        <f ca="1">IFERROR(__xludf.DUMMYFUNCTION("""COMPUTED_VALUE"""),0.227620787765102)</f>
        <v>0.227620787765102</v>
      </c>
      <c r="W818" s="17">
        <f ca="1">IFERROR(__xludf.DUMMYFUNCTION("""COMPUTED_VALUE"""),0.657364249315202)</f>
        <v>0.65736424931520199</v>
      </c>
      <c r="X818" s="17">
        <f ca="1">IFERROR(__xludf.DUMMYFUNCTION("""COMPUTED_VALUE"""),0.519624213492028)</f>
        <v>0.51962421349202803</v>
      </c>
      <c r="Y818" s="17">
        <f ca="1">IFERROR(__xludf.DUMMYFUNCTION("""COMPUTED_VALUE"""),0.226047110795324)</f>
        <v>0.226047110795324</v>
      </c>
      <c r="Z818" s="17">
        <f ca="1">IFERROR(__xludf.DUMMYFUNCTION("""COMPUTED_VALUE"""),0.556300374727226)</f>
        <v>0.55630037472722604</v>
      </c>
      <c r="AA818" s="17">
        <f ca="1">IFERROR(__xludf.DUMMYFUNCTION("""COMPUTED_VALUE"""),0.142689285111136)</f>
        <v>0.14268928511113599</v>
      </c>
      <c r="AB818" s="17">
        <f ca="1">IFERROR(__xludf.DUMMYFUNCTION("""COMPUTED_VALUE"""),1.44992259717173)</f>
        <v>1.44992259717173</v>
      </c>
      <c r="AC818" s="17">
        <f ca="1">IFERROR(__xludf.DUMMYFUNCTION("""COMPUTED_VALUE"""),1.63385548256929)</f>
        <v>1.6338554825692899</v>
      </c>
      <c r="AD818" s="17">
        <f ca="1">IFERROR(__xludf.DUMMYFUNCTION("""COMPUTED_VALUE"""),0.41614941879983)</f>
        <v>0.41614941879982997</v>
      </c>
      <c r="AE818" s="17">
        <f ca="1">IFERROR(__xludf.DUMMYFUNCTION("""COMPUTED_VALUE"""),1.7729247233539)</f>
        <v>1.7729247233539001</v>
      </c>
      <c r="AF818" s="17">
        <f ca="1">IFERROR(__xludf.DUMMYFUNCTION("""COMPUTED_VALUE"""),1.24283028574729)</f>
        <v>1.2428302857472899</v>
      </c>
      <c r="AG818" s="17">
        <f ca="1">IFERROR(__xludf.DUMMYFUNCTION("""COMPUTED_VALUE"""),1.18664276750419)</f>
        <v>1.18664276750419</v>
      </c>
      <c r="AH818" s="17">
        <f ca="1">IFERROR(__xludf.DUMMYFUNCTION("""COMPUTED_VALUE"""),1.09956085186335)</f>
        <v>1.09956085186335</v>
      </c>
      <c r="AI818" s="17" t="str">
        <f ca="1">IFERROR(__xludf.DUMMYFUNCTION("""COMPUTED_VALUE"""),"nan")</f>
        <v>nan</v>
      </c>
      <c r="AJ818" s="17">
        <f ca="1">IFERROR(__xludf.DUMMYFUNCTION("""COMPUTED_VALUE"""),0.870818165014823)</f>
        <v>0.87081816501482301</v>
      </c>
    </row>
    <row r="819" spans="2:36" ht="15.75" customHeight="1" x14ac:dyDescent="0.45">
      <c r="B819" s="10" t="str">
        <f ca="1">IFERROR(__xludf.DUMMYFUNCTION("""COMPUTED_VALUE"""),"Strawberry")</f>
        <v>Strawberry</v>
      </c>
      <c r="C819" s="10" t="str">
        <f ca="1">IFERROR(__xludf.DUMMYFUNCTION("""COMPUTED_VALUE"""),"aligned_timestamps")</f>
        <v>aligned_timestamps</v>
      </c>
      <c r="D819" s="10">
        <f ca="1">IFERROR(__xludf.DUMMYFUNCTION("""COMPUTED_VALUE"""),0.4)</f>
        <v>0.4</v>
      </c>
      <c r="E819" s="17">
        <f ca="1">IFERROR(__xludf.DUMMYFUNCTION("""COMPUTED_VALUE"""),1.32444556613564)</f>
        <v>1.32444556613564</v>
      </c>
      <c r="F819" s="17">
        <f ca="1">IFERROR(__xludf.DUMMYFUNCTION("""COMPUTED_VALUE"""),0.141396191325974)</f>
        <v>0.141396191325974</v>
      </c>
      <c r="G819" s="17">
        <f ca="1">IFERROR(__xludf.DUMMYFUNCTION("""COMPUTED_VALUE"""),0.589860240661376)</f>
        <v>0.58986024066137599</v>
      </c>
      <c r="H819" s="17">
        <f ca="1">IFERROR(__xludf.DUMMYFUNCTION("""COMPUTED_VALUE"""),0.277510304508128)</f>
        <v>0.27751030450812803</v>
      </c>
      <c r="I819" s="17">
        <f ca="1">IFERROR(__xludf.DUMMYFUNCTION("""COMPUTED_VALUE"""),0.425833683644797)</f>
        <v>0.42583368364479701</v>
      </c>
      <c r="J819" s="17">
        <f ca="1">IFERROR(__xludf.DUMMYFUNCTION("""COMPUTED_VALUE"""),1.60296618392753)</f>
        <v>1.60296618392753</v>
      </c>
      <c r="K819" s="17" t="str">
        <f ca="1">IFERROR(__xludf.DUMMYFUNCTION("""COMPUTED_VALUE"""),"nan")</f>
        <v>nan</v>
      </c>
      <c r="L819" s="17">
        <f ca="1">IFERROR(__xludf.DUMMYFUNCTION("""COMPUTED_VALUE"""),0.134184965838366)</f>
        <v>0.134184965838366</v>
      </c>
      <c r="M819" s="17">
        <f ca="1">IFERROR(__xludf.DUMMYFUNCTION("""COMPUTED_VALUE"""),0.900179425239955)</f>
        <v>0.90017942523995498</v>
      </c>
      <c r="N819" s="17">
        <f ca="1">IFERROR(__xludf.DUMMYFUNCTION("""COMPUTED_VALUE"""),0.259330714774091)</f>
        <v>0.25933071477409098</v>
      </c>
      <c r="O819" s="17">
        <f ca="1">IFERROR(__xludf.DUMMYFUNCTION("""COMPUTED_VALUE"""),0.934849462129373)</f>
        <v>0.93484946212937303</v>
      </c>
      <c r="P819" s="17">
        <f ca="1">IFERROR(__xludf.DUMMYFUNCTION("""COMPUTED_VALUE"""),1.53645122479536)</f>
        <v>1.5364512247953599</v>
      </c>
      <c r="Q819" s="17">
        <f ca="1">IFERROR(__xludf.DUMMYFUNCTION("""COMPUTED_VALUE"""),0.280703289433882)</f>
        <v>0.28070328943388201</v>
      </c>
      <c r="R819" s="17">
        <f ca="1">IFERROR(__xludf.DUMMYFUNCTION("""COMPUTED_VALUE"""),0.516813613414812)</f>
        <v>0.51681361341481202</v>
      </c>
      <c r="S819" s="17">
        <f ca="1">IFERROR(__xludf.DUMMYFUNCTION("""COMPUTED_VALUE"""),1.07918200582906)</f>
        <v>1.07918200582906</v>
      </c>
      <c r="T819" s="17">
        <f ca="1">IFERROR(__xludf.DUMMYFUNCTION("""COMPUTED_VALUE"""),1.01175741312323)</f>
        <v>1.0117574131232301</v>
      </c>
      <c r="U819" s="17">
        <f ca="1">IFERROR(__xludf.DUMMYFUNCTION("""COMPUTED_VALUE"""),0.5413640102075)</f>
        <v>0.54136401020750002</v>
      </c>
      <c r="V819" s="17">
        <f ca="1">IFERROR(__xludf.DUMMYFUNCTION("""COMPUTED_VALUE"""),0.460830287504977)</f>
        <v>0.46083028750497701</v>
      </c>
      <c r="W819" s="17">
        <f ca="1">IFERROR(__xludf.DUMMYFUNCTION("""COMPUTED_VALUE"""),0.675505839880514)</f>
        <v>0.67550583988051405</v>
      </c>
      <c r="X819" s="17">
        <f ca="1">IFERROR(__xludf.DUMMYFUNCTION("""COMPUTED_VALUE"""),0.247824583787702)</f>
        <v>0.247824583787702</v>
      </c>
      <c r="Y819" s="17">
        <f ca="1">IFERROR(__xludf.DUMMYFUNCTION("""COMPUTED_VALUE"""),0.220473534723687)</f>
        <v>0.220473534723687</v>
      </c>
      <c r="Z819" s="17">
        <f ca="1">IFERROR(__xludf.DUMMYFUNCTION("""COMPUTED_VALUE"""),1.10088638698504)</f>
        <v>1.10088638698504</v>
      </c>
      <c r="AA819" s="17">
        <f ca="1">IFERROR(__xludf.DUMMYFUNCTION("""COMPUTED_VALUE"""),0.703196730308203)</f>
        <v>0.70319673030820296</v>
      </c>
      <c r="AB819" s="17">
        <f ca="1">IFERROR(__xludf.DUMMYFUNCTION("""COMPUTED_VALUE"""),1.32832586674579)</f>
        <v>1.32832586674579</v>
      </c>
      <c r="AC819" s="17">
        <f ca="1">IFERROR(__xludf.DUMMYFUNCTION("""COMPUTED_VALUE"""),1.3231705867012)</f>
        <v>1.3231705867012</v>
      </c>
      <c r="AD819" s="17">
        <f ca="1">IFERROR(__xludf.DUMMYFUNCTION("""COMPUTED_VALUE"""),0.589583365599265)</f>
        <v>0.58958336559926505</v>
      </c>
      <c r="AE819" s="17">
        <f ca="1">IFERROR(__xludf.DUMMYFUNCTION("""COMPUTED_VALUE"""),1.00688484340375)</f>
        <v>1.0068848434037501</v>
      </c>
      <c r="AF819" s="17">
        <f ca="1">IFERROR(__xludf.DUMMYFUNCTION("""COMPUTED_VALUE"""),1.18196417968787)</f>
        <v>1.1819641796878699</v>
      </c>
      <c r="AG819" s="17">
        <f ca="1">IFERROR(__xludf.DUMMYFUNCTION("""COMPUTED_VALUE"""),0.919694610049713)</f>
        <v>0.91969461004971298</v>
      </c>
      <c r="AH819" s="17">
        <f ca="1">IFERROR(__xludf.DUMMYFUNCTION("""COMPUTED_VALUE"""),0.942437769080022)</f>
        <v>0.94243776908002197</v>
      </c>
      <c r="AI819" s="17" t="str">
        <f ca="1">IFERROR(__xludf.DUMMYFUNCTION("""COMPUTED_VALUE"""),"nan")</f>
        <v>nan</v>
      </c>
      <c r="AJ819" s="17">
        <f ca="1">IFERROR(__xludf.DUMMYFUNCTION("""COMPUTED_VALUE"""),1.06168564021761)</f>
        <v>1.06168564021761</v>
      </c>
    </row>
    <row r="820" spans="2:36" ht="15.75" customHeight="1" x14ac:dyDescent="0.45">
      <c r="B820" s="10" t="str">
        <f ca="1">IFERROR(__xludf.DUMMYFUNCTION("""COMPUTED_VALUE"""),"Strawberry")</f>
        <v>Strawberry</v>
      </c>
      <c r="C820" s="10" t="str">
        <f ca="1">IFERROR(__xludf.DUMMYFUNCTION("""COMPUTED_VALUE"""),"aligned_timestamps")</f>
        <v>aligned_timestamps</v>
      </c>
      <c r="D820" s="10">
        <f ca="1">IFERROR(__xludf.DUMMYFUNCTION("""COMPUTED_VALUE"""),0.6)</f>
        <v>0.6</v>
      </c>
      <c r="E820" s="17">
        <f ca="1">IFERROR(__xludf.DUMMYFUNCTION("""COMPUTED_VALUE"""),1.10572520169996)</f>
        <v>1.1057252016999599</v>
      </c>
      <c r="F820" s="17">
        <f ca="1">IFERROR(__xludf.DUMMYFUNCTION("""COMPUTED_VALUE"""),0.123886918405045)</f>
        <v>0.123886918405045</v>
      </c>
      <c r="G820" s="17">
        <f ca="1">IFERROR(__xludf.DUMMYFUNCTION("""COMPUTED_VALUE"""),0.499624193658183)</f>
        <v>0.499624193658183</v>
      </c>
      <c r="H820" s="17">
        <f ca="1">IFERROR(__xludf.DUMMYFUNCTION("""COMPUTED_VALUE"""),0.238001884060053)</f>
        <v>0.23800188406005299</v>
      </c>
      <c r="I820" s="17">
        <f ca="1">IFERROR(__xludf.DUMMYFUNCTION("""COMPUTED_VALUE"""),0.38439227853822)</f>
        <v>0.38439227853822</v>
      </c>
      <c r="J820" s="17">
        <f ca="1">IFERROR(__xludf.DUMMYFUNCTION("""COMPUTED_VALUE"""),1.36222167806454)</f>
        <v>1.36222167806454</v>
      </c>
      <c r="K820" s="17" t="str">
        <f ca="1">IFERROR(__xludf.DUMMYFUNCTION("""COMPUTED_VALUE"""),"nan")</f>
        <v>nan</v>
      </c>
      <c r="L820" s="17">
        <f ca="1">IFERROR(__xludf.DUMMYFUNCTION("""COMPUTED_VALUE"""),0.118112588294047)</f>
        <v>0.118112588294047</v>
      </c>
      <c r="M820" s="17">
        <f ca="1">IFERROR(__xludf.DUMMYFUNCTION("""COMPUTED_VALUE"""),0.840940375878331)</f>
        <v>0.84094037587833104</v>
      </c>
      <c r="N820" s="17">
        <f ca="1">IFERROR(__xludf.DUMMYFUNCTION("""COMPUTED_VALUE"""),0.233964129441507)</f>
        <v>0.23396412944150699</v>
      </c>
      <c r="O820" s="17">
        <f ca="1">IFERROR(__xludf.DUMMYFUNCTION("""COMPUTED_VALUE"""),0.828026407782906)</f>
        <v>0.82802640778290604</v>
      </c>
      <c r="P820" s="17">
        <f ca="1">IFERROR(__xludf.DUMMYFUNCTION("""COMPUTED_VALUE"""),1.55252321172028)</f>
        <v>1.5525232117202801</v>
      </c>
      <c r="Q820" s="17">
        <f ca="1">IFERROR(__xludf.DUMMYFUNCTION("""COMPUTED_VALUE"""),0.247452342579165)</f>
        <v>0.24745234257916501</v>
      </c>
      <c r="R820" s="17">
        <f ca="1">IFERROR(__xludf.DUMMYFUNCTION("""COMPUTED_VALUE"""),0.505935085448925)</f>
        <v>0.50593508544892496</v>
      </c>
      <c r="S820" s="17">
        <f ca="1">IFERROR(__xludf.DUMMYFUNCTION("""COMPUTED_VALUE"""),1.27107305828402)</f>
        <v>1.27107305828402</v>
      </c>
      <c r="T820" s="17">
        <f ca="1">IFERROR(__xludf.DUMMYFUNCTION("""COMPUTED_VALUE"""),0.908749800124434)</f>
        <v>0.90874980012443396</v>
      </c>
      <c r="U820" s="17">
        <f ca="1">IFERROR(__xludf.DUMMYFUNCTION("""COMPUTED_VALUE"""),0.549367063008814)</f>
        <v>0.54936706300881399</v>
      </c>
      <c r="V820" s="17">
        <f ca="1">IFERROR(__xludf.DUMMYFUNCTION("""COMPUTED_VALUE"""),1.47932813833126)</f>
        <v>1.47932813833126</v>
      </c>
      <c r="W820" s="17">
        <f ca="1">IFERROR(__xludf.DUMMYFUNCTION("""COMPUTED_VALUE"""),0.654374180765754)</f>
        <v>0.65437418076575404</v>
      </c>
      <c r="X820" s="17">
        <f ca="1">IFERROR(__xludf.DUMMYFUNCTION("""COMPUTED_VALUE"""),0.178621768722246)</f>
        <v>0.178621768722246</v>
      </c>
      <c r="Y820" s="17">
        <f ca="1">IFERROR(__xludf.DUMMYFUNCTION("""COMPUTED_VALUE"""),0.203953604744102)</f>
        <v>0.20395360474410201</v>
      </c>
      <c r="Z820" s="17">
        <f ca="1">IFERROR(__xludf.DUMMYFUNCTION("""COMPUTED_VALUE"""),0.91968015031065)</f>
        <v>0.91968015031064998</v>
      </c>
      <c r="AA820" s="17">
        <f ca="1">IFERROR(__xludf.DUMMYFUNCTION("""COMPUTED_VALUE"""),2.38158341515755)</f>
        <v>2.3815834151575501</v>
      </c>
      <c r="AB820" s="17">
        <f ca="1">IFERROR(__xludf.DUMMYFUNCTION("""COMPUTED_VALUE"""),1.53879506804794)</f>
        <v>1.5387950680479401</v>
      </c>
      <c r="AC820" s="17">
        <f ca="1">IFERROR(__xludf.DUMMYFUNCTION("""COMPUTED_VALUE"""),1.10147835331442)</f>
        <v>1.1014783533144199</v>
      </c>
      <c r="AD820" s="17">
        <f ca="1">IFERROR(__xludf.DUMMYFUNCTION("""COMPUTED_VALUE"""),0.338435884015419)</f>
        <v>0.33843588401541902</v>
      </c>
      <c r="AE820" s="17">
        <f ca="1">IFERROR(__xludf.DUMMYFUNCTION("""COMPUTED_VALUE"""),0.857942169610768)</f>
        <v>0.85794216961076797</v>
      </c>
      <c r="AF820" s="17">
        <f ca="1">IFERROR(__xludf.DUMMYFUNCTION("""COMPUTED_VALUE"""),1.364006938092)</f>
        <v>1.3640069380919999</v>
      </c>
      <c r="AG820" s="17">
        <f ca="1">IFERROR(__xludf.DUMMYFUNCTION("""COMPUTED_VALUE"""),1.15582755274767)</f>
        <v>1.15582755274767</v>
      </c>
      <c r="AH820" s="17">
        <f ca="1">IFERROR(__xludf.DUMMYFUNCTION("""COMPUTED_VALUE"""),1.12100192080774)</f>
        <v>1.12100192080774</v>
      </c>
      <c r="AI820" s="17" t="str">
        <f ca="1">IFERROR(__xludf.DUMMYFUNCTION("""COMPUTED_VALUE"""),"nan")</f>
        <v>nan</v>
      </c>
      <c r="AJ820" s="17">
        <f ca="1">IFERROR(__xludf.DUMMYFUNCTION("""COMPUTED_VALUE"""),1.18490962235906)</f>
        <v>1.1849096223590601</v>
      </c>
    </row>
    <row r="821" spans="2:36" ht="15.75" customHeight="1" x14ac:dyDescent="0.45">
      <c r="B821" s="10" t="str">
        <f ca="1">IFERROR(__xludf.DUMMYFUNCTION("""COMPUTED_VALUE"""),"Strawberry")</f>
        <v>Strawberry</v>
      </c>
      <c r="C821" s="10" t="str">
        <f ca="1">IFERROR(__xludf.DUMMYFUNCTION("""COMPUTED_VALUE"""),"aligned_timestamps")</f>
        <v>aligned_timestamps</v>
      </c>
      <c r="D821" s="10">
        <f ca="1">IFERROR(__xludf.DUMMYFUNCTION("""COMPUTED_VALUE"""),0.8)</f>
        <v>0.8</v>
      </c>
      <c r="E821" s="17">
        <f ca="1">IFERROR(__xludf.DUMMYFUNCTION("""COMPUTED_VALUE"""),1.04556676046753)</f>
        <v>1.0455667604675301</v>
      </c>
      <c r="F821" s="17">
        <f ca="1">IFERROR(__xludf.DUMMYFUNCTION("""COMPUTED_VALUE"""),0.250234347344281)</f>
        <v>0.25023434734428102</v>
      </c>
      <c r="G821" s="17">
        <f ca="1">IFERROR(__xludf.DUMMYFUNCTION("""COMPUTED_VALUE"""),0.580201463786552)</f>
        <v>0.58020146378655202</v>
      </c>
      <c r="H821" s="17">
        <f ca="1">IFERROR(__xludf.DUMMYFUNCTION("""COMPUTED_VALUE"""),0.275395262106411)</f>
        <v>0.27539526210641102</v>
      </c>
      <c r="I821" s="17">
        <f ca="1">IFERROR(__xludf.DUMMYFUNCTION("""COMPUTED_VALUE"""),0.660477985058217)</f>
        <v>0.66047798505821698</v>
      </c>
      <c r="J821" s="17">
        <f ca="1">IFERROR(__xludf.DUMMYFUNCTION("""COMPUTED_VALUE"""),1.22494102610115)</f>
        <v>1.22494102610115</v>
      </c>
      <c r="K821" s="17" t="str">
        <f ca="1">IFERROR(__xludf.DUMMYFUNCTION("""COMPUTED_VALUE"""),"nan")</f>
        <v>nan</v>
      </c>
      <c r="L821" s="17">
        <f ca="1">IFERROR(__xludf.DUMMYFUNCTION("""COMPUTED_VALUE"""),0.247254373220433)</f>
        <v>0.247254373220433</v>
      </c>
      <c r="M821" s="17">
        <f ca="1">IFERROR(__xludf.DUMMYFUNCTION("""COMPUTED_VALUE"""),0.72850209662301)</f>
        <v>0.72850209662301002</v>
      </c>
      <c r="N821" s="17">
        <f ca="1">IFERROR(__xludf.DUMMYFUNCTION("""COMPUTED_VALUE"""),0.223315488282916)</f>
        <v>0.223315488282916</v>
      </c>
      <c r="O821" s="17">
        <f ca="1">IFERROR(__xludf.DUMMYFUNCTION("""COMPUTED_VALUE"""),0.92308527308513)</f>
        <v>0.92308527308513</v>
      </c>
      <c r="P821" s="17">
        <f ca="1">IFERROR(__xludf.DUMMYFUNCTION("""COMPUTED_VALUE"""),1.29683731144606)</f>
        <v>1.2968373114460601</v>
      </c>
      <c r="Q821" s="17">
        <f ca="1">IFERROR(__xludf.DUMMYFUNCTION("""COMPUTED_VALUE"""),0.236212768624572)</f>
        <v>0.23621276862457199</v>
      </c>
      <c r="R821" s="17">
        <f ca="1">IFERROR(__xludf.DUMMYFUNCTION("""COMPUTED_VALUE"""),0.342077434698782)</f>
        <v>0.34207743469878199</v>
      </c>
      <c r="S821" s="17">
        <f ca="1">IFERROR(__xludf.DUMMYFUNCTION("""COMPUTED_VALUE"""),1.11287835342784)</f>
        <v>1.1128783534278399</v>
      </c>
      <c r="T821" s="17">
        <f ca="1">IFERROR(__xludf.DUMMYFUNCTION("""COMPUTED_VALUE"""),0.793919111110995)</f>
        <v>0.793919111110995</v>
      </c>
      <c r="U821" s="17">
        <f ca="1">IFERROR(__xludf.DUMMYFUNCTION("""COMPUTED_VALUE"""),0.65727361618378)</f>
        <v>0.65727361618378</v>
      </c>
      <c r="V821" s="17">
        <f ca="1">IFERROR(__xludf.DUMMYFUNCTION("""COMPUTED_VALUE"""),1.3261951828786)</f>
        <v>1.3261951828786001</v>
      </c>
      <c r="W821" s="17">
        <f ca="1">IFERROR(__xludf.DUMMYFUNCTION("""COMPUTED_VALUE"""),0.530196079421402)</f>
        <v>0.53019607942140201</v>
      </c>
      <c r="X821" s="17">
        <f ca="1">IFERROR(__xludf.DUMMYFUNCTION("""COMPUTED_VALUE"""),0.190415643695422)</f>
        <v>0.19041564369542199</v>
      </c>
      <c r="Y821" s="17">
        <f ca="1">IFERROR(__xludf.DUMMYFUNCTION("""COMPUTED_VALUE"""),0.19666000103279)</f>
        <v>0.19666000103278999</v>
      </c>
      <c r="Z821" s="17">
        <f ca="1">IFERROR(__xludf.DUMMYFUNCTION("""COMPUTED_VALUE"""),0.926669896803408)</f>
        <v>0.92666989680340806</v>
      </c>
      <c r="AA821" s="17">
        <f ca="1">IFERROR(__xludf.DUMMYFUNCTION("""COMPUTED_VALUE"""),3.25325103417016)</f>
        <v>3.2532510341701601</v>
      </c>
      <c r="AB821" s="17">
        <f ca="1">IFERROR(__xludf.DUMMYFUNCTION("""COMPUTED_VALUE"""),1.39269167650705)</f>
        <v>1.3926916765070501</v>
      </c>
      <c r="AC821" s="17">
        <f ca="1">IFERROR(__xludf.DUMMYFUNCTION("""COMPUTED_VALUE"""),1.06547897321078)</f>
        <v>1.0654789732107799</v>
      </c>
      <c r="AD821" s="17">
        <f ca="1">IFERROR(__xludf.DUMMYFUNCTION("""COMPUTED_VALUE"""),0.467382035469621)</f>
        <v>0.46738203546962098</v>
      </c>
      <c r="AE821" s="17">
        <f ca="1">IFERROR(__xludf.DUMMYFUNCTION("""COMPUTED_VALUE"""),0.989196718158485)</f>
        <v>0.98919671815848498</v>
      </c>
      <c r="AF821" s="17">
        <f ca="1">IFERROR(__xludf.DUMMYFUNCTION("""COMPUTED_VALUE"""),1.06183262026853)</f>
        <v>1.06183262026853</v>
      </c>
      <c r="AG821" s="17">
        <f ca="1">IFERROR(__xludf.DUMMYFUNCTION("""COMPUTED_VALUE"""),1.05079187038455)</f>
        <v>1.05079187038455</v>
      </c>
      <c r="AH821" s="17">
        <f ca="1">IFERROR(__xludf.DUMMYFUNCTION("""COMPUTED_VALUE"""),1.02619864567924)</f>
        <v>1.02619864567924</v>
      </c>
      <c r="AI821" s="17" t="str">
        <f ca="1">IFERROR(__xludf.DUMMYFUNCTION("""COMPUTED_VALUE"""),"nan")</f>
        <v>nan</v>
      </c>
      <c r="AJ821" s="17">
        <f ca="1">IFERROR(__xludf.DUMMYFUNCTION("""COMPUTED_VALUE"""),1.08344271019888)</f>
        <v>1.0834427101988799</v>
      </c>
    </row>
    <row r="822" spans="2:36" ht="15.75" customHeight="1" x14ac:dyDescent="0.45">
      <c r="B822" s="10" t="str">
        <f ca="1">IFERROR(__xludf.DUMMYFUNCTION("""COMPUTED_VALUE"""),"Strawberry")</f>
        <v>Strawberry</v>
      </c>
      <c r="C822" s="10" t="str">
        <f ca="1">IFERROR(__xludf.DUMMYFUNCTION("""COMPUTED_VALUE"""),"mcar")</f>
        <v>mcar</v>
      </c>
      <c r="D822" s="10">
        <f ca="1">IFERROR(__xludf.DUMMYFUNCTION("""COMPUTED_VALUE"""),0.1)</f>
        <v>0.1</v>
      </c>
      <c r="E822" s="17">
        <f ca="1">IFERROR(__xludf.DUMMYFUNCTION("""COMPUTED_VALUE"""),0.989204892108265)</f>
        <v>0.98920489210826501</v>
      </c>
      <c r="F822" s="17">
        <f ca="1">IFERROR(__xludf.DUMMYFUNCTION("""COMPUTED_VALUE"""),0.102620963531197)</f>
        <v>0.102620963531197</v>
      </c>
      <c r="G822" s="17">
        <f ca="1">IFERROR(__xludf.DUMMYFUNCTION("""COMPUTED_VALUE"""),0.0959227413589134)</f>
        <v>9.5922741358913405E-2</v>
      </c>
      <c r="H822" s="17">
        <f ca="1">IFERROR(__xludf.DUMMYFUNCTION("""COMPUTED_VALUE"""),0.180904637710676)</f>
        <v>0.180904637710676</v>
      </c>
      <c r="I822" s="17">
        <f ca="1">IFERROR(__xludf.DUMMYFUNCTION("""COMPUTED_VALUE"""),0.0311772763261786)</f>
        <v>3.1177276326178598E-2</v>
      </c>
      <c r="J822" s="17">
        <f ca="1">IFERROR(__xludf.DUMMYFUNCTION("""COMPUTED_VALUE"""),0.071907722552035)</f>
        <v>7.1907722552034994E-2</v>
      </c>
      <c r="K822" s="17" t="str">
        <f ca="1">IFERROR(__xludf.DUMMYFUNCTION("""COMPUTED_VALUE"""),"nan")</f>
        <v>nan</v>
      </c>
      <c r="L822" s="17">
        <f ca="1">IFERROR(__xludf.DUMMYFUNCTION("""COMPUTED_VALUE"""),0.0674612811688587)</f>
        <v>6.7461281168858703E-2</v>
      </c>
      <c r="M822" s="17">
        <f ca="1">IFERROR(__xludf.DUMMYFUNCTION("""COMPUTED_VALUE"""),0.0937609623980088)</f>
        <v>9.3760962398008796E-2</v>
      </c>
      <c r="N822" s="17">
        <f ca="1">IFERROR(__xludf.DUMMYFUNCTION("""COMPUTED_VALUE"""),0.0907348946520587)</f>
        <v>9.0734894652058695E-2</v>
      </c>
      <c r="O822" s="17">
        <f ca="1">IFERROR(__xludf.DUMMYFUNCTION("""COMPUTED_VALUE"""),0.0683606835248342)</f>
        <v>6.8360683524834195E-2</v>
      </c>
      <c r="P822" s="17">
        <f ca="1">IFERROR(__xludf.DUMMYFUNCTION("""COMPUTED_VALUE"""),0.601812700426774)</f>
        <v>0.60181270042677404</v>
      </c>
      <c r="Q822" s="17">
        <f ca="1">IFERROR(__xludf.DUMMYFUNCTION("""COMPUTED_VALUE"""),0.239632018961702)</f>
        <v>0.239632018961702</v>
      </c>
      <c r="R822" s="17">
        <f ca="1">IFERROR(__xludf.DUMMYFUNCTION("""COMPUTED_VALUE"""),0.0123735646248763)</f>
        <v>1.23735646248763E-2</v>
      </c>
      <c r="S822" s="17">
        <f ca="1">IFERROR(__xludf.DUMMYFUNCTION("""COMPUTED_VALUE"""),1.03601354676012)</f>
        <v>1.0360135467601199</v>
      </c>
      <c r="T822" s="17">
        <f ca="1">IFERROR(__xludf.DUMMYFUNCTION("""COMPUTED_VALUE"""),0.146975498184791)</f>
        <v>0.146975498184791</v>
      </c>
      <c r="U822" s="17">
        <f ca="1">IFERROR(__xludf.DUMMYFUNCTION("""COMPUTED_VALUE"""),0.0684687006112025)</f>
        <v>6.8468700611202499E-2</v>
      </c>
      <c r="V822" s="17">
        <f ca="1">IFERROR(__xludf.DUMMYFUNCTION("""COMPUTED_VALUE"""),0.102097326427461)</f>
        <v>0.102097326427461</v>
      </c>
      <c r="W822" s="17">
        <f ca="1">IFERROR(__xludf.DUMMYFUNCTION("""COMPUTED_VALUE"""),0.329231627484026)</f>
        <v>0.32923162748402601</v>
      </c>
      <c r="X822" s="17">
        <f ca="1">IFERROR(__xludf.DUMMYFUNCTION("""COMPUTED_VALUE"""),0.170908496225415)</f>
        <v>0.17090849622541501</v>
      </c>
      <c r="Y822" s="17">
        <f ca="1">IFERROR(__xludf.DUMMYFUNCTION("""COMPUTED_VALUE"""),0.172798197503734)</f>
        <v>0.17279819750373401</v>
      </c>
      <c r="Z822" s="17">
        <f ca="1">IFERROR(__xludf.DUMMYFUNCTION("""COMPUTED_VALUE"""),0.149330090762912)</f>
        <v>0.14933009076291201</v>
      </c>
      <c r="AA822" s="17">
        <f ca="1">IFERROR(__xludf.DUMMYFUNCTION("""COMPUTED_VALUE"""),0.0227111287786268)</f>
        <v>2.2711128778626799E-2</v>
      </c>
      <c r="AB822" s="17">
        <f ca="1">IFERROR(__xludf.DUMMYFUNCTION("""COMPUTED_VALUE"""),0.177291382797801)</f>
        <v>0.17729138279780099</v>
      </c>
      <c r="AC822" s="17">
        <f ca="1">IFERROR(__xludf.DUMMYFUNCTION("""COMPUTED_VALUE"""),0.568277067676322)</f>
        <v>0.56827706767632202</v>
      </c>
      <c r="AD822" s="17">
        <f ca="1">IFERROR(__xludf.DUMMYFUNCTION("""COMPUTED_VALUE"""),0.27878197920619)</f>
        <v>0.27878197920619002</v>
      </c>
      <c r="AE822" s="17">
        <f ca="1">IFERROR(__xludf.DUMMYFUNCTION("""COMPUTED_VALUE"""),0.580631015463058)</f>
        <v>0.58063101546305795</v>
      </c>
      <c r="AF822" s="17">
        <f ca="1">IFERROR(__xludf.DUMMYFUNCTION("""COMPUTED_VALUE"""),0.23052497852074)</f>
        <v>0.23052497852074</v>
      </c>
      <c r="AG822" s="17">
        <f ca="1">IFERROR(__xludf.DUMMYFUNCTION("""COMPUTED_VALUE"""),0.692291085039037)</f>
        <v>0.69229108503903702</v>
      </c>
      <c r="AH822" s="17">
        <f ca="1">IFERROR(__xludf.DUMMYFUNCTION("""COMPUTED_VALUE"""),0.35591143575491)</f>
        <v>0.35591143575491002</v>
      </c>
      <c r="AI822" s="17" t="str">
        <f ca="1">IFERROR(__xludf.DUMMYFUNCTION("""COMPUTED_VALUE"""),"nan")</f>
        <v>nan</v>
      </c>
      <c r="AJ822" s="17">
        <f ca="1">IFERROR(__xludf.DUMMYFUNCTION("""COMPUTED_VALUE"""),0.345218786140767)</f>
        <v>0.34521878614076701</v>
      </c>
    </row>
    <row r="823" spans="2:36" ht="15.75" customHeight="1" x14ac:dyDescent="0.45">
      <c r="B823" s="10" t="str">
        <f ca="1">IFERROR(__xludf.DUMMYFUNCTION("""COMPUTED_VALUE"""),"Strawberry")</f>
        <v>Strawberry</v>
      </c>
      <c r="C823" s="10" t="str">
        <f ca="1">IFERROR(__xludf.DUMMYFUNCTION("""COMPUTED_VALUE"""),"mcar")</f>
        <v>mcar</v>
      </c>
      <c r="D823" s="10">
        <f ca="1">IFERROR(__xludf.DUMMYFUNCTION("""COMPUTED_VALUE"""),0.2)</f>
        <v>0.2</v>
      </c>
      <c r="E823" s="17">
        <f ca="1">IFERROR(__xludf.DUMMYFUNCTION("""COMPUTED_VALUE"""),1.04750576103909)</f>
        <v>1.0475057610390901</v>
      </c>
      <c r="F823" s="17">
        <f ca="1">IFERROR(__xludf.DUMMYFUNCTION("""COMPUTED_VALUE"""),0.10506155093777)</f>
        <v>0.10506155093777</v>
      </c>
      <c r="G823" s="17">
        <f ca="1">IFERROR(__xludf.DUMMYFUNCTION("""COMPUTED_VALUE"""),0.0979870214151689)</f>
        <v>9.7987021415168907E-2</v>
      </c>
      <c r="H823" s="17">
        <f ca="1">IFERROR(__xludf.DUMMYFUNCTION("""COMPUTED_VALUE"""),0.179186887142026)</f>
        <v>0.17918688714202599</v>
      </c>
      <c r="I823" s="17">
        <f ca="1">IFERROR(__xludf.DUMMYFUNCTION("""COMPUTED_VALUE"""),0.0317359763216149)</f>
        <v>3.17359763216149E-2</v>
      </c>
      <c r="J823" s="17">
        <f ca="1">IFERROR(__xludf.DUMMYFUNCTION("""COMPUTED_VALUE"""),0.0770152261057908)</f>
        <v>7.7015226105790799E-2</v>
      </c>
      <c r="K823" s="17" t="str">
        <f ca="1">IFERROR(__xludf.DUMMYFUNCTION("""COMPUTED_VALUE"""),"nan")</f>
        <v>nan</v>
      </c>
      <c r="L823" s="17">
        <f ca="1">IFERROR(__xludf.DUMMYFUNCTION("""COMPUTED_VALUE"""),0.0687576717853175)</f>
        <v>6.8757671785317498E-2</v>
      </c>
      <c r="M823" s="17">
        <f ca="1">IFERROR(__xludf.DUMMYFUNCTION("""COMPUTED_VALUE"""),0.0948203692372405)</f>
        <v>9.4820369237240507E-2</v>
      </c>
      <c r="N823" s="17">
        <f ca="1">IFERROR(__xludf.DUMMYFUNCTION("""COMPUTED_VALUE"""),0.0923837864195489)</f>
        <v>9.2383786419548905E-2</v>
      </c>
      <c r="O823" s="17">
        <f ca="1">IFERROR(__xludf.DUMMYFUNCTION("""COMPUTED_VALUE"""),0.0711699869187131)</f>
        <v>7.1169986918713096E-2</v>
      </c>
      <c r="P823" s="17">
        <f ca="1">IFERROR(__xludf.DUMMYFUNCTION("""COMPUTED_VALUE"""),0.633560772751754)</f>
        <v>0.63356077275175404</v>
      </c>
      <c r="Q823" s="17">
        <f ca="1">IFERROR(__xludf.DUMMYFUNCTION("""COMPUTED_VALUE"""),0.282828324670517)</f>
        <v>0.282828324670517</v>
      </c>
      <c r="R823" s="17">
        <f ca="1">IFERROR(__xludf.DUMMYFUNCTION("""COMPUTED_VALUE"""),0.0140670807856183)</f>
        <v>1.40670807856183E-2</v>
      </c>
      <c r="S823" s="17">
        <f ca="1">IFERROR(__xludf.DUMMYFUNCTION("""COMPUTED_VALUE"""),1.07529128934928)</f>
        <v>1.0752912893492801</v>
      </c>
      <c r="T823" s="17">
        <f ca="1">IFERROR(__xludf.DUMMYFUNCTION("""COMPUTED_VALUE"""),0.145438229881754)</f>
        <v>0.14543822988175401</v>
      </c>
      <c r="U823" s="17">
        <f ca="1">IFERROR(__xludf.DUMMYFUNCTION("""COMPUTED_VALUE"""),0.0687314574532521)</f>
        <v>6.8731457453252098E-2</v>
      </c>
      <c r="V823" s="17">
        <f ca="1">IFERROR(__xludf.DUMMYFUNCTION("""COMPUTED_VALUE"""),0.10223017516294)</f>
        <v>0.10223017516294</v>
      </c>
      <c r="W823" s="17">
        <f ca="1">IFERROR(__xludf.DUMMYFUNCTION("""COMPUTED_VALUE"""),0.342562794003731)</f>
        <v>0.34256279400373102</v>
      </c>
      <c r="X823" s="17">
        <f ca="1">IFERROR(__xludf.DUMMYFUNCTION("""COMPUTED_VALUE"""),0.17641161071867)</f>
        <v>0.17641161071867001</v>
      </c>
      <c r="Y823" s="17">
        <f ca="1">IFERROR(__xludf.DUMMYFUNCTION("""COMPUTED_VALUE"""),0.173328305579667)</f>
        <v>0.173328305579667</v>
      </c>
      <c r="Z823" s="17">
        <f ca="1">IFERROR(__xludf.DUMMYFUNCTION("""COMPUTED_VALUE"""),0.153191485576664)</f>
        <v>0.15319148557666401</v>
      </c>
      <c r="AA823" s="17">
        <f ca="1">IFERROR(__xludf.DUMMYFUNCTION("""COMPUTED_VALUE"""),0.0207350224161394)</f>
        <v>2.07350224161394E-2</v>
      </c>
      <c r="AB823" s="17">
        <f ca="1">IFERROR(__xludf.DUMMYFUNCTION("""COMPUTED_VALUE"""),0.173770195521049)</f>
        <v>0.173770195521049</v>
      </c>
      <c r="AC823" s="17">
        <f ca="1">IFERROR(__xludf.DUMMYFUNCTION("""COMPUTED_VALUE"""),0.58510857573933)</f>
        <v>0.58510857573932995</v>
      </c>
      <c r="AD823" s="17">
        <f ca="1">IFERROR(__xludf.DUMMYFUNCTION("""COMPUTED_VALUE"""),0.298967820600568)</f>
        <v>0.29896782060056798</v>
      </c>
      <c r="AE823" s="17">
        <f ca="1">IFERROR(__xludf.DUMMYFUNCTION("""COMPUTED_VALUE"""),0.640185697073979)</f>
        <v>0.64018569707397899</v>
      </c>
      <c r="AF823" s="17">
        <f ca="1">IFERROR(__xludf.DUMMYFUNCTION("""COMPUTED_VALUE"""),0.216818132369328)</f>
        <v>0.21681813236932801</v>
      </c>
      <c r="AG823" s="17">
        <f ca="1">IFERROR(__xludf.DUMMYFUNCTION("""COMPUTED_VALUE"""),0.727105044402094)</f>
        <v>0.727105044402094</v>
      </c>
      <c r="AH823" s="17">
        <f ca="1">IFERROR(__xludf.DUMMYFUNCTION("""COMPUTED_VALUE"""),0.51068148866622)</f>
        <v>0.51068148866621998</v>
      </c>
      <c r="AI823" s="17" t="str">
        <f ca="1">IFERROR(__xludf.DUMMYFUNCTION("""COMPUTED_VALUE"""),"nan")</f>
        <v>nan</v>
      </c>
      <c r="AJ823" s="17">
        <f ca="1">IFERROR(__xludf.DUMMYFUNCTION("""COMPUTED_VALUE"""),0.430307253457646)</f>
        <v>0.43030725345764598</v>
      </c>
    </row>
    <row r="824" spans="2:36" ht="15.75" customHeight="1" x14ac:dyDescent="0.45">
      <c r="B824" s="10" t="str">
        <f ca="1">IFERROR(__xludf.DUMMYFUNCTION("""COMPUTED_VALUE"""),"Strawberry")</f>
        <v>Strawberry</v>
      </c>
      <c r="C824" s="10" t="str">
        <f ca="1">IFERROR(__xludf.DUMMYFUNCTION("""COMPUTED_VALUE"""),"mcar")</f>
        <v>mcar</v>
      </c>
      <c r="D824" s="10">
        <f ca="1">IFERROR(__xludf.DUMMYFUNCTION("""COMPUTED_VALUE"""),0.4)</f>
        <v>0.4</v>
      </c>
      <c r="E824" s="17">
        <f ca="1">IFERROR(__xludf.DUMMYFUNCTION("""COMPUTED_VALUE"""),1.0604141642712)</f>
        <v>1.0604141642711999</v>
      </c>
      <c r="F824" s="17">
        <f ca="1">IFERROR(__xludf.DUMMYFUNCTION("""COMPUTED_VALUE"""),0.120322168879415)</f>
        <v>0.12032216887941501</v>
      </c>
      <c r="G824" s="17">
        <f ca="1">IFERROR(__xludf.DUMMYFUNCTION("""COMPUTED_VALUE"""),0.103279017184995)</f>
        <v>0.10327901718499501</v>
      </c>
      <c r="H824" s="17">
        <f ca="1">IFERROR(__xludf.DUMMYFUNCTION("""COMPUTED_VALUE"""),0.18805067706705)</f>
        <v>0.18805067706705</v>
      </c>
      <c r="I824" s="17">
        <f ca="1">IFERROR(__xludf.DUMMYFUNCTION("""COMPUTED_VALUE"""),0.0477989720896356)</f>
        <v>4.77989720896356E-2</v>
      </c>
      <c r="J824" s="17">
        <f ca="1">IFERROR(__xludf.DUMMYFUNCTION("""COMPUTED_VALUE"""),0.201075103009496)</f>
        <v>0.20107510300949599</v>
      </c>
      <c r="K824" s="17" t="str">
        <f ca="1">IFERROR(__xludf.DUMMYFUNCTION("""COMPUTED_VALUE"""),"nan")</f>
        <v>nan</v>
      </c>
      <c r="L824" s="17">
        <f ca="1">IFERROR(__xludf.DUMMYFUNCTION("""COMPUTED_VALUE"""),0.0721698343511898)</f>
        <v>7.2169834351189802E-2</v>
      </c>
      <c r="M824" s="17">
        <f ca="1">IFERROR(__xludf.DUMMYFUNCTION("""COMPUTED_VALUE"""),0.10134233134319)</f>
        <v>0.10134233134319</v>
      </c>
      <c r="N824" s="17">
        <f ca="1">IFERROR(__xludf.DUMMYFUNCTION("""COMPUTED_VALUE"""),0.10395496860669)</f>
        <v>0.10395496860669</v>
      </c>
      <c r="O824" s="17">
        <f ca="1">IFERROR(__xludf.DUMMYFUNCTION("""COMPUTED_VALUE"""),0.0720635499291074)</f>
        <v>7.2063549929107407E-2</v>
      </c>
      <c r="P824" s="17">
        <f ca="1">IFERROR(__xludf.DUMMYFUNCTION("""COMPUTED_VALUE"""),0.715018997203944)</f>
        <v>0.71501899720394402</v>
      </c>
      <c r="Q824" s="17">
        <f ca="1">IFERROR(__xludf.DUMMYFUNCTION("""COMPUTED_VALUE"""),0.330108498760282)</f>
        <v>0.33010849876028198</v>
      </c>
      <c r="R824" s="17">
        <f ca="1">IFERROR(__xludf.DUMMYFUNCTION("""COMPUTED_VALUE"""),0.0221748450045536)</f>
        <v>2.2174845004553599E-2</v>
      </c>
      <c r="S824" s="17">
        <f ca="1">IFERROR(__xludf.DUMMYFUNCTION("""COMPUTED_VALUE"""),1.10687392138822)</f>
        <v>1.1068739213882199</v>
      </c>
      <c r="T824" s="17">
        <f ca="1">IFERROR(__xludf.DUMMYFUNCTION("""COMPUTED_VALUE"""),0.237323256895528)</f>
        <v>0.237323256895528</v>
      </c>
      <c r="U824" s="17">
        <f ca="1">IFERROR(__xludf.DUMMYFUNCTION("""COMPUTED_VALUE"""),0.0821420972406876)</f>
        <v>8.2142097240687606E-2</v>
      </c>
      <c r="V824" s="17">
        <f ca="1">IFERROR(__xludf.DUMMYFUNCTION("""COMPUTED_VALUE"""),0.103378025860918)</f>
        <v>0.103378025860918</v>
      </c>
      <c r="W824" s="17">
        <f ca="1">IFERROR(__xludf.DUMMYFUNCTION("""COMPUTED_VALUE"""),0.351322741196524)</f>
        <v>0.35132274119652401</v>
      </c>
      <c r="X824" s="17">
        <f ca="1">IFERROR(__xludf.DUMMYFUNCTION("""COMPUTED_VALUE"""),0.200623140364375)</f>
        <v>0.20062314036437501</v>
      </c>
      <c r="Y824" s="17">
        <f ca="1">IFERROR(__xludf.DUMMYFUNCTION("""COMPUTED_VALUE"""),0.176786597231895)</f>
        <v>0.17678659723189499</v>
      </c>
      <c r="Z824" s="17">
        <f ca="1">IFERROR(__xludf.DUMMYFUNCTION("""COMPUTED_VALUE"""),0.282046371437013)</f>
        <v>0.282046371437013</v>
      </c>
      <c r="AA824" s="17">
        <f ca="1">IFERROR(__xludf.DUMMYFUNCTION("""COMPUTED_VALUE"""),0.0227894891769416)</f>
        <v>2.27894891769416E-2</v>
      </c>
      <c r="AB824" s="17">
        <f ca="1">IFERROR(__xludf.DUMMYFUNCTION("""COMPUTED_VALUE"""),0.343148814816338)</f>
        <v>0.34314881481633802</v>
      </c>
      <c r="AC824" s="17">
        <f ca="1">IFERROR(__xludf.DUMMYFUNCTION("""COMPUTED_VALUE"""),0.648274424924585)</f>
        <v>0.64827442492458498</v>
      </c>
      <c r="AD824" s="17">
        <f ca="1">IFERROR(__xludf.DUMMYFUNCTION("""COMPUTED_VALUE"""),0.414358811915842)</f>
        <v>0.41435881191584201</v>
      </c>
      <c r="AE824" s="17">
        <f ca="1">IFERROR(__xludf.DUMMYFUNCTION("""COMPUTED_VALUE"""),0.861086643847701)</f>
        <v>0.86108664384770095</v>
      </c>
      <c r="AF824" s="17">
        <f ca="1">IFERROR(__xludf.DUMMYFUNCTION("""COMPUTED_VALUE"""),0.357369719615782)</f>
        <v>0.35736971961578201</v>
      </c>
      <c r="AG824" s="17">
        <f ca="1">IFERROR(__xludf.DUMMYFUNCTION("""COMPUTED_VALUE"""),0.79314288382789)</f>
        <v>0.79314288382789</v>
      </c>
      <c r="AH824" s="17">
        <f ca="1">IFERROR(__xludf.DUMMYFUNCTION("""COMPUTED_VALUE"""),0.64951369614785)</f>
        <v>0.64951369614785004</v>
      </c>
      <c r="AI824" s="17" t="str">
        <f ca="1">IFERROR(__xludf.DUMMYFUNCTION("""COMPUTED_VALUE"""),"nan")</f>
        <v>nan</v>
      </c>
      <c r="AJ824" s="17">
        <f ca="1">IFERROR(__xludf.DUMMYFUNCTION("""COMPUTED_VALUE"""),0.606288883195591)</f>
        <v>0.60628888319559104</v>
      </c>
    </row>
    <row r="825" spans="2:36" ht="15.75" customHeight="1" x14ac:dyDescent="0.45">
      <c r="B825" s="10" t="str">
        <f ca="1">IFERROR(__xludf.DUMMYFUNCTION("""COMPUTED_VALUE"""),"Strawberry")</f>
        <v>Strawberry</v>
      </c>
      <c r="C825" s="10" t="str">
        <f ca="1">IFERROR(__xludf.DUMMYFUNCTION("""COMPUTED_VALUE"""),"mcar")</f>
        <v>mcar</v>
      </c>
      <c r="D825" s="10">
        <f ca="1">IFERROR(__xludf.DUMMYFUNCTION("""COMPUTED_VALUE"""),0.6)</f>
        <v>0.6</v>
      </c>
      <c r="E825" s="17">
        <f ca="1">IFERROR(__xludf.DUMMYFUNCTION("""COMPUTED_VALUE"""),1.03780002467235)</f>
        <v>1.03780002467235</v>
      </c>
      <c r="F825" s="17">
        <f ca="1">IFERROR(__xludf.DUMMYFUNCTION("""COMPUTED_VALUE"""),0.159193299089248)</f>
        <v>0.15919329908924801</v>
      </c>
      <c r="G825" s="17">
        <f ca="1">IFERROR(__xludf.DUMMYFUNCTION("""COMPUTED_VALUE"""),0.114869703816505)</f>
        <v>0.11486970381650501</v>
      </c>
      <c r="H825" s="17">
        <f ca="1">IFERROR(__xludf.DUMMYFUNCTION("""COMPUTED_VALUE"""),0.189455265871587)</f>
        <v>0.18945526587158701</v>
      </c>
      <c r="I825" s="17">
        <f ca="1">IFERROR(__xludf.DUMMYFUNCTION("""COMPUTED_VALUE"""),0.0899111447881449)</f>
        <v>8.9911144788144895E-2</v>
      </c>
      <c r="J825" s="17">
        <f ca="1">IFERROR(__xludf.DUMMYFUNCTION("""COMPUTED_VALUE"""),0.500699064492375)</f>
        <v>0.500699064492375</v>
      </c>
      <c r="K825" s="17" t="str">
        <f ca="1">IFERROR(__xludf.DUMMYFUNCTION("""COMPUTED_VALUE"""),"nan")</f>
        <v>nan</v>
      </c>
      <c r="L825" s="17">
        <f ca="1">IFERROR(__xludf.DUMMYFUNCTION("""COMPUTED_VALUE"""),0.0920828357263626)</f>
        <v>9.2082835726362597E-2</v>
      </c>
      <c r="M825" s="17">
        <f ca="1">IFERROR(__xludf.DUMMYFUNCTION("""COMPUTED_VALUE"""),0.110135672939787)</f>
        <v>0.110135672939787</v>
      </c>
      <c r="N825" s="17">
        <f ca="1">IFERROR(__xludf.DUMMYFUNCTION("""COMPUTED_VALUE"""),0.111132462230735)</f>
        <v>0.111132462230735</v>
      </c>
      <c r="O825" s="17">
        <f ca="1">IFERROR(__xludf.DUMMYFUNCTION("""COMPUTED_VALUE"""),0.0814449552117843)</f>
        <v>8.1444955211784298E-2</v>
      </c>
      <c r="P825" s="17">
        <f ca="1">IFERROR(__xludf.DUMMYFUNCTION("""COMPUTED_VALUE"""),0.765708257162964)</f>
        <v>0.76570825716296398</v>
      </c>
      <c r="Q825" s="17">
        <f ca="1">IFERROR(__xludf.DUMMYFUNCTION("""COMPUTED_VALUE"""),0.410810764592924)</f>
        <v>0.41081076459292398</v>
      </c>
      <c r="R825" s="17">
        <f ca="1">IFERROR(__xludf.DUMMYFUNCTION("""COMPUTED_VALUE"""),0.0361385745999756)</f>
        <v>3.6138574599975597E-2</v>
      </c>
      <c r="S825" s="17">
        <f ca="1">IFERROR(__xludf.DUMMYFUNCTION("""COMPUTED_VALUE"""),1.08083607565326)</f>
        <v>1.08083607565326</v>
      </c>
      <c r="T825" s="17">
        <f ca="1">IFERROR(__xludf.DUMMYFUNCTION("""COMPUTED_VALUE"""),0.287421844307884)</f>
        <v>0.28742184430788398</v>
      </c>
      <c r="U825" s="17">
        <f ca="1">IFERROR(__xludf.DUMMYFUNCTION("""COMPUTED_VALUE"""),0.120536475870567)</f>
        <v>0.120536475870567</v>
      </c>
      <c r="V825" s="17">
        <f ca="1">IFERROR(__xludf.DUMMYFUNCTION("""COMPUTED_VALUE"""),0.165062273753319)</f>
        <v>0.165062273753319</v>
      </c>
      <c r="W825" s="17">
        <f ca="1">IFERROR(__xludf.DUMMYFUNCTION("""COMPUTED_VALUE"""),0.38975212585857)</f>
        <v>0.38975212585857</v>
      </c>
      <c r="X825" s="17">
        <f ca="1">IFERROR(__xludf.DUMMYFUNCTION("""COMPUTED_VALUE"""),0.191894779620591)</f>
        <v>0.19189477962059101</v>
      </c>
      <c r="Y825" s="17">
        <f ca="1">IFERROR(__xludf.DUMMYFUNCTION("""COMPUTED_VALUE"""),0.183585932083925)</f>
        <v>0.18358593208392501</v>
      </c>
      <c r="Z825" s="17">
        <f ca="1">IFERROR(__xludf.DUMMYFUNCTION("""COMPUTED_VALUE"""),0.503368382070483)</f>
        <v>0.50336838207048296</v>
      </c>
      <c r="AA825" s="17">
        <f ca="1">IFERROR(__xludf.DUMMYFUNCTION("""COMPUTED_VALUE"""),0.0328305349753288)</f>
        <v>3.2830534975328798E-2</v>
      </c>
      <c r="AB825" s="17">
        <f ca="1">IFERROR(__xludf.DUMMYFUNCTION("""COMPUTED_VALUE"""),0.423567106126232)</f>
        <v>0.423567106126232</v>
      </c>
      <c r="AC825" s="17">
        <f ca="1">IFERROR(__xludf.DUMMYFUNCTION("""COMPUTED_VALUE"""),0.726772763517704)</f>
        <v>0.72677276351770403</v>
      </c>
      <c r="AD825" s="17">
        <f ca="1">IFERROR(__xludf.DUMMYFUNCTION("""COMPUTED_VALUE"""),0.443110927793178)</f>
        <v>0.44311092779317801</v>
      </c>
      <c r="AE825" s="17">
        <f ca="1">IFERROR(__xludf.DUMMYFUNCTION("""COMPUTED_VALUE"""),1.08857004392887)</f>
        <v>1.0885700439288699</v>
      </c>
      <c r="AF825" s="17">
        <f ca="1">IFERROR(__xludf.DUMMYFUNCTION("""COMPUTED_VALUE"""),0.457313312335546)</f>
        <v>0.45731331233554601</v>
      </c>
      <c r="AG825" s="17">
        <f ca="1">IFERROR(__xludf.DUMMYFUNCTION("""COMPUTED_VALUE"""),0.957906886256292)</f>
        <v>0.95790688625629195</v>
      </c>
      <c r="AH825" s="17">
        <f ca="1">IFERROR(__xludf.DUMMYFUNCTION("""COMPUTED_VALUE"""),0.782919900270526)</f>
        <v>0.78291990027052605</v>
      </c>
      <c r="AI825" s="17" t="str">
        <f ca="1">IFERROR(__xludf.DUMMYFUNCTION("""COMPUTED_VALUE"""),"nan")</f>
        <v>nan</v>
      </c>
      <c r="AJ825" s="17">
        <f ca="1">IFERROR(__xludf.DUMMYFUNCTION("""COMPUTED_VALUE"""),1.05297423346032)</f>
        <v>1.05297423346032</v>
      </c>
    </row>
    <row r="826" spans="2:36" ht="15.75" customHeight="1" x14ac:dyDescent="0.45">
      <c r="B826" s="10" t="str">
        <f ca="1">IFERROR(__xludf.DUMMYFUNCTION("""COMPUTED_VALUE"""),"Strawberry")</f>
        <v>Strawberry</v>
      </c>
      <c r="C826" s="10" t="str">
        <f ca="1">IFERROR(__xludf.DUMMYFUNCTION("""COMPUTED_VALUE"""),"mcar")</f>
        <v>mcar</v>
      </c>
      <c r="D826" s="10">
        <f ca="1">IFERROR(__xludf.DUMMYFUNCTION("""COMPUTED_VALUE"""),0.8)</f>
        <v>0.8</v>
      </c>
      <c r="E826" s="17">
        <f ca="1">IFERROR(__xludf.DUMMYFUNCTION("""COMPUTED_VALUE"""),1.02322817724905)</f>
        <v>1.0232281772490499</v>
      </c>
      <c r="F826" s="17">
        <f ca="1">IFERROR(__xludf.DUMMYFUNCTION("""COMPUTED_VALUE"""),0.29612743709439)</f>
        <v>0.29612743709438999</v>
      </c>
      <c r="G826" s="17">
        <f ca="1">IFERROR(__xludf.DUMMYFUNCTION("""COMPUTED_VALUE"""),0.198227874740607)</f>
        <v>0.19822787474060699</v>
      </c>
      <c r="H826" s="17">
        <f ca="1">IFERROR(__xludf.DUMMYFUNCTION("""COMPUTED_VALUE"""),0.273696677558529)</f>
        <v>0.273696677558529</v>
      </c>
      <c r="I826" s="17">
        <f ca="1">IFERROR(__xludf.DUMMYFUNCTION("""COMPUTED_VALUE"""),0.246834840475917)</f>
        <v>0.246834840475917</v>
      </c>
      <c r="J826" s="17">
        <f ca="1">IFERROR(__xludf.DUMMYFUNCTION("""COMPUTED_VALUE"""),0.997948316447097)</f>
        <v>0.99794831644709703</v>
      </c>
      <c r="K826" s="17" t="str">
        <f ca="1">IFERROR(__xludf.DUMMYFUNCTION("""COMPUTED_VALUE"""),"nan")</f>
        <v>nan</v>
      </c>
      <c r="L826" s="17">
        <f ca="1">IFERROR(__xludf.DUMMYFUNCTION("""COMPUTED_VALUE"""),0.14983507529525)</f>
        <v>0.14983507529525</v>
      </c>
      <c r="M826" s="17">
        <f ca="1">IFERROR(__xludf.DUMMYFUNCTION("""COMPUTED_VALUE"""),0.199945858069788)</f>
        <v>0.19994585806978801</v>
      </c>
      <c r="N826" s="17">
        <f ca="1">IFERROR(__xludf.DUMMYFUNCTION("""COMPUTED_VALUE"""),0.114718167848415)</f>
        <v>0.114718167848415</v>
      </c>
      <c r="O826" s="17">
        <f ca="1">IFERROR(__xludf.DUMMYFUNCTION("""COMPUTED_VALUE"""),0.209079001728625)</f>
        <v>0.20907900172862501</v>
      </c>
      <c r="P826" s="17">
        <f ca="1">IFERROR(__xludf.DUMMYFUNCTION("""COMPUTED_VALUE"""),0.890200932183996)</f>
        <v>0.89020093218399599</v>
      </c>
      <c r="Q826" s="17">
        <f ca="1">IFERROR(__xludf.DUMMYFUNCTION("""COMPUTED_VALUE"""),0.496777931106438)</f>
        <v>0.49677793110643798</v>
      </c>
      <c r="R826" s="17">
        <f ca="1">IFERROR(__xludf.DUMMYFUNCTION("""COMPUTED_VALUE"""),0.0640879162120613)</f>
        <v>6.4087916212061294E-2</v>
      </c>
      <c r="S826" s="17">
        <f ca="1">IFERROR(__xludf.DUMMYFUNCTION("""COMPUTED_VALUE"""),1.06420522838831)</f>
        <v>1.0642052283883101</v>
      </c>
      <c r="T826" s="17">
        <f ca="1">IFERROR(__xludf.DUMMYFUNCTION("""COMPUTED_VALUE"""),0.45542579263401)</f>
        <v>0.45542579263401001</v>
      </c>
      <c r="U826" s="17">
        <f ca="1">IFERROR(__xludf.DUMMYFUNCTION("""COMPUTED_VALUE"""),0.239169596473324)</f>
        <v>0.239169596473324</v>
      </c>
      <c r="V826" s="17">
        <f ca="1">IFERROR(__xludf.DUMMYFUNCTION("""COMPUTED_VALUE"""),0.42048653913414)</f>
        <v>0.42048653913414002</v>
      </c>
      <c r="W826" s="17">
        <f ca="1">IFERROR(__xludf.DUMMYFUNCTION("""COMPUTED_VALUE"""),0.439138940053365)</f>
        <v>0.43913894005336501</v>
      </c>
      <c r="X826" s="17">
        <f ca="1">IFERROR(__xludf.DUMMYFUNCTION("""COMPUTED_VALUE"""),0.231933936477483)</f>
        <v>0.231933936477483</v>
      </c>
      <c r="Y826" s="17">
        <f ca="1">IFERROR(__xludf.DUMMYFUNCTION("""COMPUTED_VALUE"""),0.190486506308974)</f>
        <v>0.19048650630897401</v>
      </c>
      <c r="Z826" s="17">
        <f ca="1">IFERROR(__xludf.DUMMYFUNCTION("""COMPUTED_VALUE"""),0.707001234573817)</f>
        <v>0.70700123457381703</v>
      </c>
      <c r="AA826" s="17">
        <f ca="1">IFERROR(__xludf.DUMMYFUNCTION("""COMPUTED_VALUE"""),0.0821075488014922)</f>
        <v>8.2107548801492194E-2</v>
      </c>
      <c r="AB826" s="17">
        <f ca="1">IFERROR(__xludf.DUMMYFUNCTION("""COMPUTED_VALUE"""),0.665236956176613)</f>
        <v>0.66523695617661305</v>
      </c>
      <c r="AC826" s="17">
        <f ca="1">IFERROR(__xludf.DUMMYFUNCTION("""COMPUTED_VALUE"""),0.888761297856872)</f>
        <v>0.88876129785687197</v>
      </c>
      <c r="AD826" s="17">
        <f ca="1">IFERROR(__xludf.DUMMYFUNCTION("""COMPUTED_VALUE"""),0.521708493415908)</f>
        <v>0.52170849341590797</v>
      </c>
      <c r="AE826" s="17">
        <f ca="1">IFERROR(__xludf.DUMMYFUNCTION("""COMPUTED_VALUE"""),1.35101222060838)</f>
        <v>1.3510122206083801</v>
      </c>
      <c r="AF826" s="17">
        <f ca="1">IFERROR(__xludf.DUMMYFUNCTION("""COMPUTED_VALUE"""),0.690725743359649)</f>
        <v>0.69072574335964898</v>
      </c>
      <c r="AG826" s="17">
        <f ca="1">IFERROR(__xludf.DUMMYFUNCTION("""COMPUTED_VALUE"""),1.16952354776626)</f>
        <v>1.16952354776626</v>
      </c>
      <c r="AH826" s="17">
        <f ca="1">IFERROR(__xludf.DUMMYFUNCTION("""COMPUTED_VALUE"""),1.03432699288575)</f>
        <v>1.0343269928857499</v>
      </c>
      <c r="AI826" s="17" t="str">
        <f ca="1">IFERROR(__xludf.DUMMYFUNCTION("""COMPUTED_VALUE"""),"nan")</f>
        <v>nan</v>
      </c>
      <c r="AJ826" s="17">
        <f ca="1">IFERROR(__xludf.DUMMYFUNCTION("""COMPUTED_VALUE"""),0.994067364296734)</f>
        <v>0.99406736429673404</v>
      </c>
    </row>
    <row r="827" spans="2:36" ht="15.75" customHeight="1" x14ac:dyDescent="0.45">
      <c r="B827" s="10" t="str">
        <f ca="1">IFERROR(__xludf.DUMMYFUNCTION("""COMPUTED_VALUE"""),"SwedishLeaf")</f>
        <v>SwedishLeaf</v>
      </c>
      <c r="C827" s="10" t="str">
        <f ca="1">IFERROR(__xludf.DUMMYFUNCTION("""COMPUTED_VALUE"""),"aligned_series")</f>
        <v>aligned_series</v>
      </c>
      <c r="D827" s="10">
        <f ca="1">IFERROR(__xludf.DUMMYFUNCTION("""COMPUTED_VALUE"""),0.1)</f>
        <v>0.1</v>
      </c>
      <c r="E827" s="17">
        <f ca="1">IFERROR(__xludf.DUMMYFUNCTION("""COMPUTED_VALUE"""),0.665331337988239)</f>
        <v>0.66533133798823896</v>
      </c>
      <c r="F827" s="17">
        <f ca="1">IFERROR(__xludf.DUMMYFUNCTION("""COMPUTED_VALUE"""),0.302387597751316)</f>
        <v>0.30238759775131602</v>
      </c>
      <c r="G827" s="17">
        <f ca="1">IFERROR(__xludf.DUMMYFUNCTION("""COMPUTED_VALUE"""),0.304570259350199)</f>
        <v>0.30457025935019899</v>
      </c>
      <c r="H827" s="17">
        <f ca="1">IFERROR(__xludf.DUMMYFUNCTION("""COMPUTED_VALUE"""),0.318036365379685)</f>
        <v>0.31803636537968499</v>
      </c>
      <c r="I827" s="17">
        <f ca="1">IFERROR(__xludf.DUMMYFUNCTION("""COMPUTED_VALUE"""),0.257850946640232)</f>
        <v>0.257850946640232</v>
      </c>
      <c r="J827" s="17">
        <f ca="1">IFERROR(__xludf.DUMMYFUNCTION("""COMPUTED_VALUE"""),0.700124391898001)</f>
        <v>0.70012439189800102</v>
      </c>
      <c r="K827" s="17" t="str">
        <f ca="1">IFERROR(__xludf.DUMMYFUNCTION("""COMPUTED_VALUE"""),"nan")</f>
        <v>nan</v>
      </c>
      <c r="L827" s="17">
        <f ca="1">IFERROR(__xludf.DUMMYFUNCTION("""COMPUTED_VALUE"""),0.298039657196388)</f>
        <v>0.29803965719638797</v>
      </c>
      <c r="M827" s="17">
        <f ca="1">IFERROR(__xludf.DUMMYFUNCTION("""COMPUTED_VALUE"""),0.301541270178564)</f>
        <v>0.30154127017856402</v>
      </c>
      <c r="N827" s="17">
        <f ca="1">IFERROR(__xludf.DUMMYFUNCTION("""COMPUTED_VALUE"""),0.311728174929871)</f>
        <v>0.31172817492987098</v>
      </c>
      <c r="O827" s="17">
        <f ca="1">IFERROR(__xludf.DUMMYFUNCTION("""COMPUTED_VALUE"""),0.29571323071379)</f>
        <v>0.29571323071379002</v>
      </c>
      <c r="P827" s="17">
        <f ca="1">IFERROR(__xludf.DUMMYFUNCTION("""COMPUTED_VALUE"""),0.561081631488429)</f>
        <v>0.56108163148842904</v>
      </c>
      <c r="Q827" s="17">
        <f ca="1">IFERROR(__xludf.DUMMYFUNCTION("""COMPUTED_VALUE"""),0.457599292710691)</f>
        <v>0.457599292710691</v>
      </c>
      <c r="R827" s="17">
        <f ca="1">IFERROR(__xludf.DUMMYFUNCTION("""COMPUTED_VALUE"""),0.352262231167533)</f>
        <v>0.35226223116753302</v>
      </c>
      <c r="S827" s="17">
        <f ca="1">IFERROR(__xludf.DUMMYFUNCTION("""COMPUTED_VALUE"""),0.34384032533028)</f>
        <v>0.34384032533027997</v>
      </c>
      <c r="T827" s="17">
        <f ca="1">IFERROR(__xludf.DUMMYFUNCTION("""COMPUTED_VALUE"""),0.333338550156474)</f>
        <v>0.33333855015647401</v>
      </c>
      <c r="U827" s="17">
        <f ca="1">IFERROR(__xludf.DUMMYFUNCTION("""COMPUTED_VALUE"""),0.322662407600419)</f>
        <v>0.32266240760041898</v>
      </c>
      <c r="V827" s="17">
        <f ca="1">IFERROR(__xludf.DUMMYFUNCTION("""COMPUTED_VALUE"""),0.281964446150111)</f>
        <v>0.28196444615011101</v>
      </c>
      <c r="W827" s="17">
        <f ca="1">IFERROR(__xludf.DUMMYFUNCTION("""COMPUTED_VALUE"""),0.296445531366031)</f>
        <v>0.29644553136603102</v>
      </c>
      <c r="X827" s="17">
        <f ca="1">IFERROR(__xludf.DUMMYFUNCTION("""COMPUTED_VALUE"""),0.337709577525825)</f>
        <v>0.33770957752582498</v>
      </c>
      <c r="Y827" s="17">
        <f ca="1">IFERROR(__xludf.DUMMYFUNCTION("""COMPUTED_VALUE"""),0.288373292855289)</f>
        <v>0.28837329285528901</v>
      </c>
      <c r="Z827" s="17">
        <f ca="1">IFERROR(__xludf.DUMMYFUNCTION("""COMPUTED_VALUE"""),0.270619239089894)</f>
        <v>0.27061923908989399</v>
      </c>
      <c r="AA827" s="17">
        <f ca="1">IFERROR(__xludf.DUMMYFUNCTION("""COMPUTED_VALUE"""),0.258955010871547)</f>
        <v>0.25895501087154699</v>
      </c>
      <c r="AB827" s="17">
        <f ca="1">IFERROR(__xludf.DUMMYFUNCTION("""COMPUTED_VALUE"""),0.380538845166561)</f>
        <v>0.380538845166561</v>
      </c>
      <c r="AC827" s="17">
        <f ca="1">IFERROR(__xludf.DUMMYFUNCTION("""COMPUTED_VALUE"""),0.46318044987651)</f>
        <v>0.46318044987651003</v>
      </c>
      <c r="AD827" s="17">
        <f ca="1">IFERROR(__xludf.DUMMYFUNCTION("""COMPUTED_VALUE"""),0.357000556695409)</f>
        <v>0.35700055669540898</v>
      </c>
      <c r="AE827" s="17">
        <f ca="1">IFERROR(__xludf.DUMMYFUNCTION("""COMPUTED_VALUE"""),0.809438444755559)</f>
        <v>0.80943844475555904</v>
      </c>
      <c r="AF827" s="17">
        <f ca="1">IFERROR(__xludf.DUMMYFUNCTION("""COMPUTED_VALUE"""),0.316919755774288)</f>
        <v>0.31691975577428799</v>
      </c>
      <c r="AG827" s="17">
        <f ca="1">IFERROR(__xludf.DUMMYFUNCTION("""COMPUTED_VALUE"""),0.72295056707053)</f>
        <v>0.72295056707052996</v>
      </c>
      <c r="AH827" s="17">
        <f ca="1">IFERROR(__xludf.DUMMYFUNCTION("""COMPUTED_VALUE"""),0.603348677885453)</f>
        <v>0.60334867788545299</v>
      </c>
      <c r="AI827" s="17">
        <f ca="1">IFERROR(__xludf.DUMMYFUNCTION("""COMPUTED_VALUE"""),0.803818625904785)</f>
        <v>0.80381862590478503</v>
      </c>
      <c r="AJ827" s="17">
        <f ca="1">IFERROR(__xludf.DUMMYFUNCTION("""COMPUTED_VALUE"""),0.413053192701627)</f>
        <v>0.41305319270162699</v>
      </c>
    </row>
    <row r="828" spans="2:36" ht="15.75" customHeight="1" x14ac:dyDescent="0.45">
      <c r="B828" s="10" t="str">
        <f ca="1">IFERROR(__xludf.DUMMYFUNCTION("""COMPUTED_VALUE"""),"SwedishLeaf")</f>
        <v>SwedishLeaf</v>
      </c>
      <c r="C828" s="10" t="str">
        <f ca="1">IFERROR(__xludf.DUMMYFUNCTION("""COMPUTED_VALUE"""),"aligned_series")</f>
        <v>aligned_series</v>
      </c>
      <c r="D828" s="10">
        <f ca="1">IFERROR(__xludf.DUMMYFUNCTION("""COMPUTED_VALUE"""),0.2)</f>
        <v>0.2</v>
      </c>
      <c r="E828" s="17">
        <f ca="1">IFERROR(__xludf.DUMMYFUNCTION("""COMPUTED_VALUE"""),0.662867241520195)</f>
        <v>0.66286724152019505</v>
      </c>
      <c r="F828" s="17">
        <f ca="1">IFERROR(__xludf.DUMMYFUNCTION("""COMPUTED_VALUE"""),0.322103060620638)</f>
        <v>0.32210306062063798</v>
      </c>
      <c r="G828" s="17">
        <f ca="1">IFERROR(__xludf.DUMMYFUNCTION("""COMPUTED_VALUE"""),0.324512083363134)</f>
        <v>0.32451208336313397</v>
      </c>
      <c r="H828" s="17">
        <f ca="1">IFERROR(__xludf.DUMMYFUNCTION("""COMPUTED_VALUE"""),0.345563521624605)</f>
        <v>0.34556352162460502</v>
      </c>
      <c r="I828" s="17">
        <f ca="1">IFERROR(__xludf.DUMMYFUNCTION("""COMPUTED_VALUE"""),0.273850871150474)</f>
        <v>0.27385087115047402</v>
      </c>
      <c r="J828" s="17">
        <f ca="1">IFERROR(__xludf.DUMMYFUNCTION("""COMPUTED_VALUE"""),1.05028678077697)</f>
        <v>1.05028678077697</v>
      </c>
      <c r="K828" s="17" t="str">
        <f ca="1">IFERROR(__xludf.DUMMYFUNCTION("""COMPUTED_VALUE"""),"nan")</f>
        <v>nan</v>
      </c>
      <c r="L828" s="17">
        <f ca="1">IFERROR(__xludf.DUMMYFUNCTION("""COMPUTED_VALUE"""),0.335224072010413)</f>
        <v>0.33522407201041299</v>
      </c>
      <c r="M828" s="17">
        <f ca="1">IFERROR(__xludf.DUMMYFUNCTION("""COMPUTED_VALUE"""),0.327400082984141)</f>
        <v>0.32740008298414103</v>
      </c>
      <c r="N828" s="17">
        <f ca="1">IFERROR(__xludf.DUMMYFUNCTION("""COMPUTED_VALUE"""),0.328228303244939)</f>
        <v>0.32822830324493901</v>
      </c>
      <c r="O828" s="17">
        <f ca="1">IFERROR(__xludf.DUMMYFUNCTION("""COMPUTED_VALUE"""),0.311242975099217)</f>
        <v>0.311242975099217</v>
      </c>
      <c r="P828" s="17">
        <f ca="1">IFERROR(__xludf.DUMMYFUNCTION("""COMPUTED_VALUE"""),0.616275541484323)</f>
        <v>0.61627554148432295</v>
      </c>
      <c r="Q828" s="17">
        <f ca="1">IFERROR(__xludf.DUMMYFUNCTION("""COMPUTED_VALUE"""),0.472024599089244)</f>
        <v>0.47202459908924399</v>
      </c>
      <c r="R828" s="17">
        <f ca="1">IFERROR(__xludf.DUMMYFUNCTION("""COMPUTED_VALUE"""),0.381270987694496)</f>
        <v>0.38127098769449602</v>
      </c>
      <c r="S828" s="17">
        <f ca="1">IFERROR(__xludf.DUMMYFUNCTION("""COMPUTED_VALUE"""),0.391124743835968)</f>
        <v>0.39112474383596801</v>
      </c>
      <c r="T828" s="17">
        <f ca="1">IFERROR(__xludf.DUMMYFUNCTION("""COMPUTED_VALUE"""),0.362213352801067)</f>
        <v>0.36221335280106698</v>
      </c>
      <c r="U828" s="17">
        <f ca="1">IFERROR(__xludf.DUMMYFUNCTION("""COMPUTED_VALUE"""),0.33623646042183)</f>
        <v>0.33623646042182997</v>
      </c>
      <c r="V828" s="17">
        <f ca="1">IFERROR(__xludf.DUMMYFUNCTION("""COMPUTED_VALUE"""),0.309670002329541)</f>
        <v>0.30967000232954101</v>
      </c>
      <c r="W828" s="17">
        <f ca="1">IFERROR(__xludf.DUMMYFUNCTION("""COMPUTED_VALUE"""),0.329287965673008)</f>
        <v>0.329287965673008</v>
      </c>
      <c r="X828" s="17">
        <f ca="1">IFERROR(__xludf.DUMMYFUNCTION("""COMPUTED_VALUE"""),0.353983749144146)</f>
        <v>0.35398374914414599</v>
      </c>
      <c r="Y828" s="17">
        <f ca="1">IFERROR(__xludf.DUMMYFUNCTION("""COMPUTED_VALUE"""),0.308818731443713)</f>
        <v>0.30881873144371302</v>
      </c>
      <c r="Z828" s="17">
        <f ca="1">IFERROR(__xludf.DUMMYFUNCTION("""COMPUTED_VALUE"""),0.321769104900606)</f>
        <v>0.32176910490060601</v>
      </c>
      <c r="AA828" s="17">
        <f ca="1">IFERROR(__xludf.DUMMYFUNCTION("""COMPUTED_VALUE"""),0.273606936921502)</f>
        <v>0.27360693692150201</v>
      </c>
      <c r="AB828" s="17">
        <f ca="1">IFERROR(__xludf.DUMMYFUNCTION("""COMPUTED_VALUE"""),0.543300213470776)</f>
        <v>0.54330021347077595</v>
      </c>
      <c r="AC828" s="17">
        <f ca="1">IFERROR(__xludf.DUMMYFUNCTION("""COMPUTED_VALUE"""),0.466104004367078)</f>
        <v>0.466104004367078</v>
      </c>
      <c r="AD828" s="17">
        <f ca="1">IFERROR(__xludf.DUMMYFUNCTION("""COMPUTED_VALUE"""),0.364753100768833)</f>
        <v>0.36475310076883299</v>
      </c>
      <c r="AE828" s="17">
        <f ca="1">IFERROR(__xludf.DUMMYFUNCTION("""COMPUTED_VALUE"""),0.788972458386721)</f>
        <v>0.78897245838672103</v>
      </c>
      <c r="AF828" s="17">
        <f ca="1">IFERROR(__xludf.DUMMYFUNCTION("""COMPUTED_VALUE"""),0.34195531830632)</f>
        <v>0.34195531830631998</v>
      </c>
      <c r="AG828" s="17">
        <f ca="1">IFERROR(__xludf.DUMMYFUNCTION("""COMPUTED_VALUE"""),0.76623848138875)</f>
        <v>0.76623848138874995</v>
      </c>
      <c r="AH828" s="17">
        <f ca="1">IFERROR(__xludf.DUMMYFUNCTION("""COMPUTED_VALUE"""),0.615780908510899)</f>
        <v>0.61578090851089895</v>
      </c>
      <c r="AI828" s="17">
        <f ca="1">IFERROR(__xludf.DUMMYFUNCTION("""COMPUTED_VALUE"""),0.81695890676258)</f>
        <v>0.81695890676257998</v>
      </c>
      <c r="AJ828" s="17">
        <f ca="1">IFERROR(__xludf.DUMMYFUNCTION("""COMPUTED_VALUE"""),0.504683912977469)</f>
        <v>0.50468391297746895</v>
      </c>
    </row>
    <row r="829" spans="2:36" ht="15.75" customHeight="1" x14ac:dyDescent="0.45">
      <c r="B829" s="10" t="str">
        <f ca="1">IFERROR(__xludf.DUMMYFUNCTION("""COMPUTED_VALUE"""),"SwedishLeaf")</f>
        <v>SwedishLeaf</v>
      </c>
      <c r="C829" s="10" t="str">
        <f ca="1">IFERROR(__xludf.DUMMYFUNCTION("""COMPUTED_VALUE"""),"aligned_series")</f>
        <v>aligned_series</v>
      </c>
      <c r="D829" s="10">
        <f ca="1">IFERROR(__xludf.DUMMYFUNCTION("""COMPUTED_VALUE"""),0.4)</f>
        <v>0.4</v>
      </c>
      <c r="E829" s="17">
        <f ca="1">IFERROR(__xludf.DUMMYFUNCTION("""COMPUTED_VALUE"""),0.677967273406734)</f>
        <v>0.67796727340673402</v>
      </c>
      <c r="F829" s="17">
        <f ca="1">IFERROR(__xludf.DUMMYFUNCTION("""COMPUTED_VALUE"""),0.325823050668027)</f>
        <v>0.32582305066802703</v>
      </c>
      <c r="G829" s="17">
        <f ca="1">IFERROR(__xludf.DUMMYFUNCTION("""COMPUTED_VALUE"""),0.328862970852302)</f>
        <v>0.32886297085230198</v>
      </c>
      <c r="H829" s="17">
        <f ca="1">IFERROR(__xludf.DUMMYFUNCTION("""COMPUTED_VALUE"""),0.336580389854069)</f>
        <v>0.33658038985406902</v>
      </c>
      <c r="I829" s="17">
        <f ca="1">IFERROR(__xludf.DUMMYFUNCTION("""COMPUTED_VALUE"""),0.28864989610975)</f>
        <v>0.28864989610975</v>
      </c>
      <c r="J829" s="17">
        <f ca="1">IFERROR(__xludf.DUMMYFUNCTION("""COMPUTED_VALUE"""),1.12633647755393)</f>
        <v>1.12633647755393</v>
      </c>
      <c r="K829" s="17" t="str">
        <f ca="1">IFERROR(__xludf.DUMMYFUNCTION("""COMPUTED_VALUE"""),"nan")</f>
        <v>nan</v>
      </c>
      <c r="L829" s="17">
        <f ca="1">IFERROR(__xludf.DUMMYFUNCTION("""COMPUTED_VALUE"""),0.335766965037334)</f>
        <v>0.335766965037334</v>
      </c>
      <c r="M829" s="17">
        <f ca="1">IFERROR(__xludf.DUMMYFUNCTION("""COMPUTED_VALUE"""),0.336728917149702)</f>
        <v>0.33672891714970199</v>
      </c>
      <c r="N829" s="17">
        <f ca="1">IFERROR(__xludf.DUMMYFUNCTION("""COMPUTED_VALUE"""),0.328638414956889)</f>
        <v>0.328638414956889</v>
      </c>
      <c r="O829" s="17">
        <f ca="1">IFERROR(__xludf.DUMMYFUNCTION("""COMPUTED_VALUE"""),0.354789495517962)</f>
        <v>0.35478949551796202</v>
      </c>
      <c r="P829" s="17">
        <f ca="1">IFERROR(__xludf.DUMMYFUNCTION("""COMPUTED_VALUE"""),0.741504294061427)</f>
        <v>0.74150429406142704</v>
      </c>
      <c r="Q829" s="17">
        <f ca="1">IFERROR(__xludf.DUMMYFUNCTION("""COMPUTED_VALUE"""),0.44652323791508)</f>
        <v>0.44652323791507997</v>
      </c>
      <c r="R829" s="17">
        <f ca="1">IFERROR(__xludf.DUMMYFUNCTION("""COMPUTED_VALUE"""),0.481867019550423)</f>
        <v>0.48186701955042299</v>
      </c>
      <c r="S829" s="17">
        <f ca="1">IFERROR(__xludf.DUMMYFUNCTION("""COMPUTED_VALUE"""),0.467739032131647)</f>
        <v>0.46773903213164703</v>
      </c>
      <c r="T829" s="17">
        <f ca="1">IFERROR(__xludf.DUMMYFUNCTION("""COMPUTED_VALUE"""),0.362888766453566)</f>
        <v>0.36288876645356599</v>
      </c>
      <c r="U829" s="17">
        <f ca="1">IFERROR(__xludf.DUMMYFUNCTION("""COMPUTED_VALUE"""),0.344862028151254)</f>
        <v>0.344862028151254</v>
      </c>
      <c r="V829" s="17">
        <f ca="1">IFERROR(__xludf.DUMMYFUNCTION("""COMPUTED_VALUE"""),0.334790891623644)</f>
        <v>0.334790891623644</v>
      </c>
      <c r="W829" s="17">
        <f ca="1">IFERROR(__xludf.DUMMYFUNCTION("""COMPUTED_VALUE"""),0.335192451927173)</f>
        <v>0.33519245192717301</v>
      </c>
      <c r="X829" s="17">
        <f ca="1">IFERROR(__xludf.DUMMYFUNCTION("""COMPUTED_VALUE"""),0.378449745542272)</f>
        <v>0.37844974554227201</v>
      </c>
      <c r="Y829" s="17">
        <f ca="1">IFERROR(__xludf.DUMMYFUNCTION("""COMPUTED_VALUE"""),0.312178843921396)</f>
        <v>0.312178843921396</v>
      </c>
      <c r="Z829" s="17">
        <f ca="1">IFERROR(__xludf.DUMMYFUNCTION("""COMPUTED_VALUE"""),0.324264149538576)</f>
        <v>0.32426414953857602</v>
      </c>
      <c r="AA829" s="17">
        <f ca="1">IFERROR(__xludf.DUMMYFUNCTION("""COMPUTED_VALUE"""),0.288144726370299)</f>
        <v>0.28814472637029898</v>
      </c>
      <c r="AB829" s="17">
        <f ca="1">IFERROR(__xludf.DUMMYFUNCTION("""COMPUTED_VALUE"""),0.863614401242825)</f>
        <v>0.86361440124282496</v>
      </c>
      <c r="AC829" s="17">
        <f ca="1">IFERROR(__xludf.DUMMYFUNCTION("""COMPUTED_VALUE"""),0.491877577318045)</f>
        <v>0.49187757731804499</v>
      </c>
      <c r="AD829" s="17">
        <f ca="1">IFERROR(__xludf.DUMMYFUNCTION("""COMPUTED_VALUE"""),0.355814987899251)</f>
        <v>0.35581498789925098</v>
      </c>
      <c r="AE829" s="17">
        <f ca="1">IFERROR(__xludf.DUMMYFUNCTION("""COMPUTED_VALUE"""),0.792870540883736)</f>
        <v>0.79287054088373599</v>
      </c>
      <c r="AF829" s="17">
        <f ca="1">IFERROR(__xludf.DUMMYFUNCTION("""COMPUTED_VALUE"""),0.374540518422567)</f>
        <v>0.37454051842256703</v>
      </c>
      <c r="AG829" s="17">
        <f ca="1">IFERROR(__xludf.DUMMYFUNCTION("""COMPUTED_VALUE"""),0.740162151249369)</f>
        <v>0.74016215124936902</v>
      </c>
      <c r="AH829" s="17">
        <f ca="1">IFERROR(__xludf.DUMMYFUNCTION("""COMPUTED_VALUE"""),0.61427668106963)</f>
        <v>0.61427668106962996</v>
      </c>
      <c r="AI829" s="17">
        <f ca="1">IFERROR(__xludf.DUMMYFUNCTION("""COMPUTED_VALUE"""),0.808470996281647)</f>
        <v>0.80847099628164698</v>
      </c>
      <c r="AJ829" s="17">
        <f ca="1">IFERROR(__xludf.DUMMYFUNCTION("""COMPUTED_VALUE"""),0.518963880262904)</f>
        <v>0.51896388026290396</v>
      </c>
    </row>
    <row r="830" spans="2:36" ht="15.75" customHeight="1" x14ac:dyDescent="0.45">
      <c r="B830" s="10" t="str">
        <f ca="1">IFERROR(__xludf.DUMMYFUNCTION("""COMPUTED_VALUE"""),"SwedishLeaf")</f>
        <v>SwedishLeaf</v>
      </c>
      <c r="C830" s="10" t="str">
        <f ca="1">IFERROR(__xludf.DUMMYFUNCTION("""COMPUTED_VALUE"""),"aligned_series")</f>
        <v>aligned_series</v>
      </c>
      <c r="D830" s="10">
        <f ca="1">IFERROR(__xludf.DUMMYFUNCTION("""COMPUTED_VALUE"""),0.6)</f>
        <v>0.6</v>
      </c>
      <c r="E830" s="17">
        <f ca="1">IFERROR(__xludf.DUMMYFUNCTION("""COMPUTED_VALUE"""),0.693521703769521)</f>
        <v>0.69352170376952105</v>
      </c>
      <c r="F830" s="17">
        <f ca="1">IFERROR(__xludf.DUMMYFUNCTION("""COMPUTED_VALUE"""),0.33096329016993)</f>
        <v>0.33096329016992998</v>
      </c>
      <c r="G830" s="17">
        <f ca="1">IFERROR(__xludf.DUMMYFUNCTION("""COMPUTED_VALUE"""),0.363767335939645)</f>
        <v>0.363767335939645</v>
      </c>
      <c r="H830" s="17">
        <f ca="1">IFERROR(__xludf.DUMMYFUNCTION("""COMPUTED_VALUE"""),0.355247103715827)</f>
        <v>0.35524710371582702</v>
      </c>
      <c r="I830" s="17">
        <f ca="1">IFERROR(__xludf.DUMMYFUNCTION("""COMPUTED_VALUE"""),0.318748604553775)</f>
        <v>0.31874860455377502</v>
      </c>
      <c r="J830" s="17">
        <f ca="1">IFERROR(__xludf.DUMMYFUNCTION("""COMPUTED_VALUE"""),1.1492108053396)</f>
        <v>1.1492108053396</v>
      </c>
      <c r="K830" s="17" t="str">
        <f ca="1">IFERROR(__xludf.DUMMYFUNCTION("""COMPUTED_VALUE"""),"nan")</f>
        <v>nan</v>
      </c>
      <c r="L830" s="17">
        <f ca="1">IFERROR(__xludf.DUMMYFUNCTION("""COMPUTED_VALUE"""),0.344963434717758)</f>
        <v>0.34496343471775798</v>
      </c>
      <c r="M830" s="17">
        <f ca="1">IFERROR(__xludf.DUMMYFUNCTION("""COMPUTED_VALUE"""),0.3582458320736)</f>
        <v>0.3582458320736</v>
      </c>
      <c r="N830" s="17">
        <f ca="1">IFERROR(__xludf.DUMMYFUNCTION("""COMPUTED_VALUE"""),0.328311681651536)</f>
        <v>0.32831168165153601</v>
      </c>
      <c r="O830" s="17">
        <f ca="1">IFERROR(__xludf.DUMMYFUNCTION("""COMPUTED_VALUE"""),0.386888919044892)</f>
        <v>0.38688891904489198</v>
      </c>
      <c r="P830" s="17">
        <f ca="1">IFERROR(__xludf.DUMMYFUNCTION("""COMPUTED_VALUE"""),0.851016547961268)</f>
        <v>0.85101654796126802</v>
      </c>
      <c r="Q830" s="17">
        <f ca="1">IFERROR(__xludf.DUMMYFUNCTION("""COMPUTED_VALUE"""),0.542179599556234)</f>
        <v>0.54217959955623396</v>
      </c>
      <c r="R830" s="17">
        <f ca="1">IFERROR(__xludf.DUMMYFUNCTION("""COMPUTED_VALUE"""),0.569483258299329)</f>
        <v>0.569483258299329</v>
      </c>
      <c r="S830" s="17">
        <f ca="1">IFERROR(__xludf.DUMMYFUNCTION("""COMPUTED_VALUE"""),0.537380975159551)</f>
        <v>0.53738097515955097</v>
      </c>
      <c r="T830" s="17">
        <f ca="1">IFERROR(__xludf.DUMMYFUNCTION("""COMPUTED_VALUE"""),0.373175521659971)</f>
        <v>0.37317552165997098</v>
      </c>
      <c r="U830" s="17">
        <f ca="1">IFERROR(__xludf.DUMMYFUNCTION("""COMPUTED_VALUE"""),0.357394228279338)</f>
        <v>0.35739422827933798</v>
      </c>
      <c r="V830" s="17">
        <f ca="1">IFERROR(__xludf.DUMMYFUNCTION("""COMPUTED_VALUE"""),0.382329300971557)</f>
        <v>0.38232930097155698</v>
      </c>
      <c r="W830" s="17">
        <f ca="1">IFERROR(__xludf.DUMMYFUNCTION("""COMPUTED_VALUE"""),0.350510985913118)</f>
        <v>0.35051098591311802</v>
      </c>
      <c r="X830" s="17">
        <f ca="1">IFERROR(__xludf.DUMMYFUNCTION("""COMPUTED_VALUE"""),0.551963816223142)</f>
        <v>0.55196381622314195</v>
      </c>
      <c r="Y830" s="17">
        <f ca="1">IFERROR(__xludf.DUMMYFUNCTION("""COMPUTED_VALUE"""),0.326506216432798)</f>
        <v>0.32650621643279798</v>
      </c>
      <c r="Z830" s="17">
        <f ca="1">IFERROR(__xludf.DUMMYFUNCTION("""COMPUTED_VALUE"""),0.337457260979085)</f>
        <v>0.33745726097908502</v>
      </c>
      <c r="AA830" s="17">
        <f ca="1">IFERROR(__xludf.DUMMYFUNCTION("""COMPUTED_VALUE"""),0.31131398418179)</f>
        <v>0.31131398418179002</v>
      </c>
      <c r="AB830" s="17">
        <f ca="1">IFERROR(__xludf.DUMMYFUNCTION("""COMPUTED_VALUE"""),1.36393294573645)</f>
        <v>1.36393294573645</v>
      </c>
      <c r="AC830" s="17">
        <f ca="1">IFERROR(__xludf.DUMMYFUNCTION("""COMPUTED_VALUE"""),0.555713914449077)</f>
        <v>0.55571391444907703</v>
      </c>
      <c r="AD830" s="17">
        <f ca="1">IFERROR(__xludf.DUMMYFUNCTION("""COMPUTED_VALUE"""),0.375131758931581)</f>
        <v>0.37513175893158102</v>
      </c>
      <c r="AE830" s="17">
        <f ca="1">IFERROR(__xludf.DUMMYFUNCTION("""COMPUTED_VALUE"""),0.808195193014796)</f>
        <v>0.80819519301479603</v>
      </c>
      <c r="AF830" s="17">
        <f ca="1">IFERROR(__xludf.DUMMYFUNCTION("""COMPUTED_VALUE"""),0.411960370909748)</f>
        <v>0.41196037090974802</v>
      </c>
      <c r="AG830" s="17">
        <f ca="1">IFERROR(__xludf.DUMMYFUNCTION("""COMPUTED_VALUE"""),0.755229979003577)</f>
        <v>0.75522997900357702</v>
      </c>
      <c r="AH830" s="17">
        <f ca="1">IFERROR(__xludf.DUMMYFUNCTION("""COMPUTED_VALUE"""),0.608553346917161)</f>
        <v>0.60855334691716101</v>
      </c>
      <c r="AI830" s="17">
        <f ca="1">IFERROR(__xludf.DUMMYFUNCTION("""COMPUTED_VALUE"""),0.802710249436009)</f>
        <v>0.80271024943600899</v>
      </c>
      <c r="AJ830" s="17">
        <f ca="1">IFERROR(__xludf.DUMMYFUNCTION("""COMPUTED_VALUE"""),0.549419356104721)</f>
        <v>0.54941935610472104</v>
      </c>
    </row>
    <row r="831" spans="2:36" ht="15.75" customHeight="1" x14ac:dyDescent="0.45">
      <c r="B831" s="10" t="str">
        <f ca="1">IFERROR(__xludf.DUMMYFUNCTION("""COMPUTED_VALUE"""),"SwedishLeaf")</f>
        <v>SwedishLeaf</v>
      </c>
      <c r="C831" s="10" t="str">
        <f ca="1">IFERROR(__xludf.DUMMYFUNCTION("""COMPUTED_VALUE"""),"aligned_series")</f>
        <v>aligned_series</v>
      </c>
      <c r="D831" s="10">
        <f ca="1">IFERROR(__xludf.DUMMYFUNCTION("""COMPUTED_VALUE"""),0.8)</f>
        <v>0.8</v>
      </c>
      <c r="E831" s="17">
        <f ca="1">IFERROR(__xludf.DUMMYFUNCTION("""COMPUTED_VALUE"""),0.705040198682141)</f>
        <v>0.70504019868214096</v>
      </c>
      <c r="F831" s="17">
        <f ca="1">IFERROR(__xludf.DUMMYFUNCTION("""COMPUTED_VALUE"""),0.347062427809226)</f>
        <v>0.34706242780922603</v>
      </c>
      <c r="G831" s="17">
        <f ca="1">IFERROR(__xludf.DUMMYFUNCTION("""COMPUTED_VALUE"""),0.434328601521322)</f>
        <v>0.43432860152132202</v>
      </c>
      <c r="H831" s="17">
        <f ca="1">IFERROR(__xludf.DUMMYFUNCTION("""COMPUTED_VALUE"""),0.382023757016153)</f>
        <v>0.38202375701615299</v>
      </c>
      <c r="I831" s="17">
        <f ca="1">IFERROR(__xludf.DUMMYFUNCTION("""COMPUTED_VALUE"""),0.388641879698866)</f>
        <v>0.38864187969886599</v>
      </c>
      <c r="J831" s="17">
        <f ca="1">IFERROR(__xludf.DUMMYFUNCTION("""COMPUTED_VALUE"""),1.26926590182679)</f>
        <v>1.26926590182679</v>
      </c>
      <c r="K831" s="17" t="str">
        <f ca="1">IFERROR(__xludf.DUMMYFUNCTION("""COMPUTED_VALUE"""),"nan")</f>
        <v>nan</v>
      </c>
      <c r="L831" s="17">
        <f ca="1">IFERROR(__xludf.DUMMYFUNCTION("""COMPUTED_VALUE"""),0.378607210579642)</f>
        <v>0.37860721057964197</v>
      </c>
      <c r="M831" s="17">
        <f ca="1">IFERROR(__xludf.DUMMYFUNCTION("""COMPUTED_VALUE"""),0.381461218001802)</f>
        <v>0.38146121800180199</v>
      </c>
      <c r="N831" s="17">
        <f ca="1">IFERROR(__xludf.DUMMYFUNCTION("""COMPUTED_VALUE"""),0.329282217764287)</f>
        <v>0.32928221776428701</v>
      </c>
      <c r="O831" s="17">
        <f ca="1">IFERROR(__xludf.DUMMYFUNCTION("""COMPUTED_VALUE"""),0.514999164138993)</f>
        <v>0.51499916413899305</v>
      </c>
      <c r="P831" s="17">
        <f ca="1">IFERROR(__xludf.DUMMYFUNCTION("""COMPUTED_VALUE"""),0.937901580549067)</f>
        <v>0.93790158054906703</v>
      </c>
      <c r="Q831" s="17">
        <f ca="1">IFERROR(__xludf.DUMMYFUNCTION("""COMPUTED_VALUE"""),0.633939212336522)</f>
        <v>0.63393921233652195</v>
      </c>
      <c r="R831" s="17">
        <f ca="1">IFERROR(__xludf.DUMMYFUNCTION("""COMPUTED_VALUE"""),0.647919346905872)</f>
        <v>0.64791934690587205</v>
      </c>
      <c r="S831" s="17">
        <f ca="1">IFERROR(__xludf.DUMMYFUNCTION("""COMPUTED_VALUE"""),0.623203894020904)</f>
        <v>0.62320389402090404</v>
      </c>
      <c r="T831" s="17">
        <f ca="1">IFERROR(__xludf.DUMMYFUNCTION("""COMPUTED_VALUE"""),0.394277735718054)</f>
        <v>0.39427773571805402</v>
      </c>
      <c r="U831" s="17">
        <f ca="1">IFERROR(__xludf.DUMMYFUNCTION("""COMPUTED_VALUE"""),0.36962006107115)</f>
        <v>0.36962006107114997</v>
      </c>
      <c r="V831" s="17">
        <f ca="1">IFERROR(__xludf.DUMMYFUNCTION("""COMPUTED_VALUE"""),0.423027748367685)</f>
        <v>0.42302774836768497</v>
      </c>
      <c r="W831" s="17">
        <f ca="1">IFERROR(__xludf.DUMMYFUNCTION("""COMPUTED_VALUE"""),0.368188187065071)</f>
        <v>0.368188187065071</v>
      </c>
      <c r="X831" s="17">
        <f ca="1">IFERROR(__xludf.DUMMYFUNCTION("""COMPUTED_VALUE"""),0.352305101013526)</f>
        <v>0.35230510101352602</v>
      </c>
      <c r="Y831" s="17">
        <f ca="1">IFERROR(__xludf.DUMMYFUNCTION("""COMPUTED_VALUE"""),0.319441774377645)</f>
        <v>0.31944177437764498</v>
      </c>
      <c r="Z831" s="17">
        <f ca="1">IFERROR(__xludf.DUMMYFUNCTION("""COMPUTED_VALUE"""),0.366342238417631)</f>
        <v>0.36634223841763103</v>
      </c>
      <c r="AA831" s="17">
        <f ca="1">IFERROR(__xludf.DUMMYFUNCTION("""COMPUTED_VALUE"""),0.308906023475218)</f>
        <v>0.30890602347521801</v>
      </c>
      <c r="AB831" s="17">
        <f ca="1">IFERROR(__xludf.DUMMYFUNCTION("""COMPUTED_VALUE"""),1.63098184024315)</f>
        <v>1.63098184024315</v>
      </c>
      <c r="AC831" s="17">
        <f ca="1">IFERROR(__xludf.DUMMYFUNCTION("""COMPUTED_VALUE"""),0.653717282334242)</f>
        <v>0.65371728233424198</v>
      </c>
      <c r="AD831" s="17">
        <f ca="1">IFERROR(__xludf.DUMMYFUNCTION("""COMPUTED_VALUE"""),0.444848562693329)</f>
        <v>0.44484856269332901</v>
      </c>
      <c r="AE831" s="17">
        <f ca="1">IFERROR(__xludf.DUMMYFUNCTION("""COMPUTED_VALUE"""),0.815914283770713)</f>
        <v>0.81591428377071296</v>
      </c>
      <c r="AF831" s="17">
        <f ca="1">IFERROR(__xludf.DUMMYFUNCTION("""COMPUTED_VALUE"""),0.494943094671457)</f>
        <v>0.49494309467145697</v>
      </c>
      <c r="AG831" s="17">
        <f ca="1">IFERROR(__xludf.DUMMYFUNCTION("""COMPUTED_VALUE"""),0.732085668318932)</f>
        <v>0.73208566831893196</v>
      </c>
      <c r="AH831" s="17">
        <f ca="1">IFERROR(__xludf.DUMMYFUNCTION("""COMPUTED_VALUE"""),0.606632377988287)</f>
        <v>0.60663237798828695</v>
      </c>
      <c r="AI831" s="17">
        <f ca="1">IFERROR(__xludf.DUMMYFUNCTION("""COMPUTED_VALUE"""),0.801168646145069)</f>
        <v>0.801168646145069</v>
      </c>
      <c r="AJ831" s="17">
        <f ca="1">IFERROR(__xludf.DUMMYFUNCTION("""COMPUTED_VALUE"""),0.614011402779407)</f>
        <v>0.61401140277940702</v>
      </c>
    </row>
    <row r="832" spans="2:36" ht="15.75" customHeight="1" x14ac:dyDescent="0.45">
      <c r="B832" s="10" t="str">
        <f ca="1">IFERROR(__xludf.DUMMYFUNCTION("""COMPUTED_VALUE"""),"SwedishLeaf")</f>
        <v>SwedishLeaf</v>
      </c>
      <c r="C832" s="10" t="str">
        <f ca="1">IFERROR(__xludf.DUMMYFUNCTION("""COMPUTED_VALUE"""),"aligned_timestamps")</f>
        <v>aligned_timestamps</v>
      </c>
      <c r="D832" s="10">
        <f ca="1">IFERROR(__xludf.DUMMYFUNCTION("""COMPUTED_VALUE"""),0.1)</f>
        <v>0.1</v>
      </c>
      <c r="E832" s="17">
        <f ca="1">IFERROR(__xludf.DUMMYFUNCTION("""COMPUTED_VALUE"""),0.527418498720512)</f>
        <v>0.52741849872051205</v>
      </c>
      <c r="F832" s="17">
        <f ca="1">IFERROR(__xludf.DUMMYFUNCTION("""COMPUTED_VALUE"""),0.287599560862802)</f>
        <v>0.28759956086280197</v>
      </c>
      <c r="G832" s="17">
        <f ca="1">IFERROR(__xludf.DUMMYFUNCTION("""COMPUTED_VALUE"""),0.288031099041425)</f>
        <v>0.28803109904142499</v>
      </c>
      <c r="H832" s="17">
        <f ca="1">IFERROR(__xludf.DUMMYFUNCTION("""COMPUTED_VALUE"""),0.300261996332943)</f>
        <v>0.30026199633294298</v>
      </c>
      <c r="I832" s="17">
        <f ca="1">IFERROR(__xludf.DUMMYFUNCTION("""COMPUTED_VALUE"""),0.234845790499721)</f>
        <v>0.23484579049972101</v>
      </c>
      <c r="J832" s="17">
        <f ca="1">IFERROR(__xludf.DUMMYFUNCTION("""COMPUTED_VALUE"""),0.36419448408792)</f>
        <v>0.36419448408791999</v>
      </c>
      <c r="K832" s="17" t="str">
        <f ca="1">IFERROR(__xludf.DUMMYFUNCTION("""COMPUTED_VALUE"""),"nan")</f>
        <v>nan</v>
      </c>
      <c r="L832" s="17">
        <f ca="1">IFERROR(__xludf.DUMMYFUNCTION("""COMPUTED_VALUE"""),0.281467565607993)</f>
        <v>0.28146756560799302</v>
      </c>
      <c r="M832" s="17">
        <f ca="1">IFERROR(__xludf.DUMMYFUNCTION("""COMPUTED_VALUE"""),0.281481936648508)</f>
        <v>0.28148193664850801</v>
      </c>
      <c r="N832" s="17">
        <f ca="1">IFERROR(__xludf.DUMMYFUNCTION("""COMPUTED_VALUE"""),0.293968046574386)</f>
        <v>0.29396804657438602</v>
      </c>
      <c r="O832" s="17">
        <f ca="1">IFERROR(__xludf.DUMMYFUNCTION("""COMPUTED_VALUE"""),0.26787679976183)</f>
        <v>0.26787679976182999</v>
      </c>
      <c r="P832" s="17">
        <f ca="1">IFERROR(__xludf.DUMMYFUNCTION("""COMPUTED_VALUE"""),0.414653831948199)</f>
        <v>0.41465383194819899</v>
      </c>
      <c r="Q832" s="17">
        <f ca="1">IFERROR(__xludf.DUMMYFUNCTION("""COMPUTED_VALUE"""),0.436440044509305)</f>
        <v>0.43644004450930501</v>
      </c>
      <c r="R832" s="17">
        <f ca="1">IFERROR(__xludf.DUMMYFUNCTION("""COMPUTED_VALUE"""),0.306619359068456)</f>
        <v>0.306619359068456</v>
      </c>
      <c r="S832" s="17">
        <f ca="1">IFERROR(__xludf.DUMMYFUNCTION("""COMPUTED_VALUE"""),0.347263312667415)</f>
        <v>0.347263312667415</v>
      </c>
      <c r="T832" s="17">
        <f ca="1">IFERROR(__xludf.DUMMYFUNCTION("""COMPUTED_VALUE"""),0.289127340571356)</f>
        <v>0.28912734057135597</v>
      </c>
      <c r="U832" s="17">
        <f ca="1">IFERROR(__xludf.DUMMYFUNCTION("""COMPUTED_VALUE"""),0.267300721548582)</f>
        <v>0.26730072154858198</v>
      </c>
      <c r="V832" s="17">
        <f ca="1">IFERROR(__xludf.DUMMYFUNCTION("""COMPUTED_VALUE"""),0.27936607151098)</f>
        <v>0.27936607151097997</v>
      </c>
      <c r="W832" s="17">
        <f ca="1">IFERROR(__xludf.DUMMYFUNCTION("""COMPUTED_VALUE"""),0.28408220267479)</f>
        <v>0.28408220267479001</v>
      </c>
      <c r="X832" s="17">
        <f ca="1">IFERROR(__xludf.DUMMYFUNCTION("""COMPUTED_VALUE"""),0.33658840470955)</f>
        <v>0.33658840470954998</v>
      </c>
      <c r="Y832" s="17">
        <f ca="1">IFERROR(__xludf.DUMMYFUNCTION("""COMPUTED_VALUE"""),0.263822873522362)</f>
        <v>0.263822873522362</v>
      </c>
      <c r="Z832" s="17">
        <f ca="1">IFERROR(__xludf.DUMMYFUNCTION("""COMPUTED_VALUE"""),0.283196316384206)</f>
        <v>0.283196316384206</v>
      </c>
      <c r="AA832" s="17">
        <f ca="1">IFERROR(__xludf.DUMMYFUNCTION("""COMPUTED_VALUE"""),0.238167777316219)</f>
        <v>0.23816777731621899</v>
      </c>
      <c r="AB832" s="17">
        <f ca="1">IFERROR(__xludf.DUMMYFUNCTION("""COMPUTED_VALUE"""),0.43218666135308)</f>
        <v>0.43218666135307998</v>
      </c>
      <c r="AC832" s="17">
        <f ca="1">IFERROR(__xludf.DUMMYFUNCTION("""COMPUTED_VALUE"""),0.461157266885474)</f>
        <v>0.46115726688547398</v>
      </c>
      <c r="AD832" s="17">
        <f ca="1">IFERROR(__xludf.DUMMYFUNCTION("""COMPUTED_VALUE"""),0.30418630077661)</f>
        <v>0.30418630077661002</v>
      </c>
      <c r="AE832" s="17">
        <f ca="1">IFERROR(__xludf.DUMMYFUNCTION("""COMPUTED_VALUE"""),0.396730718355665)</f>
        <v>0.39673071835566498</v>
      </c>
      <c r="AF832" s="17">
        <f ca="1">IFERROR(__xludf.DUMMYFUNCTION("""COMPUTED_VALUE"""),0.271642974020726)</f>
        <v>0.27164297402072601</v>
      </c>
      <c r="AG832" s="17">
        <f ca="1">IFERROR(__xludf.DUMMYFUNCTION("""COMPUTED_VALUE"""),0.841217360029822)</f>
        <v>0.84121736002982195</v>
      </c>
      <c r="AH832" s="17">
        <f ca="1">IFERROR(__xludf.DUMMYFUNCTION("""COMPUTED_VALUE"""),0.335181926269429)</f>
        <v>0.335181926269429</v>
      </c>
      <c r="AI832" s="17">
        <f ca="1">IFERROR(__xludf.DUMMYFUNCTION("""COMPUTED_VALUE"""),0.359466115044727)</f>
        <v>0.35946611504472697</v>
      </c>
      <c r="AJ832" s="17">
        <f ca="1">IFERROR(__xludf.DUMMYFUNCTION("""COMPUTED_VALUE"""),0.427979866461693)</f>
        <v>0.427979866461693</v>
      </c>
    </row>
    <row r="833" spans="1:36" ht="15.75" customHeight="1" x14ac:dyDescent="0.45">
      <c r="B833" s="10" t="str">
        <f ca="1">IFERROR(__xludf.DUMMYFUNCTION("""COMPUTED_VALUE"""),"SwedishLeaf")</f>
        <v>SwedishLeaf</v>
      </c>
      <c r="C833" s="10" t="str">
        <f ca="1">IFERROR(__xludf.DUMMYFUNCTION("""COMPUTED_VALUE"""),"aligned_timestamps")</f>
        <v>aligned_timestamps</v>
      </c>
      <c r="D833" s="10">
        <f ca="1">IFERROR(__xludf.DUMMYFUNCTION("""COMPUTED_VALUE"""),0.2)</f>
        <v>0.2</v>
      </c>
      <c r="E833" s="17">
        <f ca="1">IFERROR(__xludf.DUMMYFUNCTION("""COMPUTED_VALUE"""),0.662867241520195)</f>
        <v>0.66286724152019505</v>
      </c>
      <c r="F833" s="17">
        <f ca="1">IFERROR(__xludf.DUMMYFUNCTION("""COMPUTED_VALUE"""),0.322103060620638)</f>
        <v>0.32210306062063798</v>
      </c>
      <c r="G833" s="17">
        <f ca="1">IFERROR(__xludf.DUMMYFUNCTION("""COMPUTED_VALUE"""),0.324512083363134)</f>
        <v>0.32451208336313397</v>
      </c>
      <c r="H833" s="17">
        <f ca="1">IFERROR(__xludf.DUMMYFUNCTION("""COMPUTED_VALUE"""),0.345563521624605)</f>
        <v>0.34556352162460502</v>
      </c>
      <c r="I833" s="17">
        <f ca="1">IFERROR(__xludf.DUMMYFUNCTION("""COMPUTED_VALUE"""),0.273850871150474)</f>
        <v>0.27385087115047402</v>
      </c>
      <c r="J833" s="17">
        <f ca="1">IFERROR(__xludf.DUMMYFUNCTION("""COMPUTED_VALUE"""),1.05028678077697)</f>
        <v>1.05028678077697</v>
      </c>
      <c r="K833" s="17" t="str">
        <f ca="1">IFERROR(__xludf.DUMMYFUNCTION("""COMPUTED_VALUE"""),"nan")</f>
        <v>nan</v>
      </c>
      <c r="L833" s="17">
        <f ca="1">IFERROR(__xludf.DUMMYFUNCTION("""COMPUTED_VALUE"""),0.335224072010413)</f>
        <v>0.33522407201041299</v>
      </c>
      <c r="M833" s="17">
        <f ca="1">IFERROR(__xludf.DUMMYFUNCTION("""COMPUTED_VALUE"""),0.327400082984141)</f>
        <v>0.32740008298414103</v>
      </c>
      <c r="N833" s="17">
        <f ca="1">IFERROR(__xludf.DUMMYFUNCTION("""COMPUTED_VALUE"""),0.328228303244939)</f>
        <v>0.32822830324493901</v>
      </c>
      <c r="O833" s="17">
        <f ca="1">IFERROR(__xludf.DUMMYFUNCTION("""COMPUTED_VALUE"""),0.311242975099217)</f>
        <v>0.311242975099217</v>
      </c>
      <c r="P833" s="17">
        <f ca="1">IFERROR(__xludf.DUMMYFUNCTION("""COMPUTED_VALUE"""),0.616275541484323)</f>
        <v>0.61627554148432295</v>
      </c>
      <c r="Q833" s="17">
        <f ca="1">IFERROR(__xludf.DUMMYFUNCTION("""COMPUTED_VALUE"""),0.472024599089244)</f>
        <v>0.47202459908924399</v>
      </c>
      <c r="R833" s="17">
        <f ca="1">IFERROR(__xludf.DUMMYFUNCTION("""COMPUTED_VALUE"""),0.381270987694496)</f>
        <v>0.38127098769449602</v>
      </c>
      <c r="S833" s="17">
        <f ca="1">IFERROR(__xludf.DUMMYFUNCTION("""COMPUTED_VALUE"""),0.391124743835968)</f>
        <v>0.39112474383596801</v>
      </c>
      <c r="T833" s="17">
        <f ca="1">IFERROR(__xludf.DUMMYFUNCTION("""COMPUTED_VALUE"""),0.362213352801067)</f>
        <v>0.36221335280106698</v>
      </c>
      <c r="U833" s="17">
        <f ca="1">IFERROR(__xludf.DUMMYFUNCTION("""COMPUTED_VALUE"""),0.33623646042183)</f>
        <v>0.33623646042182997</v>
      </c>
      <c r="V833" s="17">
        <f ca="1">IFERROR(__xludf.DUMMYFUNCTION("""COMPUTED_VALUE"""),0.309670002329541)</f>
        <v>0.30967000232954101</v>
      </c>
      <c r="W833" s="17">
        <f ca="1">IFERROR(__xludf.DUMMYFUNCTION("""COMPUTED_VALUE"""),0.333969342502023)</f>
        <v>0.33396934250202298</v>
      </c>
      <c r="X833" s="17">
        <f ca="1">IFERROR(__xludf.DUMMYFUNCTION("""COMPUTED_VALUE"""),0.364636055349989)</f>
        <v>0.364636055349989</v>
      </c>
      <c r="Y833" s="17">
        <f ca="1">IFERROR(__xludf.DUMMYFUNCTION("""COMPUTED_VALUE"""),0.308818731443713)</f>
        <v>0.30881873144371302</v>
      </c>
      <c r="Z833" s="17">
        <f ca="1">IFERROR(__xludf.DUMMYFUNCTION("""COMPUTED_VALUE"""),0.321769104900606)</f>
        <v>0.32176910490060601</v>
      </c>
      <c r="AA833" s="17">
        <f ca="1">IFERROR(__xludf.DUMMYFUNCTION("""COMPUTED_VALUE"""),0.273606936921502)</f>
        <v>0.27360693692150201</v>
      </c>
      <c r="AB833" s="17">
        <f ca="1">IFERROR(__xludf.DUMMYFUNCTION("""COMPUTED_VALUE"""),0.499875300629878)</f>
        <v>0.49987530062987801</v>
      </c>
      <c r="AC833" s="17">
        <f ca="1">IFERROR(__xludf.DUMMYFUNCTION("""COMPUTED_VALUE"""),0.509602181164384)</f>
        <v>0.50960218116438405</v>
      </c>
      <c r="AD833" s="17">
        <f ca="1">IFERROR(__xludf.DUMMYFUNCTION("""COMPUTED_VALUE"""),0.366299620851856)</f>
        <v>0.36629962085185602</v>
      </c>
      <c r="AE833" s="17">
        <f ca="1">IFERROR(__xludf.DUMMYFUNCTION("""COMPUTED_VALUE"""),0.788421141163616)</f>
        <v>0.78842114116361595</v>
      </c>
      <c r="AF833" s="17">
        <f ca="1">IFERROR(__xludf.DUMMYFUNCTION("""COMPUTED_VALUE"""),0.34195531830632)</f>
        <v>0.34195531830631998</v>
      </c>
      <c r="AG833" s="17">
        <f ca="1">IFERROR(__xludf.DUMMYFUNCTION("""COMPUTED_VALUE"""),0.725716634481748)</f>
        <v>0.72571663448174795</v>
      </c>
      <c r="AH833" s="17">
        <f ca="1">IFERROR(__xludf.DUMMYFUNCTION("""COMPUTED_VALUE"""),0.617061357668061)</f>
        <v>0.61706135766806103</v>
      </c>
      <c r="AI833" s="17">
        <f ca="1">IFERROR(__xludf.DUMMYFUNCTION("""COMPUTED_VALUE"""),0.81695890676258)</f>
        <v>0.81695890676257998</v>
      </c>
      <c r="AJ833" s="17">
        <f ca="1">IFERROR(__xludf.DUMMYFUNCTION("""COMPUTED_VALUE"""),0.486519094714963)</f>
        <v>0.48651909471496302</v>
      </c>
    </row>
    <row r="834" spans="1:36" ht="15.75" customHeight="1" x14ac:dyDescent="0.45">
      <c r="B834" s="10" t="str">
        <f ca="1">IFERROR(__xludf.DUMMYFUNCTION("""COMPUTED_VALUE"""),"SwedishLeaf")</f>
        <v>SwedishLeaf</v>
      </c>
      <c r="C834" s="10" t="str">
        <f ca="1">IFERROR(__xludf.DUMMYFUNCTION("""COMPUTED_VALUE"""),"aligned_timestamps")</f>
        <v>aligned_timestamps</v>
      </c>
      <c r="D834" s="10">
        <f ca="1">IFERROR(__xludf.DUMMYFUNCTION("""COMPUTED_VALUE"""),0.4)</f>
        <v>0.4</v>
      </c>
      <c r="E834" s="17">
        <f ca="1">IFERROR(__xludf.DUMMYFUNCTION("""COMPUTED_VALUE"""),0.842269707963533)</f>
        <v>0.84226970796353295</v>
      </c>
      <c r="F834" s="17">
        <f ca="1">IFERROR(__xludf.DUMMYFUNCTION("""COMPUTED_VALUE"""),0.378601414766013)</f>
        <v>0.378601414766013</v>
      </c>
      <c r="G834" s="17">
        <f ca="1">IFERROR(__xludf.DUMMYFUNCTION("""COMPUTED_VALUE"""),0.403307940375021)</f>
        <v>0.40330794037502099</v>
      </c>
      <c r="H834" s="17">
        <f ca="1">IFERROR(__xludf.DUMMYFUNCTION("""COMPUTED_VALUE"""),0.441311482373197)</f>
        <v>0.44131148237319701</v>
      </c>
      <c r="I834" s="17">
        <f ca="1">IFERROR(__xludf.DUMMYFUNCTION("""COMPUTED_VALUE"""),0.345574455304145)</f>
        <v>0.34557445530414499</v>
      </c>
      <c r="J834" s="17">
        <f ca="1">IFERROR(__xludf.DUMMYFUNCTION("""COMPUTED_VALUE"""),1.37137071580608)</f>
        <v>1.3713707158060799</v>
      </c>
      <c r="K834" s="17" t="str">
        <f ca="1">IFERROR(__xludf.DUMMYFUNCTION("""COMPUTED_VALUE"""),"nan")</f>
        <v>nan</v>
      </c>
      <c r="L834" s="17">
        <f ca="1">IFERROR(__xludf.DUMMYFUNCTION("""COMPUTED_VALUE"""),0.356244347696118)</f>
        <v>0.35624434769611801</v>
      </c>
      <c r="M834" s="17">
        <f ca="1">IFERROR(__xludf.DUMMYFUNCTION("""COMPUTED_VALUE"""),0.9102752072176)</f>
        <v>0.91027520721760002</v>
      </c>
      <c r="N834" s="17">
        <f ca="1">IFERROR(__xludf.DUMMYFUNCTION("""COMPUTED_VALUE"""),0.419037286831014)</f>
        <v>0.41903728683101399</v>
      </c>
      <c r="O834" s="17">
        <f ca="1">IFERROR(__xludf.DUMMYFUNCTION("""COMPUTED_VALUE"""),0.379422912176408)</f>
        <v>0.379422912176408</v>
      </c>
      <c r="P834" s="17">
        <f ca="1">IFERROR(__xludf.DUMMYFUNCTION("""COMPUTED_VALUE"""),0.94645899714586)</f>
        <v>0.94645899714586001</v>
      </c>
      <c r="Q834" s="17">
        <f ca="1">IFERROR(__xludf.DUMMYFUNCTION("""COMPUTED_VALUE"""),0.56701100644631)</f>
        <v>0.56701100644630997</v>
      </c>
      <c r="R834" s="17">
        <f ca="1">IFERROR(__xludf.DUMMYFUNCTION("""COMPUTED_VALUE"""),0.527018581520485)</f>
        <v>0.52701858152048497</v>
      </c>
      <c r="S834" s="17">
        <f ca="1">IFERROR(__xludf.DUMMYFUNCTION("""COMPUTED_VALUE"""),0.507143662609611)</f>
        <v>0.50714366260961097</v>
      </c>
      <c r="T834" s="17">
        <f ca="1">IFERROR(__xludf.DUMMYFUNCTION("""COMPUTED_VALUE"""),0.515193727878014)</f>
        <v>0.51519372787801399</v>
      </c>
      <c r="U834" s="17">
        <f ca="1">IFERROR(__xludf.DUMMYFUNCTION("""COMPUTED_VALUE"""),0.427849658103397)</f>
        <v>0.42784965810339698</v>
      </c>
      <c r="V834" s="17">
        <f ca="1">IFERROR(__xludf.DUMMYFUNCTION("""COMPUTED_VALUE"""),0.496133408285275)</f>
        <v>0.49613340828527502</v>
      </c>
      <c r="W834" s="17">
        <f ca="1">IFERROR(__xludf.DUMMYFUNCTION("""COMPUTED_VALUE"""),0.415994895540093)</f>
        <v>0.415994895540093</v>
      </c>
      <c r="X834" s="17">
        <f ca="1">IFERROR(__xludf.DUMMYFUNCTION("""COMPUTED_VALUE"""),0.453088524315541)</f>
        <v>0.45308852431554097</v>
      </c>
      <c r="Y834" s="17">
        <f ca="1">IFERROR(__xludf.DUMMYFUNCTION("""COMPUTED_VALUE"""),0.425947874676442)</f>
        <v>0.42594787467644202</v>
      </c>
      <c r="Z834" s="17">
        <f ca="1">IFERROR(__xludf.DUMMYFUNCTION("""COMPUTED_VALUE"""),0.677495593016206)</f>
        <v>0.67749559301620599</v>
      </c>
      <c r="AA834" s="17">
        <f ca="1">IFERROR(__xludf.DUMMYFUNCTION("""COMPUTED_VALUE"""),0.538238100482531)</f>
        <v>0.53823810048253096</v>
      </c>
      <c r="AB834" s="17">
        <f ca="1">IFERROR(__xludf.DUMMYFUNCTION("""COMPUTED_VALUE"""),0.538468146176776)</f>
        <v>0.53846814617677596</v>
      </c>
      <c r="AC834" s="17">
        <f ca="1">IFERROR(__xludf.DUMMYFUNCTION("""COMPUTED_VALUE"""),0.713441534373315)</f>
        <v>0.71344153437331503</v>
      </c>
      <c r="AD834" s="17">
        <f ca="1">IFERROR(__xludf.DUMMYFUNCTION("""COMPUTED_VALUE"""),0.559790358528793)</f>
        <v>0.559790358528793</v>
      </c>
      <c r="AE834" s="17">
        <f ca="1">IFERROR(__xludf.DUMMYFUNCTION("""COMPUTED_VALUE"""),1.30404089800149)</f>
        <v>1.3040408980014899</v>
      </c>
      <c r="AF834" s="17">
        <f ca="1">IFERROR(__xludf.DUMMYFUNCTION("""COMPUTED_VALUE"""),0.476911369333247)</f>
        <v>0.47691136933324701</v>
      </c>
      <c r="AG834" s="17">
        <f ca="1">IFERROR(__xludf.DUMMYFUNCTION("""COMPUTED_VALUE"""),1.29819400187955)</f>
        <v>1.2981940018795499</v>
      </c>
      <c r="AH834" s="17">
        <f ca="1">IFERROR(__xludf.DUMMYFUNCTION("""COMPUTED_VALUE"""),1.37573636584247)</f>
        <v>1.3757363658424699</v>
      </c>
      <c r="AI834" s="17">
        <f ca="1">IFERROR(__xludf.DUMMYFUNCTION("""COMPUTED_VALUE"""),1.32381433334484)</f>
        <v>1.32381433334484</v>
      </c>
      <c r="AJ834" s="17">
        <f ca="1">IFERROR(__xludf.DUMMYFUNCTION("""COMPUTED_VALUE"""),1.26976893578812)</f>
        <v>1.2697689357881199</v>
      </c>
    </row>
    <row r="835" spans="1:36" ht="15.75" customHeight="1" x14ac:dyDescent="0.45">
      <c r="B835" s="10" t="str">
        <f ca="1">IFERROR(__xludf.DUMMYFUNCTION("""COMPUTED_VALUE"""),"SwedishLeaf")</f>
        <v>SwedishLeaf</v>
      </c>
      <c r="C835" s="10" t="str">
        <f ca="1">IFERROR(__xludf.DUMMYFUNCTION("""COMPUTED_VALUE"""),"aligned_timestamps")</f>
        <v>aligned_timestamps</v>
      </c>
      <c r="D835" s="10">
        <f ca="1">IFERROR(__xludf.DUMMYFUNCTION("""COMPUTED_VALUE"""),0.6)</f>
        <v>0.6</v>
      </c>
      <c r="E835" s="17">
        <f ca="1">IFERROR(__xludf.DUMMYFUNCTION("""COMPUTED_VALUE"""),0.985216559908333)</f>
        <v>0.98521655990833301</v>
      </c>
      <c r="F835" s="17">
        <f ca="1">IFERROR(__xludf.DUMMYFUNCTION("""COMPUTED_VALUE"""),0.517373904452302)</f>
        <v>0.51737390445230202</v>
      </c>
      <c r="G835" s="17">
        <f ca="1">IFERROR(__xludf.DUMMYFUNCTION("""COMPUTED_VALUE"""),0.614823608080694)</f>
        <v>0.61482360808069403</v>
      </c>
      <c r="H835" s="17">
        <f ca="1">IFERROR(__xludf.DUMMYFUNCTION("""COMPUTED_VALUE"""),0.569676414341075)</f>
        <v>0.56967641434107497</v>
      </c>
      <c r="I835" s="17">
        <f ca="1">IFERROR(__xludf.DUMMYFUNCTION("""COMPUTED_VALUE"""),0.520078248508696)</f>
        <v>0.52007824850869599</v>
      </c>
      <c r="J835" s="17">
        <f ca="1">IFERROR(__xludf.DUMMYFUNCTION("""COMPUTED_VALUE"""),1.28447802619816)</f>
        <v>1.2844780261981601</v>
      </c>
      <c r="K835" s="17" t="str">
        <f ca="1">IFERROR(__xludf.DUMMYFUNCTION("""COMPUTED_VALUE"""),"nan")</f>
        <v>nan</v>
      </c>
      <c r="L835" s="17">
        <f ca="1">IFERROR(__xludf.DUMMYFUNCTION("""COMPUTED_VALUE"""),0.513722604251672)</f>
        <v>0.51372260425167204</v>
      </c>
      <c r="M835" s="17">
        <f ca="1">IFERROR(__xludf.DUMMYFUNCTION("""COMPUTED_VALUE"""),1.16718633978471)</f>
        <v>1.16718633978471</v>
      </c>
      <c r="N835" s="17">
        <f ca="1">IFERROR(__xludf.DUMMYFUNCTION("""COMPUTED_VALUE"""),0.502804131229798)</f>
        <v>0.50280413122979795</v>
      </c>
      <c r="O835" s="17">
        <f ca="1">IFERROR(__xludf.DUMMYFUNCTION("""COMPUTED_VALUE"""),0.677235167625738)</f>
        <v>0.67723516762573799</v>
      </c>
      <c r="P835" s="17">
        <f ca="1">IFERROR(__xludf.DUMMYFUNCTION("""COMPUTED_VALUE"""),1.01517608522259)</f>
        <v>1.01517608522259</v>
      </c>
      <c r="Q835" s="17">
        <f ca="1">IFERROR(__xludf.DUMMYFUNCTION("""COMPUTED_VALUE"""),0.666719443387711)</f>
        <v>0.66671944338771105</v>
      </c>
      <c r="R835" s="17">
        <f ca="1">IFERROR(__xludf.DUMMYFUNCTION("""COMPUTED_VALUE"""),0.642034929893439)</f>
        <v>0.64203492989343902</v>
      </c>
      <c r="S835" s="17">
        <f ca="1">IFERROR(__xludf.DUMMYFUNCTION("""COMPUTED_VALUE"""),0.579672898916364)</f>
        <v>0.57967289891636398</v>
      </c>
      <c r="T835" s="17">
        <f ca="1">IFERROR(__xludf.DUMMYFUNCTION("""COMPUTED_VALUE"""),0.575519379953154)</f>
        <v>0.57551937995315405</v>
      </c>
      <c r="U835" s="17">
        <f ca="1">IFERROR(__xludf.DUMMYFUNCTION("""COMPUTED_VALUE"""),0.554758091246346)</f>
        <v>0.55475809124634601</v>
      </c>
      <c r="V835" s="17">
        <f ca="1">IFERROR(__xludf.DUMMYFUNCTION("""COMPUTED_VALUE"""),0.603602037870772)</f>
        <v>0.60360203787077205</v>
      </c>
      <c r="W835" s="17">
        <f ca="1">IFERROR(__xludf.DUMMYFUNCTION("""COMPUTED_VALUE"""),0.699164074580456)</f>
        <v>0.69916407458045604</v>
      </c>
      <c r="X835" s="17">
        <f ca="1">IFERROR(__xludf.DUMMYFUNCTION("""COMPUTED_VALUE"""),0.577605427621238)</f>
        <v>0.57760542762123801</v>
      </c>
      <c r="Y835" s="17">
        <f ca="1">IFERROR(__xludf.DUMMYFUNCTION("""COMPUTED_VALUE"""),0.482736514451711)</f>
        <v>0.48273651445171101</v>
      </c>
      <c r="Z835" s="17">
        <f ca="1">IFERROR(__xludf.DUMMYFUNCTION("""COMPUTED_VALUE"""),0.864155049106512)</f>
        <v>0.86415504910651197</v>
      </c>
      <c r="AA835" s="17">
        <f ca="1">IFERROR(__xludf.DUMMYFUNCTION("""COMPUTED_VALUE"""),0.659542437465668)</f>
        <v>0.65954243746566799</v>
      </c>
      <c r="AB835" s="17">
        <f ca="1">IFERROR(__xludf.DUMMYFUNCTION("""COMPUTED_VALUE"""),0.730341136133617)</f>
        <v>0.73034113613361695</v>
      </c>
      <c r="AC835" s="17">
        <f ca="1">IFERROR(__xludf.DUMMYFUNCTION("""COMPUTED_VALUE"""),0.81913523115064)</f>
        <v>0.81913523115064002</v>
      </c>
      <c r="AD835" s="17">
        <f ca="1">IFERROR(__xludf.DUMMYFUNCTION("""COMPUTED_VALUE"""),0.606758680854885)</f>
        <v>0.60675868085488505</v>
      </c>
      <c r="AE835" s="17">
        <f ca="1">IFERROR(__xludf.DUMMYFUNCTION("""COMPUTED_VALUE"""),1.3503711413953)</f>
        <v>1.3503711413952999</v>
      </c>
      <c r="AF835" s="17">
        <f ca="1">IFERROR(__xludf.DUMMYFUNCTION("""COMPUTED_VALUE"""),0.56140605047055)</f>
        <v>0.56140605047055003</v>
      </c>
      <c r="AG835" s="17">
        <f ca="1">IFERROR(__xludf.DUMMYFUNCTION("""COMPUTED_VALUE"""),1.11178773128092)</f>
        <v>1.1117877312809199</v>
      </c>
      <c r="AH835" s="17">
        <f ca="1">IFERROR(__xludf.DUMMYFUNCTION("""COMPUTED_VALUE"""),1.09491458651521)</f>
        <v>1.0949145865152099</v>
      </c>
      <c r="AI835" s="17">
        <f ca="1">IFERROR(__xludf.DUMMYFUNCTION("""COMPUTED_VALUE"""),1.09337241559904)</f>
        <v>1.0933724155990401</v>
      </c>
      <c r="AJ835" s="17">
        <f ca="1">IFERROR(__xludf.DUMMYFUNCTION("""COMPUTED_VALUE"""),1.10777487594625)</f>
        <v>1.10777487594625</v>
      </c>
    </row>
    <row r="836" spans="1:36" ht="15.75" customHeight="1" x14ac:dyDescent="0.45">
      <c r="B836" s="10" t="str">
        <f ca="1">IFERROR(__xludf.DUMMYFUNCTION("""COMPUTED_VALUE"""),"SwedishLeaf")</f>
        <v>SwedishLeaf</v>
      </c>
      <c r="C836" s="10" t="str">
        <f ca="1">IFERROR(__xludf.DUMMYFUNCTION("""COMPUTED_VALUE"""),"aligned_timestamps")</f>
        <v>aligned_timestamps</v>
      </c>
      <c r="D836" s="10">
        <f ca="1">IFERROR(__xludf.DUMMYFUNCTION("""COMPUTED_VALUE"""),0.8)</f>
        <v>0.8</v>
      </c>
      <c r="E836" s="17">
        <f ca="1">IFERROR(__xludf.DUMMYFUNCTION("""COMPUTED_VALUE"""),0.985913491174734)</f>
        <v>0.98591349117473404</v>
      </c>
      <c r="F836" s="17">
        <f ca="1">IFERROR(__xludf.DUMMYFUNCTION("""COMPUTED_VALUE"""),0.526176481627826)</f>
        <v>0.52617648162782604</v>
      </c>
      <c r="G836" s="17">
        <f ca="1">IFERROR(__xludf.DUMMYFUNCTION("""COMPUTED_VALUE"""),0.721895709981757)</f>
        <v>0.72189570998175701</v>
      </c>
      <c r="H836" s="17">
        <f ca="1">IFERROR(__xludf.DUMMYFUNCTION("""COMPUTED_VALUE"""),0.542666124494244)</f>
        <v>0.54266612449424401</v>
      </c>
      <c r="I836" s="17">
        <f ca="1">IFERROR(__xludf.DUMMYFUNCTION("""COMPUTED_VALUE"""),0.612316252817134)</f>
        <v>0.61231625281713398</v>
      </c>
      <c r="J836" s="17">
        <f ca="1">IFERROR(__xludf.DUMMYFUNCTION("""COMPUTED_VALUE"""),1.43791218601238)</f>
        <v>1.43791218601238</v>
      </c>
      <c r="K836" s="17" t="str">
        <f ca="1">IFERROR(__xludf.DUMMYFUNCTION("""COMPUTED_VALUE"""),"nan")</f>
        <v>nan</v>
      </c>
      <c r="L836" s="17">
        <f ca="1">IFERROR(__xludf.DUMMYFUNCTION("""COMPUTED_VALUE"""),0.564004777687509)</f>
        <v>0.56400477768750901</v>
      </c>
      <c r="M836" s="17">
        <f ca="1">IFERROR(__xludf.DUMMYFUNCTION("""COMPUTED_VALUE"""),1.31380128851939)</f>
        <v>1.3138012885193899</v>
      </c>
      <c r="N836" s="17">
        <f ca="1">IFERROR(__xludf.DUMMYFUNCTION("""COMPUTED_VALUE"""),0.515978517764604)</f>
        <v>0.51597851776460402</v>
      </c>
      <c r="O836" s="17">
        <f ca="1">IFERROR(__xludf.DUMMYFUNCTION("""COMPUTED_VALUE"""),0.690221228172018)</f>
        <v>0.69022122817201803</v>
      </c>
      <c r="P836" s="17">
        <f ca="1">IFERROR(__xludf.DUMMYFUNCTION("""COMPUTED_VALUE"""),1.47767405033568)</f>
        <v>1.47767405033568</v>
      </c>
      <c r="Q836" s="17">
        <f ca="1">IFERROR(__xludf.DUMMYFUNCTION("""COMPUTED_VALUE"""),0.641169369004268)</f>
        <v>0.64116936900426802</v>
      </c>
      <c r="R836" s="17">
        <f ca="1">IFERROR(__xludf.DUMMYFUNCTION("""COMPUTED_VALUE"""),0.751741682152966)</f>
        <v>0.751741682152966</v>
      </c>
      <c r="S836" s="17">
        <f ca="1">IFERROR(__xludf.DUMMYFUNCTION("""COMPUTED_VALUE"""),0.764118939403886)</f>
        <v>0.76411893940388598</v>
      </c>
      <c r="T836" s="17">
        <f ca="1">IFERROR(__xludf.DUMMYFUNCTION("""COMPUTED_VALUE"""),0.651612629419109)</f>
        <v>0.65161262941910902</v>
      </c>
      <c r="U836" s="17">
        <f ca="1">IFERROR(__xludf.DUMMYFUNCTION("""COMPUTED_VALUE"""),0.628097299801831)</f>
        <v>0.62809729980183104</v>
      </c>
      <c r="V836" s="17">
        <f ca="1">IFERROR(__xludf.DUMMYFUNCTION("""COMPUTED_VALUE"""),0.980373636362587)</f>
        <v>0.98037363636258701</v>
      </c>
      <c r="W836" s="17">
        <f ca="1">IFERROR(__xludf.DUMMYFUNCTION("""COMPUTED_VALUE"""),0.799901368574133)</f>
        <v>0.79990136857413296</v>
      </c>
      <c r="X836" s="17">
        <f ca="1">IFERROR(__xludf.DUMMYFUNCTION("""COMPUTED_VALUE"""),0.494233194623125)</f>
        <v>0.49423319462312498</v>
      </c>
      <c r="Y836" s="17">
        <f ca="1">IFERROR(__xludf.DUMMYFUNCTION("""COMPUTED_VALUE"""),0.73953947851515)</f>
        <v>0.73953947851515001</v>
      </c>
      <c r="Z836" s="17">
        <f ca="1">IFERROR(__xludf.DUMMYFUNCTION("""COMPUTED_VALUE"""),0.959830507581441)</f>
        <v>0.95983050758144095</v>
      </c>
      <c r="AA836" s="17">
        <f ca="1">IFERROR(__xludf.DUMMYFUNCTION("""COMPUTED_VALUE"""),0.762887697137267)</f>
        <v>0.76288769713726701</v>
      </c>
      <c r="AB836" s="17">
        <f ca="1">IFERROR(__xludf.DUMMYFUNCTION("""COMPUTED_VALUE"""),0.999287042527189)</f>
        <v>0.99928704252718903</v>
      </c>
      <c r="AC836" s="17">
        <f ca="1">IFERROR(__xludf.DUMMYFUNCTION("""COMPUTED_VALUE"""),0.804665980345502)</f>
        <v>0.80466598034550196</v>
      </c>
      <c r="AD836" s="17">
        <f ca="1">IFERROR(__xludf.DUMMYFUNCTION("""COMPUTED_VALUE"""),0.621859259110284)</f>
        <v>0.62185925911028395</v>
      </c>
      <c r="AE836" s="17">
        <f ca="1">IFERROR(__xludf.DUMMYFUNCTION("""COMPUTED_VALUE"""),2.40041250329534)</f>
        <v>2.4004125032953398</v>
      </c>
      <c r="AF836" s="17">
        <f ca="1">IFERROR(__xludf.DUMMYFUNCTION("""COMPUTED_VALUE"""),1.06682804572579)</f>
        <v>1.0668280457257899</v>
      </c>
      <c r="AG836" s="17">
        <f ca="1">IFERROR(__xludf.DUMMYFUNCTION("""COMPUTED_VALUE"""),1.02310061819429)</f>
        <v>1.0231006181942901</v>
      </c>
      <c r="AH836" s="17">
        <f ca="1">IFERROR(__xludf.DUMMYFUNCTION("""COMPUTED_VALUE"""),1.0082274759954)</f>
        <v>1.0082274759954</v>
      </c>
      <c r="AI836" s="17">
        <f ca="1">IFERROR(__xludf.DUMMYFUNCTION("""COMPUTED_VALUE"""),1.05054717459244)</f>
        <v>1.05054717459244</v>
      </c>
      <c r="AJ836" s="17">
        <f ca="1">IFERROR(__xludf.DUMMYFUNCTION("""COMPUTED_VALUE"""),1.05324397959989)</f>
        <v>1.05324397959989</v>
      </c>
    </row>
    <row r="837" spans="1:36" ht="15.75" customHeight="1" x14ac:dyDescent="0.45">
      <c r="B837" s="10" t="str">
        <f ca="1">IFERROR(__xludf.DUMMYFUNCTION("""COMPUTED_VALUE"""),"SwedishLeaf")</f>
        <v>SwedishLeaf</v>
      </c>
      <c r="C837" s="10" t="str">
        <f ca="1">IFERROR(__xludf.DUMMYFUNCTION("""COMPUTED_VALUE"""),"mcar")</f>
        <v>mcar</v>
      </c>
      <c r="D837" s="10">
        <f ca="1">IFERROR(__xludf.DUMMYFUNCTION("""COMPUTED_VALUE"""),0.1)</f>
        <v>0.1</v>
      </c>
      <c r="E837" s="17">
        <f ca="1">IFERROR(__xludf.DUMMYFUNCTION("""COMPUTED_VALUE"""),0.974341739009717)</f>
        <v>0.97434173900971699</v>
      </c>
      <c r="F837" s="17">
        <f ca="1">IFERROR(__xludf.DUMMYFUNCTION("""COMPUTED_VALUE"""),0.344308349151032)</f>
        <v>0.34430834915103198</v>
      </c>
      <c r="G837" s="17">
        <f ca="1">IFERROR(__xludf.DUMMYFUNCTION("""COMPUTED_VALUE"""),0.346818792424647)</f>
        <v>0.34681879242464703</v>
      </c>
      <c r="H837" s="17">
        <f ca="1">IFERROR(__xludf.DUMMYFUNCTION("""COMPUTED_VALUE"""),0.342824087686877)</f>
        <v>0.342824087686877</v>
      </c>
      <c r="I837" s="17">
        <f ca="1">IFERROR(__xludf.DUMMYFUNCTION("""COMPUTED_VALUE"""),0.259345053289478)</f>
        <v>0.25934505328947799</v>
      </c>
      <c r="J837" s="17">
        <f ca="1">IFERROR(__xludf.DUMMYFUNCTION("""COMPUTED_VALUE"""),0.302439235837245)</f>
        <v>0.30243923583724502</v>
      </c>
      <c r="K837" s="17" t="str">
        <f ca="1">IFERROR(__xludf.DUMMYFUNCTION("""COMPUTED_VALUE"""),"nan")</f>
        <v>nan</v>
      </c>
      <c r="L837" s="17">
        <f ca="1">IFERROR(__xludf.DUMMYFUNCTION("""COMPUTED_VALUE"""),0.284509082174314)</f>
        <v>0.28450908217431398</v>
      </c>
      <c r="M837" s="17">
        <f ca="1">IFERROR(__xludf.DUMMYFUNCTION("""COMPUTED_VALUE"""),0.374898556122719)</f>
        <v>0.374898556122719</v>
      </c>
      <c r="N837" s="17">
        <f ca="1">IFERROR(__xludf.DUMMYFUNCTION("""COMPUTED_VALUE"""),0.28414063451807)</f>
        <v>0.28414063451806998</v>
      </c>
      <c r="O837" s="17">
        <f ca="1">IFERROR(__xludf.DUMMYFUNCTION("""COMPUTED_VALUE"""),0.288032706243157)</f>
        <v>0.28803270624315702</v>
      </c>
      <c r="P837" s="17">
        <f ca="1">IFERROR(__xludf.DUMMYFUNCTION("""COMPUTED_VALUE"""),0.64241752732441)</f>
        <v>0.64241752732441004</v>
      </c>
      <c r="Q837" s="17">
        <f ca="1">IFERROR(__xludf.DUMMYFUNCTION("""COMPUTED_VALUE"""),0.512918314048257)</f>
        <v>0.51291831404825705</v>
      </c>
      <c r="R837" s="17">
        <f ca="1">IFERROR(__xludf.DUMMYFUNCTION("""COMPUTED_VALUE"""),0.279324245559998)</f>
        <v>0.27932424555999802</v>
      </c>
      <c r="S837" s="17">
        <f ca="1">IFERROR(__xludf.DUMMYFUNCTION("""COMPUTED_VALUE"""),0.442575595473547)</f>
        <v>0.44257559547354702</v>
      </c>
      <c r="T837" s="17">
        <f ca="1">IFERROR(__xludf.DUMMYFUNCTION("""COMPUTED_VALUE"""),0.310465002103387)</f>
        <v>0.31046500210338701</v>
      </c>
      <c r="U837" s="17">
        <f ca="1">IFERROR(__xludf.DUMMYFUNCTION("""COMPUTED_VALUE"""),0.290011276350977)</f>
        <v>0.29001127635097701</v>
      </c>
      <c r="V837" s="17">
        <f ca="1">IFERROR(__xludf.DUMMYFUNCTION("""COMPUTED_VALUE"""),0.321790166912332)</f>
        <v>0.32179016691233198</v>
      </c>
      <c r="W837" s="17">
        <f ca="1">IFERROR(__xludf.DUMMYFUNCTION("""COMPUTED_VALUE"""),0.388309621025601)</f>
        <v>0.38830962102560102</v>
      </c>
      <c r="X837" s="17">
        <f ca="1">IFERROR(__xludf.DUMMYFUNCTION("""COMPUTED_VALUE"""),0.819123045930792)</f>
        <v>0.81912304593079199</v>
      </c>
      <c r="Y837" s="17">
        <f ca="1">IFERROR(__xludf.DUMMYFUNCTION("""COMPUTED_VALUE"""),0.279826887589422)</f>
        <v>0.27982688758942198</v>
      </c>
      <c r="Z837" s="17">
        <f ca="1">IFERROR(__xludf.DUMMYFUNCTION("""COMPUTED_VALUE"""),0.301486354055505)</f>
        <v>0.301486354055505</v>
      </c>
      <c r="AA837" s="17">
        <f ca="1">IFERROR(__xludf.DUMMYFUNCTION("""COMPUTED_VALUE"""),0.218712604691049)</f>
        <v>0.218712604691049</v>
      </c>
      <c r="AB837" s="17">
        <f ca="1">IFERROR(__xludf.DUMMYFUNCTION("""COMPUTED_VALUE"""),0.364935660330507)</f>
        <v>0.36493566033050701</v>
      </c>
      <c r="AC837" s="17">
        <f ca="1">IFERROR(__xludf.DUMMYFUNCTION("""COMPUTED_VALUE"""),0.449828316252835)</f>
        <v>0.44982831625283498</v>
      </c>
      <c r="AD837" s="17">
        <f ca="1">IFERROR(__xludf.DUMMYFUNCTION("""COMPUTED_VALUE"""),0.374556035353703)</f>
        <v>0.37455603535370302</v>
      </c>
      <c r="AE837" s="17">
        <f ca="1">IFERROR(__xludf.DUMMYFUNCTION("""COMPUTED_VALUE"""),0.695577329670888)</f>
        <v>0.69557732967088803</v>
      </c>
      <c r="AF837" s="17">
        <f ca="1">IFERROR(__xludf.DUMMYFUNCTION("""COMPUTED_VALUE"""),0.352221239862383)</f>
        <v>0.35222123986238302</v>
      </c>
      <c r="AG837" s="17">
        <f ca="1">IFERROR(__xludf.DUMMYFUNCTION("""COMPUTED_VALUE"""),0.77969148399921)</f>
        <v>0.77969148399920996</v>
      </c>
      <c r="AH837" s="17">
        <f ca="1">IFERROR(__xludf.DUMMYFUNCTION("""COMPUTED_VALUE"""),0.477205792268021)</f>
        <v>0.47720579226802101</v>
      </c>
      <c r="AI837" s="17">
        <f ca="1">IFERROR(__xludf.DUMMYFUNCTION("""COMPUTED_VALUE"""),0.467553920830578)</f>
        <v>0.46755392083057801</v>
      </c>
      <c r="AJ837" s="17">
        <f ca="1">IFERROR(__xludf.DUMMYFUNCTION("""COMPUTED_VALUE"""),0.362536671926904)</f>
        <v>0.36253667192690398</v>
      </c>
    </row>
    <row r="838" spans="1:36" ht="15.75" customHeight="1" x14ac:dyDescent="0.45">
      <c r="B838" s="10" t="str">
        <f ca="1">IFERROR(__xludf.DUMMYFUNCTION("""COMPUTED_VALUE"""),"SwedishLeaf")</f>
        <v>SwedishLeaf</v>
      </c>
      <c r="C838" s="10" t="str">
        <f ca="1">IFERROR(__xludf.DUMMYFUNCTION("""COMPUTED_VALUE"""),"mcar")</f>
        <v>mcar</v>
      </c>
      <c r="D838" s="10">
        <f ca="1">IFERROR(__xludf.DUMMYFUNCTION("""COMPUTED_VALUE"""),0.2)</f>
        <v>0.2</v>
      </c>
      <c r="E838" s="17">
        <f ca="1">IFERROR(__xludf.DUMMYFUNCTION("""COMPUTED_VALUE"""),0.943624003723056)</f>
        <v>0.94362400372305599</v>
      </c>
      <c r="F838" s="17">
        <f ca="1">IFERROR(__xludf.DUMMYFUNCTION("""COMPUTED_VALUE"""),0.35338475744985)</f>
        <v>0.35338475744984998</v>
      </c>
      <c r="G838" s="17">
        <f ca="1">IFERROR(__xludf.DUMMYFUNCTION("""COMPUTED_VALUE"""),0.356352951727507)</f>
        <v>0.35635295172750697</v>
      </c>
      <c r="H838" s="17">
        <f ca="1">IFERROR(__xludf.DUMMYFUNCTION("""COMPUTED_VALUE"""),0.36526425553576)</f>
        <v>0.36526425553575997</v>
      </c>
      <c r="I838" s="17">
        <f ca="1">IFERROR(__xludf.DUMMYFUNCTION("""COMPUTED_VALUE"""),0.27796210756633)</f>
        <v>0.27796210756633</v>
      </c>
      <c r="J838" s="17">
        <f ca="1">IFERROR(__xludf.DUMMYFUNCTION("""COMPUTED_VALUE"""),0.345513773124943)</f>
        <v>0.34551377312494302</v>
      </c>
      <c r="K838" s="17" t="str">
        <f ca="1">IFERROR(__xludf.DUMMYFUNCTION("""COMPUTED_VALUE"""),"nan")</f>
        <v>nan</v>
      </c>
      <c r="L838" s="17">
        <f ca="1">IFERROR(__xludf.DUMMYFUNCTION("""COMPUTED_VALUE"""),0.307281261309355)</f>
        <v>0.30728126130935501</v>
      </c>
      <c r="M838" s="17">
        <f ca="1">IFERROR(__xludf.DUMMYFUNCTION("""COMPUTED_VALUE"""),0.375201970386234)</f>
        <v>0.37520197038623398</v>
      </c>
      <c r="N838" s="17">
        <f ca="1">IFERROR(__xludf.DUMMYFUNCTION("""COMPUTED_VALUE"""),0.306148406745378)</f>
        <v>0.30614840674537802</v>
      </c>
      <c r="O838" s="17">
        <f ca="1">IFERROR(__xludf.DUMMYFUNCTION("""COMPUTED_VALUE"""),0.304377864824387)</f>
        <v>0.304377864824387</v>
      </c>
      <c r="P838" s="17">
        <f ca="1">IFERROR(__xludf.DUMMYFUNCTION("""COMPUTED_VALUE"""),0.634814493624086)</f>
        <v>0.63481449362408604</v>
      </c>
      <c r="Q838" s="17">
        <f ca="1">IFERROR(__xludf.DUMMYFUNCTION("""COMPUTED_VALUE"""),0.539435470668851)</f>
        <v>0.539435470668851</v>
      </c>
      <c r="R838" s="17">
        <f ca="1">IFERROR(__xludf.DUMMYFUNCTION("""COMPUTED_VALUE"""),0.313315356535201)</f>
        <v>0.31331535653520098</v>
      </c>
      <c r="S838" s="17">
        <f ca="1">IFERROR(__xludf.DUMMYFUNCTION("""COMPUTED_VALUE"""),0.528027527403773)</f>
        <v>0.52802752740377301</v>
      </c>
      <c r="T838" s="17">
        <f ca="1">IFERROR(__xludf.DUMMYFUNCTION("""COMPUTED_VALUE"""),0.353736670025385)</f>
        <v>0.353736670025385</v>
      </c>
      <c r="U838" s="17">
        <f ca="1">IFERROR(__xludf.DUMMYFUNCTION("""COMPUTED_VALUE"""),0.333280837834619)</f>
        <v>0.33328083783461898</v>
      </c>
      <c r="V838" s="17">
        <f ca="1">IFERROR(__xludf.DUMMYFUNCTION("""COMPUTED_VALUE"""),0.371871086202216)</f>
        <v>0.37187108620221598</v>
      </c>
      <c r="W838" s="17">
        <f ca="1">IFERROR(__xludf.DUMMYFUNCTION("""COMPUTED_VALUE"""),0.401469697637293)</f>
        <v>0.40146969763729301</v>
      </c>
      <c r="X838" s="17">
        <f ca="1">IFERROR(__xludf.DUMMYFUNCTION("""COMPUTED_VALUE"""),0.383170204120907)</f>
        <v>0.38317020412090702</v>
      </c>
      <c r="Y838" s="17">
        <f ca="1">IFERROR(__xludf.DUMMYFUNCTION("""COMPUTED_VALUE"""),0.300263101462844)</f>
        <v>0.30026310146284402</v>
      </c>
      <c r="Z838" s="17">
        <f ca="1">IFERROR(__xludf.DUMMYFUNCTION("""COMPUTED_VALUE"""),0.403294690555588)</f>
        <v>0.40329469055558798</v>
      </c>
      <c r="AA838" s="17">
        <f ca="1">IFERROR(__xludf.DUMMYFUNCTION("""COMPUTED_VALUE"""),0.245191419947155)</f>
        <v>0.24519141994715499</v>
      </c>
      <c r="AB838" s="17">
        <f ca="1">IFERROR(__xludf.DUMMYFUNCTION("""COMPUTED_VALUE"""),0.398915330205077)</f>
        <v>0.39891533020507702</v>
      </c>
      <c r="AC838" s="17">
        <f ca="1">IFERROR(__xludf.DUMMYFUNCTION("""COMPUTED_VALUE"""),0.515139544893248)</f>
        <v>0.51513954489324798</v>
      </c>
      <c r="AD838" s="17">
        <f ca="1">IFERROR(__xludf.DUMMYFUNCTION("""COMPUTED_VALUE"""),0.406296666366288)</f>
        <v>0.40629666636628797</v>
      </c>
      <c r="AE838" s="17">
        <f ca="1">IFERROR(__xludf.DUMMYFUNCTION("""COMPUTED_VALUE"""),0.760318713235357)</f>
        <v>0.76031871323535705</v>
      </c>
      <c r="AF838" s="17">
        <f ca="1">IFERROR(__xludf.DUMMYFUNCTION("""COMPUTED_VALUE"""),0.403752326116651)</f>
        <v>0.40375232611665102</v>
      </c>
      <c r="AG838" s="17">
        <f ca="1">IFERROR(__xludf.DUMMYFUNCTION("""COMPUTED_VALUE"""),0.804671781137303)</f>
        <v>0.80467178113730298</v>
      </c>
      <c r="AH838" s="17">
        <f ca="1">IFERROR(__xludf.DUMMYFUNCTION("""COMPUTED_VALUE"""),0.705212680945488)</f>
        <v>0.70521268094548795</v>
      </c>
      <c r="AI838" s="17">
        <f ca="1">IFERROR(__xludf.DUMMYFUNCTION("""COMPUTED_VALUE"""),0.918157955325115)</f>
        <v>0.91815795532511502</v>
      </c>
      <c r="AJ838" s="17">
        <f ca="1">IFERROR(__xludf.DUMMYFUNCTION("""COMPUTED_VALUE"""),0.448801041510069)</f>
        <v>0.448801041510069</v>
      </c>
    </row>
    <row r="839" spans="1:36" ht="15.75" customHeight="1" x14ac:dyDescent="0.45">
      <c r="B839" s="10" t="str">
        <f ca="1">IFERROR(__xludf.DUMMYFUNCTION("""COMPUTED_VALUE"""),"SwedishLeaf")</f>
        <v>SwedishLeaf</v>
      </c>
      <c r="C839" s="10" t="str">
        <f ca="1">IFERROR(__xludf.DUMMYFUNCTION("""COMPUTED_VALUE"""),"mcar")</f>
        <v>mcar</v>
      </c>
      <c r="D839" s="10">
        <f ca="1">IFERROR(__xludf.DUMMYFUNCTION("""COMPUTED_VALUE"""),0.4)</f>
        <v>0.4</v>
      </c>
      <c r="E839" s="17">
        <f ca="1">IFERROR(__xludf.DUMMYFUNCTION("""COMPUTED_VALUE"""),0.958099667225929)</f>
        <v>0.95809966722592899</v>
      </c>
      <c r="F839" s="17">
        <f ca="1">IFERROR(__xludf.DUMMYFUNCTION("""COMPUTED_VALUE"""),0.374784232461115)</f>
        <v>0.37478423246111497</v>
      </c>
      <c r="G839" s="17">
        <f ca="1">IFERROR(__xludf.DUMMYFUNCTION("""COMPUTED_VALUE"""),0.400824227567983)</f>
        <v>0.40082422756798303</v>
      </c>
      <c r="H839" s="17">
        <f ca="1">IFERROR(__xludf.DUMMYFUNCTION("""COMPUTED_VALUE"""),0.389363620567592)</f>
        <v>0.38936362056759199</v>
      </c>
      <c r="I839" s="17">
        <f ca="1">IFERROR(__xludf.DUMMYFUNCTION("""COMPUTED_VALUE"""),0.31208114611513)</f>
        <v>0.31208114611512999</v>
      </c>
      <c r="J839" s="17">
        <f ca="1">IFERROR(__xludf.DUMMYFUNCTION("""COMPUTED_VALUE"""),0.413662598460079)</f>
        <v>0.41366259846007902</v>
      </c>
      <c r="K839" s="17" t="str">
        <f ca="1">IFERROR(__xludf.DUMMYFUNCTION("""COMPUTED_VALUE"""),"nan")</f>
        <v>nan</v>
      </c>
      <c r="L839" s="17">
        <f ca="1">IFERROR(__xludf.DUMMYFUNCTION("""COMPUTED_VALUE"""),0.328260661456464)</f>
        <v>0.32826066145646399</v>
      </c>
      <c r="M839" s="17">
        <f ca="1">IFERROR(__xludf.DUMMYFUNCTION("""COMPUTED_VALUE"""),0.368106491999889)</f>
        <v>0.36810649199988899</v>
      </c>
      <c r="N839" s="17">
        <f ca="1">IFERROR(__xludf.DUMMYFUNCTION("""COMPUTED_VALUE"""),0.353537826623743)</f>
        <v>0.353537826623743</v>
      </c>
      <c r="O839" s="17">
        <f ca="1">IFERROR(__xludf.DUMMYFUNCTION("""COMPUTED_VALUE"""),0.338318553228683)</f>
        <v>0.33831855322868298</v>
      </c>
      <c r="P839" s="17">
        <f ca="1">IFERROR(__xludf.DUMMYFUNCTION("""COMPUTED_VALUE"""),0.694673888783569)</f>
        <v>0.69467388878356895</v>
      </c>
      <c r="Q839" s="17">
        <f ca="1">IFERROR(__xludf.DUMMYFUNCTION("""COMPUTED_VALUE"""),0.604269048514691)</f>
        <v>0.60426904851469099</v>
      </c>
      <c r="R839" s="17">
        <f ca="1">IFERROR(__xludf.DUMMYFUNCTION("""COMPUTED_VALUE"""),0.371109709648152)</f>
        <v>0.37110970964815199</v>
      </c>
      <c r="S839" s="17">
        <f ca="1">IFERROR(__xludf.DUMMYFUNCTION("""COMPUTED_VALUE"""),1.34901112209697)</f>
        <v>1.3490111220969701</v>
      </c>
      <c r="T839" s="17">
        <f ca="1">IFERROR(__xludf.DUMMYFUNCTION("""COMPUTED_VALUE"""),0.396434558319982)</f>
        <v>0.39643455831998198</v>
      </c>
      <c r="U839" s="17">
        <f ca="1">IFERROR(__xludf.DUMMYFUNCTION("""COMPUTED_VALUE"""),0.367248762443604)</f>
        <v>0.36724876244360399</v>
      </c>
      <c r="V839" s="17">
        <f ca="1">IFERROR(__xludf.DUMMYFUNCTION("""COMPUTED_VALUE"""),0.405100865313286)</f>
        <v>0.40510086531328598</v>
      </c>
      <c r="W839" s="17">
        <f ca="1">IFERROR(__xludf.DUMMYFUNCTION("""COMPUTED_VALUE"""),0.481532910795917)</f>
        <v>0.48153291079591698</v>
      </c>
      <c r="X839" s="17">
        <f ca="1">IFERROR(__xludf.DUMMYFUNCTION("""COMPUTED_VALUE"""),1.9121609178651)</f>
        <v>1.9121609178651</v>
      </c>
      <c r="Y839" s="17">
        <f ca="1">IFERROR(__xludf.DUMMYFUNCTION("""COMPUTED_VALUE"""),0.357109172958554)</f>
        <v>0.35710917295855399</v>
      </c>
      <c r="Z839" s="17">
        <f ca="1">IFERROR(__xludf.DUMMYFUNCTION("""COMPUTED_VALUE"""),0.531763135239653)</f>
        <v>0.53176313523965302</v>
      </c>
      <c r="AA839" s="17">
        <f ca="1">IFERROR(__xludf.DUMMYFUNCTION("""COMPUTED_VALUE"""),0.298249672131501)</f>
        <v>0.298249672131501</v>
      </c>
      <c r="AB839" s="17">
        <f ca="1">IFERROR(__xludf.DUMMYFUNCTION("""COMPUTED_VALUE"""),0.436475240182)</f>
        <v>0.43647524018200001</v>
      </c>
      <c r="AC839" s="17">
        <f ca="1">IFERROR(__xludf.DUMMYFUNCTION("""COMPUTED_VALUE"""),0.613687356428726)</f>
        <v>0.61368735642872596</v>
      </c>
      <c r="AD839" s="17">
        <f ca="1">IFERROR(__xludf.DUMMYFUNCTION("""COMPUTED_VALUE"""),0.481646371157106)</f>
        <v>0.48164637115710601</v>
      </c>
      <c r="AE839" s="17">
        <f ca="1">IFERROR(__xludf.DUMMYFUNCTION("""COMPUTED_VALUE"""),0.962935734998524)</f>
        <v>0.96293573499852403</v>
      </c>
      <c r="AF839" s="17">
        <f ca="1">IFERROR(__xludf.DUMMYFUNCTION("""COMPUTED_VALUE"""),0.43014825892143)</f>
        <v>0.43014825892142999</v>
      </c>
      <c r="AG839" s="17">
        <f ca="1">IFERROR(__xludf.DUMMYFUNCTION("""COMPUTED_VALUE"""),1.07585281255466)</f>
        <v>1.07585281255466</v>
      </c>
      <c r="AH839" s="17">
        <f ca="1">IFERROR(__xludf.DUMMYFUNCTION("""COMPUTED_VALUE"""),0.939106877811844)</f>
        <v>0.93910687781184399</v>
      </c>
      <c r="AI839" s="17">
        <f ca="1">IFERROR(__xludf.DUMMYFUNCTION("""COMPUTED_VALUE"""),1.07011747005821)</f>
        <v>1.0701174700582099</v>
      </c>
      <c r="AJ839" s="17">
        <f ca="1">IFERROR(__xludf.DUMMYFUNCTION("""COMPUTED_VALUE"""),0.655992677986021)</f>
        <v>0.65599267798602101</v>
      </c>
    </row>
    <row r="840" spans="1:36" ht="15.75" customHeight="1" x14ac:dyDescent="0.45">
      <c r="B840" s="10" t="str">
        <f ca="1">IFERROR(__xludf.DUMMYFUNCTION("""COMPUTED_VALUE"""),"SwedishLeaf")</f>
        <v>SwedishLeaf</v>
      </c>
      <c r="C840" s="10" t="str">
        <f ca="1">IFERROR(__xludf.DUMMYFUNCTION("""COMPUTED_VALUE"""),"mcar")</f>
        <v>mcar</v>
      </c>
      <c r="D840" s="10">
        <f ca="1">IFERROR(__xludf.DUMMYFUNCTION("""COMPUTED_VALUE"""),0.6)</f>
        <v>0.6</v>
      </c>
      <c r="E840" s="17">
        <f ca="1">IFERROR(__xludf.DUMMYFUNCTION("""COMPUTED_VALUE"""),0.963884100376483)</f>
        <v>0.96388410037648298</v>
      </c>
      <c r="F840" s="17">
        <f ca="1">IFERROR(__xludf.DUMMYFUNCTION("""COMPUTED_VALUE"""),0.363587453699458)</f>
        <v>0.363587453699458</v>
      </c>
      <c r="G840" s="17">
        <f ca="1">IFERROR(__xludf.DUMMYFUNCTION("""COMPUTED_VALUE"""),0.410918199124704)</f>
        <v>0.41091819912470401</v>
      </c>
      <c r="H840" s="17">
        <f ca="1">IFERROR(__xludf.DUMMYFUNCTION("""COMPUTED_VALUE"""),0.404709221295319)</f>
        <v>0.404709221295319</v>
      </c>
      <c r="I840" s="17">
        <f ca="1">IFERROR(__xludf.DUMMYFUNCTION("""COMPUTED_VALUE"""),0.339415731982367)</f>
        <v>0.33941573198236702</v>
      </c>
      <c r="J840" s="17">
        <f ca="1">IFERROR(__xludf.DUMMYFUNCTION("""COMPUTED_VALUE"""),0.513900363229491)</f>
        <v>0.51390036322949095</v>
      </c>
      <c r="K840" s="17" t="str">
        <f ca="1">IFERROR(__xludf.DUMMYFUNCTION("""COMPUTED_VALUE"""),"nan")</f>
        <v>nan</v>
      </c>
      <c r="L840" s="17">
        <f ca="1">IFERROR(__xludf.DUMMYFUNCTION("""COMPUTED_VALUE"""),0.33404331454809)</f>
        <v>0.33404331454809</v>
      </c>
      <c r="M840" s="17">
        <f ca="1">IFERROR(__xludf.DUMMYFUNCTION("""COMPUTED_VALUE"""),0.429191627640615)</f>
        <v>0.42919162764061503</v>
      </c>
      <c r="N840" s="17">
        <f ca="1">IFERROR(__xludf.DUMMYFUNCTION("""COMPUTED_VALUE"""),0.366797570830912)</f>
        <v>0.36679757083091202</v>
      </c>
      <c r="O840" s="17">
        <f ca="1">IFERROR(__xludf.DUMMYFUNCTION("""COMPUTED_VALUE"""),0.334224916768579)</f>
        <v>0.33422491676857902</v>
      </c>
      <c r="P840" s="17">
        <f ca="1">IFERROR(__xludf.DUMMYFUNCTION("""COMPUTED_VALUE"""),0.723387196233017)</f>
        <v>0.72338719623301695</v>
      </c>
      <c r="Q840" s="17">
        <f ca="1">IFERROR(__xludf.DUMMYFUNCTION("""COMPUTED_VALUE"""),0.636901059099301)</f>
        <v>0.63690105909930095</v>
      </c>
      <c r="R840" s="17">
        <f ca="1">IFERROR(__xludf.DUMMYFUNCTION("""COMPUTED_VALUE"""),0.411209275295473)</f>
        <v>0.41120927529547302</v>
      </c>
      <c r="S840" s="17">
        <f ca="1">IFERROR(__xludf.DUMMYFUNCTION("""COMPUTED_VALUE"""),1.41805148921014)</f>
        <v>1.4180514892101399</v>
      </c>
      <c r="T840" s="17">
        <f ca="1">IFERROR(__xludf.DUMMYFUNCTION("""COMPUTED_VALUE"""),0.437772952880145)</f>
        <v>0.43777295288014501</v>
      </c>
      <c r="U840" s="17">
        <f ca="1">IFERROR(__xludf.DUMMYFUNCTION("""COMPUTED_VALUE"""),0.377226383083533)</f>
        <v>0.37722638308353301</v>
      </c>
      <c r="V840" s="17">
        <f ca="1">IFERROR(__xludf.DUMMYFUNCTION("""COMPUTED_VALUE"""),0.428211850612714)</f>
        <v>0.428211850612714</v>
      </c>
      <c r="W840" s="17">
        <f ca="1">IFERROR(__xludf.DUMMYFUNCTION("""COMPUTED_VALUE"""),0.481971653483514)</f>
        <v>0.48197165348351401</v>
      </c>
      <c r="X840" s="17">
        <f ca="1">IFERROR(__xludf.DUMMYFUNCTION("""COMPUTED_VALUE"""),0.478416786936825)</f>
        <v>0.47841678693682499</v>
      </c>
      <c r="Y840" s="17">
        <f ca="1">IFERROR(__xludf.DUMMYFUNCTION("""COMPUTED_VALUE"""),0.403600326144863)</f>
        <v>0.40360032614486302</v>
      </c>
      <c r="Z840" s="17">
        <f ca="1">IFERROR(__xludf.DUMMYFUNCTION("""COMPUTED_VALUE"""),0.644090795802881)</f>
        <v>0.64409079580288098</v>
      </c>
      <c r="AA840" s="17">
        <f ca="1">IFERROR(__xludf.DUMMYFUNCTION("""COMPUTED_VALUE"""),0.327968197453635)</f>
        <v>0.32796819745363498</v>
      </c>
      <c r="AB840" s="17">
        <f ca="1">IFERROR(__xludf.DUMMYFUNCTION("""COMPUTED_VALUE"""),0.50118649136311)</f>
        <v>0.50118649136311</v>
      </c>
      <c r="AC840" s="17">
        <f ca="1">IFERROR(__xludf.DUMMYFUNCTION("""COMPUTED_VALUE"""),0.637557565020655)</f>
        <v>0.63755756502065497</v>
      </c>
      <c r="AD840" s="17">
        <f ca="1">IFERROR(__xludf.DUMMYFUNCTION("""COMPUTED_VALUE"""),0.469587389481688)</f>
        <v>0.46958738948168799</v>
      </c>
      <c r="AE840" s="17">
        <f ca="1">IFERROR(__xludf.DUMMYFUNCTION("""COMPUTED_VALUE"""),1.16296130616484)</f>
        <v>1.1629613061648401</v>
      </c>
      <c r="AF840" s="17">
        <f ca="1">IFERROR(__xludf.DUMMYFUNCTION("""COMPUTED_VALUE"""),0.518823754431261)</f>
        <v>0.51882375443126105</v>
      </c>
      <c r="AG840" s="17">
        <f ca="1">IFERROR(__xludf.DUMMYFUNCTION("""COMPUTED_VALUE"""),1.0966282842143)</f>
        <v>1.0966282842143</v>
      </c>
      <c r="AH840" s="17">
        <f ca="1">IFERROR(__xludf.DUMMYFUNCTION("""COMPUTED_VALUE"""),1.0916943346021)</f>
        <v>1.0916943346021</v>
      </c>
      <c r="AI840" s="17">
        <f ca="1">IFERROR(__xludf.DUMMYFUNCTION("""COMPUTED_VALUE"""),1.0378502154241)</f>
        <v>1.0378502154241001</v>
      </c>
      <c r="AJ840" s="17">
        <f ca="1">IFERROR(__xludf.DUMMYFUNCTION("""COMPUTED_VALUE"""),1.11787354815258)</f>
        <v>1.1178735481525801</v>
      </c>
    </row>
    <row r="841" spans="1:36" ht="15.75" customHeight="1" x14ac:dyDescent="0.45">
      <c r="B841" s="10" t="str">
        <f ca="1">IFERROR(__xludf.DUMMYFUNCTION("""COMPUTED_VALUE"""),"SwedishLeaf")</f>
        <v>SwedishLeaf</v>
      </c>
      <c r="C841" s="10" t="str">
        <f ca="1">IFERROR(__xludf.DUMMYFUNCTION("""COMPUTED_VALUE"""),"mcar")</f>
        <v>mcar</v>
      </c>
      <c r="D841" s="10">
        <f ca="1">IFERROR(__xludf.DUMMYFUNCTION("""COMPUTED_VALUE"""),0.8)</f>
        <v>0.8</v>
      </c>
      <c r="E841" s="17">
        <f ca="1">IFERROR(__xludf.DUMMYFUNCTION("""COMPUTED_VALUE"""),0.959634063965978)</f>
        <v>0.95963406396597795</v>
      </c>
      <c r="F841" s="17">
        <f ca="1">IFERROR(__xludf.DUMMYFUNCTION("""COMPUTED_VALUE"""),0.385415035555435)</f>
        <v>0.38541503555543499</v>
      </c>
      <c r="G841" s="17">
        <f ca="1">IFERROR(__xludf.DUMMYFUNCTION("""COMPUTED_VALUE"""),0.422000919163721)</f>
        <v>0.42200091916372101</v>
      </c>
      <c r="H841" s="17">
        <f ca="1">IFERROR(__xludf.DUMMYFUNCTION("""COMPUTED_VALUE"""),0.446100279025879)</f>
        <v>0.44610027902587901</v>
      </c>
      <c r="I841" s="17">
        <f ca="1">IFERROR(__xludf.DUMMYFUNCTION("""COMPUTED_VALUE"""),0.418509300779607)</f>
        <v>0.41850930077960702</v>
      </c>
      <c r="J841" s="17">
        <f ca="1">IFERROR(__xludf.DUMMYFUNCTION("""COMPUTED_VALUE"""),0.809530974457587)</f>
        <v>0.80953097445758704</v>
      </c>
      <c r="K841" s="17" t="str">
        <f ca="1">IFERROR(__xludf.DUMMYFUNCTION("""COMPUTED_VALUE"""),"nan")</f>
        <v>nan</v>
      </c>
      <c r="L841" s="17">
        <f ca="1">IFERROR(__xludf.DUMMYFUNCTION("""COMPUTED_VALUE"""),0.37375866539414)</f>
        <v>0.37375866539413999</v>
      </c>
      <c r="M841" s="17">
        <f ca="1">IFERROR(__xludf.DUMMYFUNCTION("""COMPUTED_VALUE"""),0.643808368539967)</f>
        <v>0.64380836853996704</v>
      </c>
      <c r="N841" s="17">
        <f ca="1">IFERROR(__xludf.DUMMYFUNCTION("""COMPUTED_VALUE"""),0.392814945325462)</f>
        <v>0.39281494532546202</v>
      </c>
      <c r="O841" s="17">
        <f ca="1">IFERROR(__xludf.DUMMYFUNCTION("""COMPUTED_VALUE"""),0.371798411274976)</f>
        <v>0.37179841127497598</v>
      </c>
      <c r="P841" s="17">
        <f ca="1">IFERROR(__xludf.DUMMYFUNCTION("""COMPUTED_VALUE"""),0.8429754727328)</f>
        <v>0.84297547273280005</v>
      </c>
      <c r="Q841" s="17">
        <f ca="1">IFERROR(__xludf.DUMMYFUNCTION("""COMPUTED_VALUE"""),0.720745304969631)</f>
        <v>0.72074530496963096</v>
      </c>
      <c r="R841" s="17">
        <f ca="1">IFERROR(__xludf.DUMMYFUNCTION("""COMPUTED_VALUE"""),0.494993954352177)</f>
        <v>0.49499395435217702</v>
      </c>
      <c r="S841" s="17">
        <f ca="1">IFERROR(__xludf.DUMMYFUNCTION("""COMPUTED_VALUE"""),1.41802975959225)</f>
        <v>1.41802975959225</v>
      </c>
      <c r="T841" s="17">
        <f ca="1">IFERROR(__xludf.DUMMYFUNCTION("""COMPUTED_VALUE"""),0.524285155362896)</f>
        <v>0.52428515536289599</v>
      </c>
      <c r="U841" s="17">
        <f ca="1">IFERROR(__xludf.DUMMYFUNCTION("""COMPUTED_VALUE"""),0.461185221983456)</f>
        <v>0.46118522198345602</v>
      </c>
      <c r="V841" s="17">
        <f ca="1">IFERROR(__xludf.DUMMYFUNCTION("""COMPUTED_VALUE"""),0.558954555756737)</f>
        <v>0.55895455575673703</v>
      </c>
      <c r="W841" s="17">
        <f ca="1">IFERROR(__xludf.DUMMYFUNCTION("""COMPUTED_VALUE"""),0.56663571609168)</f>
        <v>0.56663571609167995</v>
      </c>
      <c r="X841" s="17">
        <f ca="1">IFERROR(__xludf.DUMMYFUNCTION("""COMPUTED_VALUE"""),1.22812215670163)</f>
        <v>1.2281221567016301</v>
      </c>
      <c r="Y841" s="17">
        <f ca="1">IFERROR(__xludf.DUMMYFUNCTION("""COMPUTED_VALUE"""),0.432280624986605)</f>
        <v>0.43228062498660502</v>
      </c>
      <c r="Z841" s="17">
        <f ca="1">IFERROR(__xludf.DUMMYFUNCTION("""COMPUTED_VALUE"""),0.80297242080326)</f>
        <v>0.80297242080326003</v>
      </c>
      <c r="AA841" s="17">
        <f ca="1">IFERROR(__xludf.DUMMYFUNCTION("""COMPUTED_VALUE"""),0.46065859380272)</f>
        <v>0.46065859380272001</v>
      </c>
      <c r="AB841" s="17">
        <f ca="1">IFERROR(__xludf.DUMMYFUNCTION("""COMPUTED_VALUE"""),0.631048318656075)</f>
        <v>0.63104831865607502</v>
      </c>
      <c r="AC841" s="17">
        <f ca="1">IFERROR(__xludf.DUMMYFUNCTION("""COMPUTED_VALUE"""),0.728381655250303)</f>
        <v>0.72838165525030296</v>
      </c>
      <c r="AD841" s="17">
        <f ca="1">IFERROR(__xludf.DUMMYFUNCTION("""COMPUTED_VALUE"""),0.533127003462155)</f>
        <v>0.53312700346215502</v>
      </c>
      <c r="AE841" s="17">
        <f ca="1">IFERROR(__xludf.DUMMYFUNCTION("""COMPUTED_VALUE"""),1.77402536458557)</f>
        <v>1.7740253645855699</v>
      </c>
      <c r="AF841" s="17">
        <f ca="1">IFERROR(__xludf.DUMMYFUNCTION("""COMPUTED_VALUE"""),0.730256925208848)</f>
        <v>0.730256925208848</v>
      </c>
      <c r="AG841" s="17">
        <f ca="1">IFERROR(__xludf.DUMMYFUNCTION("""COMPUTED_VALUE"""),1.04318223622754)</f>
        <v>1.04318223622754</v>
      </c>
      <c r="AH841" s="17">
        <f ca="1">IFERROR(__xludf.DUMMYFUNCTION("""COMPUTED_VALUE"""),1.04124974649205)</f>
        <v>1.04124974649205</v>
      </c>
      <c r="AI841" s="17">
        <f ca="1">IFERROR(__xludf.DUMMYFUNCTION("""COMPUTED_VALUE"""),1.03169818520938)</f>
        <v>1.0316981852093801</v>
      </c>
      <c r="AJ841" s="17">
        <f ca="1">IFERROR(__xludf.DUMMYFUNCTION("""COMPUTED_VALUE"""),1.08046751964458)</f>
        <v>1.0804675196445801</v>
      </c>
    </row>
    <row r="842" spans="1:36" ht="15.75" customHeight="1" x14ac:dyDescent="0.45">
      <c r="B842" s="10" t="str">
        <f ca="1">IFERROR(__xludf.DUMMYFUNCTION("""COMPUTED_VALUE"""),"SyntheticControl")</f>
        <v>SyntheticControl</v>
      </c>
      <c r="C842" s="10" t="str">
        <f ca="1">IFERROR(__xludf.DUMMYFUNCTION("""COMPUTED_VALUE"""),"aligned_series")</f>
        <v>aligned_series</v>
      </c>
      <c r="D842" s="10">
        <f ca="1">IFERROR(__xludf.DUMMYFUNCTION("""COMPUTED_VALUE"""),0.1)</f>
        <v>0.1</v>
      </c>
      <c r="E842" s="17">
        <f ca="1">IFERROR(__xludf.DUMMYFUNCTION("""COMPUTED_VALUE"""),1.07281283217503)</f>
        <v>1.0728128321750301</v>
      </c>
      <c r="F842" s="17">
        <f ca="1">IFERROR(__xludf.DUMMYFUNCTION("""COMPUTED_VALUE"""),0.757649898163973)</f>
        <v>0.75764989816397299</v>
      </c>
      <c r="G842" s="17">
        <f ca="1">IFERROR(__xludf.DUMMYFUNCTION("""COMPUTED_VALUE"""),0.766436384032157)</f>
        <v>0.76643638403215697</v>
      </c>
      <c r="H842" s="17">
        <f ca="1">IFERROR(__xludf.DUMMYFUNCTION("""COMPUTED_VALUE"""),0.769337507406188)</f>
        <v>0.769337507406188</v>
      </c>
      <c r="I842" s="17">
        <f ca="1">IFERROR(__xludf.DUMMYFUNCTION("""COMPUTED_VALUE"""),0.707896102582852)</f>
        <v>0.70789610258285196</v>
      </c>
      <c r="J842" s="17">
        <f ca="1">IFERROR(__xludf.DUMMYFUNCTION("""COMPUTED_VALUE"""),0.724547047152739)</f>
        <v>0.72454704715273899</v>
      </c>
      <c r="K842" s="17" t="str">
        <f ca="1">IFERROR(__xludf.DUMMYFUNCTION("""COMPUTED_VALUE"""),"nan")</f>
        <v>nan</v>
      </c>
      <c r="L842" s="17">
        <f ca="1">IFERROR(__xludf.DUMMYFUNCTION("""COMPUTED_VALUE"""),0.654936334272537)</f>
        <v>0.65493633427253695</v>
      </c>
      <c r="M842" s="17">
        <f ca="1">IFERROR(__xludf.DUMMYFUNCTION("""COMPUTED_VALUE"""),0.808278335912443)</f>
        <v>0.80827833591244302</v>
      </c>
      <c r="N842" s="17">
        <f ca="1">IFERROR(__xludf.DUMMYFUNCTION("""COMPUTED_VALUE"""),0.739146947593681)</f>
        <v>0.73914694759368105</v>
      </c>
      <c r="O842" s="17">
        <f ca="1">IFERROR(__xludf.DUMMYFUNCTION("""COMPUTED_VALUE"""),0.648952761044282)</f>
        <v>0.64895276104428201</v>
      </c>
      <c r="P842" s="17">
        <f ca="1">IFERROR(__xludf.DUMMYFUNCTION("""COMPUTED_VALUE"""),0.909307423420336)</f>
        <v>0.90930742342033599</v>
      </c>
      <c r="Q842" s="17">
        <f ca="1">IFERROR(__xludf.DUMMYFUNCTION("""COMPUTED_VALUE"""),0.973297318124015)</f>
        <v>0.97329731812401499</v>
      </c>
      <c r="R842" s="17">
        <f ca="1">IFERROR(__xludf.DUMMYFUNCTION("""COMPUTED_VALUE"""),0.656768077485218)</f>
        <v>0.65676807748521804</v>
      </c>
      <c r="S842" s="17">
        <f ca="1">IFERROR(__xludf.DUMMYFUNCTION("""COMPUTED_VALUE"""),0.802007925556468)</f>
        <v>0.80200792555646805</v>
      </c>
      <c r="T842" s="17">
        <f ca="1">IFERROR(__xludf.DUMMYFUNCTION("""COMPUTED_VALUE"""),0.718421008336225)</f>
        <v>0.71842100833622502</v>
      </c>
      <c r="U842" s="17">
        <f ca="1">IFERROR(__xludf.DUMMYFUNCTION("""COMPUTED_VALUE"""),0.759021538528999)</f>
        <v>0.75902153852899901</v>
      </c>
      <c r="V842" s="17">
        <f ca="1">IFERROR(__xludf.DUMMYFUNCTION("""COMPUTED_VALUE"""),0.790305670519056)</f>
        <v>0.79030567051905598</v>
      </c>
      <c r="W842" s="17">
        <f ca="1">IFERROR(__xludf.DUMMYFUNCTION("""COMPUTED_VALUE"""),0.69081974487881)</f>
        <v>0.69081974487881004</v>
      </c>
      <c r="X842" s="17">
        <f ca="1">IFERROR(__xludf.DUMMYFUNCTION("""COMPUTED_VALUE"""),0.69574919549136)</f>
        <v>0.69574919549136005</v>
      </c>
      <c r="Y842" s="17">
        <f ca="1">IFERROR(__xludf.DUMMYFUNCTION("""COMPUTED_VALUE"""),0.645964805474054)</f>
        <v>0.64596480547405399</v>
      </c>
      <c r="Z842" s="17">
        <f ca="1">IFERROR(__xludf.DUMMYFUNCTION("""COMPUTED_VALUE"""),0.727671749411239)</f>
        <v>0.72767174941123902</v>
      </c>
      <c r="AA842" s="17">
        <f ca="1">IFERROR(__xludf.DUMMYFUNCTION("""COMPUTED_VALUE"""),0.79250401593558)</f>
        <v>0.79250401593557995</v>
      </c>
      <c r="AB842" s="17">
        <f ca="1">IFERROR(__xludf.DUMMYFUNCTION("""COMPUTED_VALUE"""),0.761515222148806)</f>
        <v>0.76151522214880596</v>
      </c>
      <c r="AC842" s="17">
        <f ca="1">IFERROR(__xludf.DUMMYFUNCTION("""COMPUTED_VALUE"""),0.869821551583592)</f>
        <v>0.86982155158359198</v>
      </c>
      <c r="AD842" s="17">
        <f ca="1">IFERROR(__xludf.DUMMYFUNCTION("""COMPUTED_VALUE"""),0.720250747435856)</f>
        <v>0.72025074743585604</v>
      </c>
      <c r="AE842" s="17">
        <f ca="1">IFERROR(__xludf.DUMMYFUNCTION("""COMPUTED_VALUE"""),1.26688807577781)</f>
        <v>1.26688807577781</v>
      </c>
      <c r="AF842" s="17">
        <f ca="1">IFERROR(__xludf.DUMMYFUNCTION("""COMPUTED_VALUE"""),0.751815934146047)</f>
        <v>0.75181593414604697</v>
      </c>
      <c r="AG842" s="17">
        <f ca="1">IFERROR(__xludf.DUMMYFUNCTION("""COMPUTED_VALUE"""),0.836548322698156)</f>
        <v>0.83654832269815604</v>
      </c>
      <c r="AH842" s="17">
        <f ca="1">IFERROR(__xludf.DUMMYFUNCTION("""COMPUTED_VALUE"""),0.78470746198299)</f>
        <v>0.78470746198299002</v>
      </c>
      <c r="AI842" s="17">
        <f ca="1">IFERROR(__xludf.DUMMYFUNCTION("""COMPUTED_VALUE"""),0.842293573186213)</f>
        <v>0.84229357318621301</v>
      </c>
      <c r="AJ842" s="17">
        <f ca="1">IFERROR(__xludf.DUMMYFUNCTION("""COMPUTED_VALUE"""),0.786706398810036)</f>
        <v>0.78670639881003601</v>
      </c>
    </row>
    <row r="843" spans="1:36" ht="15.75" customHeight="1" x14ac:dyDescent="0.45">
      <c r="B843" s="10" t="str">
        <f ca="1">IFERROR(__xludf.DUMMYFUNCTION("""COMPUTED_VALUE"""),"SyntheticControl")</f>
        <v>SyntheticControl</v>
      </c>
      <c r="C843" s="10" t="str">
        <f ca="1">IFERROR(__xludf.DUMMYFUNCTION("""COMPUTED_VALUE"""),"aligned_series")</f>
        <v>aligned_series</v>
      </c>
      <c r="D843" s="10">
        <f ca="1">IFERROR(__xludf.DUMMYFUNCTION("""COMPUTED_VALUE"""),0.2)</f>
        <v>0.2</v>
      </c>
      <c r="E843" s="17">
        <f ca="1">IFERROR(__xludf.DUMMYFUNCTION("""COMPUTED_VALUE"""),1.0980066819595)</f>
        <v>1.0980066819595</v>
      </c>
      <c r="F843" s="17">
        <f ca="1">IFERROR(__xludf.DUMMYFUNCTION("""COMPUTED_VALUE"""),0.713105490091652)</f>
        <v>0.71310549009165203</v>
      </c>
      <c r="G843" s="17">
        <f ca="1">IFERROR(__xludf.DUMMYFUNCTION("""COMPUTED_VALUE"""),0.719079654505503)</f>
        <v>0.71907965450550304</v>
      </c>
      <c r="H843" s="17">
        <f ca="1">IFERROR(__xludf.DUMMYFUNCTION("""COMPUTED_VALUE"""),0.767709788385077)</f>
        <v>0.76770978838507697</v>
      </c>
      <c r="I843" s="17">
        <f ca="1">IFERROR(__xludf.DUMMYFUNCTION("""COMPUTED_VALUE"""),0.724798405534111)</f>
        <v>0.72479840553411101</v>
      </c>
      <c r="J843" s="17">
        <f ca="1">IFERROR(__xludf.DUMMYFUNCTION("""COMPUTED_VALUE"""),0.71785431852186)</f>
        <v>0.71785431852185999</v>
      </c>
      <c r="K843" s="17" t="str">
        <f ca="1">IFERROR(__xludf.DUMMYFUNCTION("""COMPUTED_VALUE"""),"nan")</f>
        <v>nan</v>
      </c>
      <c r="L843" s="17">
        <f ca="1">IFERROR(__xludf.DUMMYFUNCTION("""COMPUTED_VALUE"""),0.698170457111048)</f>
        <v>0.69817045711104797</v>
      </c>
      <c r="M843" s="17">
        <f ca="1">IFERROR(__xludf.DUMMYFUNCTION("""COMPUTED_VALUE"""),0.750734616471837)</f>
        <v>0.75073461647183704</v>
      </c>
      <c r="N843" s="17">
        <f ca="1">IFERROR(__xludf.DUMMYFUNCTION("""COMPUTED_VALUE"""),0.742876544766078)</f>
        <v>0.74287654476607801</v>
      </c>
      <c r="O843" s="17">
        <f ca="1">IFERROR(__xludf.DUMMYFUNCTION("""COMPUTED_VALUE"""),0.653171750155995)</f>
        <v>0.65317175015599505</v>
      </c>
      <c r="P843" s="17">
        <f ca="1">IFERROR(__xludf.DUMMYFUNCTION("""COMPUTED_VALUE"""),0.993800321068292)</f>
        <v>0.99380032106829197</v>
      </c>
      <c r="Q843" s="17">
        <f ca="1">IFERROR(__xludf.DUMMYFUNCTION("""COMPUTED_VALUE"""),0.905862483752561)</f>
        <v>0.90586248375256095</v>
      </c>
      <c r="R843" s="17">
        <f ca="1">IFERROR(__xludf.DUMMYFUNCTION("""COMPUTED_VALUE"""),0.674217905408607)</f>
        <v>0.67421790540860704</v>
      </c>
      <c r="S843" s="17">
        <f ca="1">IFERROR(__xludf.DUMMYFUNCTION("""COMPUTED_VALUE"""),0.828965769368669)</f>
        <v>0.82896576936866895</v>
      </c>
      <c r="T843" s="17">
        <f ca="1">IFERROR(__xludf.DUMMYFUNCTION("""COMPUTED_VALUE"""),0.72495643156227)</f>
        <v>0.72495643156226997</v>
      </c>
      <c r="U843" s="17">
        <f ca="1">IFERROR(__xludf.DUMMYFUNCTION("""COMPUTED_VALUE"""),0.734852601531283)</f>
        <v>0.73485260153128296</v>
      </c>
      <c r="V843" s="17">
        <f ca="1">IFERROR(__xludf.DUMMYFUNCTION("""COMPUTED_VALUE"""),0.754357336323115)</f>
        <v>0.75435733632311497</v>
      </c>
      <c r="W843" s="17">
        <f ca="1">IFERROR(__xludf.DUMMYFUNCTION("""COMPUTED_VALUE"""),0.677386999056599)</f>
        <v>0.67738699905659905</v>
      </c>
      <c r="X843" s="17">
        <f ca="1">IFERROR(__xludf.DUMMYFUNCTION("""COMPUTED_VALUE"""),0.707099706964391)</f>
        <v>0.70709970696439095</v>
      </c>
      <c r="Y843" s="17">
        <f ca="1">IFERROR(__xludf.DUMMYFUNCTION("""COMPUTED_VALUE"""),0.642633480109322)</f>
        <v>0.64263348010932198</v>
      </c>
      <c r="Z843" s="17">
        <f ca="1">IFERROR(__xludf.DUMMYFUNCTION("""COMPUTED_VALUE"""),0.76717352450569)</f>
        <v>0.76717352450568999</v>
      </c>
      <c r="AA843" s="17">
        <f ca="1">IFERROR(__xludf.DUMMYFUNCTION("""COMPUTED_VALUE"""),0.646374923625994)</f>
        <v>0.64637492362599402</v>
      </c>
      <c r="AB843" s="17">
        <f ca="1">IFERROR(__xludf.DUMMYFUNCTION("""COMPUTED_VALUE"""),0.775090291535019)</f>
        <v>0.77509029153501896</v>
      </c>
      <c r="AC843" s="17">
        <f ca="1">IFERROR(__xludf.DUMMYFUNCTION("""COMPUTED_VALUE"""),0.878294610635147)</f>
        <v>0.87829461063514702</v>
      </c>
      <c r="AD843" s="17">
        <f ca="1">IFERROR(__xludf.DUMMYFUNCTION("""COMPUTED_VALUE"""),0.714932022026177)</f>
        <v>0.71493202202617701</v>
      </c>
      <c r="AE843" s="17">
        <f ca="1">IFERROR(__xludf.DUMMYFUNCTION("""COMPUTED_VALUE"""),1.27668542918801)</f>
        <v>1.2766854291880101</v>
      </c>
      <c r="AF843" s="17">
        <f ca="1">IFERROR(__xludf.DUMMYFUNCTION("""COMPUTED_VALUE"""),0.721654425780017)</f>
        <v>0.72165442578001704</v>
      </c>
      <c r="AG843" s="17">
        <f ca="1">IFERROR(__xludf.DUMMYFUNCTION("""COMPUTED_VALUE"""),0.881000126020132)</f>
        <v>0.881000126020132</v>
      </c>
      <c r="AH843" s="17">
        <f ca="1">IFERROR(__xludf.DUMMYFUNCTION("""COMPUTED_VALUE"""),0.805774601122191)</f>
        <v>0.80577460112219101</v>
      </c>
      <c r="AI843" s="17">
        <f ca="1">IFERROR(__xludf.DUMMYFUNCTION("""COMPUTED_VALUE"""),0.864926294628843)</f>
        <v>0.86492629462884296</v>
      </c>
      <c r="AJ843" s="17">
        <f ca="1">IFERROR(__xludf.DUMMYFUNCTION("""COMPUTED_VALUE"""),0.792887897436128)</f>
        <v>0.79288789743612798</v>
      </c>
    </row>
    <row r="844" spans="1:36" ht="15.75" customHeight="1" x14ac:dyDescent="0.45">
      <c r="B844" s="10" t="str">
        <f ca="1">IFERROR(__xludf.DUMMYFUNCTION("""COMPUTED_VALUE"""),"SyntheticControl")</f>
        <v>SyntheticControl</v>
      </c>
      <c r="C844" s="10" t="str">
        <f ca="1">IFERROR(__xludf.DUMMYFUNCTION("""COMPUTED_VALUE"""),"aligned_series")</f>
        <v>aligned_series</v>
      </c>
      <c r="D844" s="10">
        <f ca="1">IFERROR(__xludf.DUMMYFUNCTION("""COMPUTED_VALUE"""),0.4)</f>
        <v>0.4</v>
      </c>
      <c r="E844" s="17">
        <f ca="1">IFERROR(__xludf.DUMMYFUNCTION("""COMPUTED_VALUE"""),1.12908721276779)</f>
        <v>1.12908721276779</v>
      </c>
      <c r="F844" s="17">
        <f ca="1">IFERROR(__xludf.DUMMYFUNCTION("""COMPUTED_VALUE"""),0.712927846868334)</f>
        <v>0.71292784686833399</v>
      </c>
      <c r="G844" s="17">
        <f ca="1">IFERROR(__xludf.DUMMYFUNCTION("""COMPUTED_VALUE"""),0.738151703002619)</f>
        <v>0.73815170300261901</v>
      </c>
      <c r="H844" s="17">
        <f ca="1">IFERROR(__xludf.DUMMYFUNCTION("""COMPUTED_VALUE"""),0.752952424515101)</f>
        <v>0.75295242451510103</v>
      </c>
      <c r="I844" s="17">
        <f ca="1">IFERROR(__xludf.DUMMYFUNCTION("""COMPUTED_VALUE"""),0.729212215602707)</f>
        <v>0.72921221560270699</v>
      </c>
      <c r="J844" s="17">
        <f ca="1">IFERROR(__xludf.DUMMYFUNCTION("""COMPUTED_VALUE"""),0.696842591119858)</f>
        <v>0.69684259111985802</v>
      </c>
      <c r="K844" s="17" t="str">
        <f ca="1">IFERROR(__xludf.DUMMYFUNCTION("""COMPUTED_VALUE"""),"nan")</f>
        <v>nan</v>
      </c>
      <c r="L844" s="17">
        <f ca="1">IFERROR(__xludf.DUMMYFUNCTION("""COMPUTED_VALUE"""),0.670567914577585)</f>
        <v>0.67056791457758502</v>
      </c>
      <c r="M844" s="17">
        <f ca="1">IFERROR(__xludf.DUMMYFUNCTION("""COMPUTED_VALUE"""),0.715657397489085)</f>
        <v>0.71565739748908497</v>
      </c>
      <c r="N844" s="17">
        <f ca="1">IFERROR(__xludf.DUMMYFUNCTION("""COMPUTED_VALUE"""),0.760394282817783)</f>
        <v>0.76039428281778298</v>
      </c>
      <c r="O844" s="17">
        <f ca="1">IFERROR(__xludf.DUMMYFUNCTION("""COMPUTED_VALUE"""),0.657877389600683)</f>
        <v>0.65787738960068298</v>
      </c>
      <c r="P844" s="17">
        <f ca="1">IFERROR(__xludf.DUMMYFUNCTION("""COMPUTED_VALUE"""),1.0789982292168)</f>
        <v>1.0789982292168001</v>
      </c>
      <c r="Q844" s="17">
        <f ca="1">IFERROR(__xludf.DUMMYFUNCTION("""COMPUTED_VALUE"""),0.875267877028675)</f>
        <v>0.87526787702867503</v>
      </c>
      <c r="R844" s="17">
        <f ca="1">IFERROR(__xludf.DUMMYFUNCTION("""COMPUTED_VALUE"""),0.743385771787395)</f>
        <v>0.74338577178739496</v>
      </c>
      <c r="S844" s="17">
        <f ca="1">IFERROR(__xludf.DUMMYFUNCTION("""COMPUTED_VALUE"""),0.847151760678015)</f>
        <v>0.84715176067801501</v>
      </c>
      <c r="T844" s="17">
        <f ca="1">IFERROR(__xludf.DUMMYFUNCTION("""COMPUTED_VALUE"""),0.736665847019267)</f>
        <v>0.73666584701926696</v>
      </c>
      <c r="U844" s="17">
        <f ca="1">IFERROR(__xludf.DUMMYFUNCTION("""COMPUTED_VALUE"""),0.691017171416411)</f>
        <v>0.69101717141641095</v>
      </c>
      <c r="V844" s="17">
        <f ca="1">IFERROR(__xludf.DUMMYFUNCTION("""COMPUTED_VALUE"""),0.753427203085207)</f>
        <v>0.75342720308520705</v>
      </c>
      <c r="W844" s="17">
        <f ca="1">IFERROR(__xludf.DUMMYFUNCTION("""COMPUTED_VALUE"""),0.666481142896496)</f>
        <v>0.66648114289649596</v>
      </c>
      <c r="X844" s="17">
        <f ca="1">IFERROR(__xludf.DUMMYFUNCTION("""COMPUTED_VALUE"""),0.703801159068403)</f>
        <v>0.70380115906840301</v>
      </c>
      <c r="Y844" s="17">
        <f ca="1">IFERROR(__xludf.DUMMYFUNCTION("""COMPUTED_VALUE"""),0.62681122483476)</f>
        <v>0.62681122483476004</v>
      </c>
      <c r="Z844" s="17">
        <f ca="1">IFERROR(__xludf.DUMMYFUNCTION("""COMPUTED_VALUE"""),0.750468055931179)</f>
        <v>0.75046805593117905</v>
      </c>
      <c r="AA844" s="17">
        <f ca="1">IFERROR(__xludf.DUMMYFUNCTION("""COMPUTED_VALUE"""),0.628532324199949)</f>
        <v>0.62853232419994898</v>
      </c>
      <c r="AB844" s="17">
        <f ca="1">IFERROR(__xludf.DUMMYFUNCTION("""COMPUTED_VALUE"""),0.830742869816165)</f>
        <v>0.83074286981616496</v>
      </c>
      <c r="AC844" s="17">
        <f ca="1">IFERROR(__xludf.DUMMYFUNCTION("""COMPUTED_VALUE"""),0.873399614157065)</f>
        <v>0.87339961415706502</v>
      </c>
      <c r="AD844" s="17">
        <f ca="1">IFERROR(__xludf.DUMMYFUNCTION("""COMPUTED_VALUE"""),0.724906158123068)</f>
        <v>0.72490615812306802</v>
      </c>
      <c r="AE844" s="17">
        <f ca="1">IFERROR(__xludf.DUMMYFUNCTION("""COMPUTED_VALUE"""),1.28115912478091)</f>
        <v>1.28115912478091</v>
      </c>
      <c r="AF844" s="17">
        <f ca="1">IFERROR(__xludf.DUMMYFUNCTION("""COMPUTED_VALUE"""),0.758821427594244)</f>
        <v>0.75882142759424398</v>
      </c>
      <c r="AG844" s="17">
        <f ca="1">IFERROR(__xludf.DUMMYFUNCTION("""COMPUTED_VALUE"""),0.843604493251982)</f>
        <v>0.84360449325198195</v>
      </c>
      <c r="AH844" s="17">
        <f ca="1">IFERROR(__xludf.DUMMYFUNCTION("""COMPUTED_VALUE"""),0.783646798931095)</f>
        <v>0.78364679893109501</v>
      </c>
      <c r="AI844" s="17">
        <f ca="1">IFERROR(__xludf.DUMMYFUNCTION("""COMPUTED_VALUE"""),0.840099412806126)</f>
        <v>0.84009941280612599</v>
      </c>
      <c r="AJ844" s="17">
        <f ca="1">IFERROR(__xludf.DUMMYFUNCTION("""COMPUTED_VALUE"""),0.764266328318012)</f>
        <v>0.764266328318012</v>
      </c>
    </row>
    <row r="845" spans="1:36" ht="15.75" customHeight="1" x14ac:dyDescent="0.45">
      <c r="A845" s="10" t="s">
        <v>5</v>
      </c>
      <c r="B845" s="1" t="str">
        <f ca="1">IFERROR(__xludf.DUMMYFUNCTION("""COMPUTED_VALUE"""),"SyntheticControl")</f>
        <v>SyntheticControl</v>
      </c>
      <c r="C845" s="10" t="str">
        <f ca="1">IFERROR(__xludf.DUMMYFUNCTION("""COMPUTED_VALUE"""),"aligned_series")</f>
        <v>aligned_series</v>
      </c>
      <c r="D845" s="10">
        <f ca="1">IFERROR(__xludf.DUMMYFUNCTION("""COMPUTED_VALUE"""),0.6)</f>
        <v>0.6</v>
      </c>
      <c r="E845" s="17">
        <f ca="1">IFERROR(__xludf.DUMMYFUNCTION("""COMPUTED_VALUE"""),1.17089890253781)</f>
        <v>1.17089890253781</v>
      </c>
      <c r="F845" s="17">
        <f ca="1">IFERROR(__xludf.DUMMYFUNCTION("""COMPUTED_VALUE"""),0.765653575154046)</f>
        <v>0.76565357515404597</v>
      </c>
      <c r="G845" s="17">
        <f ca="1">IFERROR(__xludf.DUMMYFUNCTION("""COMPUTED_VALUE"""),0.84467984980215)</f>
        <v>0.84467984980215005</v>
      </c>
      <c r="H845" s="17">
        <f ca="1">IFERROR(__xludf.DUMMYFUNCTION("""COMPUTED_VALUE"""),0.778929140942428)</f>
        <v>0.77892914094242804</v>
      </c>
      <c r="I845" s="17">
        <f ca="1">IFERROR(__xludf.DUMMYFUNCTION("""COMPUTED_VALUE"""),0.782155132413848)</f>
        <v>0.78215513241384804</v>
      </c>
      <c r="J845" s="17">
        <f ca="1">IFERROR(__xludf.DUMMYFUNCTION("""COMPUTED_VALUE"""),0.795802098725392)</f>
        <v>0.79580209872539198</v>
      </c>
      <c r="K845" s="17" t="str">
        <f ca="1">IFERROR(__xludf.DUMMYFUNCTION("""COMPUTED_VALUE"""),"nan")</f>
        <v>nan</v>
      </c>
      <c r="L845" s="17">
        <f ca="1">IFERROR(__xludf.DUMMYFUNCTION("""COMPUTED_VALUE"""),0.719561882530217)</f>
        <v>0.71956188253021702</v>
      </c>
      <c r="M845" s="17">
        <f ca="1">IFERROR(__xludf.DUMMYFUNCTION("""COMPUTED_VALUE"""),0.773853533231976)</f>
        <v>0.77385353323197603</v>
      </c>
      <c r="N845" s="17">
        <f ca="1">IFERROR(__xludf.DUMMYFUNCTION("""COMPUTED_VALUE"""),0.762057133326479)</f>
        <v>0.76205713332647895</v>
      </c>
      <c r="O845" s="17">
        <f ca="1">IFERROR(__xludf.DUMMYFUNCTION("""COMPUTED_VALUE"""),0.652443377834966)</f>
        <v>0.65244337783496598</v>
      </c>
      <c r="P845" s="17">
        <f ca="1">IFERROR(__xludf.DUMMYFUNCTION("""COMPUTED_VALUE"""),1.17053727766911)</f>
        <v>1.1705372776691101</v>
      </c>
      <c r="Q845" s="17">
        <f ca="1">IFERROR(__xludf.DUMMYFUNCTION("""COMPUTED_VALUE"""),1.06043336720652)</f>
        <v>1.06043336720652</v>
      </c>
      <c r="R845" s="17">
        <f ca="1">IFERROR(__xludf.DUMMYFUNCTION("""COMPUTED_VALUE"""),0.873255854165211)</f>
        <v>0.87325585416521101</v>
      </c>
      <c r="S845" s="17">
        <f ca="1">IFERROR(__xludf.DUMMYFUNCTION("""COMPUTED_VALUE"""),0.8992546698211)</f>
        <v>0.89925466982110003</v>
      </c>
      <c r="T845" s="17">
        <f ca="1">IFERROR(__xludf.DUMMYFUNCTION("""COMPUTED_VALUE"""),0.752883598845661)</f>
        <v>0.75288359884566103</v>
      </c>
      <c r="U845" s="17">
        <f ca="1">IFERROR(__xludf.DUMMYFUNCTION("""COMPUTED_VALUE"""),0.70838188582481)</f>
        <v>0.70838188582480999</v>
      </c>
      <c r="V845" s="17">
        <f ca="1">IFERROR(__xludf.DUMMYFUNCTION("""COMPUTED_VALUE"""),0.727328385306188)</f>
        <v>0.72732838530618804</v>
      </c>
      <c r="W845" s="17">
        <f ca="1">IFERROR(__xludf.DUMMYFUNCTION("""COMPUTED_VALUE"""),0.670963943752314)</f>
        <v>0.67096394375231405</v>
      </c>
      <c r="X845" s="17">
        <f ca="1">IFERROR(__xludf.DUMMYFUNCTION("""COMPUTED_VALUE"""),0.820124387724281)</f>
        <v>0.82012438772428098</v>
      </c>
      <c r="Y845" s="17">
        <f ca="1">IFERROR(__xludf.DUMMYFUNCTION("""COMPUTED_VALUE"""),0.633441012436644)</f>
        <v>0.63344101243664397</v>
      </c>
      <c r="Z845" s="17">
        <f ca="1">IFERROR(__xludf.DUMMYFUNCTION("""COMPUTED_VALUE"""),0.785910140762176)</f>
        <v>0.78591014076217602</v>
      </c>
      <c r="AA845" s="17">
        <f ca="1">IFERROR(__xludf.DUMMYFUNCTION("""COMPUTED_VALUE"""),0.635074829331859)</f>
        <v>0.63507482933185899</v>
      </c>
      <c r="AB845" s="17">
        <f ca="1">IFERROR(__xludf.DUMMYFUNCTION("""COMPUTED_VALUE"""),1.48989067583872)</f>
        <v>1.48989067583872</v>
      </c>
      <c r="AC845" s="17">
        <f ca="1">IFERROR(__xludf.DUMMYFUNCTION("""COMPUTED_VALUE"""),0.874527312955833)</f>
        <v>0.87452731295583297</v>
      </c>
      <c r="AD845" s="17">
        <f ca="1">IFERROR(__xludf.DUMMYFUNCTION("""COMPUTED_VALUE"""),0.734582540298405)</f>
        <v>0.73458254029840497</v>
      </c>
      <c r="AE845" s="17">
        <f ca="1">IFERROR(__xludf.DUMMYFUNCTION("""COMPUTED_VALUE"""),1.29957349407676)</f>
        <v>1.29957349407676</v>
      </c>
      <c r="AF845" s="17">
        <f ca="1">IFERROR(__xludf.DUMMYFUNCTION("""COMPUTED_VALUE"""),0.863715284952607)</f>
        <v>0.86371528495260697</v>
      </c>
      <c r="AG845" s="17">
        <f ca="1">IFERROR(__xludf.DUMMYFUNCTION("""COMPUTED_VALUE"""),0.851910765120379)</f>
        <v>0.851910765120379</v>
      </c>
      <c r="AH845" s="17">
        <f ca="1">IFERROR(__xludf.DUMMYFUNCTION("""COMPUTED_VALUE"""),0.777192590447746)</f>
        <v>0.77719259044774602</v>
      </c>
      <c r="AI845" s="17">
        <f ca="1">IFERROR(__xludf.DUMMYFUNCTION("""COMPUTED_VALUE"""),0.830637296527788)</f>
        <v>0.83063729652778795</v>
      </c>
      <c r="AJ845" s="17">
        <f ca="1">IFERROR(__xludf.DUMMYFUNCTION("""COMPUTED_VALUE"""),0.752375311439152)</f>
        <v>0.75237531143915204</v>
      </c>
    </row>
    <row r="846" spans="1:36" ht="15.75" customHeight="1" x14ac:dyDescent="0.45">
      <c r="B846" s="10" t="str">
        <f ca="1">IFERROR(__xludf.DUMMYFUNCTION("""COMPUTED_VALUE"""),"SyntheticControl")</f>
        <v>SyntheticControl</v>
      </c>
      <c r="C846" s="10" t="str">
        <f ca="1">IFERROR(__xludf.DUMMYFUNCTION("""COMPUTED_VALUE"""),"aligned_series")</f>
        <v>aligned_series</v>
      </c>
      <c r="D846" s="10">
        <f ca="1">IFERROR(__xludf.DUMMYFUNCTION("""COMPUTED_VALUE"""),0.8)</f>
        <v>0.8</v>
      </c>
      <c r="E846" s="17">
        <f ca="1">IFERROR(__xludf.DUMMYFUNCTION("""COMPUTED_VALUE"""),1.20577629381474)</f>
        <v>1.2057762938147401</v>
      </c>
      <c r="F846" s="17">
        <f ca="1">IFERROR(__xludf.DUMMYFUNCTION("""COMPUTED_VALUE"""),0.801219077372156)</f>
        <v>0.80121907737215603</v>
      </c>
      <c r="G846" s="17">
        <f ca="1">IFERROR(__xludf.DUMMYFUNCTION("""COMPUTED_VALUE"""),0.912021041885378)</f>
        <v>0.91202104188537803</v>
      </c>
      <c r="H846" s="17">
        <f ca="1">IFERROR(__xludf.DUMMYFUNCTION("""COMPUTED_VALUE"""),0.807314526305988)</f>
        <v>0.80731452630598799</v>
      </c>
      <c r="I846" s="17">
        <f ca="1">IFERROR(__xludf.DUMMYFUNCTION("""COMPUTED_VALUE"""),0.868721155347541)</f>
        <v>0.86872115534754102</v>
      </c>
      <c r="J846" s="17">
        <f ca="1">IFERROR(__xludf.DUMMYFUNCTION("""COMPUTED_VALUE"""),0.868351193836714)</f>
        <v>0.868351193836714</v>
      </c>
      <c r="K846" s="17" t="str">
        <f ca="1">IFERROR(__xludf.DUMMYFUNCTION("""COMPUTED_VALUE"""),"nan")</f>
        <v>nan</v>
      </c>
      <c r="L846" s="17">
        <f ca="1">IFERROR(__xludf.DUMMYFUNCTION("""COMPUTED_VALUE"""),0.790202623048318)</f>
        <v>0.79020262304831801</v>
      </c>
      <c r="M846" s="17">
        <f ca="1">IFERROR(__xludf.DUMMYFUNCTION("""COMPUTED_VALUE"""),0.874523720537561)</f>
        <v>0.874523720537561</v>
      </c>
      <c r="N846" s="17">
        <f ca="1">IFERROR(__xludf.DUMMYFUNCTION("""COMPUTED_VALUE"""),0.788503537874335)</f>
        <v>0.78850353787433503</v>
      </c>
      <c r="O846" s="17">
        <f ca="1">IFERROR(__xludf.DUMMYFUNCTION("""COMPUTED_VALUE"""),0.666019115344315)</f>
        <v>0.66601911534431502</v>
      </c>
      <c r="P846" s="17">
        <f ca="1">IFERROR(__xludf.DUMMYFUNCTION("""COMPUTED_VALUE"""),1.24184472788242)</f>
        <v>1.2418447278824201</v>
      </c>
      <c r="Q846" s="17">
        <f ca="1">IFERROR(__xludf.DUMMYFUNCTION("""COMPUTED_VALUE"""),1.21798616529161)</f>
        <v>1.21798616529161</v>
      </c>
      <c r="R846" s="17">
        <f ca="1">IFERROR(__xludf.DUMMYFUNCTION("""COMPUTED_VALUE"""),1.04001691987163)</f>
        <v>1.04001691987163</v>
      </c>
      <c r="S846" s="17">
        <f ca="1">IFERROR(__xludf.DUMMYFUNCTION("""COMPUTED_VALUE"""),1.01753329196177)</f>
        <v>1.0175332919617699</v>
      </c>
      <c r="T846" s="17">
        <f ca="1">IFERROR(__xludf.DUMMYFUNCTION("""COMPUTED_VALUE"""),0.795889761226992)</f>
        <v>0.79588976122699195</v>
      </c>
      <c r="U846" s="17">
        <f ca="1">IFERROR(__xludf.DUMMYFUNCTION("""COMPUTED_VALUE"""),0.700674024307296)</f>
        <v>0.70067402430729597</v>
      </c>
      <c r="V846" s="17">
        <f ca="1">IFERROR(__xludf.DUMMYFUNCTION("""COMPUTED_VALUE"""),0.780001142054696)</f>
        <v>0.78000114205469595</v>
      </c>
      <c r="W846" s="17">
        <f ca="1">IFERROR(__xludf.DUMMYFUNCTION("""COMPUTED_VALUE"""),0.674678048609263)</f>
        <v>0.67467804860926295</v>
      </c>
      <c r="X846" s="17">
        <f ca="1">IFERROR(__xludf.DUMMYFUNCTION("""COMPUTED_VALUE"""),0.763336017524207)</f>
        <v>0.76333601752420699</v>
      </c>
      <c r="Y846" s="17">
        <f ca="1">IFERROR(__xludf.DUMMYFUNCTION("""COMPUTED_VALUE"""),0.650127136474086)</f>
        <v>0.65012713647408604</v>
      </c>
      <c r="Z846" s="17">
        <f ca="1">IFERROR(__xludf.DUMMYFUNCTION("""COMPUTED_VALUE"""),0.781741161331171)</f>
        <v>0.781741161331171</v>
      </c>
      <c r="AA846" s="17">
        <f ca="1">IFERROR(__xludf.DUMMYFUNCTION("""COMPUTED_VALUE"""),0.631129590388935)</f>
        <v>0.63112959038893501</v>
      </c>
      <c r="AB846" s="17">
        <f ca="1">IFERROR(__xludf.DUMMYFUNCTION("""COMPUTED_VALUE"""),1.86831426177438)</f>
        <v>1.86831426177438</v>
      </c>
      <c r="AC846" s="17">
        <f ca="1">IFERROR(__xludf.DUMMYFUNCTION("""COMPUTED_VALUE"""),0.894034492750342)</f>
        <v>0.89403449275034197</v>
      </c>
      <c r="AD846" s="17">
        <f ca="1">IFERROR(__xludf.DUMMYFUNCTION("""COMPUTED_VALUE"""),0.78325845911902)</f>
        <v>0.78325845911902003</v>
      </c>
      <c r="AE846" s="17">
        <f ca="1">IFERROR(__xludf.DUMMYFUNCTION("""COMPUTED_VALUE"""),1.29061779701001)</f>
        <v>1.2906177970100099</v>
      </c>
      <c r="AF846" s="17">
        <f ca="1">IFERROR(__xludf.DUMMYFUNCTION("""COMPUTED_VALUE"""),0.90489781836883)</f>
        <v>0.90489781836882999</v>
      </c>
      <c r="AG846" s="17">
        <f ca="1">IFERROR(__xludf.DUMMYFUNCTION("""COMPUTED_VALUE"""),0.819647789428253)</f>
        <v>0.819647789428253</v>
      </c>
      <c r="AH846" s="17">
        <f ca="1">IFERROR(__xludf.DUMMYFUNCTION("""COMPUTED_VALUE"""),0.777418670123856)</f>
        <v>0.77741867012385601</v>
      </c>
      <c r="AI846" s="17">
        <f ca="1">IFERROR(__xludf.DUMMYFUNCTION("""COMPUTED_VALUE"""),0.833730274615839)</f>
        <v>0.83373027461583904</v>
      </c>
      <c r="AJ846" s="17">
        <f ca="1">IFERROR(__xludf.DUMMYFUNCTION("""COMPUTED_VALUE"""),0.759944879135044)</f>
        <v>0.75994487913504405</v>
      </c>
    </row>
    <row r="847" spans="1:36" ht="15.75" customHeight="1" x14ac:dyDescent="0.45">
      <c r="B847" s="10" t="str">
        <f ca="1">IFERROR(__xludf.DUMMYFUNCTION("""COMPUTED_VALUE"""),"SyntheticControl")</f>
        <v>SyntheticControl</v>
      </c>
      <c r="C847" s="10" t="str">
        <f ca="1">IFERROR(__xludf.DUMMYFUNCTION("""COMPUTED_VALUE"""),"aligned_timestamps")</f>
        <v>aligned_timestamps</v>
      </c>
      <c r="D847" s="10">
        <f ca="1">IFERROR(__xludf.DUMMYFUNCTION("""COMPUTED_VALUE"""),0.1)</f>
        <v>0.1</v>
      </c>
      <c r="E847" s="17">
        <f ca="1">IFERROR(__xludf.DUMMYFUNCTION("""COMPUTED_VALUE"""),1.14270409493135)</f>
        <v>1.1427040949313501</v>
      </c>
      <c r="F847" s="17">
        <f ca="1">IFERROR(__xludf.DUMMYFUNCTION("""COMPUTED_VALUE"""),0.672553247133873)</f>
        <v>0.67255324713387299</v>
      </c>
      <c r="G847" s="17">
        <f ca="1">IFERROR(__xludf.DUMMYFUNCTION("""COMPUTED_VALUE"""),0.673769580930415)</f>
        <v>0.67376958093041495</v>
      </c>
      <c r="H847" s="17">
        <f ca="1">IFERROR(__xludf.DUMMYFUNCTION("""COMPUTED_VALUE"""),0.747955472674197)</f>
        <v>0.74795547267419704</v>
      </c>
      <c r="I847" s="17">
        <f ca="1">IFERROR(__xludf.DUMMYFUNCTION("""COMPUTED_VALUE"""),0.708364271651623)</f>
        <v>0.70836427165162297</v>
      </c>
      <c r="J847" s="17">
        <f ca="1">IFERROR(__xludf.DUMMYFUNCTION("""COMPUTED_VALUE"""),0.712632998481714)</f>
        <v>0.71263299848171402</v>
      </c>
      <c r="K847" s="17" t="str">
        <f ca="1">IFERROR(__xludf.DUMMYFUNCTION("""COMPUTED_VALUE"""),"nan")</f>
        <v>nan</v>
      </c>
      <c r="L847" s="17">
        <f ca="1">IFERROR(__xludf.DUMMYFUNCTION("""COMPUTED_VALUE"""),0.688224185312635)</f>
        <v>0.68822418531263496</v>
      </c>
      <c r="M847" s="17">
        <f ca="1">IFERROR(__xludf.DUMMYFUNCTION("""COMPUTED_VALUE"""),0.69069186932426)</f>
        <v>0.69069186932425997</v>
      </c>
      <c r="N847" s="17">
        <f ca="1">IFERROR(__xludf.DUMMYFUNCTION("""COMPUTED_VALUE"""),0.711716560511509)</f>
        <v>0.711716560511509</v>
      </c>
      <c r="O847" s="17">
        <f ca="1">IFERROR(__xludf.DUMMYFUNCTION("""COMPUTED_VALUE"""),0.660755379389601)</f>
        <v>0.66075537938960105</v>
      </c>
      <c r="P847" s="17">
        <f ca="1">IFERROR(__xludf.DUMMYFUNCTION("""COMPUTED_VALUE"""),0.978522744045733)</f>
        <v>0.97852274404573303</v>
      </c>
      <c r="Q847" s="17">
        <f ca="1">IFERROR(__xludf.DUMMYFUNCTION("""COMPUTED_VALUE"""),0.893801208117754)</f>
        <v>0.89380120811775399</v>
      </c>
      <c r="R847" s="17">
        <f ca="1">IFERROR(__xludf.DUMMYFUNCTION("""COMPUTED_VALUE"""),0.685587536767422)</f>
        <v>0.68558753676742201</v>
      </c>
      <c r="S847" s="17">
        <f ca="1">IFERROR(__xludf.DUMMYFUNCTION("""COMPUTED_VALUE"""),0.800430193452701)</f>
        <v>0.80043019345270106</v>
      </c>
      <c r="T847" s="17">
        <f ca="1">IFERROR(__xludf.DUMMYFUNCTION("""COMPUTED_VALUE"""),0.718935166127839)</f>
        <v>0.71893516612783903</v>
      </c>
      <c r="U847" s="17">
        <f ca="1">IFERROR(__xludf.DUMMYFUNCTION("""COMPUTED_VALUE"""),0.745397164593291)</f>
        <v>0.74539716459329097</v>
      </c>
      <c r="V847" s="17">
        <f ca="1">IFERROR(__xludf.DUMMYFUNCTION("""COMPUTED_VALUE"""),0.750140209797941)</f>
        <v>0.75014020979794105</v>
      </c>
      <c r="W847" s="17">
        <f ca="1">IFERROR(__xludf.DUMMYFUNCTION("""COMPUTED_VALUE"""),0.675038469432025)</f>
        <v>0.67503846943202495</v>
      </c>
      <c r="X847" s="17">
        <f ca="1">IFERROR(__xludf.DUMMYFUNCTION("""COMPUTED_VALUE"""),0.81098975273367)</f>
        <v>0.81098975273367002</v>
      </c>
      <c r="Y847" s="17">
        <f ca="1">IFERROR(__xludf.DUMMYFUNCTION("""COMPUTED_VALUE"""),0.666213181280344)</f>
        <v>0.66621318128034401</v>
      </c>
      <c r="Z847" s="17">
        <f ca="1">IFERROR(__xludf.DUMMYFUNCTION("""COMPUTED_VALUE"""),0.730055591540146)</f>
        <v>0.73005559154014599</v>
      </c>
      <c r="AA847" s="17">
        <f ca="1">IFERROR(__xludf.DUMMYFUNCTION("""COMPUTED_VALUE"""),0.739132860306601)</f>
        <v>0.73913286030660097</v>
      </c>
      <c r="AB847" s="17">
        <f ca="1">IFERROR(__xludf.DUMMYFUNCTION("""COMPUTED_VALUE"""),0.835183095651606)</f>
        <v>0.83518309565160598</v>
      </c>
      <c r="AC847" s="17">
        <f ca="1">IFERROR(__xludf.DUMMYFUNCTION("""COMPUTED_VALUE"""),0.85451492018903)</f>
        <v>0.85451492018902997</v>
      </c>
      <c r="AD847" s="17">
        <f ca="1">IFERROR(__xludf.DUMMYFUNCTION("""COMPUTED_VALUE"""),0.713721051277018)</f>
        <v>0.71372105127701801</v>
      </c>
      <c r="AE847" s="17">
        <f ca="1">IFERROR(__xludf.DUMMYFUNCTION("""COMPUTED_VALUE"""),1.25761505036095)</f>
        <v>1.25761505036095</v>
      </c>
      <c r="AF847" s="17">
        <f ca="1">IFERROR(__xludf.DUMMYFUNCTION("""COMPUTED_VALUE"""),0.942205866806761)</f>
        <v>0.94220586680676099</v>
      </c>
      <c r="AG847" s="17">
        <f ca="1">IFERROR(__xludf.DUMMYFUNCTION("""COMPUTED_VALUE"""),0.804403958306216)</f>
        <v>0.80440395830621603</v>
      </c>
      <c r="AH847" s="17">
        <f ca="1">IFERROR(__xludf.DUMMYFUNCTION("""COMPUTED_VALUE"""),0.799100854409117)</f>
        <v>0.79910085440911705</v>
      </c>
      <c r="AI847" s="17">
        <f ca="1">IFERROR(__xludf.DUMMYFUNCTION("""COMPUTED_VALUE"""),0.760555333635135)</f>
        <v>0.76055533363513494</v>
      </c>
      <c r="AJ847" s="17">
        <f ca="1">IFERROR(__xludf.DUMMYFUNCTION("""COMPUTED_VALUE"""),0.701683206830873)</f>
        <v>0.70168320683087304</v>
      </c>
    </row>
    <row r="848" spans="1:36" ht="15.75" customHeight="1" x14ac:dyDescent="0.45">
      <c r="B848" s="10" t="str">
        <f ca="1">IFERROR(__xludf.DUMMYFUNCTION("""COMPUTED_VALUE"""),"SyntheticControl")</f>
        <v>SyntheticControl</v>
      </c>
      <c r="C848" s="10" t="str">
        <f ca="1">IFERROR(__xludf.DUMMYFUNCTION("""COMPUTED_VALUE"""),"aligned_timestamps")</f>
        <v>aligned_timestamps</v>
      </c>
      <c r="D848" s="10">
        <f ca="1">IFERROR(__xludf.DUMMYFUNCTION("""COMPUTED_VALUE"""),0.2)</f>
        <v>0.2</v>
      </c>
      <c r="E848" s="17">
        <f ca="1">IFERROR(__xludf.DUMMYFUNCTION("""COMPUTED_VALUE"""),1.0980066819595)</f>
        <v>1.0980066819595</v>
      </c>
      <c r="F848" s="17">
        <f ca="1">IFERROR(__xludf.DUMMYFUNCTION("""COMPUTED_VALUE"""),0.713105490091652)</f>
        <v>0.71310549009165203</v>
      </c>
      <c r="G848" s="17">
        <f ca="1">IFERROR(__xludf.DUMMYFUNCTION("""COMPUTED_VALUE"""),0.719079654505503)</f>
        <v>0.71907965450550304</v>
      </c>
      <c r="H848" s="17">
        <f ca="1">IFERROR(__xludf.DUMMYFUNCTION("""COMPUTED_VALUE"""),0.767709788385077)</f>
        <v>0.76770978838507697</v>
      </c>
      <c r="I848" s="17">
        <f ca="1">IFERROR(__xludf.DUMMYFUNCTION("""COMPUTED_VALUE"""),0.724798405534111)</f>
        <v>0.72479840553411101</v>
      </c>
      <c r="J848" s="17">
        <f ca="1">IFERROR(__xludf.DUMMYFUNCTION("""COMPUTED_VALUE"""),0.71785431852186)</f>
        <v>0.71785431852185999</v>
      </c>
      <c r="K848" s="17" t="str">
        <f ca="1">IFERROR(__xludf.DUMMYFUNCTION("""COMPUTED_VALUE"""),"nan")</f>
        <v>nan</v>
      </c>
      <c r="L848" s="17">
        <f ca="1">IFERROR(__xludf.DUMMYFUNCTION("""COMPUTED_VALUE"""),0.698170457111048)</f>
        <v>0.69817045711104797</v>
      </c>
      <c r="M848" s="17">
        <f ca="1">IFERROR(__xludf.DUMMYFUNCTION("""COMPUTED_VALUE"""),0.750734616471837)</f>
        <v>0.75073461647183704</v>
      </c>
      <c r="N848" s="17">
        <f ca="1">IFERROR(__xludf.DUMMYFUNCTION("""COMPUTED_VALUE"""),0.742876544766078)</f>
        <v>0.74287654476607801</v>
      </c>
      <c r="O848" s="17">
        <f ca="1">IFERROR(__xludf.DUMMYFUNCTION("""COMPUTED_VALUE"""),0.653171750155995)</f>
        <v>0.65317175015599505</v>
      </c>
      <c r="P848" s="17">
        <f ca="1">IFERROR(__xludf.DUMMYFUNCTION("""COMPUTED_VALUE"""),0.993800321068292)</f>
        <v>0.99380032106829197</v>
      </c>
      <c r="Q848" s="17">
        <f ca="1">IFERROR(__xludf.DUMMYFUNCTION("""COMPUTED_VALUE"""),0.905862483752561)</f>
        <v>0.90586248375256095</v>
      </c>
      <c r="R848" s="17">
        <f ca="1">IFERROR(__xludf.DUMMYFUNCTION("""COMPUTED_VALUE"""),0.674217905408607)</f>
        <v>0.67421790540860704</v>
      </c>
      <c r="S848" s="17">
        <f ca="1">IFERROR(__xludf.DUMMYFUNCTION("""COMPUTED_VALUE"""),0.828965769368669)</f>
        <v>0.82896576936866895</v>
      </c>
      <c r="T848" s="17">
        <f ca="1">IFERROR(__xludf.DUMMYFUNCTION("""COMPUTED_VALUE"""),0.72495643156227)</f>
        <v>0.72495643156226997</v>
      </c>
      <c r="U848" s="17">
        <f ca="1">IFERROR(__xludf.DUMMYFUNCTION("""COMPUTED_VALUE"""),0.734852601531283)</f>
        <v>0.73485260153128296</v>
      </c>
      <c r="V848" s="17">
        <f ca="1">IFERROR(__xludf.DUMMYFUNCTION("""COMPUTED_VALUE"""),0.754357336323115)</f>
        <v>0.75435733632311497</v>
      </c>
      <c r="W848" s="17">
        <f ca="1">IFERROR(__xludf.DUMMYFUNCTION("""COMPUTED_VALUE"""),0.671270701904136)</f>
        <v>0.67127070190413596</v>
      </c>
      <c r="X848" s="17">
        <f ca="1">IFERROR(__xludf.DUMMYFUNCTION("""COMPUTED_VALUE"""),0.708902877181679)</f>
        <v>0.70890287718167899</v>
      </c>
      <c r="Y848" s="17">
        <f ca="1">IFERROR(__xludf.DUMMYFUNCTION("""COMPUTED_VALUE"""),0.642633480109322)</f>
        <v>0.64263348010932198</v>
      </c>
      <c r="Z848" s="17">
        <f ca="1">IFERROR(__xludf.DUMMYFUNCTION("""COMPUTED_VALUE"""),0.76717352450569)</f>
        <v>0.76717352450568999</v>
      </c>
      <c r="AA848" s="17">
        <f ca="1">IFERROR(__xludf.DUMMYFUNCTION("""COMPUTED_VALUE"""),0.646374923625994)</f>
        <v>0.64637492362599402</v>
      </c>
      <c r="AB848" s="17">
        <f ca="1">IFERROR(__xludf.DUMMYFUNCTION("""COMPUTED_VALUE"""),0.800404740209356)</f>
        <v>0.80040474020935604</v>
      </c>
      <c r="AC848" s="17">
        <f ca="1">IFERROR(__xludf.DUMMYFUNCTION("""COMPUTED_VALUE"""),0.878294610635147)</f>
        <v>0.87829461063514702</v>
      </c>
      <c r="AD848" s="17">
        <f ca="1">IFERROR(__xludf.DUMMYFUNCTION("""COMPUTED_VALUE"""),0.755473404358647)</f>
        <v>0.75547340435864696</v>
      </c>
      <c r="AE848" s="17">
        <f ca="1">IFERROR(__xludf.DUMMYFUNCTION("""COMPUTED_VALUE"""),1.29315102479644)</f>
        <v>1.29315102479644</v>
      </c>
      <c r="AF848" s="17">
        <f ca="1">IFERROR(__xludf.DUMMYFUNCTION("""COMPUTED_VALUE"""),0.721654425780017)</f>
        <v>0.72165442578001704</v>
      </c>
      <c r="AG848" s="17">
        <f ca="1">IFERROR(__xludf.DUMMYFUNCTION("""COMPUTED_VALUE"""),0.844547284774604)</f>
        <v>0.84454728477460395</v>
      </c>
      <c r="AH848" s="17">
        <f ca="1">IFERROR(__xludf.DUMMYFUNCTION("""COMPUTED_VALUE"""),0.805846039590427)</f>
        <v>0.805846039590427</v>
      </c>
      <c r="AI848" s="17">
        <f ca="1">IFERROR(__xludf.DUMMYFUNCTION("""COMPUTED_VALUE"""),0.864926294628843)</f>
        <v>0.86492629462884296</v>
      </c>
      <c r="AJ848" s="17">
        <f ca="1">IFERROR(__xludf.DUMMYFUNCTION("""COMPUTED_VALUE"""),0.793235211519917)</f>
        <v>0.79323521151991705</v>
      </c>
    </row>
    <row r="849" spans="2:36" ht="15.75" customHeight="1" x14ac:dyDescent="0.45">
      <c r="B849" s="10" t="str">
        <f ca="1">IFERROR(__xludf.DUMMYFUNCTION("""COMPUTED_VALUE"""),"SyntheticControl")</f>
        <v>SyntheticControl</v>
      </c>
      <c r="C849" s="10" t="str">
        <f ca="1">IFERROR(__xludf.DUMMYFUNCTION("""COMPUTED_VALUE"""),"aligned_timestamps")</f>
        <v>aligned_timestamps</v>
      </c>
      <c r="D849" s="10">
        <f ca="1">IFERROR(__xludf.DUMMYFUNCTION("""COMPUTED_VALUE"""),0.4)</f>
        <v>0.4</v>
      </c>
      <c r="E849" s="17">
        <f ca="1">IFERROR(__xludf.DUMMYFUNCTION("""COMPUTED_VALUE"""),1.04191542476789)</f>
        <v>1.0419154247678899</v>
      </c>
      <c r="F849" s="17">
        <f ca="1">IFERROR(__xludf.DUMMYFUNCTION("""COMPUTED_VALUE"""),0.780792713402761)</f>
        <v>0.78079271340276102</v>
      </c>
      <c r="G849" s="17">
        <f ca="1">IFERROR(__xludf.DUMMYFUNCTION("""COMPUTED_VALUE"""),0.795744573792171)</f>
        <v>0.79574457379217101</v>
      </c>
      <c r="H849" s="17">
        <f ca="1">IFERROR(__xludf.DUMMYFUNCTION("""COMPUTED_VALUE"""),0.764714416726995)</f>
        <v>0.76471441672699503</v>
      </c>
      <c r="I849" s="17">
        <f ca="1">IFERROR(__xludf.DUMMYFUNCTION("""COMPUTED_VALUE"""),0.742233327787443)</f>
        <v>0.742233327787443</v>
      </c>
      <c r="J849" s="17">
        <f ca="1">IFERROR(__xludf.DUMMYFUNCTION("""COMPUTED_VALUE"""),0.789333895295942)</f>
        <v>0.789333895295942</v>
      </c>
      <c r="K849" s="17" t="str">
        <f ca="1">IFERROR(__xludf.DUMMYFUNCTION("""COMPUTED_VALUE"""),"nan")</f>
        <v>nan</v>
      </c>
      <c r="L849" s="17">
        <f ca="1">IFERROR(__xludf.DUMMYFUNCTION("""COMPUTED_VALUE"""),0.717725973004267)</f>
        <v>0.71772597300426699</v>
      </c>
      <c r="M849" s="17">
        <f ca="1">IFERROR(__xludf.DUMMYFUNCTION("""COMPUTED_VALUE"""),0.792075765330021)</f>
        <v>0.792075765330021</v>
      </c>
      <c r="N849" s="17">
        <f ca="1">IFERROR(__xludf.DUMMYFUNCTION("""COMPUTED_VALUE"""),0.821751761070972)</f>
        <v>0.82175176107097203</v>
      </c>
      <c r="O849" s="17">
        <f ca="1">IFERROR(__xludf.DUMMYFUNCTION("""COMPUTED_VALUE"""),0.700905537700475)</f>
        <v>0.70090553770047503</v>
      </c>
      <c r="P849" s="17">
        <f ca="1">IFERROR(__xludf.DUMMYFUNCTION("""COMPUTED_VALUE"""),1.09259649851929)</f>
        <v>1.09259649851929</v>
      </c>
      <c r="Q849" s="17">
        <f ca="1">IFERROR(__xludf.DUMMYFUNCTION("""COMPUTED_VALUE"""),0.940769372445445)</f>
        <v>0.94076937244544501</v>
      </c>
      <c r="R849" s="17">
        <f ca="1">IFERROR(__xludf.DUMMYFUNCTION("""COMPUTED_VALUE"""),0.770169426604044)</f>
        <v>0.77016942660404397</v>
      </c>
      <c r="S849" s="17">
        <f ca="1">IFERROR(__xludf.DUMMYFUNCTION("""COMPUTED_VALUE"""),0.83884968816424)</f>
        <v>0.83884968816423999</v>
      </c>
      <c r="T849" s="17">
        <f ca="1">IFERROR(__xludf.DUMMYFUNCTION("""COMPUTED_VALUE"""),0.896046815446031)</f>
        <v>0.89604681544603104</v>
      </c>
      <c r="U849" s="17">
        <f ca="1">IFERROR(__xludf.DUMMYFUNCTION("""COMPUTED_VALUE"""),0.768199088884397)</f>
        <v>0.76819908888439703</v>
      </c>
      <c r="V849" s="17">
        <f ca="1">IFERROR(__xludf.DUMMYFUNCTION("""COMPUTED_VALUE"""),0.799091184129795)</f>
        <v>0.79909118412979496</v>
      </c>
      <c r="W849" s="17">
        <f ca="1">IFERROR(__xludf.DUMMYFUNCTION("""COMPUTED_VALUE"""),0.761414793688148)</f>
        <v>0.76141479368814802</v>
      </c>
      <c r="X849" s="17">
        <f ca="1">IFERROR(__xludf.DUMMYFUNCTION("""COMPUTED_VALUE"""),0.740008844636802)</f>
        <v>0.74000884463680205</v>
      </c>
      <c r="Y849" s="17">
        <f ca="1">IFERROR(__xludf.DUMMYFUNCTION("""COMPUTED_VALUE"""),0.691831659208203)</f>
        <v>0.691831659208203</v>
      </c>
      <c r="Z849" s="17">
        <f ca="1">IFERROR(__xludf.DUMMYFUNCTION("""COMPUTED_VALUE"""),0.89194625195734)</f>
        <v>0.89194625195734001</v>
      </c>
      <c r="AA849" s="17">
        <f ca="1">IFERROR(__xludf.DUMMYFUNCTION("""COMPUTED_VALUE"""),0.672363308899465)</f>
        <v>0.67236330889946505</v>
      </c>
      <c r="AB849" s="17">
        <f ca="1">IFERROR(__xludf.DUMMYFUNCTION("""COMPUTED_VALUE"""),0.93013026109742)</f>
        <v>0.93013026109742003</v>
      </c>
      <c r="AC849" s="17">
        <f ca="1">IFERROR(__xludf.DUMMYFUNCTION("""COMPUTED_VALUE"""),0.88526418162227)</f>
        <v>0.88526418162227005</v>
      </c>
      <c r="AD849" s="17">
        <f ca="1">IFERROR(__xludf.DUMMYFUNCTION("""COMPUTED_VALUE"""),0.781860115105159)</f>
        <v>0.78186011510515896</v>
      </c>
      <c r="AE849" s="17">
        <f ca="1">IFERROR(__xludf.DUMMYFUNCTION("""COMPUTED_VALUE"""),1.2942012090877)</f>
        <v>1.2942012090877</v>
      </c>
      <c r="AF849" s="17">
        <f ca="1">IFERROR(__xludf.DUMMYFUNCTION("""COMPUTED_VALUE"""),0.904630363467622)</f>
        <v>0.90463036346762205</v>
      </c>
      <c r="AG849" s="17">
        <f ca="1">IFERROR(__xludf.DUMMYFUNCTION("""COMPUTED_VALUE"""),0.88595455315991)</f>
        <v>0.88595455315991001</v>
      </c>
      <c r="AH849" s="17">
        <f ca="1">IFERROR(__xludf.DUMMYFUNCTION("""COMPUTED_VALUE"""),0.886433857419327)</f>
        <v>0.88643385741932701</v>
      </c>
      <c r="AI849" s="17">
        <f ca="1">IFERROR(__xludf.DUMMYFUNCTION("""COMPUTED_VALUE"""),0.846463448355811)</f>
        <v>0.846463448355811</v>
      </c>
      <c r="AJ849" s="17">
        <f ca="1">IFERROR(__xludf.DUMMYFUNCTION("""COMPUTED_VALUE"""),0.912191228621093)</f>
        <v>0.91219122862109303</v>
      </c>
    </row>
    <row r="850" spans="2:36" ht="15.75" customHeight="1" x14ac:dyDescent="0.45">
      <c r="B850" s="10" t="str">
        <f ca="1">IFERROR(__xludf.DUMMYFUNCTION("""COMPUTED_VALUE"""),"SyntheticControl")</f>
        <v>SyntheticControl</v>
      </c>
      <c r="C850" s="10" t="str">
        <f ca="1">IFERROR(__xludf.DUMMYFUNCTION("""COMPUTED_VALUE"""),"aligned_timestamps")</f>
        <v>aligned_timestamps</v>
      </c>
      <c r="D850" s="10">
        <f ca="1">IFERROR(__xludf.DUMMYFUNCTION("""COMPUTED_VALUE"""),0.6)</f>
        <v>0.6</v>
      </c>
      <c r="E850" s="17">
        <f ca="1">IFERROR(__xludf.DUMMYFUNCTION("""COMPUTED_VALUE"""),0.972074291840819)</f>
        <v>0.97207429184081895</v>
      </c>
      <c r="F850" s="17">
        <f ca="1">IFERROR(__xludf.DUMMYFUNCTION("""COMPUTED_VALUE"""),0.813067589372066)</f>
        <v>0.81306758937206602</v>
      </c>
      <c r="G850" s="17">
        <f ca="1">IFERROR(__xludf.DUMMYFUNCTION("""COMPUTED_VALUE"""),0.855619233112985)</f>
        <v>0.85561923311298504</v>
      </c>
      <c r="H850" s="17">
        <f ca="1">IFERROR(__xludf.DUMMYFUNCTION("""COMPUTED_VALUE"""),0.76564679232831)</f>
        <v>0.76564679232831001</v>
      </c>
      <c r="I850" s="17">
        <f ca="1">IFERROR(__xludf.DUMMYFUNCTION("""COMPUTED_VALUE"""),0.790109505837282)</f>
        <v>0.79010950583728201</v>
      </c>
      <c r="J850" s="17">
        <f ca="1">IFERROR(__xludf.DUMMYFUNCTION("""COMPUTED_VALUE"""),0.972412851437107)</f>
        <v>0.97241285143710698</v>
      </c>
      <c r="K850" s="17" t="str">
        <f ca="1">IFERROR(__xludf.DUMMYFUNCTION("""COMPUTED_VALUE"""),"nan")</f>
        <v>nan</v>
      </c>
      <c r="L850" s="17">
        <f ca="1">IFERROR(__xludf.DUMMYFUNCTION("""COMPUTED_VALUE"""),0.781994205869097)</f>
        <v>0.78199420586909696</v>
      </c>
      <c r="M850" s="17">
        <f ca="1">IFERROR(__xludf.DUMMYFUNCTION("""COMPUTED_VALUE"""),0.7945472751265)</f>
        <v>0.79454727512650003</v>
      </c>
      <c r="N850" s="17">
        <f ca="1">IFERROR(__xludf.DUMMYFUNCTION("""COMPUTED_VALUE"""),0.855897630947414)</f>
        <v>0.855897630947414</v>
      </c>
      <c r="O850" s="17">
        <f ca="1">IFERROR(__xludf.DUMMYFUNCTION("""COMPUTED_VALUE"""),0.774982925050408)</f>
        <v>0.774982925050408</v>
      </c>
      <c r="P850" s="17">
        <f ca="1">IFERROR(__xludf.DUMMYFUNCTION("""COMPUTED_VALUE"""),1.10576337410129)</f>
        <v>1.10576337410129</v>
      </c>
      <c r="Q850" s="17">
        <f ca="1">IFERROR(__xludf.DUMMYFUNCTION("""COMPUTED_VALUE"""),1.00671857436498)</f>
        <v>1.00671857436498</v>
      </c>
      <c r="R850" s="17">
        <f ca="1">IFERROR(__xludf.DUMMYFUNCTION("""COMPUTED_VALUE"""),0.881131523537919)</f>
        <v>0.88113152353791901</v>
      </c>
      <c r="S850" s="17">
        <f ca="1">IFERROR(__xludf.DUMMYFUNCTION("""COMPUTED_VALUE"""),0.904325370497878)</f>
        <v>0.90432537049787798</v>
      </c>
      <c r="T850" s="17">
        <f ca="1">IFERROR(__xludf.DUMMYFUNCTION("""COMPUTED_VALUE"""),0.989035936815147)</f>
        <v>0.98903593681514701</v>
      </c>
      <c r="U850" s="17">
        <f ca="1">IFERROR(__xludf.DUMMYFUNCTION("""COMPUTED_VALUE"""),0.826509352337693)</f>
        <v>0.82650935233769296</v>
      </c>
      <c r="V850" s="17">
        <f ca="1">IFERROR(__xludf.DUMMYFUNCTION("""COMPUTED_VALUE"""),0.813810722721644)</f>
        <v>0.81381072272164401</v>
      </c>
      <c r="W850" s="17">
        <f ca="1">IFERROR(__xludf.DUMMYFUNCTION("""COMPUTED_VALUE"""),0.780772293149101)</f>
        <v>0.78077229314910102</v>
      </c>
      <c r="X850" s="17">
        <f ca="1">IFERROR(__xludf.DUMMYFUNCTION("""COMPUTED_VALUE"""),1.79939590852625)</f>
        <v>1.7993959085262501</v>
      </c>
      <c r="Y850" s="17">
        <f ca="1">IFERROR(__xludf.DUMMYFUNCTION("""COMPUTED_VALUE"""),0.735915250532696)</f>
        <v>0.73591525053269602</v>
      </c>
      <c r="Z850" s="17">
        <f ca="1">IFERROR(__xludf.DUMMYFUNCTION("""COMPUTED_VALUE"""),0.882735240643592)</f>
        <v>0.88273524064359199</v>
      </c>
      <c r="AA850" s="17">
        <f ca="1">IFERROR(__xludf.DUMMYFUNCTION("""COMPUTED_VALUE"""),0.747654780273115)</f>
        <v>0.74765478027311505</v>
      </c>
      <c r="AB850" s="17">
        <f ca="1">IFERROR(__xludf.DUMMYFUNCTION("""COMPUTED_VALUE"""),1.05541685981657)</f>
        <v>1.0554168598165701</v>
      </c>
      <c r="AC850" s="17">
        <f ca="1">IFERROR(__xludf.DUMMYFUNCTION("""COMPUTED_VALUE"""),0.893168675724729)</f>
        <v>0.89316867572472902</v>
      </c>
      <c r="AD850" s="17">
        <f ca="1">IFERROR(__xludf.DUMMYFUNCTION("""COMPUTED_VALUE"""),0.805171372477557)</f>
        <v>0.80517137247755699</v>
      </c>
      <c r="AE850" s="17">
        <f ca="1">IFERROR(__xludf.DUMMYFUNCTION("""COMPUTED_VALUE"""),1.33729849339248)</f>
        <v>1.3372984933924801</v>
      </c>
      <c r="AF850" s="17">
        <f ca="1">IFERROR(__xludf.DUMMYFUNCTION("""COMPUTED_VALUE"""),1.00274719741441)</f>
        <v>1.00274719741441</v>
      </c>
      <c r="AG850" s="17">
        <f ca="1">IFERROR(__xludf.DUMMYFUNCTION("""COMPUTED_VALUE"""),1.10465993942403)</f>
        <v>1.10465993942403</v>
      </c>
      <c r="AH850" s="17">
        <f ca="1">IFERROR(__xludf.DUMMYFUNCTION("""COMPUTED_VALUE"""),0.933715374073101)</f>
        <v>0.93371537407310101</v>
      </c>
      <c r="AI850" s="17" t="str">
        <f ca="1">IFERROR(__xludf.DUMMYFUNCTION("""COMPUTED_VALUE"""),"nan")</f>
        <v>nan</v>
      </c>
      <c r="AJ850" s="17">
        <f ca="1">IFERROR(__xludf.DUMMYFUNCTION("""COMPUTED_VALUE"""),0.931070841616968)</f>
        <v>0.93107084161696796</v>
      </c>
    </row>
    <row r="851" spans="2:36" ht="15.75" customHeight="1" x14ac:dyDescent="0.45">
      <c r="B851" s="10" t="str">
        <f ca="1">IFERROR(__xludf.DUMMYFUNCTION("""COMPUTED_VALUE"""),"SyntheticControl")</f>
        <v>SyntheticControl</v>
      </c>
      <c r="C851" s="10" t="str">
        <f ca="1">IFERROR(__xludf.DUMMYFUNCTION("""COMPUTED_VALUE"""),"aligned_timestamps")</f>
        <v>aligned_timestamps</v>
      </c>
      <c r="D851" s="10">
        <f ca="1">IFERROR(__xludf.DUMMYFUNCTION("""COMPUTED_VALUE"""),0.8)</f>
        <v>0.8</v>
      </c>
      <c r="E851" s="17">
        <f ca="1">IFERROR(__xludf.DUMMYFUNCTION("""COMPUTED_VALUE"""),0.963182979914367)</f>
        <v>0.96318297991436697</v>
      </c>
      <c r="F851" s="17">
        <f ca="1">IFERROR(__xludf.DUMMYFUNCTION("""COMPUTED_VALUE"""),0.797404482463941)</f>
        <v>0.79740448246394102</v>
      </c>
      <c r="G851" s="17">
        <f ca="1">IFERROR(__xludf.DUMMYFUNCTION("""COMPUTED_VALUE"""),0.846196669169391)</f>
        <v>0.84619666916939096</v>
      </c>
      <c r="H851" s="17">
        <f ca="1">IFERROR(__xludf.DUMMYFUNCTION("""COMPUTED_VALUE"""),0.762754388942517)</f>
        <v>0.76275438894251701</v>
      </c>
      <c r="I851" s="17">
        <f ca="1">IFERROR(__xludf.DUMMYFUNCTION("""COMPUTED_VALUE"""),0.789019895184573)</f>
        <v>0.78901989518457305</v>
      </c>
      <c r="J851" s="17">
        <f ca="1">IFERROR(__xludf.DUMMYFUNCTION("""COMPUTED_VALUE"""),1.18988127657451)</f>
        <v>1.1898812765745099</v>
      </c>
      <c r="K851" s="17" t="str">
        <f ca="1">IFERROR(__xludf.DUMMYFUNCTION("""COMPUTED_VALUE"""),"nan")</f>
        <v>nan</v>
      </c>
      <c r="L851" s="17">
        <f ca="1">IFERROR(__xludf.DUMMYFUNCTION("""COMPUTED_VALUE"""),0.823393263678863)</f>
        <v>0.82339326367886301</v>
      </c>
      <c r="M851" s="17">
        <f ca="1">IFERROR(__xludf.DUMMYFUNCTION("""COMPUTED_VALUE"""),0.824234832719367)</f>
        <v>0.82423483271936704</v>
      </c>
      <c r="N851" s="17">
        <f ca="1">IFERROR(__xludf.DUMMYFUNCTION("""COMPUTED_VALUE"""),0.898602967220185)</f>
        <v>0.89860296722018496</v>
      </c>
      <c r="O851" s="17">
        <f ca="1">IFERROR(__xludf.DUMMYFUNCTION("""COMPUTED_VALUE"""),0.847062661461453)</f>
        <v>0.84706266146145304</v>
      </c>
      <c r="P851" s="17">
        <f ca="1">IFERROR(__xludf.DUMMYFUNCTION("""COMPUTED_VALUE"""),1.13281364570833)</f>
        <v>1.13281364570833</v>
      </c>
      <c r="Q851" s="17">
        <f ca="1">IFERROR(__xludf.DUMMYFUNCTION("""COMPUTED_VALUE"""),1.00973662661967)</f>
        <v>1.0097366266196699</v>
      </c>
      <c r="R851" s="17">
        <f ca="1">IFERROR(__xludf.DUMMYFUNCTION("""COMPUTED_VALUE"""),0.868153610714303)</f>
        <v>0.86815361071430297</v>
      </c>
      <c r="S851" s="17">
        <f ca="1">IFERROR(__xludf.DUMMYFUNCTION("""COMPUTED_VALUE"""),0.922293421472444)</f>
        <v>0.92229342147244397</v>
      </c>
      <c r="T851" s="17">
        <f ca="1">IFERROR(__xludf.DUMMYFUNCTION("""COMPUTED_VALUE"""),0.948669382517972)</f>
        <v>0.94866938251797195</v>
      </c>
      <c r="U851" s="17">
        <f ca="1">IFERROR(__xludf.DUMMYFUNCTION("""COMPUTED_VALUE"""),1.09009030628711)</f>
        <v>1.0900903062871099</v>
      </c>
      <c r="V851" s="17">
        <f ca="1">IFERROR(__xludf.DUMMYFUNCTION("""COMPUTED_VALUE"""),0.996328009208111)</f>
        <v>0.99632800920811104</v>
      </c>
      <c r="W851" s="17">
        <f ca="1">IFERROR(__xludf.DUMMYFUNCTION("""COMPUTED_VALUE"""),0.816169011934942)</f>
        <v>0.81616901193494196</v>
      </c>
      <c r="X851" s="17">
        <f ca="1">IFERROR(__xludf.DUMMYFUNCTION("""COMPUTED_VALUE"""),0.732949802310338)</f>
        <v>0.73294980231033802</v>
      </c>
      <c r="Y851" s="17">
        <f ca="1">IFERROR(__xludf.DUMMYFUNCTION("""COMPUTED_VALUE"""),0.73485471177378)</f>
        <v>0.73485471177378003</v>
      </c>
      <c r="Z851" s="17">
        <f ca="1">IFERROR(__xludf.DUMMYFUNCTION("""COMPUTED_VALUE"""),0.896585185365114)</f>
        <v>0.896585185365114</v>
      </c>
      <c r="AA851" s="17">
        <f ca="1">IFERROR(__xludf.DUMMYFUNCTION("""COMPUTED_VALUE"""),0.815215109435965)</f>
        <v>0.81521510943596498</v>
      </c>
      <c r="AB851" s="17">
        <f ca="1">IFERROR(__xludf.DUMMYFUNCTION("""COMPUTED_VALUE"""),1.12482352308121)</f>
        <v>1.12482352308121</v>
      </c>
      <c r="AC851" s="17">
        <f ca="1">IFERROR(__xludf.DUMMYFUNCTION("""COMPUTED_VALUE"""),0.907123005943895)</f>
        <v>0.90712300594389506</v>
      </c>
      <c r="AD851" s="17">
        <f ca="1">IFERROR(__xludf.DUMMYFUNCTION("""COMPUTED_VALUE"""),0.820770020626073)</f>
        <v>0.82077002062607296</v>
      </c>
      <c r="AE851" s="17" t="str">
        <f ca="1">IFERROR(__xludf.DUMMYFUNCTION("""COMPUTED_VALUE"""),"nan")</f>
        <v>nan</v>
      </c>
      <c r="AF851" s="17">
        <f ca="1">IFERROR(__xludf.DUMMYFUNCTION("""COMPUTED_VALUE"""),0.852831117627035)</f>
        <v>0.85283111762703501</v>
      </c>
      <c r="AG851" s="17">
        <f ca="1">IFERROR(__xludf.DUMMYFUNCTION("""COMPUTED_VALUE"""),1.05356271084764)</f>
        <v>1.05356271084764</v>
      </c>
      <c r="AH851" s="17">
        <f ca="1">IFERROR(__xludf.DUMMYFUNCTION("""COMPUTED_VALUE"""),1.00831998362235)</f>
        <v>1.00831998362235</v>
      </c>
      <c r="AI851" s="17" t="str">
        <f ca="1">IFERROR(__xludf.DUMMYFUNCTION("""COMPUTED_VALUE"""),"nan")</f>
        <v>nan</v>
      </c>
      <c r="AJ851" s="17">
        <f ca="1">IFERROR(__xludf.DUMMYFUNCTION("""COMPUTED_VALUE"""),1.05658934617969)</f>
        <v>1.05658934617969</v>
      </c>
    </row>
    <row r="852" spans="2:36" ht="15.75" customHeight="1" x14ac:dyDescent="0.45">
      <c r="B852" s="10" t="str">
        <f ca="1">IFERROR(__xludf.DUMMYFUNCTION("""COMPUTED_VALUE"""),"SyntheticControl")</f>
        <v>SyntheticControl</v>
      </c>
      <c r="C852" s="10" t="str">
        <f ca="1">IFERROR(__xludf.DUMMYFUNCTION("""COMPUTED_VALUE"""),"mcar")</f>
        <v>mcar</v>
      </c>
      <c r="D852" s="10">
        <f ca="1">IFERROR(__xludf.DUMMYFUNCTION("""COMPUTED_VALUE"""),0.1)</f>
        <v>0.1</v>
      </c>
      <c r="E852" s="17">
        <f ca="1">IFERROR(__xludf.DUMMYFUNCTION("""COMPUTED_VALUE"""),0.989147629466183)</f>
        <v>0.98914762946618295</v>
      </c>
      <c r="F852" s="17">
        <f ca="1">IFERROR(__xludf.DUMMYFUNCTION("""COMPUTED_VALUE"""),0.701434587547588)</f>
        <v>0.70143458754758803</v>
      </c>
      <c r="G852" s="17">
        <f ca="1">IFERROR(__xludf.DUMMYFUNCTION("""COMPUTED_VALUE"""),0.704780347289071)</f>
        <v>0.70478034728907102</v>
      </c>
      <c r="H852" s="17">
        <f ca="1">IFERROR(__xludf.DUMMYFUNCTION("""COMPUTED_VALUE"""),0.71587828670684)</f>
        <v>0.71587828670683995</v>
      </c>
      <c r="I852" s="17">
        <f ca="1">IFERROR(__xludf.DUMMYFUNCTION("""COMPUTED_VALUE"""),0.731918582020923)</f>
        <v>0.73191858202092297</v>
      </c>
      <c r="J852" s="17">
        <f ca="1">IFERROR(__xludf.DUMMYFUNCTION("""COMPUTED_VALUE"""),0.73051774818119)</f>
        <v>0.73051774818118997</v>
      </c>
      <c r="K852" s="17" t="str">
        <f ca="1">IFERROR(__xludf.DUMMYFUNCTION("""COMPUTED_VALUE"""),"nan")</f>
        <v>nan</v>
      </c>
      <c r="L852" s="17">
        <f ca="1">IFERROR(__xludf.DUMMYFUNCTION("""COMPUTED_VALUE"""),0.653889601372905)</f>
        <v>0.65388960137290497</v>
      </c>
      <c r="M852" s="17">
        <f ca="1">IFERROR(__xludf.DUMMYFUNCTION("""COMPUTED_VALUE"""),0.7195024155287)</f>
        <v>0.71950241552869998</v>
      </c>
      <c r="N852" s="17">
        <f ca="1">IFERROR(__xludf.DUMMYFUNCTION("""COMPUTED_VALUE"""),0.750851390288415)</f>
        <v>0.75085139028841497</v>
      </c>
      <c r="O852" s="17">
        <f ca="1">IFERROR(__xludf.DUMMYFUNCTION("""COMPUTED_VALUE"""),0.663336693730357)</f>
        <v>0.66333669373035697</v>
      </c>
      <c r="P852" s="17">
        <f ca="1">IFERROR(__xludf.DUMMYFUNCTION("""COMPUTED_VALUE"""),0.817448504674268)</f>
        <v>0.817448504674268</v>
      </c>
      <c r="Q852" s="17">
        <f ca="1">IFERROR(__xludf.DUMMYFUNCTION("""COMPUTED_VALUE"""),1.06066408842177)</f>
        <v>1.06066408842177</v>
      </c>
      <c r="R852" s="17">
        <f ca="1">IFERROR(__xludf.DUMMYFUNCTION("""COMPUTED_VALUE"""),0.664461662941152)</f>
        <v>0.66446166294115205</v>
      </c>
      <c r="S852" s="17">
        <f ca="1">IFERROR(__xludf.DUMMYFUNCTION("""COMPUTED_VALUE"""),0.802805004331796)</f>
        <v>0.80280500433179602</v>
      </c>
      <c r="T852" s="17">
        <f ca="1">IFERROR(__xludf.DUMMYFUNCTION("""COMPUTED_VALUE"""),0.693477589309244)</f>
        <v>0.69347758930924397</v>
      </c>
      <c r="U852" s="17">
        <f ca="1">IFERROR(__xludf.DUMMYFUNCTION("""COMPUTED_VALUE"""),0.759117234497426)</f>
        <v>0.75911723449742596</v>
      </c>
      <c r="V852" s="17">
        <f ca="1">IFERROR(__xludf.DUMMYFUNCTION("""COMPUTED_VALUE"""),0.783158312277637)</f>
        <v>0.78315831227763699</v>
      </c>
      <c r="W852" s="17">
        <f ca="1">IFERROR(__xludf.DUMMYFUNCTION("""COMPUTED_VALUE"""),0.665918239863304)</f>
        <v>0.66591823986330401</v>
      </c>
      <c r="X852" s="17">
        <f ca="1">IFERROR(__xludf.DUMMYFUNCTION("""COMPUTED_VALUE"""),0.718457329510464)</f>
        <v>0.71845732951046404</v>
      </c>
      <c r="Y852" s="17">
        <f ca="1">IFERROR(__xludf.DUMMYFUNCTION("""COMPUTED_VALUE"""),0.699781271102265)</f>
        <v>0.69978127110226496</v>
      </c>
      <c r="Z852" s="17">
        <f ca="1">IFERROR(__xludf.DUMMYFUNCTION("""COMPUTED_VALUE"""),0.742667385838592)</f>
        <v>0.74266738583859204</v>
      </c>
      <c r="AA852" s="17">
        <f ca="1">IFERROR(__xludf.DUMMYFUNCTION("""COMPUTED_VALUE"""),0.740839508630869)</f>
        <v>0.740839508630869</v>
      </c>
      <c r="AB852" s="17">
        <f ca="1">IFERROR(__xludf.DUMMYFUNCTION("""COMPUTED_VALUE"""),0.800644567183408)</f>
        <v>0.80064456718340804</v>
      </c>
      <c r="AC852" s="17">
        <f ca="1">IFERROR(__xludf.DUMMYFUNCTION("""COMPUTED_VALUE"""),0.826438642288115)</f>
        <v>0.82643864228811503</v>
      </c>
      <c r="AD852" s="17">
        <f ca="1">IFERROR(__xludf.DUMMYFUNCTION("""COMPUTED_VALUE"""),0.800307787399778)</f>
        <v>0.80030778739977804</v>
      </c>
      <c r="AE852" s="17">
        <f ca="1">IFERROR(__xludf.DUMMYFUNCTION("""COMPUTED_VALUE"""),0.931657378302624)</f>
        <v>0.93165737830262396</v>
      </c>
      <c r="AF852" s="17">
        <f ca="1">IFERROR(__xludf.DUMMYFUNCTION("""COMPUTED_VALUE"""),0.975035102895427)</f>
        <v>0.97503510289542705</v>
      </c>
      <c r="AG852" s="17">
        <f ca="1">IFERROR(__xludf.DUMMYFUNCTION("""COMPUTED_VALUE"""),0.808444830356437)</f>
        <v>0.80844483035643699</v>
      </c>
      <c r="AH852" s="17">
        <f ca="1">IFERROR(__xludf.DUMMYFUNCTION("""COMPUTED_VALUE"""),0.777655292811328)</f>
        <v>0.77765529281132795</v>
      </c>
      <c r="AI852" s="17">
        <f ca="1">IFERROR(__xludf.DUMMYFUNCTION("""COMPUTED_VALUE"""),0.845469846731038)</f>
        <v>0.84546984673103798</v>
      </c>
      <c r="AJ852" s="17">
        <f ca="1">IFERROR(__xludf.DUMMYFUNCTION("""COMPUTED_VALUE"""),0.688825252995608)</f>
        <v>0.68882525299560804</v>
      </c>
    </row>
    <row r="853" spans="2:36" ht="15.75" customHeight="1" x14ac:dyDescent="0.45">
      <c r="B853" s="10" t="str">
        <f ca="1">IFERROR(__xludf.DUMMYFUNCTION("""COMPUTED_VALUE"""),"SyntheticControl")</f>
        <v>SyntheticControl</v>
      </c>
      <c r="C853" s="10" t="str">
        <f ca="1">IFERROR(__xludf.DUMMYFUNCTION("""COMPUTED_VALUE"""),"mcar")</f>
        <v>mcar</v>
      </c>
      <c r="D853" s="10">
        <f ca="1">IFERROR(__xludf.DUMMYFUNCTION("""COMPUTED_VALUE"""),0.2)</f>
        <v>0.2</v>
      </c>
      <c r="E853" s="17">
        <f ca="1">IFERROR(__xludf.DUMMYFUNCTION("""COMPUTED_VALUE"""),1.01461419861004)</f>
        <v>1.0146141986100401</v>
      </c>
      <c r="F853" s="17">
        <f ca="1">IFERROR(__xludf.DUMMYFUNCTION("""COMPUTED_VALUE"""),0.715084419128094)</f>
        <v>0.71508441912809395</v>
      </c>
      <c r="G853" s="17">
        <f ca="1">IFERROR(__xludf.DUMMYFUNCTION("""COMPUTED_VALUE"""),0.720787562965467)</f>
        <v>0.72078756296546698</v>
      </c>
      <c r="H853" s="17">
        <f ca="1">IFERROR(__xludf.DUMMYFUNCTION("""COMPUTED_VALUE"""),0.722379889667382)</f>
        <v>0.72237988966738198</v>
      </c>
      <c r="I853" s="17">
        <f ca="1">IFERROR(__xludf.DUMMYFUNCTION("""COMPUTED_VALUE"""),0.753396882071241)</f>
        <v>0.753396882071241</v>
      </c>
      <c r="J853" s="17">
        <f ca="1">IFERROR(__xludf.DUMMYFUNCTION("""COMPUTED_VALUE"""),0.76883069750063)</f>
        <v>0.76883069750063004</v>
      </c>
      <c r="K853" s="17" t="str">
        <f ca="1">IFERROR(__xludf.DUMMYFUNCTION("""COMPUTED_VALUE"""),"nan")</f>
        <v>nan</v>
      </c>
      <c r="L853" s="17">
        <f ca="1">IFERROR(__xludf.DUMMYFUNCTION("""COMPUTED_VALUE"""),0.667811415564418)</f>
        <v>0.66781141556441803</v>
      </c>
      <c r="M853" s="17">
        <f ca="1">IFERROR(__xludf.DUMMYFUNCTION("""COMPUTED_VALUE"""),0.739742553118201)</f>
        <v>0.73974255311820103</v>
      </c>
      <c r="N853" s="17">
        <f ca="1">IFERROR(__xludf.DUMMYFUNCTION("""COMPUTED_VALUE"""),0.795632850558916)</f>
        <v>0.79563285055891597</v>
      </c>
      <c r="O853" s="17">
        <f ca="1">IFERROR(__xludf.DUMMYFUNCTION("""COMPUTED_VALUE"""),0.669847321622215)</f>
        <v>0.66984732162221505</v>
      </c>
      <c r="P853" s="17">
        <f ca="1">IFERROR(__xludf.DUMMYFUNCTION("""COMPUTED_VALUE"""),0.882914387724798)</f>
        <v>0.88291438772479802</v>
      </c>
      <c r="Q853" s="17">
        <f ca="1">IFERROR(__xludf.DUMMYFUNCTION("""COMPUTED_VALUE"""),0.988998479322854)</f>
        <v>0.98899847932285401</v>
      </c>
      <c r="R853" s="17">
        <f ca="1">IFERROR(__xludf.DUMMYFUNCTION("""COMPUTED_VALUE"""),0.692463249100265)</f>
        <v>0.69246324910026502</v>
      </c>
      <c r="S853" s="17">
        <f ca="1">IFERROR(__xludf.DUMMYFUNCTION("""COMPUTED_VALUE"""),1.12254043878672)</f>
        <v>1.1225404387867199</v>
      </c>
      <c r="T853" s="17">
        <f ca="1">IFERROR(__xludf.DUMMYFUNCTION("""COMPUTED_VALUE"""),0.698944142189521)</f>
        <v>0.69894414218952094</v>
      </c>
      <c r="U853" s="17">
        <f ca="1">IFERROR(__xludf.DUMMYFUNCTION("""COMPUTED_VALUE"""),0.736592775083725)</f>
        <v>0.736592775083725</v>
      </c>
      <c r="V853" s="17">
        <f ca="1">IFERROR(__xludf.DUMMYFUNCTION("""COMPUTED_VALUE"""),0.798587653546046)</f>
        <v>0.79858765354604599</v>
      </c>
      <c r="W853" s="17">
        <f ca="1">IFERROR(__xludf.DUMMYFUNCTION("""COMPUTED_VALUE"""),0.716934973218975)</f>
        <v>0.71693497321897504</v>
      </c>
      <c r="X853" s="17">
        <f ca="1">IFERROR(__xludf.DUMMYFUNCTION("""COMPUTED_VALUE"""),0.78580118775997)</f>
        <v>0.78580118775996999</v>
      </c>
      <c r="Y853" s="17">
        <f ca="1">IFERROR(__xludf.DUMMYFUNCTION("""COMPUTED_VALUE"""),0.70614444808426)</f>
        <v>0.70614444808426002</v>
      </c>
      <c r="Z853" s="17">
        <f ca="1">IFERROR(__xludf.DUMMYFUNCTION("""COMPUTED_VALUE"""),0.792298194566054)</f>
        <v>0.79229819456605399</v>
      </c>
      <c r="AA853" s="17">
        <f ca="1">IFERROR(__xludf.DUMMYFUNCTION("""COMPUTED_VALUE"""),0.748802977569234)</f>
        <v>0.74880297756923397</v>
      </c>
      <c r="AB853" s="17">
        <f ca="1">IFERROR(__xludf.DUMMYFUNCTION("""COMPUTED_VALUE"""),0.809503068311969)</f>
        <v>0.80950306831196905</v>
      </c>
      <c r="AC853" s="17">
        <f ca="1">IFERROR(__xludf.DUMMYFUNCTION("""COMPUTED_VALUE"""),0.881145221585474)</f>
        <v>0.88114522158547404</v>
      </c>
      <c r="AD853" s="17">
        <f ca="1">IFERROR(__xludf.DUMMYFUNCTION("""COMPUTED_VALUE"""),0.885364263753921)</f>
        <v>0.88536426375392097</v>
      </c>
      <c r="AE853" s="17">
        <f ca="1">IFERROR(__xludf.DUMMYFUNCTION("""COMPUTED_VALUE"""),0.98575329467979)</f>
        <v>0.98575329467979</v>
      </c>
      <c r="AF853" s="17">
        <f ca="1">IFERROR(__xludf.DUMMYFUNCTION("""COMPUTED_VALUE"""),0.875586557775643)</f>
        <v>0.87558655777564298</v>
      </c>
      <c r="AG853" s="17">
        <f ca="1">IFERROR(__xludf.DUMMYFUNCTION("""COMPUTED_VALUE"""),0.85709207026004)</f>
        <v>0.85709207026003997</v>
      </c>
      <c r="AH853" s="17">
        <f ca="1">IFERROR(__xludf.DUMMYFUNCTION("""COMPUTED_VALUE"""),0.787161872048548)</f>
        <v>0.78716187204854804</v>
      </c>
      <c r="AI853" s="17">
        <f ca="1">IFERROR(__xludf.DUMMYFUNCTION("""COMPUTED_VALUE"""),0.810529194212605)</f>
        <v>0.81052919421260505</v>
      </c>
      <c r="AJ853" s="17">
        <f ca="1">IFERROR(__xludf.DUMMYFUNCTION("""COMPUTED_VALUE"""),0.731750101538284)</f>
        <v>0.73175010153828401</v>
      </c>
    </row>
    <row r="854" spans="2:36" ht="15.75" customHeight="1" x14ac:dyDescent="0.45">
      <c r="B854" s="10" t="str">
        <f ca="1">IFERROR(__xludf.DUMMYFUNCTION("""COMPUTED_VALUE"""),"SyntheticControl")</f>
        <v>SyntheticControl</v>
      </c>
      <c r="C854" s="10" t="str">
        <f ca="1">IFERROR(__xludf.DUMMYFUNCTION("""COMPUTED_VALUE"""),"mcar")</f>
        <v>mcar</v>
      </c>
      <c r="D854" s="10">
        <f ca="1">IFERROR(__xludf.DUMMYFUNCTION("""COMPUTED_VALUE"""),0.4)</f>
        <v>0.4</v>
      </c>
      <c r="E854" s="17">
        <f ca="1">IFERROR(__xludf.DUMMYFUNCTION("""COMPUTED_VALUE"""),0.976082390648862)</f>
        <v>0.97608239064886204</v>
      </c>
      <c r="F854" s="17">
        <f ca="1">IFERROR(__xludf.DUMMYFUNCTION("""COMPUTED_VALUE"""),0.709606954552613)</f>
        <v>0.70960695455261302</v>
      </c>
      <c r="G854" s="17">
        <f ca="1">IFERROR(__xludf.DUMMYFUNCTION("""COMPUTED_VALUE"""),0.721146304481038)</f>
        <v>0.721146304481038</v>
      </c>
      <c r="H854" s="17">
        <f ca="1">IFERROR(__xludf.DUMMYFUNCTION("""COMPUTED_VALUE"""),0.703644479316145)</f>
        <v>0.70364447931614504</v>
      </c>
      <c r="I854" s="17">
        <f ca="1">IFERROR(__xludf.DUMMYFUNCTION("""COMPUTED_VALUE"""),0.729042499036575)</f>
        <v>0.72904249903657503</v>
      </c>
      <c r="J854" s="17">
        <f ca="1">IFERROR(__xludf.DUMMYFUNCTION("""COMPUTED_VALUE"""),0.7302632458354)</f>
        <v>0.73026324583540003</v>
      </c>
      <c r="K854" s="17" t="str">
        <f ca="1">IFERROR(__xludf.DUMMYFUNCTION("""COMPUTED_VALUE"""),"nan")</f>
        <v>nan</v>
      </c>
      <c r="L854" s="17">
        <f ca="1">IFERROR(__xludf.DUMMYFUNCTION("""COMPUTED_VALUE"""),0.681067662279627)</f>
        <v>0.68106766227962701</v>
      </c>
      <c r="M854" s="17">
        <f ca="1">IFERROR(__xludf.DUMMYFUNCTION("""COMPUTED_VALUE"""),0.730917085562017)</f>
        <v>0.73091708556201695</v>
      </c>
      <c r="N854" s="17">
        <f ca="1">IFERROR(__xludf.DUMMYFUNCTION("""COMPUTED_VALUE"""),0.818686392758747)</f>
        <v>0.81868639275874699</v>
      </c>
      <c r="O854" s="17">
        <f ca="1">IFERROR(__xludf.DUMMYFUNCTION("""COMPUTED_VALUE"""),0.650589368774989)</f>
        <v>0.65058936877498896</v>
      </c>
      <c r="P854" s="17">
        <f ca="1">IFERROR(__xludf.DUMMYFUNCTION("""COMPUTED_VALUE"""),0.849523595183132)</f>
        <v>0.84952359518313203</v>
      </c>
      <c r="Q854" s="17">
        <f ca="1">IFERROR(__xludf.DUMMYFUNCTION("""COMPUTED_VALUE"""),1.00407803884286)</f>
        <v>1.0040780388428601</v>
      </c>
      <c r="R854" s="17">
        <f ca="1">IFERROR(__xludf.DUMMYFUNCTION("""COMPUTED_VALUE"""),0.694028436697281)</f>
        <v>0.69402843669728098</v>
      </c>
      <c r="S854" s="17">
        <f ca="1">IFERROR(__xludf.DUMMYFUNCTION("""COMPUTED_VALUE"""),1.51374758925726)</f>
        <v>1.5137475892572601</v>
      </c>
      <c r="T854" s="17">
        <f ca="1">IFERROR(__xludf.DUMMYFUNCTION("""COMPUTED_VALUE"""),0.744694898950405)</f>
        <v>0.74469489895040497</v>
      </c>
      <c r="U854" s="17">
        <f ca="1">IFERROR(__xludf.DUMMYFUNCTION("""COMPUTED_VALUE"""),0.724962212872773)</f>
        <v>0.72496221287277296</v>
      </c>
      <c r="V854" s="17">
        <f ca="1">IFERROR(__xludf.DUMMYFUNCTION("""COMPUTED_VALUE"""),0.863100882485742)</f>
        <v>0.86310088248574202</v>
      </c>
      <c r="W854" s="17">
        <f ca="1">IFERROR(__xludf.DUMMYFUNCTION("""COMPUTED_VALUE"""),0.741466247609022)</f>
        <v>0.74146624760902202</v>
      </c>
      <c r="X854" s="17">
        <f ca="1">IFERROR(__xludf.DUMMYFUNCTION("""COMPUTED_VALUE"""),0.666638943935116)</f>
        <v>0.66663894393511602</v>
      </c>
      <c r="Y854" s="17">
        <f ca="1">IFERROR(__xludf.DUMMYFUNCTION("""COMPUTED_VALUE"""),0.688297308588735)</f>
        <v>0.68829730858873495</v>
      </c>
      <c r="Z854" s="17">
        <f ca="1">IFERROR(__xludf.DUMMYFUNCTION("""COMPUTED_VALUE"""),0.863592596807115)</f>
        <v>0.86359259680711498</v>
      </c>
      <c r="AA854" s="17">
        <f ca="1">IFERROR(__xludf.DUMMYFUNCTION("""COMPUTED_VALUE"""),0.731938292556698)</f>
        <v>0.73193829255669796</v>
      </c>
      <c r="AB854" s="17">
        <f ca="1">IFERROR(__xludf.DUMMYFUNCTION("""COMPUTED_VALUE"""),0.867619311716735)</f>
        <v>0.86761931171673501</v>
      </c>
      <c r="AC854" s="17">
        <f ca="1">IFERROR(__xludf.DUMMYFUNCTION("""COMPUTED_VALUE"""),0.881885874600794)</f>
        <v>0.88188587460079404</v>
      </c>
      <c r="AD854" s="17">
        <f ca="1">IFERROR(__xludf.DUMMYFUNCTION("""COMPUTED_VALUE"""),0.821164396798482)</f>
        <v>0.82116439679848197</v>
      </c>
      <c r="AE854" s="17">
        <f ca="1">IFERROR(__xludf.DUMMYFUNCTION("""COMPUTED_VALUE"""),0.993604131686203)</f>
        <v>0.99360413168620298</v>
      </c>
      <c r="AF854" s="17">
        <f ca="1">IFERROR(__xludf.DUMMYFUNCTION("""COMPUTED_VALUE"""),0.740053271184821)</f>
        <v>0.740053271184821</v>
      </c>
      <c r="AG854" s="17">
        <f ca="1">IFERROR(__xludf.DUMMYFUNCTION("""COMPUTED_VALUE"""),0.874876885638332)</f>
        <v>0.87487688563833199</v>
      </c>
      <c r="AH854" s="17">
        <f ca="1">IFERROR(__xludf.DUMMYFUNCTION("""COMPUTED_VALUE"""),0.799073255520771)</f>
        <v>0.79907325552077102</v>
      </c>
      <c r="AI854" s="17">
        <f ca="1">IFERROR(__xludf.DUMMYFUNCTION("""COMPUTED_VALUE"""),0.93893548296876)</f>
        <v>0.93893548296875995</v>
      </c>
      <c r="AJ854" s="17">
        <f ca="1">IFERROR(__xludf.DUMMYFUNCTION("""COMPUTED_VALUE"""),1.0173037612018)</f>
        <v>1.0173037612018001</v>
      </c>
    </row>
    <row r="855" spans="2:36" ht="15.75" customHeight="1" x14ac:dyDescent="0.45">
      <c r="B855" s="10" t="str">
        <f ca="1">IFERROR(__xludf.DUMMYFUNCTION("""COMPUTED_VALUE"""),"SyntheticControl")</f>
        <v>SyntheticControl</v>
      </c>
      <c r="C855" s="10" t="str">
        <f ca="1">IFERROR(__xludf.DUMMYFUNCTION("""COMPUTED_VALUE"""),"mcar")</f>
        <v>mcar</v>
      </c>
      <c r="D855" s="10">
        <f ca="1">IFERROR(__xludf.DUMMYFUNCTION("""COMPUTED_VALUE"""),0.6)</f>
        <v>0.6</v>
      </c>
      <c r="E855" s="17">
        <f ca="1">IFERROR(__xludf.DUMMYFUNCTION("""COMPUTED_VALUE"""),1.00129314106317)</f>
        <v>1.00129314106317</v>
      </c>
      <c r="F855" s="17">
        <f ca="1">IFERROR(__xludf.DUMMYFUNCTION("""COMPUTED_VALUE"""),0.752034192225124)</f>
        <v>0.75203419222512402</v>
      </c>
      <c r="G855" s="17">
        <f ca="1">IFERROR(__xludf.DUMMYFUNCTION("""COMPUTED_VALUE"""),0.77676924322441)</f>
        <v>0.77676924322440999</v>
      </c>
      <c r="H855" s="17">
        <f ca="1">IFERROR(__xludf.DUMMYFUNCTION("""COMPUTED_VALUE"""),0.72645211461075)</f>
        <v>0.72645211461074999</v>
      </c>
      <c r="I855" s="17">
        <f ca="1">IFERROR(__xludf.DUMMYFUNCTION("""COMPUTED_VALUE"""),0.749259911084299)</f>
        <v>0.74925991108429901</v>
      </c>
      <c r="J855" s="17">
        <f ca="1">IFERROR(__xludf.DUMMYFUNCTION("""COMPUTED_VALUE"""),0.765376537634402)</f>
        <v>0.76537653763440205</v>
      </c>
      <c r="K855" s="17" t="str">
        <f ca="1">IFERROR(__xludf.DUMMYFUNCTION("""COMPUTED_VALUE"""),"nan")</f>
        <v>nan</v>
      </c>
      <c r="L855" s="17">
        <f ca="1">IFERROR(__xludf.DUMMYFUNCTION("""COMPUTED_VALUE"""),0.707017401845079)</f>
        <v>0.707017401845079</v>
      </c>
      <c r="M855" s="17">
        <f ca="1">IFERROR(__xludf.DUMMYFUNCTION("""COMPUTED_VALUE"""),0.781549530291127)</f>
        <v>0.78154953029112695</v>
      </c>
      <c r="N855" s="17">
        <f ca="1">IFERROR(__xludf.DUMMYFUNCTION("""COMPUTED_VALUE"""),0.873397540146193)</f>
        <v>0.87339754014619297</v>
      </c>
      <c r="O855" s="17">
        <f ca="1">IFERROR(__xludf.DUMMYFUNCTION("""COMPUTED_VALUE"""),0.6854355944405)</f>
        <v>0.68543559444049995</v>
      </c>
      <c r="P855" s="17">
        <f ca="1">IFERROR(__xludf.DUMMYFUNCTION("""COMPUTED_VALUE"""),0.943858768205603)</f>
        <v>0.94385876820560299</v>
      </c>
      <c r="Q855" s="17">
        <f ca="1">IFERROR(__xludf.DUMMYFUNCTION("""COMPUTED_VALUE"""),1.00184566749512)</f>
        <v>1.0018456674951199</v>
      </c>
      <c r="R855" s="17">
        <f ca="1">IFERROR(__xludf.DUMMYFUNCTION("""COMPUTED_VALUE"""),0.792642785552157)</f>
        <v>0.79264278555215695</v>
      </c>
      <c r="S855" s="17">
        <f ca="1">IFERROR(__xludf.DUMMYFUNCTION("""COMPUTED_VALUE"""),1.46044407995722)</f>
        <v>1.46044407995722</v>
      </c>
      <c r="T855" s="17">
        <f ca="1">IFERROR(__xludf.DUMMYFUNCTION("""COMPUTED_VALUE"""),0.848317929503019)</f>
        <v>0.84831792950301899</v>
      </c>
      <c r="U855" s="17">
        <f ca="1">IFERROR(__xludf.DUMMYFUNCTION("""COMPUTED_VALUE"""),0.771865618917231)</f>
        <v>0.77186561891723104</v>
      </c>
      <c r="V855" s="17">
        <f ca="1">IFERROR(__xludf.DUMMYFUNCTION("""COMPUTED_VALUE"""),0.910390735036512)</f>
        <v>0.91039073503651202</v>
      </c>
      <c r="W855" s="17">
        <f ca="1">IFERROR(__xludf.DUMMYFUNCTION("""COMPUTED_VALUE"""),0.757151791843792)</f>
        <v>0.757151791843792</v>
      </c>
      <c r="X855" s="17">
        <f ca="1">IFERROR(__xludf.DUMMYFUNCTION("""COMPUTED_VALUE"""),11.4434570272791)</f>
        <v>11.4434570272791</v>
      </c>
      <c r="Y855" s="17">
        <f ca="1">IFERROR(__xludf.DUMMYFUNCTION("""COMPUTED_VALUE"""),0.693192934925272)</f>
        <v>0.69319293492527201</v>
      </c>
      <c r="Z855" s="17">
        <f ca="1">IFERROR(__xludf.DUMMYFUNCTION("""COMPUTED_VALUE"""),0.910649214750469)</f>
        <v>0.910649214750469</v>
      </c>
      <c r="AA855" s="17">
        <f ca="1">IFERROR(__xludf.DUMMYFUNCTION("""COMPUTED_VALUE"""),0.772944130917133)</f>
        <v>0.77294413091713299</v>
      </c>
      <c r="AB855" s="17">
        <f ca="1">IFERROR(__xludf.DUMMYFUNCTION("""COMPUTED_VALUE"""),0.889939010612824)</f>
        <v>0.88993901061282399</v>
      </c>
      <c r="AC855" s="17">
        <f ca="1">IFERROR(__xludf.DUMMYFUNCTION("""COMPUTED_VALUE"""),0.916803193214797)</f>
        <v>0.91680319321479697</v>
      </c>
      <c r="AD855" s="17">
        <f ca="1">IFERROR(__xludf.DUMMYFUNCTION("""COMPUTED_VALUE"""),0.867319475183197)</f>
        <v>0.86731947518319696</v>
      </c>
      <c r="AE855" s="17">
        <f ca="1">IFERROR(__xludf.DUMMYFUNCTION("""COMPUTED_VALUE"""),1.16230143929944)</f>
        <v>1.16230143929944</v>
      </c>
      <c r="AF855" s="17">
        <f ca="1">IFERROR(__xludf.DUMMYFUNCTION("""COMPUTED_VALUE"""),0.834331918485883)</f>
        <v>0.83433191848588295</v>
      </c>
      <c r="AG855" s="17">
        <f ca="1">IFERROR(__xludf.DUMMYFUNCTION("""COMPUTED_VALUE"""),0.954836971556689)</f>
        <v>0.95483697155668901</v>
      </c>
      <c r="AH855" s="17">
        <f ca="1">IFERROR(__xludf.DUMMYFUNCTION("""COMPUTED_VALUE"""),0.896084170252474)</f>
        <v>0.896084170252474</v>
      </c>
      <c r="AI855" s="17" t="str">
        <f ca="1">IFERROR(__xludf.DUMMYFUNCTION("""COMPUTED_VALUE"""),"nan")</f>
        <v>nan</v>
      </c>
      <c r="AJ855" s="17">
        <f ca="1">IFERROR(__xludf.DUMMYFUNCTION("""COMPUTED_VALUE"""),1.04756163167594)</f>
        <v>1.04756163167594</v>
      </c>
    </row>
    <row r="856" spans="2:36" ht="15.75" customHeight="1" x14ac:dyDescent="0.45">
      <c r="B856" s="10" t="str">
        <f ca="1">IFERROR(__xludf.DUMMYFUNCTION("""COMPUTED_VALUE"""),"SyntheticControl")</f>
        <v>SyntheticControl</v>
      </c>
      <c r="C856" s="10" t="str">
        <f ca="1">IFERROR(__xludf.DUMMYFUNCTION("""COMPUTED_VALUE"""),"mcar")</f>
        <v>mcar</v>
      </c>
      <c r="D856" s="10">
        <f ca="1">IFERROR(__xludf.DUMMYFUNCTION("""COMPUTED_VALUE"""),0.8)</f>
        <v>0.8</v>
      </c>
      <c r="E856" s="17">
        <f ca="1">IFERROR(__xludf.DUMMYFUNCTION("""COMPUTED_VALUE"""),0.994375077675788)</f>
        <v>0.99437507767578803</v>
      </c>
      <c r="F856" s="17">
        <f ca="1">IFERROR(__xludf.DUMMYFUNCTION("""COMPUTED_VALUE"""),0.803189035749754)</f>
        <v>0.80318903574975398</v>
      </c>
      <c r="G856" s="17">
        <f ca="1">IFERROR(__xludf.DUMMYFUNCTION("""COMPUTED_VALUE"""),0.879941609683633)</f>
        <v>0.879941609683633</v>
      </c>
      <c r="H856" s="17">
        <f ca="1">IFERROR(__xludf.DUMMYFUNCTION("""COMPUTED_VALUE"""),0.758768923557089)</f>
        <v>0.75876892355708903</v>
      </c>
      <c r="I856" s="17">
        <f ca="1">IFERROR(__xludf.DUMMYFUNCTION("""COMPUTED_VALUE"""),0.784260573276866)</f>
        <v>0.78426057327686605</v>
      </c>
      <c r="J856" s="17">
        <f ca="1">IFERROR(__xludf.DUMMYFUNCTION("""COMPUTED_VALUE"""),0.852953714880568)</f>
        <v>0.85295371488056804</v>
      </c>
      <c r="K856" s="17" t="str">
        <f ca="1">IFERROR(__xludf.DUMMYFUNCTION("""COMPUTED_VALUE"""),"nan")</f>
        <v>nan</v>
      </c>
      <c r="L856" s="17">
        <f ca="1">IFERROR(__xludf.DUMMYFUNCTION("""COMPUTED_VALUE"""),0.736425818284627)</f>
        <v>0.73642581828462705</v>
      </c>
      <c r="M856" s="17">
        <f ca="1">IFERROR(__xludf.DUMMYFUNCTION("""COMPUTED_VALUE"""),0.820109230455741)</f>
        <v>0.82010923045574102</v>
      </c>
      <c r="N856" s="17">
        <f ca="1">IFERROR(__xludf.DUMMYFUNCTION("""COMPUTED_VALUE"""),0.939482554010862)</f>
        <v>0.939482554010862</v>
      </c>
      <c r="O856" s="17">
        <f ca="1">IFERROR(__xludf.DUMMYFUNCTION("""COMPUTED_VALUE"""),0.729596173469946)</f>
        <v>0.72959617346994599</v>
      </c>
      <c r="P856" s="17">
        <f ca="1">IFERROR(__xludf.DUMMYFUNCTION("""COMPUTED_VALUE"""),0.994256903456942)</f>
        <v>0.99425690345694195</v>
      </c>
      <c r="Q856" s="17">
        <f ca="1">IFERROR(__xludf.DUMMYFUNCTION("""COMPUTED_VALUE"""),1.02398535546668)</f>
        <v>1.02398535546668</v>
      </c>
      <c r="R856" s="17">
        <f ca="1">IFERROR(__xludf.DUMMYFUNCTION("""COMPUTED_VALUE"""),0.930297311251644)</f>
        <v>0.93029731125164405</v>
      </c>
      <c r="S856" s="17">
        <f ca="1">IFERROR(__xludf.DUMMYFUNCTION("""COMPUTED_VALUE"""),1.51049706186974)</f>
        <v>1.51049706186974</v>
      </c>
      <c r="T856" s="17">
        <f ca="1">IFERROR(__xludf.DUMMYFUNCTION("""COMPUTED_VALUE"""),0.871275518402546)</f>
        <v>0.87127551840254602</v>
      </c>
      <c r="U856" s="17">
        <f ca="1">IFERROR(__xludf.DUMMYFUNCTION("""COMPUTED_VALUE"""),0.840599549892998)</f>
        <v>0.84059954989299801</v>
      </c>
      <c r="V856" s="17">
        <f ca="1">IFERROR(__xludf.DUMMYFUNCTION("""COMPUTED_VALUE"""),0.929940467091448)</f>
        <v>0.92994046709144795</v>
      </c>
      <c r="W856" s="17">
        <f ca="1">IFERROR(__xludf.DUMMYFUNCTION("""COMPUTED_VALUE"""),0.786681487590136)</f>
        <v>0.78668148759013601</v>
      </c>
      <c r="X856" s="17">
        <f ca="1">IFERROR(__xludf.DUMMYFUNCTION("""COMPUTED_VALUE"""),0.721388495801815)</f>
        <v>0.72138849580181497</v>
      </c>
      <c r="Y856" s="17">
        <f ca="1">IFERROR(__xludf.DUMMYFUNCTION("""COMPUTED_VALUE"""),0.753350834497495)</f>
        <v>0.75335083449749496</v>
      </c>
      <c r="Z856" s="17">
        <f ca="1">IFERROR(__xludf.DUMMYFUNCTION("""COMPUTED_VALUE"""),0.902663823198475)</f>
        <v>0.90266382319847505</v>
      </c>
      <c r="AA856" s="17">
        <f ca="1">IFERROR(__xludf.DUMMYFUNCTION("""COMPUTED_VALUE"""),0.688317789869993)</f>
        <v>0.68831778986999304</v>
      </c>
      <c r="AB856" s="17">
        <f ca="1">IFERROR(__xludf.DUMMYFUNCTION("""COMPUTED_VALUE"""),1.02695322206844)</f>
        <v>1.0269532220684401</v>
      </c>
      <c r="AC856" s="17">
        <f ca="1">IFERROR(__xludf.DUMMYFUNCTION("""COMPUTED_VALUE"""),0.906743431218671)</f>
        <v>0.90674343121867096</v>
      </c>
      <c r="AD856" s="17">
        <f ca="1">IFERROR(__xludf.DUMMYFUNCTION("""COMPUTED_VALUE"""),0.88275397251092)</f>
        <v>0.88275397251092003</v>
      </c>
      <c r="AE856" s="17">
        <f ca="1">IFERROR(__xludf.DUMMYFUNCTION("""COMPUTED_VALUE"""),1.27668402686577)</f>
        <v>1.27668402686577</v>
      </c>
      <c r="AF856" s="17">
        <f ca="1">IFERROR(__xludf.DUMMYFUNCTION("""COMPUTED_VALUE"""),0.921759510360958)</f>
        <v>0.92175951036095805</v>
      </c>
      <c r="AG856" s="17">
        <f ca="1">IFERROR(__xludf.DUMMYFUNCTION("""COMPUTED_VALUE"""),0.969043346880601)</f>
        <v>0.96904334688060101</v>
      </c>
      <c r="AH856" s="17">
        <f ca="1">IFERROR(__xludf.DUMMYFUNCTION("""COMPUTED_VALUE"""),0.992813402066734)</f>
        <v>0.99281340206673396</v>
      </c>
      <c r="AI856" s="17">
        <f ca="1">IFERROR(__xludf.DUMMYFUNCTION("""COMPUTED_VALUE"""),1.00229949808047)</f>
        <v>1.00229949808047</v>
      </c>
      <c r="AJ856" s="17">
        <f ca="1">IFERROR(__xludf.DUMMYFUNCTION("""COMPUTED_VALUE"""),1.07038087829186)</f>
        <v>1.07038087829186</v>
      </c>
    </row>
    <row r="857" spans="2:36" ht="15.75" customHeight="1" x14ac:dyDescent="0.45">
      <c r="B857" s="10" t="str">
        <f ca="1">IFERROR(__xludf.DUMMYFUNCTION("""COMPUTED_VALUE"""),"ToeSegmentation1")</f>
        <v>ToeSegmentation1</v>
      </c>
      <c r="C857" s="10" t="str">
        <f ca="1">IFERROR(__xludf.DUMMYFUNCTION("""COMPUTED_VALUE"""),"aligned_series")</f>
        <v>aligned_series</v>
      </c>
      <c r="D857" s="10">
        <f ca="1">IFERROR(__xludf.DUMMYFUNCTION("""COMPUTED_VALUE"""),0.1)</f>
        <v>0.1</v>
      </c>
      <c r="E857" s="17">
        <f ca="1">IFERROR(__xludf.DUMMYFUNCTION("""COMPUTED_VALUE"""),1.08509016109774)</f>
        <v>1.0850901610977399</v>
      </c>
      <c r="F857" s="17">
        <f ca="1">IFERROR(__xludf.DUMMYFUNCTION("""COMPUTED_VALUE"""),0.917908731651315)</f>
        <v>0.91790873165131504</v>
      </c>
      <c r="G857" s="17">
        <f ca="1">IFERROR(__xludf.DUMMYFUNCTION("""COMPUTED_VALUE"""),0.916501535923026)</f>
        <v>0.91650153592302597</v>
      </c>
      <c r="H857" s="17">
        <f ca="1">IFERROR(__xludf.DUMMYFUNCTION("""COMPUTED_VALUE"""),1.02863867316973)</f>
        <v>1.0286386731697299</v>
      </c>
      <c r="I857" s="17">
        <f ca="1">IFERROR(__xludf.DUMMYFUNCTION("""COMPUTED_VALUE"""),0.96660054525969)</f>
        <v>0.96660054525968997</v>
      </c>
      <c r="J857" s="17">
        <f ca="1">IFERROR(__xludf.DUMMYFUNCTION("""COMPUTED_VALUE"""),1.08807076050925)</f>
        <v>1.0880707605092499</v>
      </c>
      <c r="K857" s="17" t="str">
        <f ca="1">IFERROR(__xludf.DUMMYFUNCTION("""COMPUTED_VALUE"""),"nan")</f>
        <v>nan</v>
      </c>
      <c r="L857" s="17">
        <f ca="1">IFERROR(__xludf.DUMMYFUNCTION("""COMPUTED_VALUE"""),1.11311757941119)</f>
        <v>1.1131175794111901</v>
      </c>
      <c r="M857" s="17">
        <f ca="1">IFERROR(__xludf.DUMMYFUNCTION("""COMPUTED_VALUE"""),0.841061754117526)</f>
        <v>0.84106175411752604</v>
      </c>
      <c r="N857" s="17">
        <f ca="1">IFERROR(__xludf.DUMMYFUNCTION("""COMPUTED_VALUE"""),1.18571258206879)</f>
        <v>1.1857125820687899</v>
      </c>
      <c r="O857" s="17">
        <f ca="1">IFERROR(__xludf.DUMMYFUNCTION("""COMPUTED_VALUE"""),1.02618949086814)</f>
        <v>1.0261894908681399</v>
      </c>
      <c r="P857" s="17">
        <f ca="1">IFERROR(__xludf.DUMMYFUNCTION("""COMPUTED_VALUE"""),0.939817432161968)</f>
        <v>0.939817432161968</v>
      </c>
      <c r="Q857" s="17">
        <f ca="1">IFERROR(__xludf.DUMMYFUNCTION("""COMPUTED_VALUE"""),1.59626225495159)</f>
        <v>1.5962622549515899</v>
      </c>
      <c r="R857" s="17">
        <f ca="1">IFERROR(__xludf.DUMMYFUNCTION("""COMPUTED_VALUE"""),1.13424427258831)</f>
        <v>1.13424427258831</v>
      </c>
      <c r="S857" s="17">
        <f ca="1">IFERROR(__xludf.DUMMYFUNCTION("""COMPUTED_VALUE"""),1.10860892529809)</f>
        <v>1.10860892529809</v>
      </c>
      <c r="T857" s="17">
        <f ca="1">IFERROR(__xludf.DUMMYFUNCTION("""COMPUTED_VALUE"""),1.07412232553004)</f>
        <v>1.0741223255300401</v>
      </c>
      <c r="U857" s="17">
        <f ca="1">IFERROR(__xludf.DUMMYFUNCTION("""COMPUTED_VALUE"""),0.823555131783361)</f>
        <v>0.82355513178336104</v>
      </c>
      <c r="V857" s="17">
        <f ca="1">IFERROR(__xludf.DUMMYFUNCTION("""COMPUTED_VALUE"""),1.00474799984662)</f>
        <v>1.00474799984662</v>
      </c>
      <c r="W857" s="17">
        <f ca="1">IFERROR(__xludf.DUMMYFUNCTION("""COMPUTED_VALUE"""),0.993679579576143)</f>
        <v>0.99367957957614295</v>
      </c>
      <c r="X857" s="17">
        <f ca="1">IFERROR(__xludf.DUMMYFUNCTION("""COMPUTED_VALUE"""),0.91877791378524)</f>
        <v>0.91877791378523999</v>
      </c>
      <c r="Y857" s="17">
        <f ca="1">IFERROR(__xludf.DUMMYFUNCTION("""COMPUTED_VALUE"""),0.748401790549801)</f>
        <v>0.74840179054980105</v>
      </c>
      <c r="Z857" s="17">
        <f ca="1">IFERROR(__xludf.DUMMYFUNCTION("""COMPUTED_VALUE"""),0.933118590378123)</f>
        <v>0.93311859037812295</v>
      </c>
      <c r="AA857" s="17">
        <f ca="1">IFERROR(__xludf.DUMMYFUNCTION("""COMPUTED_VALUE"""),1.22466898460889)</f>
        <v>1.2246689846088901</v>
      </c>
      <c r="AB857" s="17">
        <f ca="1">IFERROR(__xludf.DUMMYFUNCTION("""COMPUTED_VALUE"""),1.37783988474608)</f>
        <v>1.37783988474608</v>
      </c>
      <c r="AC857" s="17">
        <f ca="1">IFERROR(__xludf.DUMMYFUNCTION("""COMPUTED_VALUE"""),0.965567299043899)</f>
        <v>0.96556729904389904</v>
      </c>
      <c r="AD857" s="17">
        <f ca="1">IFERROR(__xludf.DUMMYFUNCTION("""COMPUTED_VALUE"""),1.01587278143258)</f>
        <v>1.0158727814325801</v>
      </c>
      <c r="AE857" s="17">
        <f ca="1">IFERROR(__xludf.DUMMYFUNCTION("""COMPUTED_VALUE"""),1.05091701234118)</f>
        <v>1.05091701234118</v>
      </c>
      <c r="AF857" s="17">
        <f ca="1">IFERROR(__xludf.DUMMYFUNCTION("""COMPUTED_VALUE"""),1.06942582746772)</f>
        <v>1.06942582746772</v>
      </c>
      <c r="AG857" s="17">
        <f ca="1">IFERROR(__xludf.DUMMYFUNCTION("""COMPUTED_VALUE"""),1.35562255749005)</f>
        <v>1.35562255749005</v>
      </c>
      <c r="AH857" s="17">
        <f ca="1">IFERROR(__xludf.DUMMYFUNCTION("""COMPUTED_VALUE"""),1.38836432983147)</f>
        <v>1.3883643298314701</v>
      </c>
      <c r="AI857" s="17">
        <f ca="1">IFERROR(__xludf.DUMMYFUNCTION("""COMPUTED_VALUE"""),1.38058730797483)</f>
        <v>1.3805873079748301</v>
      </c>
      <c r="AJ857" s="17">
        <f ca="1">IFERROR(__xludf.DUMMYFUNCTION("""COMPUTED_VALUE"""),1.26813669301548)</f>
        <v>1.26813669301548</v>
      </c>
    </row>
    <row r="858" spans="2:36" ht="15.75" customHeight="1" x14ac:dyDescent="0.45">
      <c r="B858" s="10" t="str">
        <f ca="1">IFERROR(__xludf.DUMMYFUNCTION("""COMPUTED_VALUE"""),"ToeSegmentation1")</f>
        <v>ToeSegmentation1</v>
      </c>
      <c r="C858" s="10" t="str">
        <f ca="1">IFERROR(__xludf.DUMMYFUNCTION("""COMPUTED_VALUE"""),"aligned_series")</f>
        <v>aligned_series</v>
      </c>
      <c r="D858" s="10">
        <f ca="1">IFERROR(__xludf.DUMMYFUNCTION("""COMPUTED_VALUE"""),0.2)</f>
        <v>0.2</v>
      </c>
      <c r="E858" s="17">
        <f ca="1">IFERROR(__xludf.DUMMYFUNCTION("""COMPUTED_VALUE"""),1.02172547449569)</f>
        <v>1.0217254744956901</v>
      </c>
      <c r="F858" s="17">
        <f ca="1">IFERROR(__xludf.DUMMYFUNCTION("""COMPUTED_VALUE"""),1.38712041643655)</f>
        <v>1.38712041643655</v>
      </c>
      <c r="G858" s="17">
        <f ca="1">IFERROR(__xludf.DUMMYFUNCTION("""COMPUTED_VALUE"""),1.67770107178601)</f>
        <v>1.6777010717860099</v>
      </c>
      <c r="H858" s="17">
        <f ca="1">IFERROR(__xludf.DUMMYFUNCTION("""COMPUTED_VALUE"""),1.07378750443101)</f>
        <v>1.0737875044310099</v>
      </c>
      <c r="I858" s="17">
        <f ca="1">IFERROR(__xludf.DUMMYFUNCTION("""COMPUTED_VALUE"""),0.924057723599245)</f>
        <v>0.92405772359924498</v>
      </c>
      <c r="J858" s="17">
        <f ca="1">IFERROR(__xludf.DUMMYFUNCTION("""COMPUTED_VALUE"""),0.995909500994041)</f>
        <v>0.99590950099404096</v>
      </c>
      <c r="K858" s="17" t="str">
        <f ca="1">IFERROR(__xludf.DUMMYFUNCTION("""COMPUTED_VALUE"""),"nan")</f>
        <v>nan</v>
      </c>
      <c r="L858" s="17">
        <f ca="1">IFERROR(__xludf.DUMMYFUNCTION("""COMPUTED_VALUE"""),1.16547457708369)</f>
        <v>1.1654745770836901</v>
      </c>
      <c r="M858" s="17">
        <f ca="1">IFERROR(__xludf.DUMMYFUNCTION("""COMPUTED_VALUE"""),1.1081596950857)</f>
        <v>1.1081596950857</v>
      </c>
      <c r="N858" s="17">
        <f ca="1">IFERROR(__xludf.DUMMYFUNCTION("""COMPUTED_VALUE"""),0.930305765888935)</f>
        <v>0.93030576588893499</v>
      </c>
      <c r="O858" s="17">
        <f ca="1">IFERROR(__xludf.DUMMYFUNCTION("""COMPUTED_VALUE"""),1.23814575371456)</f>
        <v>1.2381457537145599</v>
      </c>
      <c r="P858" s="17">
        <f ca="1">IFERROR(__xludf.DUMMYFUNCTION("""COMPUTED_VALUE"""),1.02020774452603)</f>
        <v>1.02020774452603</v>
      </c>
      <c r="Q858" s="17">
        <f ca="1">IFERROR(__xludf.DUMMYFUNCTION("""COMPUTED_VALUE"""),1.50009580045877)</f>
        <v>1.5000958004587699</v>
      </c>
      <c r="R858" s="17">
        <f ca="1">IFERROR(__xludf.DUMMYFUNCTION("""COMPUTED_VALUE"""),1.3280311273066)</f>
        <v>1.3280311273065999</v>
      </c>
      <c r="S858" s="17">
        <f ca="1">IFERROR(__xludf.DUMMYFUNCTION("""COMPUTED_VALUE"""),1.04160585591057)</f>
        <v>1.0416058559105701</v>
      </c>
      <c r="T858" s="17">
        <f ca="1">IFERROR(__xludf.DUMMYFUNCTION("""COMPUTED_VALUE"""),0.941719287803537)</f>
        <v>0.94171928780353698</v>
      </c>
      <c r="U858" s="17">
        <f ca="1">IFERROR(__xludf.DUMMYFUNCTION("""COMPUTED_VALUE"""),1.01957366765642)</f>
        <v>1.01957366765642</v>
      </c>
      <c r="V858" s="17">
        <f ca="1">IFERROR(__xludf.DUMMYFUNCTION("""COMPUTED_VALUE"""),0.969699958591979)</f>
        <v>0.96969995859197899</v>
      </c>
      <c r="W858" s="17">
        <f ca="1">IFERROR(__xludf.DUMMYFUNCTION("""COMPUTED_VALUE"""),0.932756946930456)</f>
        <v>0.93275694693045597</v>
      </c>
      <c r="X858" s="17">
        <f ca="1">IFERROR(__xludf.DUMMYFUNCTION("""COMPUTED_VALUE"""),0.93929903832893)</f>
        <v>0.93929903832893002</v>
      </c>
      <c r="Y858" s="17">
        <f ca="1">IFERROR(__xludf.DUMMYFUNCTION("""COMPUTED_VALUE"""),0.816759992443213)</f>
        <v>0.81675999244321296</v>
      </c>
      <c r="Z858" s="17">
        <f ca="1">IFERROR(__xludf.DUMMYFUNCTION("""COMPUTED_VALUE"""),0.897594935087285)</f>
        <v>0.89759493508728505</v>
      </c>
      <c r="AA858" s="17">
        <f ca="1">IFERROR(__xludf.DUMMYFUNCTION("""COMPUTED_VALUE"""),1.55795550926166)</f>
        <v>1.5579555092616599</v>
      </c>
      <c r="AB858" s="17">
        <f ca="1">IFERROR(__xludf.DUMMYFUNCTION("""COMPUTED_VALUE"""),1.48455554591804)</f>
        <v>1.48455554591804</v>
      </c>
      <c r="AC858" s="17">
        <f ca="1">IFERROR(__xludf.DUMMYFUNCTION("""COMPUTED_VALUE"""),0.839994469857932)</f>
        <v>0.83999446985793202</v>
      </c>
      <c r="AD858" s="17">
        <f ca="1">IFERROR(__xludf.DUMMYFUNCTION("""COMPUTED_VALUE"""),0.929517199903067)</f>
        <v>0.92951719990306703</v>
      </c>
      <c r="AE858" s="17">
        <f ca="1">IFERROR(__xludf.DUMMYFUNCTION("""COMPUTED_VALUE"""),1.17631014550141)</f>
        <v>1.17631014550141</v>
      </c>
      <c r="AF858" s="17">
        <f ca="1">IFERROR(__xludf.DUMMYFUNCTION("""COMPUTED_VALUE"""),1.138609326474)</f>
        <v>1.138609326474</v>
      </c>
      <c r="AG858" s="17">
        <f ca="1">IFERROR(__xludf.DUMMYFUNCTION("""COMPUTED_VALUE"""),1.20245880869542)</f>
        <v>1.20245880869542</v>
      </c>
      <c r="AH858" s="17">
        <f ca="1">IFERROR(__xludf.DUMMYFUNCTION("""COMPUTED_VALUE"""),1.13968788102986)</f>
        <v>1.1396878810298601</v>
      </c>
      <c r="AI858" s="17">
        <f ca="1">IFERROR(__xludf.DUMMYFUNCTION("""COMPUTED_VALUE"""),1.1277632053429)</f>
        <v>1.1277632053429001</v>
      </c>
      <c r="AJ858" s="17">
        <f ca="1">IFERROR(__xludf.DUMMYFUNCTION("""COMPUTED_VALUE"""),1.12198069582003)</f>
        <v>1.12198069582003</v>
      </c>
    </row>
    <row r="859" spans="2:36" ht="15.75" customHeight="1" x14ac:dyDescent="0.45">
      <c r="B859" s="10" t="str">
        <f ca="1">IFERROR(__xludf.DUMMYFUNCTION("""COMPUTED_VALUE"""),"ToeSegmentation1")</f>
        <v>ToeSegmentation1</v>
      </c>
      <c r="C859" s="10" t="str">
        <f ca="1">IFERROR(__xludf.DUMMYFUNCTION("""COMPUTED_VALUE"""),"aligned_series")</f>
        <v>aligned_series</v>
      </c>
      <c r="D859" s="10">
        <f ca="1">IFERROR(__xludf.DUMMYFUNCTION("""COMPUTED_VALUE"""),0.4)</f>
        <v>0.4</v>
      </c>
      <c r="E859" s="17">
        <f ca="1">IFERROR(__xludf.DUMMYFUNCTION("""COMPUTED_VALUE"""),1.07070833443952)</f>
        <v>1.0707083344395201</v>
      </c>
      <c r="F859" s="17">
        <f ca="1">IFERROR(__xludf.DUMMYFUNCTION("""COMPUTED_VALUE"""),1.24383283201024)</f>
        <v>1.2438328320102401</v>
      </c>
      <c r="G859" s="17">
        <f ca="1">IFERROR(__xludf.DUMMYFUNCTION("""COMPUTED_VALUE"""),1.28159891457542)</f>
        <v>1.2815989145754201</v>
      </c>
      <c r="H859" s="17">
        <f ca="1">IFERROR(__xludf.DUMMYFUNCTION("""COMPUTED_VALUE"""),1.32069371718556)</f>
        <v>1.3206937171855599</v>
      </c>
      <c r="I859" s="17">
        <f ca="1">IFERROR(__xludf.DUMMYFUNCTION("""COMPUTED_VALUE"""),0.98315170326211)</f>
        <v>0.98315170326210999</v>
      </c>
      <c r="J859" s="17">
        <f ca="1">IFERROR(__xludf.DUMMYFUNCTION("""COMPUTED_VALUE"""),1.07665418705174)</f>
        <v>1.0766541870517401</v>
      </c>
      <c r="K859" s="17" t="str">
        <f ca="1">IFERROR(__xludf.DUMMYFUNCTION("""COMPUTED_VALUE"""),"nan")</f>
        <v>nan</v>
      </c>
      <c r="L859" s="17">
        <f ca="1">IFERROR(__xludf.DUMMYFUNCTION("""COMPUTED_VALUE"""),1.25389694995203)</f>
        <v>1.25389694995203</v>
      </c>
      <c r="M859" s="17">
        <f ca="1">IFERROR(__xludf.DUMMYFUNCTION("""COMPUTED_VALUE"""),1.20965686159144)</f>
        <v>1.20965686159144</v>
      </c>
      <c r="N859" s="17">
        <f ca="1">IFERROR(__xludf.DUMMYFUNCTION("""COMPUTED_VALUE"""),0.962703243016536)</f>
        <v>0.96270324301653598</v>
      </c>
      <c r="O859" s="17">
        <f ca="1">IFERROR(__xludf.DUMMYFUNCTION("""COMPUTED_VALUE"""),1.23261699433759)</f>
        <v>1.23261699433759</v>
      </c>
      <c r="P859" s="17">
        <f ca="1">IFERROR(__xludf.DUMMYFUNCTION("""COMPUTED_VALUE"""),1.06866337434223)</f>
        <v>1.06866337434223</v>
      </c>
      <c r="Q859" s="17">
        <f ca="1">IFERROR(__xludf.DUMMYFUNCTION("""COMPUTED_VALUE"""),1.52893247607711)</f>
        <v>1.5289324760771099</v>
      </c>
      <c r="R859" s="17">
        <f ca="1">IFERROR(__xludf.DUMMYFUNCTION("""COMPUTED_VALUE"""),1.14698077492277)</f>
        <v>1.1469807749227701</v>
      </c>
      <c r="S859" s="17">
        <f ca="1">IFERROR(__xludf.DUMMYFUNCTION("""COMPUTED_VALUE"""),1.09651980503389)</f>
        <v>1.09651980503389</v>
      </c>
      <c r="T859" s="17">
        <f ca="1">IFERROR(__xludf.DUMMYFUNCTION("""COMPUTED_VALUE"""),0.952209436979711)</f>
        <v>0.95220943697971105</v>
      </c>
      <c r="U859" s="17">
        <f ca="1">IFERROR(__xludf.DUMMYFUNCTION("""COMPUTED_VALUE"""),0.987332948187409)</f>
        <v>0.98733294818740902</v>
      </c>
      <c r="V859" s="17">
        <f ca="1">IFERROR(__xludf.DUMMYFUNCTION("""COMPUTED_VALUE"""),0.964380313248091)</f>
        <v>0.96438031324809104</v>
      </c>
      <c r="W859" s="17">
        <f ca="1">IFERROR(__xludf.DUMMYFUNCTION("""COMPUTED_VALUE"""),0.978781914556101)</f>
        <v>0.97878191455610097</v>
      </c>
      <c r="X859" s="17">
        <f ca="1">IFERROR(__xludf.DUMMYFUNCTION("""COMPUTED_VALUE"""),0.987789505137477)</f>
        <v>0.98778950513747699</v>
      </c>
      <c r="Y859" s="17">
        <f ca="1">IFERROR(__xludf.DUMMYFUNCTION("""COMPUTED_VALUE"""),0.890313565759626)</f>
        <v>0.89031356575962595</v>
      </c>
      <c r="Z859" s="17">
        <f ca="1">IFERROR(__xludf.DUMMYFUNCTION("""COMPUTED_VALUE"""),0.971128085367516)</f>
        <v>0.97112808536751605</v>
      </c>
      <c r="AA859" s="17">
        <f ca="1">IFERROR(__xludf.DUMMYFUNCTION("""COMPUTED_VALUE"""),1.57467470160723)</f>
        <v>1.57467470160723</v>
      </c>
      <c r="AB859" s="17">
        <f ca="1">IFERROR(__xludf.DUMMYFUNCTION("""COMPUTED_VALUE"""),1.85990750327853)</f>
        <v>1.8599075032785299</v>
      </c>
      <c r="AC859" s="17">
        <f ca="1">IFERROR(__xludf.DUMMYFUNCTION("""COMPUTED_VALUE"""),0.954965142062743)</f>
        <v>0.95496514206274297</v>
      </c>
      <c r="AD859" s="17">
        <f ca="1">IFERROR(__xludf.DUMMYFUNCTION("""COMPUTED_VALUE"""),0.960481578434048)</f>
        <v>0.96048157843404802</v>
      </c>
      <c r="AE859" s="17">
        <f ca="1">IFERROR(__xludf.DUMMYFUNCTION("""COMPUTED_VALUE"""),1.26644668263644)</f>
        <v>1.26644668263644</v>
      </c>
      <c r="AF859" s="17">
        <f ca="1">IFERROR(__xludf.DUMMYFUNCTION("""COMPUTED_VALUE"""),1.24485994348432)</f>
        <v>1.2448599434843199</v>
      </c>
      <c r="AG859" s="17">
        <f ca="1">IFERROR(__xludf.DUMMYFUNCTION("""COMPUTED_VALUE"""),1.11104262578771)</f>
        <v>1.11104262578771</v>
      </c>
      <c r="AH859" s="17">
        <f ca="1">IFERROR(__xludf.DUMMYFUNCTION("""COMPUTED_VALUE"""),1.13770865146679)</f>
        <v>1.13770865146679</v>
      </c>
      <c r="AI859" s="17">
        <f ca="1">IFERROR(__xludf.DUMMYFUNCTION("""COMPUTED_VALUE"""),1.12364294969816)</f>
        <v>1.1236429496981599</v>
      </c>
      <c r="AJ859" s="17">
        <f ca="1">IFERROR(__xludf.DUMMYFUNCTION("""COMPUTED_VALUE"""),1.10016408616031)</f>
        <v>1.1001640861603099</v>
      </c>
    </row>
    <row r="860" spans="2:36" ht="15.75" customHeight="1" x14ac:dyDescent="0.45">
      <c r="B860" s="10" t="str">
        <f ca="1">IFERROR(__xludf.DUMMYFUNCTION("""COMPUTED_VALUE"""),"ToeSegmentation1")</f>
        <v>ToeSegmentation1</v>
      </c>
      <c r="C860" s="10" t="str">
        <f ca="1">IFERROR(__xludf.DUMMYFUNCTION("""COMPUTED_VALUE"""),"aligned_series")</f>
        <v>aligned_series</v>
      </c>
      <c r="D860" s="10">
        <f ca="1">IFERROR(__xludf.DUMMYFUNCTION("""COMPUTED_VALUE"""),0.6)</f>
        <v>0.6</v>
      </c>
      <c r="E860" s="17">
        <f ca="1">IFERROR(__xludf.DUMMYFUNCTION("""COMPUTED_VALUE"""),1.04450893593908)</f>
        <v>1.04450893593908</v>
      </c>
      <c r="F860" s="17">
        <f ca="1">IFERROR(__xludf.DUMMYFUNCTION("""COMPUTED_VALUE"""),1.41093547744987)</f>
        <v>1.4109354774498699</v>
      </c>
      <c r="G860" s="17">
        <f ca="1">IFERROR(__xludf.DUMMYFUNCTION("""COMPUTED_VALUE"""),1.6250354335597)</f>
        <v>1.6250354335596999</v>
      </c>
      <c r="H860" s="17">
        <f ca="1">IFERROR(__xludf.DUMMYFUNCTION("""COMPUTED_VALUE"""),1.39008576442644)</f>
        <v>1.3900857644264399</v>
      </c>
      <c r="I860" s="17">
        <f ca="1">IFERROR(__xludf.DUMMYFUNCTION("""COMPUTED_VALUE"""),0.968395225307885)</f>
        <v>0.96839522530788502</v>
      </c>
      <c r="J860" s="17">
        <f ca="1">IFERROR(__xludf.DUMMYFUNCTION("""COMPUTED_VALUE"""),1.31235879398141)</f>
        <v>1.3123587939814101</v>
      </c>
      <c r="K860" s="17" t="str">
        <f ca="1">IFERROR(__xludf.DUMMYFUNCTION("""COMPUTED_VALUE"""),"nan")</f>
        <v>nan</v>
      </c>
      <c r="L860" s="17">
        <f ca="1">IFERROR(__xludf.DUMMYFUNCTION("""COMPUTED_VALUE"""),1.19980575974103)</f>
        <v>1.1998057597410301</v>
      </c>
      <c r="M860" s="17">
        <f ca="1">IFERROR(__xludf.DUMMYFUNCTION("""COMPUTED_VALUE"""),1.51757677713421)</f>
        <v>1.5175767771342099</v>
      </c>
      <c r="N860" s="17">
        <f ca="1">IFERROR(__xludf.DUMMYFUNCTION("""COMPUTED_VALUE"""),0.96167716862064)</f>
        <v>0.96167716862064001</v>
      </c>
      <c r="O860" s="17">
        <f ca="1">IFERROR(__xludf.DUMMYFUNCTION("""COMPUTED_VALUE"""),1.64181834100084)</f>
        <v>1.64181834100084</v>
      </c>
      <c r="P860" s="17">
        <f ca="1">IFERROR(__xludf.DUMMYFUNCTION("""COMPUTED_VALUE"""),1.22837099583391)</f>
        <v>1.22837099583391</v>
      </c>
      <c r="Q860" s="17">
        <f ca="1">IFERROR(__xludf.DUMMYFUNCTION("""COMPUTED_VALUE"""),1.28382159842828)</f>
        <v>1.2838215984282799</v>
      </c>
      <c r="R860" s="17">
        <f ca="1">IFERROR(__xludf.DUMMYFUNCTION("""COMPUTED_VALUE"""),1.08690056808223)</f>
        <v>1.0869005680822299</v>
      </c>
      <c r="S860" s="17">
        <f ca="1">IFERROR(__xludf.DUMMYFUNCTION("""COMPUTED_VALUE"""),1.1577079601791)</f>
        <v>1.1577079601791</v>
      </c>
      <c r="T860" s="17">
        <f ca="1">IFERROR(__xludf.DUMMYFUNCTION("""COMPUTED_VALUE"""),1.06719344763311)</f>
        <v>1.06719344763311</v>
      </c>
      <c r="U860" s="17">
        <f ca="1">IFERROR(__xludf.DUMMYFUNCTION("""COMPUTED_VALUE"""),1.03302340655803)</f>
        <v>1.0330234065580299</v>
      </c>
      <c r="V860" s="17">
        <f ca="1">IFERROR(__xludf.DUMMYFUNCTION("""COMPUTED_VALUE"""),1.01903039616983)</f>
        <v>1.0190303961698299</v>
      </c>
      <c r="W860" s="17">
        <f ca="1">IFERROR(__xludf.DUMMYFUNCTION("""COMPUTED_VALUE"""),0.923610614436707)</f>
        <v>0.923610614436707</v>
      </c>
      <c r="X860" s="17">
        <f ca="1">IFERROR(__xludf.DUMMYFUNCTION("""COMPUTED_VALUE"""),0.917276292287738)</f>
        <v>0.91727629228773799</v>
      </c>
      <c r="Y860" s="17">
        <f ca="1">IFERROR(__xludf.DUMMYFUNCTION("""COMPUTED_VALUE"""),0.9184967541545)</f>
        <v>0.91849675415450005</v>
      </c>
      <c r="Z860" s="17">
        <f ca="1">IFERROR(__xludf.DUMMYFUNCTION("""COMPUTED_VALUE"""),1.03782461404478)</f>
        <v>1.03782461404478</v>
      </c>
      <c r="AA860" s="17">
        <f ca="1">IFERROR(__xludf.DUMMYFUNCTION("""COMPUTED_VALUE"""),1.48138613572095)</f>
        <v>1.4813861357209499</v>
      </c>
      <c r="AB860" s="17">
        <f ca="1">IFERROR(__xludf.DUMMYFUNCTION("""COMPUTED_VALUE"""),2.19894506325262)</f>
        <v>2.1989450632526202</v>
      </c>
      <c r="AC860" s="17">
        <f ca="1">IFERROR(__xludf.DUMMYFUNCTION("""COMPUTED_VALUE"""),0.963874818984441)</f>
        <v>0.96387481898444105</v>
      </c>
      <c r="AD860" s="17">
        <f ca="1">IFERROR(__xludf.DUMMYFUNCTION("""COMPUTED_VALUE"""),0.979412840587948)</f>
        <v>0.97941284058794797</v>
      </c>
      <c r="AE860" s="17">
        <f ca="1">IFERROR(__xludf.DUMMYFUNCTION("""COMPUTED_VALUE"""),1.22719960395186)</f>
        <v>1.22719960395186</v>
      </c>
      <c r="AF860" s="17">
        <f ca="1">IFERROR(__xludf.DUMMYFUNCTION("""COMPUTED_VALUE"""),1.33997014476401)</f>
        <v>1.33997014476401</v>
      </c>
      <c r="AG860" s="17">
        <f ca="1">IFERROR(__xludf.DUMMYFUNCTION("""COMPUTED_VALUE"""),1.20345385719614)</f>
        <v>1.20345385719614</v>
      </c>
      <c r="AH860" s="17">
        <f ca="1">IFERROR(__xludf.DUMMYFUNCTION("""COMPUTED_VALUE"""),1.18187316159061)</f>
        <v>1.18187316159061</v>
      </c>
      <c r="AI860" s="17">
        <f ca="1">IFERROR(__xludf.DUMMYFUNCTION("""COMPUTED_VALUE"""),1.17360697165101)</f>
        <v>1.17360697165101</v>
      </c>
      <c r="AJ860" s="17">
        <f ca="1">IFERROR(__xludf.DUMMYFUNCTION("""COMPUTED_VALUE"""),1.13765186562915)</f>
        <v>1.1376518656291501</v>
      </c>
    </row>
    <row r="861" spans="2:36" ht="15.75" customHeight="1" x14ac:dyDescent="0.45">
      <c r="B861" s="10" t="str">
        <f ca="1">IFERROR(__xludf.DUMMYFUNCTION("""COMPUTED_VALUE"""),"ToeSegmentation1")</f>
        <v>ToeSegmentation1</v>
      </c>
      <c r="C861" s="10" t="str">
        <f ca="1">IFERROR(__xludf.DUMMYFUNCTION("""COMPUTED_VALUE"""),"aligned_series")</f>
        <v>aligned_series</v>
      </c>
      <c r="D861" s="10">
        <f ca="1">IFERROR(__xludf.DUMMYFUNCTION("""COMPUTED_VALUE"""),0.8)</f>
        <v>0.8</v>
      </c>
      <c r="E861" s="17">
        <f ca="1">IFERROR(__xludf.DUMMYFUNCTION("""COMPUTED_VALUE"""),1.03069470218217)</f>
        <v>1.03069470218217</v>
      </c>
      <c r="F861" s="17">
        <f ca="1">IFERROR(__xludf.DUMMYFUNCTION("""COMPUTED_VALUE"""),1.56453085423163)</f>
        <v>1.5645308542316301</v>
      </c>
      <c r="G861" s="17">
        <f ca="1">IFERROR(__xludf.DUMMYFUNCTION("""COMPUTED_VALUE"""),1.92643187658018)</f>
        <v>1.92643187658018</v>
      </c>
      <c r="H861" s="17">
        <f ca="1">IFERROR(__xludf.DUMMYFUNCTION("""COMPUTED_VALUE"""),2.14414078091998)</f>
        <v>2.1441407809199799</v>
      </c>
      <c r="I861" s="17">
        <f ca="1">IFERROR(__xludf.DUMMYFUNCTION("""COMPUTED_VALUE"""),0.984297306736471)</f>
        <v>0.98429730673647098</v>
      </c>
      <c r="J861" s="17">
        <f ca="1">IFERROR(__xludf.DUMMYFUNCTION("""COMPUTED_VALUE"""),1.3597432722936)</f>
        <v>1.3597432722936</v>
      </c>
      <c r="K861" s="17" t="str">
        <f ca="1">IFERROR(__xludf.DUMMYFUNCTION("""COMPUTED_VALUE"""),"nan")</f>
        <v>nan</v>
      </c>
      <c r="L861" s="17">
        <f ca="1">IFERROR(__xludf.DUMMYFUNCTION("""COMPUTED_VALUE"""),1.24510236406631)</f>
        <v>1.2451023640663099</v>
      </c>
      <c r="M861" s="17">
        <f ca="1">IFERROR(__xludf.DUMMYFUNCTION("""COMPUTED_VALUE"""),2.24130899621377)</f>
        <v>2.2413089962137702</v>
      </c>
      <c r="N861" s="17">
        <f ca="1">IFERROR(__xludf.DUMMYFUNCTION("""COMPUTED_VALUE"""),0.976877952018218)</f>
        <v>0.97687795201821803</v>
      </c>
      <c r="O861" s="17">
        <f ca="1">IFERROR(__xludf.DUMMYFUNCTION("""COMPUTED_VALUE"""),1.53100356385194)</f>
        <v>1.5310035638519399</v>
      </c>
      <c r="P861" s="17">
        <f ca="1">IFERROR(__xludf.DUMMYFUNCTION("""COMPUTED_VALUE"""),1.19501406553647)</f>
        <v>1.19501406553647</v>
      </c>
      <c r="Q861" s="17">
        <f ca="1">IFERROR(__xludf.DUMMYFUNCTION("""COMPUTED_VALUE"""),1.12220874871499)</f>
        <v>1.1222087487149901</v>
      </c>
      <c r="R861" s="17">
        <f ca="1">IFERROR(__xludf.DUMMYFUNCTION("""COMPUTED_VALUE"""),1.09149807705354)</f>
        <v>1.0914980770535401</v>
      </c>
      <c r="S861" s="17">
        <f ca="1">IFERROR(__xludf.DUMMYFUNCTION("""COMPUTED_VALUE"""),1.12206747834011)</f>
        <v>1.1220674783401099</v>
      </c>
      <c r="T861" s="17">
        <f ca="1">IFERROR(__xludf.DUMMYFUNCTION("""COMPUTED_VALUE"""),0.974079650038577)</f>
        <v>0.97407965003857699</v>
      </c>
      <c r="U861" s="17">
        <f ca="1">IFERROR(__xludf.DUMMYFUNCTION("""COMPUTED_VALUE"""),0.992901052634132)</f>
        <v>0.99290105263413198</v>
      </c>
      <c r="V861" s="17">
        <f ca="1">IFERROR(__xludf.DUMMYFUNCTION("""COMPUTED_VALUE"""),0.925135180039732)</f>
        <v>0.92513518003973205</v>
      </c>
      <c r="W861" s="17">
        <f ca="1">IFERROR(__xludf.DUMMYFUNCTION("""COMPUTED_VALUE"""),0.875542683527658)</f>
        <v>0.87554268352765796</v>
      </c>
      <c r="X861" s="17">
        <f ca="1">IFERROR(__xludf.DUMMYFUNCTION("""COMPUTED_VALUE"""),0.995734466349162)</f>
        <v>0.99573446634916196</v>
      </c>
      <c r="Y861" s="17">
        <f ca="1">IFERROR(__xludf.DUMMYFUNCTION("""COMPUTED_VALUE"""),0.898016064048276)</f>
        <v>0.89801606404827605</v>
      </c>
      <c r="Z861" s="17">
        <f ca="1">IFERROR(__xludf.DUMMYFUNCTION("""COMPUTED_VALUE"""),0.972999629008943)</f>
        <v>0.97299962900894299</v>
      </c>
      <c r="AA861" s="17">
        <f ca="1">IFERROR(__xludf.DUMMYFUNCTION("""COMPUTED_VALUE"""),1.2481117090569)</f>
        <v>1.2481117090569001</v>
      </c>
      <c r="AB861" s="17">
        <f ca="1">IFERROR(__xludf.DUMMYFUNCTION("""COMPUTED_VALUE"""),1.8540642169947)</f>
        <v>1.8540642169946999</v>
      </c>
      <c r="AC861" s="17">
        <f ca="1">IFERROR(__xludf.DUMMYFUNCTION("""COMPUTED_VALUE"""),0.873523845923463)</f>
        <v>0.87352384592346299</v>
      </c>
      <c r="AD861" s="17">
        <f ca="1">IFERROR(__xludf.DUMMYFUNCTION("""COMPUTED_VALUE"""),0.929568000229963)</f>
        <v>0.929568000229963</v>
      </c>
      <c r="AE861" s="17">
        <f ca="1">IFERROR(__xludf.DUMMYFUNCTION("""COMPUTED_VALUE"""),1.193677929729)</f>
        <v>1.1936779297290001</v>
      </c>
      <c r="AF861" s="17">
        <f ca="1">IFERROR(__xludf.DUMMYFUNCTION("""COMPUTED_VALUE"""),1.66777542979083)</f>
        <v>1.66777542979083</v>
      </c>
      <c r="AG861" s="17">
        <f ca="1">IFERROR(__xludf.DUMMYFUNCTION("""COMPUTED_VALUE"""),1.15221519067435)</f>
        <v>1.1522151906743501</v>
      </c>
      <c r="AH861" s="17">
        <f ca="1">IFERROR(__xludf.DUMMYFUNCTION("""COMPUTED_VALUE"""),1.13986778980727)</f>
        <v>1.13986778980727</v>
      </c>
      <c r="AI861" s="17">
        <f ca="1">IFERROR(__xludf.DUMMYFUNCTION("""COMPUTED_VALUE"""),1.13488161683019)</f>
        <v>1.1348816168301901</v>
      </c>
      <c r="AJ861" s="17">
        <f ca="1">IFERROR(__xludf.DUMMYFUNCTION("""COMPUTED_VALUE"""),1.04617159902678)</f>
        <v>1.0461715990267799</v>
      </c>
    </row>
    <row r="862" spans="2:36" ht="15.75" customHeight="1" x14ac:dyDescent="0.45">
      <c r="B862" s="10" t="str">
        <f ca="1">IFERROR(__xludf.DUMMYFUNCTION("""COMPUTED_VALUE"""),"ToeSegmentation1")</f>
        <v>ToeSegmentation1</v>
      </c>
      <c r="C862" s="10" t="str">
        <f ca="1">IFERROR(__xludf.DUMMYFUNCTION("""COMPUTED_VALUE"""),"aligned_timestamps")</f>
        <v>aligned_timestamps</v>
      </c>
      <c r="D862" s="10">
        <f ca="1">IFERROR(__xludf.DUMMYFUNCTION("""COMPUTED_VALUE"""),0.1)</f>
        <v>0.1</v>
      </c>
      <c r="E862" s="17">
        <f ca="1">IFERROR(__xludf.DUMMYFUNCTION("""COMPUTED_VALUE"""),0.86842341635039)</f>
        <v>0.86842341635039</v>
      </c>
      <c r="F862" s="17">
        <f ca="1">IFERROR(__xludf.DUMMYFUNCTION("""COMPUTED_VALUE"""),1.26313061565061)</f>
        <v>1.2631306156506099</v>
      </c>
      <c r="G862" s="17">
        <f ca="1">IFERROR(__xludf.DUMMYFUNCTION("""COMPUTED_VALUE"""),1.32498458235204)</f>
        <v>1.3249845823520401</v>
      </c>
      <c r="H862" s="17">
        <f ca="1">IFERROR(__xludf.DUMMYFUNCTION("""COMPUTED_VALUE"""),1.09477517044254)</f>
        <v>1.0947751704425399</v>
      </c>
      <c r="I862" s="17">
        <f ca="1">IFERROR(__xludf.DUMMYFUNCTION("""COMPUTED_VALUE"""),0.760927602129142)</f>
        <v>0.76092760212914201</v>
      </c>
      <c r="J862" s="17">
        <f ca="1">IFERROR(__xludf.DUMMYFUNCTION("""COMPUTED_VALUE"""),0.804082576066477)</f>
        <v>0.80408257606647704</v>
      </c>
      <c r="K862" s="17" t="str">
        <f ca="1">IFERROR(__xludf.DUMMYFUNCTION("""COMPUTED_VALUE"""),"nan")</f>
        <v>nan</v>
      </c>
      <c r="L862" s="17">
        <f ca="1">IFERROR(__xludf.DUMMYFUNCTION("""COMPUTED_VALUE"""),1.17473942311809)</f>
        <v>1.1747394231180901</v>
      </c>
      <c r="M862" s="17">
        <f ca="1">IFERROR(__xludf.DUMMYFUNCTION("""COMPUTED_VALUE"""),1.18948998685666)</f>
        <v>1.18948998685666</v>
      </c>
      <c r="N862" s="17">
        <f ca="1">IFERROR(__xludf.DUMMYFUNCTION("""COMPUTED_VALUE"""),0.72765178050277)</f>
        <v>0.72765178050277002</v>
      </c>
      <c r="O862" s="17">
        <f ca="1">IFERROR(__xludf.DUMMYFUNCTION("""COMPUTED_VALUE"""),1.19237355431101)</f>
        <v>1.1923735543110101</v>
      </c>
      <c r="P862" s="17">
        <f ca="1">IFERROR(__xludf.DUMMYFUNCTION("""COMPUTED_VALUE"""),1.10784436331513)</f>
        <v>1.10784436331513</v>
      </c>
      <c r="Q862" s="17">
        <f ca="1">IFERROR(__xludf.DUMMYFUNCTION("""COMPUTED_VALUE"""),1.23368428731981)</f>
        <v>1.2336842873198099</v>
      </c>
      <c r="R862" s="17">
        <f ca="1">IFERROR(__xludf.DUMMYFUNCTION("""COMPUTED_VALUE"""),1.15614914131135)</f>
        <v>1.15614914131135</v>
      </c>
      <c r="S862" s="17">
        <f ca="1">IFERROR(__xludf.DUMMYFUNCTION("""COMPUTED_VALUE"""),0.949037205592817)</f>
        <v>0.94903720559281701</v>
      </c>
      <c r="T862" s="17">
        <f ca="1">IFERROR(__xludf.DUMMYFUNCTION("""COMPUTED_VALUE"""),0.815567655666912)</f>
        <v>0.81556765566691203</v>
      </c>
      <c r="U862" s="17">
        <f ca="1">IFERROR(__xludf.DUMMYFUNCTION("""COMPUTED_VALUE"""),1.04445746286341)</f>
        <v>1.04445746286341</v>
      </c>
      <c r="V862" s="17">
        <f ca="1">IFERROR(__xludf.DUMMYFUNCTION("""COMPUTED_VALUE"""),0.893141667279665)</f>
        <v>0.89314166727966504</v>
      </c>
      <c r="W862" s="17">
        <f ca="1">IFERROR(__xludf.DUMMYFUNCTION("""COMPUTED_VALUE"""),0.747743843268339)</f>
        <v>0.74774384326833898</v>
      </c>
      <c r="X862" s="17">
        <f ca="1">IFERROR(__xludf.DUMMYFUNCTION("""COMPUTED_VALUE"""),0.698955560643239)</f>
        <v>0.69895556064323905</v>
      </c>
      <c r="Y862" s="17">
        <f ca="1">IFERROR(__xludf.DUMMYFUNCTION("""COMPUTED_VALUE"""),0.598672762529631)</f>
        <v>0.59867276252963098</v>
      </c>
      <c r="Z862" s="17">
        <f ca="1">IFERROR(__xludf.DUMMYFUNCTION("""COMPUTED_VALUE"""),0.765929908040716)</f>
        <v>0.76592990804071603</v>
      </c>
      <c r="AA862" s="17">
        <f ca="1">IFERROR(__xludf.DUMMYFUNCTION("""COMPUTED_VALUE"""),1.24193368700248)</f>
        <v>1.24193368700248</v>
      </c>
      <c r="AB862" s="17">
        <f ca="1">IFERROR(__xludf.DUMMYFUNCTION("""COMPUTED_VALUE"""),1.35546582725926)</f>
        <v>1.3554658272592599</v>
      </c>
      <c r="AC862" s="17">
        <f ca="1">IFERROR(__xludf.DUMMYFUNCTION("""COMPUTED_VALUE"""),0.592661418034877)</f>
        <v>0.59266141803487704</v>
      </c>
      <c r="AD862" s="17">
        <f ca="1">IFERROR(__xludf.DUMMYFUNCTION("""COMPUTED_VALUE"""),0.803839460424)</f>
        <v>0.80383946042400001</v>
      </c>
      <c r="AE862" s="17">
        <f ca="1">IFERROR(__xludf.DUMMYFUNCTION("""COMPUTED_VALUE"""),0.91576005086738)</f>
        <v>0.91576005086737999</v>
      </c>
      <c r="AF862" s="17">
        <f ca="1">IFERROR(__xludf.DUMMYFUNCTION("""COMPUTED_VALUE"""),0.845630370686328)</f>
        <v>0.84563037068632796</v>
      </c>
      <c r="AG862" s="17">
        <f ca="1">IFERROR(__xludf.DUMMYFUNCTION("""COMPUTED_VALUE"""),0.831109407194593)</f>
        <v>0.83110940719459303</v>
      </c>
      <c r="AH862" s="17">
        <f ca="1">IFERROR(__xludf.DUMMYFUNCTION("""COMPUTED_VALUE"""),0.742920623691269)</f>
        <v>0.74292062369126899</v>
      </c>
      <c r="AI862" s="17">
        <f ca="1">IFERROR(__xludf.DUMMYFUNCTION("""COMPUTED_VALUE"""),0.786671643820728)</f>
        <v>0.78667164382072796</v>
      </c>
      <c r="AJ862" s="17">
        <f ca="1">IFERROR(__xludf.DUMMYFUNCTION("""COMPUTED_VALUE"""),0.898306283061716)</f>
        <v>0.898306283061716</v>
      </c>
    </row>
    <row r="863" spans="2:36" ht="15.75" customHeight="1" x14ac:dyDescent="0.45">
      <c r="B863" s="10" t="str">
        <f ca="1">IFERROR(__xludf.DUMMYFUNCTION("""COMPUTED_VALUE"""),"ToeSegmentation1")</f>
        <v>ToeSegmentation1</v>
      </c>
      <c r="C863" s="10" t="str">
        <f ca="1">IFERROR(__xludf.DUMMYFUNCTION("""COMPUTED_VALUE"""),"aligned_timestamps")</f>
        <v>aligned_timestamps</v>
      </c>
      <c r="D863" s="10">
        <f ca="1">IFERROR(__xludf.DUMMYFUNCTION("""COMPUTED_VALUE"""),0.2)</f>
        <v>0.2</v>
      </c>
      <c r="E863" s="17">
        <f ca="1">IFERROR(__xludf.DUMMYFUNCTION("""COMPUTED_VALUE"""),1.02172547449569)</f>
        <v>1.0217254744956901</v>
      </c>
      <c r="F863" s="17">
        <f ca="1">IFERROR(__xludf.DUMMYFUNCTION("""COMPUTED_VALUE"""),1.38712041643655)</f>
        <v>1.38712041643655</v>
      </c>
      <c r="G863" s="17">
        <f ca="1">IFERROR(__xludf.DUMMYFUNCTION("""COMPUTED_VALUE"""),1.67770107178601)</f>
        <v>1.6777010717860099</v>
      </c>
      <c r="H863" s="17">
        <f ca="1">IFERROR(__xludf.DUMMYFUNCTION("""COMPUTED_VALUE"""),1.07378750443101)</f>
        <v>1.0737875044310099</v>
      </c>
      <c r="I863" s="17">
        <f ca="1">IFERROR(__xludf.DUMMYFUNCTION("""COMPUTED_VALUE"""),0.924057723599245)</f>
        <v>0.92405772359924498</v>
      </c>
      <c r="J863" s="17">
        <f ca="1">IFERROR(__xludf.DUMMYFUNCTION("""COMPUTED_VALUE"""),0.995909500994041)</f>
        <v>0.99590950099404096</v>
      </c>
      <c r="K863" s="17" t="str">
        <f ca="1">IFERROR(__xludf.DUMMYFUNCTION("""COMPUTED_VALUE"""),"nan")</f>
        <v>nan</v>
      </c>
      <c r="L863" s="17">
        <f ca="1">IFERROR(__xludf.DUMMYFUNCTION("""COMPUTED_VALUE"""),1.16547457708369)</f>
        <v>1.1654745770836901</v>
      </c>
      <c r="M863" s="17">
        <f ca="1">IFERROR(__xludf.DUMMYFUNCTION("""COMPUTED_VALUE"""),1.1081596950857)</f>
        <v>1.1081596950857</v>
      </c>
      <c r="N863" s="17">
        <f ca="1">IFERROR(__xludf.DUMMYFUNCTION("""COMPUTED_VALUE"""),0.930305765888935)</f>
        <v>0.93030576588893499</v>
      </c>
      <c r="O863" s="17">
        <f ca="1">IFERROR(__xludf.DUMMYFUNCTION("""COMPUTED_VALUE"""),1.23814575371456)</f>
        <v>1.2381457537145599</v>
      </c>
      <c r="P863" s="17">
        <f ca="1">IFERROR(__xludf.DUMMYFUNCTION("""COMPUTED_VALUE"""),1.02020774452603)</f>
        <v>1.02020774452603</v>
      </c>
      <c r="Q863" s="17">
        <f ca="1">IFERROR(__xludf.DUMMYFUNCTION("""COMPUTED_VALUE"""),1.50009580045877)</f>
        <v>1.5000958004587699</v>
      </c>
      <c r="R863" s="17">
        <f ca="1">IFERROR(__xludf.DUMMYFUNCTION("""COMPUTED_VALUE"""),1.3280311273066)</f>
        <v>1.3280311273065999</v>
      </c>
      <c r="S863" s="17">
        <f ca="1">IFERROR(__xludf.DUMMYFUNCTION("""COMPUTED_VALUE"""),1.04160585591057)</f>
        <v>1.0416058559105701</v>
      </c>
      <c r="T863" s="17">
        <f ca="1">IFERROR(__xludf.DUMMYFUNCTION("""COMPUTED_VALUE"""),0.941719287803537)</f>
        <v>0.94171928780353698</v>
      </c>
      <c r="U863" s="17">
        <f ca="1">IFERROR(__xludf.DUMMYFUNCTION("""COMPUTED_VALUE"""),1.01957366765642)</f>
        <v>1.01957366765642</v>
      </c>
      <c r="V863" s="17">
        <f ca="1">IFERROR(__xludf.DUMMYFUNCTION("""COMPUTED_VALUE"""),0.969699958591979)</f>
        <v>0.96969995859197899</v>
      </c>
      <c r="W863" s="17">
        <f ca="1">IFERROR(__xludf.DUMMYFUNCTION("""COMPUTED_VALUE"""),0.894827637970983)</f>
        <v>0.89482763797098297</v>
      </c>
      <c r="X863" s="17">
        <f ca="1">IFERROR(__xludf.DUMMYFUNCTION("""COMPUTED_VALUE"""),0.894495952978132)</f>
        <v>0.894495952978132</v>
      </c>
      <c r="Y863" s="17">
        <f ca="1">IFERROR(__xludf.DUMMYFUNCTION("""COMPUTED_VALUE"""),0.816759992443213)</f>
        <v>0.81675999244321296</v>
      </c>
      <c r="Z863" s="17">
        <f ca="1">IFERROR(__xludf.DUMMYFUNCTION("""COMPUTED_VALUE"""),0.897594935087285)</f>
        <v>0.89759493508728505</v>
      </c>
      <c r="AA863" s="17">
        <f ca="1">IFERROR(__xludf.DUMMYFUNCTION("""COMPUTED_VALUE"""),1.55795550926166)</f>
        <v>1.5579555092616599</v>
      </c>
      <c r="AB863" s="17">
        <f ca="1">IFERROR(__xludf.DUMMYFUNCTION("""COMPUTED_VALUE"""),1.30241238838765)</f>
        <v>1.3024123883876499</v>
      </c>
      <c r="AC863" s="17">
        <f ca="1">IFERROR(__xludf.DUMMYFUNCTION("""COMPUTED_VALUE"""),0.840193628021004)</f>
        <v>0.84019362802100395</v>
      </c>
      <c r="AD863" s="17">
        <f ca="1">IFERROR(__xludf.DUMMYFUNCTION("""COMPUTED_VALUE"""),0.916280404724775)</f>
        <v>0.91628040472477501</v>
      </c>
      <c r="AE863" s="17">
        <f ca="1">IFERROR(__xludf.DUMMYFUNCTION("""COMPUTED_VALUE"""),1.17009937240468)</f>
        <v>1.17009937240468</v>
      </c>
      <c r="AF863" s="17">
        <f ca="1">IFERROR(__xludf.DUMMYFUNCTION("""COMPUTED_VALUE"""),1.138609326474)</f>
        <v>1.138609326474</v>
      </c>
      <c r="AG863" s="17">
        <f ca="1">IFERROR(__xludf.DUMMYFUNCTION("""COMPUTED_VALUE"""),1.10719267121912)</f>
        <v>1.10719267121912</v>
      </c>
      <c r="AH863" s="17">
        <f ca="1">IFERROR(__xludf.DUMMYFUNCTION("""COMPUTED_VALUE"""),1.13657891823596)</f>
        <v>1.13657891823596</v>
      </c>
      <c r="AI863" s="17">
        <f ca="1">IFERROR(__xludf.DUMMYFUNCTION("""COMPUTED_VALUE"""),1.1277632053429)</f>
        <v>1.1277632053429001</v>
      </c>
      <c r="AJ863" s="17">
        <f ca="1">IFERROR(__xludf.DUMMYFUNCTION("""COMPUTED_VALUE"""),1.12945935725799)</f>
        <v>1.1294593572579901</v>
      </c>
    </row>
    <row r="864" spans="2:36" ht="15.75" customHeight="1" x14ac:dyDescent="0.45">
      <c r="B864" s="10" t="str">
        <f ca="1">IFERROR(__xludf.DUMMYFUNCTION("""COMPUTED_VALUE"""),"ToeSegmentation1")</f>
        <v>ToeSegmentation1</v>
      </c>
      <c r="C864" s="10" t="str">
        <f ca="1">IFERROR(__xludf.DUMMYFUNCTION("""COMPUTED_VALUE"""),"aligned_timestamps")</f>
        <v>aligned_timestamps</v>
      </c>
      <c r="D864" s="10">
        <f ca="1">IFERROR(__xludf.DUMMYFUNCTION("""COMPUTED_VALUE"""),0.4)</f>
        <v>0.4</v>
      </c>
      <c r="E864" s="17">
        <f ca="1">IFERROR(__xludf.DUMMYFUNCTION("""COMPUTED_VALUE"""),1.02224048100224)</f>
        <v>1.0222404810022401</v>
      </c>
      <c r="F864" s="17">
        <f ca="1">IFERROR(__xludf.DUMMYFUNCTION("""COMPUTED_VALUE"""),1.19198226970671)</f>
        <v>1.19198226970671</v>
      </c>
      <c r="G864" s="17">
        <f ca="1">IFERROR(__xludf.DUMMYFUNCTION("""COMPUTED_VALUE"""),1.57133120814815)</f>
        <v>1.5713312081481501</v>
      </c>
      <c r="H864" s="17">
        <f ca="1">IFERROR(__xludf.DUMMYFUNCTION("""COMPUTED_VALUE"""),1.05558989690882)</f>
        <v>1.05558989690882</v>
      </c>
      <c r="I864" s="17">
        <f ca="1">IFERROR(__xludf.DUMMYFUNCTION("""COMPUTED_VALUE"""),0.929686543624572)</f>
        <v>0.92968654362457204</v>
      </c>
      <c r="J864" s="17">
        <f ca="1">IFERROR(__xludf.DUMMYFUNCTION("""COMPUTED_VALUE"""),0.992629034248105)</f>
        <v>0.992629034248105</v>
      </c>
      <c r="K864" s="17" t="str">
        <f ca="1">IFERROR(__xludf.DUMMYFUNCTION("""COMPUTED_VALUE"""),"nan")</f>
        <v>nan</v>
      </c>
      <c r="L864" s="17">
        <f ca="1">IFERROR(__xludf.DUMMYFUNCTION("""COMPUTED_VALUE"""),1.38978483357351)</f>
        <v>1.3897848335735099</v>
      </c>
      <c r="M864" s="17">
        <f ca="1">IFERROR(__xludf.DUMMYFUNCTION("""COMPUTED_VALUE"""),1.09812778076237)</f>
        <v>1.0981277807623699</v>
      </c>
      <c r="N864" s="17">
        <f ca="1">IFERROR(__xludf.DUMMYFUNCTION("""COMPUTED_VALUE"""),1.02293033628543)</f>
        <v>1.0229303362854301</v>
      </c>
      <c r="O864" s="17">
        <f ca="1">IFERROR(__xludf.DUMMYFUNCTION("""COMPUTED_VALUE"""),1.07532114614695)</f>
        <v>1.0753211461469501</v>
      </c>
      <c r="P864" s="17">
        <f ca="1">IFERROR(__xludf.DUMMYFUNCTION("""COMPUTED_VALUE"""),1.07859682448227)</f>
        <v>1.0785968244822699</v>
      </c>
      <c r="Q864" s="17">
        <f ca="1">IFERROR(__xludf.DUMMYFUNCTION("""COMPUTED_VALUE"""),1.4130194034086)</f>
        <v>1.4130194034086001</v>
      </c>
      <c r="R864" s="17">
        <f ca="1">IFERROR(__xludf.DUMMYFUNCTION("""COMPUTED_VALUE"""),1.25626263061561)</f>
        <v>1.2562626306156099</v>
      </c>
      <c r="S864" s="17">
        <f ca="1">IFERROR(__xludf.DUMMYFUNCTION("""COMPUTED_VALUE"""),1.17027362577559)</f>
        <v>1.1702736257755899</v>
      </c>
      <c r="T864" s="17">
        <f ca="1">IFERROR(__xludf.DUMMYFUNCTION("""COMPUTED_VALUE"""),1.12423370605046)</f>
        <v>1.1242337060504599</v>
      </c>
      <c r="U864" s="17">
        <f ca="1">IFERROR(__xludf.DUMMYFUNCTION("""COMPUTED_VALUE"""),1.20957123423219)</f>
        <v>1.20957123423219</v>
      </c>
      <c r="V864" s="17">
        <f ca="1">IFERROR(__xludf.DUMMYFUNCTION("""COMPUTED_VALUE"""),1.15925469683294)</f>
        <v>1.15925469683294</v>
      </c>
      <c r="W864" s="17">
        <f ca="1">IFERROR(__xludf.DUMMYFUNCTION("""COMPUTED_VALUE"""),0.99725887159587)</f>
        <v>0.99725887159587001</v>
      </c>
      <c r="X864" s="17">
        <f ca="1">IFERROR(__xludf.DUMMYFUNCTION("""COMPUTED_VALUE"""),0.88085690575093)</f>
        <v>0.88085690575093001</v>
      </c>
      <c r="Y864" s="17">
        <f ca="1">IFERROR(__xludf.DUMMYFUNCTION("""COMPUTED_VALUE"""),0.985015421882729)</f>
        <v>0.98501542188272895</v>
      </c>
      <c r="Z864" s="17">
        <f ca="1">IFERROR(__xludf.DUMMYFUNCTION("""COMPUTED_VALUE"""),1.00117292607483)</f>
        <v>1.0011729260748301</v>
      </c>
      <c r="AA864" s="17">
        <f ca="1">IFERROR(__xludf.DUMMYFUNCTION("""COMPUTED_VALUE"""),1.40567526319774)</f>
        <v>1.4056752631977401</v>
      </c>
      <c r="AB864" s="17">
        <f ca="1">IFERROR(__xludf.DUMMYFUNCTION("""COMPUTED_VALUE"""),1.12277517524716)</f>
        <v>1.12277517524716</v>
      </c>
      <c r="AC864" s="17">
        <f ca="1">IFERROR(__xludf.DUMMYFUNCTION("""COMPUTED_VALUE"""),1.01150096988628)</f>
        <v>1.01150096988628</v>
      </c>
      <c r="AD864" s="17">
        <f ca="1">IFERROR(__xludf.DUMMYFUNCTION("""COMPUTED_VALUE"""),1.01803088053233)</f>
        <v>1.0180308805323299</v>
      </c>
      <c r="AE864" s="17">
        <f ca="1">IFERROR(__xludf.DUMMYFUNCTION("""COMPUTED_VALUE"""),1.29380791045911)</f>
        <v>1.29380791045911</v>
      </c>
      <c r="AF864" s="17">
        <f ca="1">IFERROR(__xludf.DUMMYFUNCTION("""COMPUTED_VALUE"""),1.21107472560617)</f>
        <v>1.21107472560617</v>
      </c>
      <c r="AG864" s="17">
        <f ca="1">IFERROR(__xludf.DUMMYFUNCTION("""COMPUTED_VALUE"""),1.10752035220452)</f>
        <v>1.1075203522045201</v>
      </c>
      <c r="AH864" s="17">
        <f ca="1">IFERROR(__xludf.DUMMYFUNCTION("""COMPUTED_VALUE"""),1.08918666814485)</f>
        <v>1.0891866681448501</v>
      </c>
      <c r="AI864" s="17">
        <f ca="1">IFERROR(__xludf.DUMMYFUNCTION("""COMPUTED_VALUE"""),1.06202108905916)</f>
        <v>1.0620210890591599</v>
      </c>
      <c r="AJ864" s="17">
        <f ca="1">IFERROR(__xludf.DUMMYFUNCTION("""COMPUTED_VALUE"""),1.13158291075819)</f>
        <v>1.1315829107581901</v>
      </c>
    </row>
    <row r="865" spans="2:36" ht="15.75" customHeight="1" x14ac:dyDescent="0.45">
      <c r="B865" s="10" t="str">
        <f ca="1">IFERROR(__xludf.DUMMYFUNCTION("""COMPUTED_VALUE"""),"ToeSegmentation1")</f>
        <v>ToeSegmentation1</v>
      </c>
      <c r="C865" s="10" t="str">
        <f ca="1">IFERROR(__xludf.DUMMYFUNCTION("""COMPUTED_VALUE"""),"aligned_timestamps")</f>
        <v>aligned_timestamps</v>
      </c>
      <c r="D865" s="10">
        <f ca="1">IFERROR(__xludf.DUMMYFUNCTION("""COMPUTED_VALUE"""),0.6)</f>
        <v>0.6</v>
      </c>
      <c r="E865" s="17">
        <f ca="1">IFERROR(__xludf.DUMMYFUNCTION("""COMPUTED_VALUE"""),0.962315434975809)</f>
        <v>0.96231543497580896</v>
      </c>
      <c r="F865" s="17">
        <f ca="1">IFERROR(__xludf.DUMMYFUNCTION("""COMPUTED_VALUE"""),1.6542798188501)</f>
        <v>1.6542798188501</v>
      </c>
      <c r="G865" s="17">
        <f ca="1">IFERROR(__xludf.DUMMYFUNCTION("""COMPUTED_VALUE"""),1.45174753261409)</f>
        <v>1.4517475326140901</v>
      </c>
      <c r="H865" s="17">
        <f ca="1">IFERROR(__xludf.DUMMYFUNCTION("""COMPUTED_VALUE"""),1.00650309655984)</f>
        <v>1.00650309655984</v>
      </c>
      <c r="I865" s="17">
        <f ca="1">IFERROR(__xludf.DUMMYFUNCTION("""COMPUTED_VALUE"""),0.882607639657239)</f>
        <v>0.88260763965723898</v>
      </c>
      <c r="J865" s="17">
        <f ca="1">IFERROR(__xludf.DUMMYFUNCTION("""COMPUTED_VALUE"""),1.01676056660051)</f>
        <v>1.01676056660051</v>
      </c>
      <c r="K865" s="17" t="str">
        <f ca="1">IFERROR(__xludf.DUMMYFUNCTION("""COMPUTED_VALUE"""),"nan")</f>
        <v>nan</v>
      </c>
      <c r="L865" s="17">
        <f ca="1">IFERROR(__xludf.DUMMYFUNCTION("""COMPUTED_VALUE"""),1.22742012158555)</f>
        <v>1.22742012158555</v>
      </c>
      <c r="M865" s="17">
        <f ca="1">IFERROR(__xludf.DUMMYFUNCTION("""COMPUTED_VALUE"""),1.18792699225866)</f>
        <v>1.1879269922586599</v>
      </c>
      <c r="N865" s="17">
        <f ca="1">IFERROR(__xludf.DUMMYFUNCTION("""COMPUTED_VALUE"""),0.971547595239316)</f>
        <v>0.971547595239316</v>
      </c>
      <c r="O865" s="17">
        <f ca="1">IFERROR(__xludf.DUMMYFUNCTION("""COMPUTED_VALUE"""),1.07919988961694)</f>
        <v>1.0791998896169399</v>
      </c>
      <c r="P865" s="17">
        <f ca="1">IFERROR(__xludf.DUMMYFUNCTION("""COMPUTED_VALUE"""),0.958134577966425)</f>
        <v>0.95813457796642498</v>
      </c>
      <c r="Q865" s="17">
        <f ca="1">IFERROR(__xludf.DUMMYFUNCTION("""COMPUTED_VALUE"""),1.38484786526387)</f>
        <v>1.38484786526387</v>
      </c>
      <c r="R865" s="17">
        <f ca="1">IFERROR(__xludf.DUMMYFUNCTION("""COMPUTED_VALUE"""),1.39071152448468)</f>
        <v>1.3907115244846799</v>
      </c>
      <c r="S865" s="17">
        <f ca="1">IFERROR(__xludf.DUMMYFUNCTION("""COMPUTED_VALUE"""),1.02147435530918)</f>
        <v>1.0214743553091801</v>
      </c>
      <c r="T865" s="17">
        <f ca="1">IFERROR(__xludf.DUMMYFUNCTION("""COMPUTED_VALUE"""),0.988355686904336)</f>
        <v>0.98835568690433595</v>
      </c>
      <c r="U865" s="17">
        <f ca="1">IFERROR(__xludf.DUMMYFUNCTION("""COMPUTED_VALUE"""),1.12172832463867)</f>
        <v>1.12172832463867</v>
      </c>
      <c r="V865" s="17">
        <f ca="1">IFERROR(__xludf.DUMMYFUNCTION("""COMPUTED_VALUE"""),1.07870937178073)</f>
        <v>1.0787093717807299</v>
      </c>
      <c r="W865" s="17">
        <f ca="1">IFERROR(__xludf.DUMMYFUNCTION("""COMPUTED_VALUE"""),0.928027295944848)</f>
        <v>0.92802729594484801</v>
      </c>
      <c r="X865" s="17">
        <f ca="1">IFERROR(__xludf.DUMMYFUNCTION("""COMPUTED_VALUE"""),0.859057654291081)</f>
        <v>0.85905765429108105</v>
      </c>
      <c r="Y865" s="17">
        <f ca="1">IFERROR(__xludf.DUMMYFUNCTION("""COMPUTED_VALUE"""),0.894591442233703)</f>
        <v>0.89459144223370302</v>
      </c>
      <c r="Z865" s="17">
        <f ca="1">IFERROR(__xludf.DUMMYFUNCTION("""COMPUTED_VALUE"""),0.952879402506688)</f>
        <v>0.95287940250668801</v>
      </c>
      <c r="AA865" s="17">
        <f ca="1">IFERROR(__xludf.DUMMYFUNCTION("""COMPUTED_VALUE"""),1.45779276781397)</f>
        <v>1.4577927678139699</v>
      </c>
      <c r="AB865" s="17">
        <f ca="1">IFERROR(__xludf.DUMMYFUNCTION("""COMPUTED_VALUE"""),1.40774043920528)</f>
        <v>1.4077404392052799</v>
      </c>
      <c r="AC865" s="17">
        <f ca="1">IFERROR(__xludf.DUMMYFUNCTION("""COMPUTED_VALUE"""),1.01815926120176)</f>
        <v>1.01815926120176</v>
      </c>
      <c r="AD865" s="17">
        <f ca="1">IFERROR(__xludf.DUMMYFUNCTION("""COMPUTED_VALUE"""),0.996118305041864)</f>
        <v>0.99611830504186405</v>
      </c>
      <c r="AE865" s="17">
        <f ca="1">IFERROR(__xludf.DUMMYFUNCTION("""COMPUTED_VALUE"""),1.13833589656279)</f>
        <v>1.1383358965627901</v>
      </c>
      <c r="AF865" s="17">
        <f ca="1">IFERROR(__xludf.DUMMYFUNCTION("""COMPUTED_VALUE"""),1.17512520722853)</f>
        <v>1.1751252072285301</v>
      </c>
      <c r="AG865" s="17">
        <f ca="1">IFERROR(__xludf.DUMMYFUNCTION("""COMPUTED_VALUE"""),1.02588096561328)</f>
        <v>1.0258809656132799</v>
      </c>
      <c r="AH865" s="17">
        <f ca="1">IFERROR(__xludf.DUMMYFUNCTION("""COMPUTED_VALUE"""),1.01686263338322)</f>
        <v>1.01686263338322</v>
      </c>
      <c r="AI865" s="17">
        <f ca="1">IFERROR(__xludf.DUMMYFUNCTION("""COMPUTED_VALUE"""),1.03384633653817)</f>
        <v>1.03384633653817</v>
      </c>
      <c r="AJ865" s="17">
        <f ca="1">IFERROR(__xludf.DUMMYFUNCTION("""COMPUTED_VALUE"""),1.06943539120305)</f>
        <v>1.0694353912030501</v>
      </c>
    </row>
    <row r="866" spans="2:36" ht="15.75" customHeight="1" x14ac:dyDescent="0.45">
      <c r="B866" s="10" t="str">
        <f ca="1">IFERROR(__xludf.DUMMYFUNCTION("""COMPUTED_VALUE"""),"ToeSegmentation1")</f>
        <v>ToeSegmentation1</v>
      </c>
      <c r="C866" s="10" t="str">
        <f ca="1">IFERROR(__xludf.DUMMYFUNCTION("""COMPUTED_VALUE"""),"aligned_timestamps")</f>
        <v>aligned_timestamps</v>
      </c>
      <c r="D866" s="10">
        <f ca="1">IFERROR(__xludf.DUMMYFUNCTION("""COMPUTED_VALUE"""),0.8)</f>
        <v>0.8</v>
      </c>
      <c r="E866" s="17">
        <f ca="1">IFERROR(__xludf.DUMMYFUNCTION("""COMPUTED_VALUE"""),0.993784477020072)</f>
        <v>0.993784477020072</v>
      </c>
      <c r="F866" s="17">
        <f ca="1">IFERROR(__xludf.DUMMYFUNCTION("""COMPUTED_VALUE"""),1.23910834664808)</f>
        <v>1.2391083466480799</v>
      </c>
      <c r="G866" s="17">
        <f ca="1">IFERROR(__xludf.DUMMYFUNCTION("""COMPUTED_VALUE"""),1.54447574212763)</f>
        <v>1.5444757421276301</v>
      </c>
      <c r="H866" s="17">
        <f ca="1">IFERROR(__xludf.DUMMYFUNCTION("""COMPUTED_VALUE"""),1.03074335254297)</f>
        <v>1.0307433525429699</v>
      </c>
      <c r="I866" s="17">
        <f ca="1">IFERROR(__xludf.DUMMYFUNCTION("""COMPUTED_VALUE"""),0.975014512185987)</f>
        <v>0.975014512185987</v>
      </c>
      <c r="J866" s="17">
        <f ca="1">IFERROR(__xludf.DUMMYFUNCTION("""COMPUTED_VALUE"""),1.06883580618477)</f>
        <v>1.06883580618477</v>
      </c>
      <c r="K866" s="17" t="str">
        <f ca="1">IFERROR(__xludf.DUMMYFUNCTION("""COMPUTED_VALUE"""),"nan")</f>
        <v>nan</v>
      </c>
      <c r="L866" s="17">
        <f ca="1">IFERROR(__xludf.DUMMYFUNCTION("""COMPUTED_VALUE"""),1.26729157252255)</f>
        <v>1.26729157252255</v>
      </c>
      <c r="M866" s="17">
        <f ca="1">IFERROR(__xludf.DUMMYFUNCTION("""COMPUTED_VALUE"""),1.31486517025445)</f>
        <v>1.31486517025445</v>
      </c>
      <c r="N866" s="17">
        <f ca="1">IFERROR(__xludf.DUMMYFUNCTION("""COMPUTED_VALUE"""),1.02488030933056)</f>
        <v>1.0248803093305601</v>
      </c>
      <c r="O866" s="17">
        <f ca="1">IFERROR(__xludf.DUMMYFUNCTION("""COMPUTED_VALUE"""),1.13837464759876)</f>
        <v>1.1383746475987599</v>
      </c>
      <c r="P866" s="17">
        <f ca="1">IFERROR(__xludf.DUMMYFUNCTION("""COMPUTED_VALUE"""),1.21249282956495)</f>
        <v>1.21249282956495</v>
      </c>
      <c r="Q866" s="17">
        <f ca="1">IFERROR(__xludf.DUMMYFUNCTION("""COMPUTED_VALUE"""),1.44415133099333)</f>
        <v>1.44415133099333</v>
      </c>
      <c r="R866" s="17">
        <f ca="1">IFERROR(__xludf.DUMMYFUNCTION("""COMPUTED_VALUE"""),1.76951751938719)</f>
        <v>1.7695175193871899</v>
      </c>
      <c r="S866" s="17">
        <f ca="1">IFERROR(__xludf.DUMMYFUNCTION("""COMPUTED_VALUE"""),1.21480085895773)</f>
        <v>1.2148008589577299</v>
      </c>
      <c r="T866" s="17">
        <f ca="1">IFERROR(__xludf.DUMMYFUNCTION("""COMPUTED_VALUE"""),1.07465671613546)</f>
        <v>1.0746567161354601</v>
      </c>
      <c r="U866" s="17">
        <f ca="1">IFERROR(__xludf.DUMMYFUNCTION("""COMPUTED_VALUE"""),1.21175840985229)</f>
        <v>1.21175840985229</v>
      </c>
      <c r="V866" s="17">
        <f ca="1">IFERROR(__xludf.DUMMYFUNCTION("""COMPUTED_VALUE"""),1.09446452099117)</f>
        <v>1.0944645209911701</v>
      </c>
      <c r="W866" s="17">
        <f ca="1">IFERROR(__xludf.DUMMYFUNCTION("""COMPUTED_VALUE"""),0.962640988113043)</f>
        <v>0.96264098811304299</v>
      </c>
      <c r="X866" s="17">
        <f ca="1">IFERROR(__xludf.DUMMYFUNCTION("""COMPUTED_VALUE"""),1.06138290924223)</f>
        <v>1.06138290924223</v>
      </c>
      <c r="Y866" s="17">
        <f ca="1">IFERROR(__xludf.DUMMYFUNCTION("""COMPUTED_VALUE"""),1.0559773374968)</f>
        <v>1.0559773374968</v>
      </c>
      <c r="Z866" s="17">
        <f ca="1">IFERROR(__xludf.DUMMYFUNCTION("""COMPUTED_VALUE"""),0.97877392841632)</f>
        <v>0.97877392841632005</v>
      </c>
      <c r="AA866" s="17">
        <f ca="1">IFERROR(__xludf.DUMMYFUNCTION("""COMPUTED_VALUE"""),1.56110901430542)</f>
        <v>1.56110901430542</v>
      </c>
      <c r="AB866" s="17">
        <f ca="1">IFERROR(__xludf.DUMMYFUNCTION("""COMPUTED_VALUE"""),1.28976086494208)</f>
        <v>1.28976086494208</v>
      </c>
      <c r="AC866" s="17">
        <f ca="1">IFERROR(__xludf.DUMMYFUNCTION("""COMPUTED_VALUE"""),1.02489306896117)</f>
        <v>1.0248930689611699</v>
      </c>
      <c r="AD866" s="17">
        <f ca="1">IFERROR(__xludf.DUMMYFUNCTION("""COMPUTED_VALUE"""),0.993738935677396)</f>
        <v>0.99373893567739602</v>
      </c>
      <c r="AE866" s="17">
        <f ca="1">IFERROR(__xludf.DUMMYFUNCTION("""COMPUTED_VALUE"""),1.59997697611307)</f>
        <v>1.59997697611307</v>
      </c>
      <c r="AF866" s="17">
        <f ca="1">IFERROR(__xludf.DUMMYFUNCTION("""COMPUTED_VALUE"""),1.25102268400376)</f>
        <v>1.2510226840037599</v>
      </c>
      <c r="AG866" s="17">
        <f ca="1">IFERROR(__xludf.DUMMYFUNCTION("""COMPUTED_VALUE"""),1.02387760633856)</f>
        <v>1.02387760633856</v>
      </c>
      <c r="AH866" s="17">
        <f ca="1">IFERROR(__xludf.DUMMYFUNCTION("""COMPUTED_VALUE"""),1.00275061859668)</f>
        <v>1.0027506185966799</v>
      </c>
      <c r="AI866" s="17">
        <f ca="1">IFERROR(__xludf.DUMMYFUNCTION("""COMPUTED_VALUE"""),1.00588730643905)</f>
        <v>1.0058873064390501</v>
      </c>
      <c r="AJ866" s="17">
        <f ca="1">IFERROR(__xludf.DUMMYFUNCTION("""COMPUTED_VALUE"""),1.09856434198626)</f>
        <v>1.0985643419862601</v>
      </c>
    </row>
    <row r="867" spans="2:36" ht="15.75" customHeight="1" x14ac:dyDescent="0.45">
      <c r="B867" s="10" t="str">
        <f ca="1">IFERROR(__xludf.DUMMYFUNCTION("""COMPUTED_VALUE"""),"ToeSegmentation1")</f>
        <v>ToeSegmentation1</v>
      </c>
      <c r="C867" s="10" t="str">
        <f ca="1">IFERROR(__xludf.DUMMYFUNCTION("""COMPUTED_VALUE"""),"mcar")</f>
        <v>mcar</v>
      </c>
      <c r="D867" s="10">
        <f ca="1">IFERROR(__xludf.DUMMYFUNCTION("""COMPUTED_VALUE"""),0.1)</f>
        <v>0.1</v>
      </c>
      <c r="E867" s="17">
        <f ca="1">IFERROR(__xludf.DUMMYFUNCTION("""COMPUTED_VALUE"""),0.906559380676497)</f>
        <v>0.906559380676497</v>
      </c>
      <c r="F867" s="17">
        <f ca="1">IFERROR(__xludf.DUMMYFUNCTION("""COMPUTED_VALUE"""),0.853256158215219)</f>
        <v>0.85325615821521905</v>
      </c>
      <c r="G867" s="17">
        <f ca="1">IFERROR(__xludf.DUMMYFUNCTION("""COMPUTED_VALUE"""),0.859667196122294)</f>
        <v>0.85966719612229403</v>
      </c>
      <c r="H867" s="17">
        <f ca="1">IFERROR(__xludf.DUMMYFUNCTION("""COMPUTED_VALUE"""),0.912505053809418)</f>
        <v>0.91250505380941804</v>
      </c>
      <c r="I867" s="17">
        <f ca="1">IFERROR(__xludf.DUMMYFUNCTION("""COMPUTED_VALUE"""),0.671308852682567)</f>
        <v>0.67130885268256701</v>
      </c>
      <c r="J867" s="17">
        <f ca="1">IFERROR(__xludf.DUMMYFUNCTION("""COMPUTED_VALUE"""),0.943822198309096)</f>
        <v>0.94382219830909597</v>
      </c>
      <c r="K867" s="17" t="str">
        <f ca="1">IFERROR(__xludf.DUMMYFUNCTION("""COMPUTED_VALUE"""),"nan")</f>
        <v>nan</v>
      </c>
      <c r="L867" s="17">
        <f ca="1">IFERROR(__xludf.DUMMYFUNCTION("""COMPUTED_VALUE"""),0.855992492923986)</f>
        <v>0.85599249292398605</v>
      </c>
      <c r="M867" s="17">
        <f ca="1">IFERROR(__xludf.DUMMYFUNCTION("""COMPUTED_VALUE"""),0.863797529678919)</f>
        <v>0.86379752967891898</v>
      </c>
      <c r="N867" s="17">
        <f ca="1">IFERROR(__xludf.DUMMYFUNCTION("""COMPUTED_VALUE"""),0.53511686633719)</f>
        <v>0.53511686633719002</v>
      </c>
      <c r="O867" s="17">
        <f ca="1">IFERROR(__xludf.DUMMYFUNCTION("""COMPUTED_VALUE"""),0.792997713246866)</f>
        <v>0.79299771324686597</v>
      </c>
      <c r="P867" s="17">
        <f ca="1">IFERROR(__xludf.DUMMYFUNCTION("""COMPUTED_VALUE"""),0.74379546013597)</f>
        <v>0.74379546013596998</v>
      </c>
      <c r="Q867" s="17">
        <f ca="1">IFERROR(__xludf.DUMMYFUNCTION("""COMPUTED_VALUE"""),1.39966916156217)</f>
        <v>1.3996691615621699</v>
      </c>
      <c r="R867" s="17">
        <f ca="1">IFERROR(__xludf.DUMMYFUNCTION("""COMPUTED_VALUE"""),0.681973537684419)</f>
        <v>0.68197353768441904</v>
      </c>
      <c r="S867" s="17">
        <f ca="1">IFERROR(__xludf.DUMMYFUNCTION("""COMPUTED_VALUE"""),0.450992084787328)</f>
        <v>0.450992084787328</v>
      </c>
      <c r="T867" s="17">
        <f ca="1">IFERROR(__xludf.DUMMYFUNCTION("""COMPUTED_VALUE"""),0.581483810966712)</f>
        <v>0.58148381096671198</v>
      </c>
      <c r="U867" s="17">
        <f ca="1">IFERROR(__xludf.DUMMYFUNCTION("""COMPUTED_VALUE"""),0.657779249192062)</f>
        <v>0.65777924919206199</v>
      </c>
      <c r="V867" s="17">
        <f ca="1">IFERROR(__xludf.DUMMYFUNCTION("""COMPUTED_VALUE"""),0.753843777937063)</f>
        <v>0.75384377793706303</v>
      </c>
      <c r="W867" s="17">
        <f ca="1">IFERROR(__xludf.DUMMYFUNCTION("""COMPUTED_VALUE"""),0.567660855635156)</f>
        <v>0.567660855635156</v>
      </c>
      <c r="X867" s="17">
        <f ca="1">IFERROR(__xludf.DUMMYFUNCTION("""COMPUTED_VALUE"""),0.574851640135197)</f>
        <v>0.57485164013519696</v>
      </c>
      <c r="Y867" s="17">
        <f ca="1">IFERROR(__xludf.DUMMYFUNCTION("""COMPUTED_VALUE"""),0.291273338291347)</f>
        <v>0.29127333829134699</v>
      </c>
      <c r="Z867" s="17">
        <f ca="1">IFERROR(__xludf.DUMMYFUNCTION("""COMPUTED_VALUE"""),0.683603255667209)</f>
        <v>0.68360325566720903</v>
      </c>
      <c r="AA867" s="17">
        <f ca="1">IFERROR(__xludf.DUMMYFUNCTION("""COMPUTED_VALUE"""),0.398339812221484)</f>
        <v>0.39833981222148401</v>
      </c>
      <c r="AB867" s="17">
        <f ca="1">IFERROR(__xludf.DUMMYFUNCTION("""COMPUTED_VALUE"""),0.722767844197722)</f>
        <v>0.722767844197722</v>
      </c>
      <c r="AC867" s="17">
        <f ca="1">IFERROR(__xludf.DUMMYFUNCTION("""COMPUTED_VALUE"""),0.309377780128623)</f>
        <v>0.30937778012862299</v>
      </c>
      <c r="AD867" s="17">
        <f ca="1">IFERROR(__xludf.DUMMYFUNCTION("""COMPUTED_VALUE"""),0.4259404415621)</f>
        <v>0.42594044156209998</v>
      </c>
      <c r="AE867" s="17">
        <f ca="1">IFERROR(__xludf.DUMMYFUNCTION("""COMPUTED_VALUE"""),0.724088525230386)</f>
        <v>0.72408852523038603</v>
      </c>
      <c r="AF867" s="17">
        <f ca="1">IFERROR(__xludf.DUMMYFUNCTION("""COMPUTED_VALUE"""),0.72670171339374)</f>
        <v>0.72670171339374001</v>
      </c>
      <c r="AG867" s="17">
        <f ca="1">IFERROR(__xludf.DUMMYFUNCTION("""COMPUTED_VALUE"""),0.978404768921983)</f>
        <v>0.97840476892198303</v>
      </c>
      <c r="AH867" s="17">
        <f ca="1">IFERROR(__xludf.DUMMYFUNCTION("""COMPUTED_VALUE"""),0.489851673415647)</f>
        <v>0.489851673415647</v>
      </c>
      <c r="AI867" s="17">
        <f ca="1">IFERROR(__xludf.DUMMYFUNCTION("""COMPUTED_VALUE"""),0.727867348470859)</f>
        <v>0.72786734847085899</v>
      </c>
      <c r="AJ867" s="17">
        <f ca="1">IFERROR(__xludf.DUMMYFUNCTION("""COMPUTED_VALUE"""),0.680083686511361)</f>
        <v>0.68008368651136097</v>
      </c>
    </row>
    <row r="868" spans="2:36" ht="15.75" customHeight="1" x14ac:dyDescent="0.45">
      <c r="B868" s="10" t="str">
        <f ca="1">IFERROR(__xludf.DUMMYFUNCTION("""COMPUTED_VALUE"""),"ToeSegmentation1")</f>
        <v>ToeSegmentation1</v>
      </c>
      <c r="C868" s="10" t="str">
        <f ca="1">IFERROR(__xludf.DUMMYFUNCTION("""COMPUTED_VALUE"""),"mcar")</f>
        <v>mcar</v>
      </c>
      <c r="D868" s="10">
        <f ca="1">IFERROR(__xludf.DUMMYFUNCTION("""COMPUTED_VALUE"""),0.2)</f>
        <v>0.2</v>
      </c>
      <c r="E868" s="17">
        <f ca="1">IFERROR(__xludf.DUMMYFUNCTION("""COMPUTED_VALUE"""),0.974750148170048)</f>
        <v>0.97475014817004801</v>
      </c>
      <c r="F868" s="17">
        <f ca="1">IFERROR(__xludf.DUMMYFUNCTION("""COMPUTED_VALUE"""),0.937699608338368)</f>
        <v>0.93769960833836796</v>
      </c>
      <c r="G868" s="17">
        <f ca="1">IFERROR(__xludf.DUMMYFUNCTION("""COMPUTED_VALUE"""),0.949169083229313)</f>
        <v>0.94916908322931304</v>
      </c>
      <c r="H868" s="17">
        <f ca="1">IFERROR(__xludf.DUMMYFUNCTION("""COMPUTED_VALUE"""),0.962655012495631)</f>
        <v>0.96265501249563101</v>
      </c>
      <c r="I868" s="17">
        <f ca="1">IFERROR(__xludf.DUMMYFUNCTION("""COMPUTED_VALUE"""),0.726306281246349)</f>
        <v>0.72630628124634899</v>
      </c>
      <c r="J868" s="17">
        <f ca="1">IFERROR(__xludf.DUMMYFUNCTION("""COMPUTED_VALUE"""),0.981311257657388)</f>
        <v>0.98131125765738803</v>
      </c>
      <c r="K868" s="17" t="str">
        <f ca="1">IFERROR(__xludf.DUMMYFUNCTION("""COMPUTED_VALUE"""),"nan")</f>
        <v>nan</v>
      </c>
      <c r="L868" s="17">
        <f ca="1">IFERROR(__xludf.DUMMYFUNCTION("""COMPUTED_VALUE"""),0.880287260303765)</f>
        <v>0.88028726030376503</v>
      </c>
      <c r="M868" s="17">
        <f ca="1">IFERROR(__xludf.DUMMYFUNCTION("""COMPUTED_VALUE"""),0.855527479394365)</f>
        <v>0.85552747939436502</v>
      </c>
      <c r="N868" s="17">
        <f ca="1">IFERROR(__xludf.DUMMYFUNCTION("""COMPUTED_VALUE"""),0.718967059992813)</f>
        <v>0.71896705999281296</v>
      </c>
      <c r="O868" s="17">
        <f ca="1">IFERROR(__xludf.DUMMYFUNCTION("""COMPUTED_VALUE"""),0.80977417835727)</f>
        <v>0.80977417835726995</v>
      </c>
      <c r="P868" s="17">
        <f ca="1">IFERROR(__xludf.DUMMYFUNCTION("""COMPUTED_VALUE"""),0.748573513859924)</f>
        <v>0.74857351385992399</v>
      </c>
      <c r="Q868" s="17">
        <f ca="1">IFERROR(__xludf.DUMMYFUNCTION("""COMPUTED_VALUE"""),1.56142132744741)</f>
        <v>1.56142132744741</v>
      </c>
      <c r="R868" s="17">
        <f ca="1">IFERROR(__xludf.DUMMYFUNCTION("""COMPUTED_VALUE"""),0.863792975314243)</f>
        <v>0.86379297531424304</v>
      </c>
      <c r="S868" s="17">
        <f ca="1">IFERROR(__xludf.DUMMYFUNCTION("""COMPUTED_VALUE"""),0.727523977515117)</f>
        <v>0.72752397751511699</v>
      </c>
      <c r="T868" s="17">
        <f ca="1">IFERROR(__xludf.DUMMYFUNCTION("""COMPUTED_VALUE"""),0.572897862912465)</f>
        <v>0.57289786291246503</v>
      </c>
      <c r="U868" s="17">
        <f ca="1">IFERROR(__xludf.DUMMYFUNCTION("""COMPUTED_VALUE"""),0.60917748949505)</f>
        <v>0.60917748949505002</v>
      </c>
      <c r="V868" s="17">
        <f ca="1">IFERROR(__xludf.DUMMYFUNCTION("""COMPUTED_VALUE"""),0.696536553096134)</f>
        <v>0.69653655309613405</v>
      </c>
      <c r="W868" s="17">
        <f ca="1">IFERROR(__xludf.DUMMYFUNCTION("""COMPUTED_VALUE"""),0.616434001535818)</f>
        <v>0.61643400153581795</v>
      </c>
      <c r="X868" s="17">
        <f ca="1">IFERROR(__xludf.DUMMYFUNCTION("""COMPUTED_VALUE"""),0.671548573771001)</f>
        <v>0.67154857377100097</v>
      </c>
      <c r="Y868" s="17">
        <f ca="1">IFERROR(__xludf.DUMMYFUNCTION("""COMPUTED_VALUE"""),0.320953663730455)</f>
        <v>0.32095366373045497</v>
      </c>
      <c r="Z868" s="17">
        <f ca="1">IFERROR(__xludf.DUMMYFUNCTION("""COMPUTED_VALUE"""),0.652508689664274)</f>
        <v>0.652508689664274</v>
      </c>
      <c r="AA868" s="17">
        <f ca="1">IFERROR(__xludf.DUMMYFUNCTION("""COMPUTED_VALUE"""),0.626670768517279)</f>
        <v>0.62667076851727899</v>
      </c>
      <c r="AB868" s="17">
        <f ca="1">IFERROR(__xludf.DUMMYFUNCTION("""COMPUTED_VALUE"""),0.951718431509266)</f>
        <v>0.95171843150926605</v>
      </c>
      <c r="AC868" s="17">
        <f ca="1">IFERROR(__xludf.DUMMYFUNCTION("""COMPUTED_VALUE"""),0.40630107314235)</f>
        <v>0.40630107314234998</v>
      </c>
      <c r="AD868" s="17">
        <f ca="1">IFERROR(__xludf.DUMMYFUNCTION("""COMPUTED_VALUE"""),0.479759172591209)</f>
        <v>0.47975917259120898</v>
      </c>
      <c r="AE868" s="17">
        <f ca="1">IFERROR(__xludf.DUMMYFUNCTION("""COMPUTED_VALUE"""),0.698579441551834)</f>
        <v>0.69857944155183405</v>
      </c>
      <c r="AF868" s="17">
        <f ca="1">IFERROR(__xludf.DUMMYFUNCTION("""COMPUTED_VALUE"""),0.687740584330262)</f>
        <v>0.68774058433026197</v>
      </c>
      <c r="AG868" s="17">
        <f ca="1">IFERROR(__xludf.DUMMYFUNCTION("""COMPUTED_VALUE"""),1.11625782220809)</f>
        <v>1.1162578222080899</v>
      </c>
      <c r="AH868" s="17">
        <f ca="1">IFERROR(__xludf.DUMMYFUNCTION("""COMPUTED_VALUE"""),0.674579580159563)</f>
        <v>0.67457958015956299</v>
      </c>
      <c r="AI868" s="17">
        <f ca="1">IFERROR(__xludf.DUMMYFUNCTION("""COMPUTED_VALUE"""),0.8736793919754)</f>
        <v>0.87367939197540001</v>
      </c>
      <c r="AJ868" s="17">
        <f ca="1">IFERROR(__xludf.DUMMYFUNCTION("""COMPUTED_VALUE"""),0.809936468780879)</f>
        <v>0.80993646878087899</v>
      </c>
    </row>
    <row r="869" spans="2:36" ht="15.75" customHeight="1" x14ac:dyDescent="0.45">
      <c r="B869" s="10" t="str">
        <f ca="1">IFERROR(__xludf.DUMMYFUNCTION("""COMPUTED_VALUE"""),"ToeSegmentation1")</f>
        <v>ToeSegmentation1</v>
      </c>
      <c r="C869" s="10" t="str">
        <f ca="1">IFERROR(__xludf.DUMMYFUNCTION("""COMPUTED_VALUE"""),"mcar")</f>
        <v>mcar</v>
      </c>
      <c r="D869" s="10">
        <f ca="1">IFERROR(__xludf.DUMMYFUNCTION("""COMPUTED_VALUE"""),0.4)</f>
        <v>0.4</v>
      </c>
      <c r="E869" s="17">
        <f ca="1">IFERROR(__xludf.DUMMYFUNCTION("""COMPUTED_VALUE"""),0.94998511494771)</f>
        <v>0.94998511494770999</v>
      </c>
      <c r="F869" s="17">
        <f ca="1">IFERROR(__xludf.DUMMYFUNCTION("""COMPUTED_VALUE"""),0.957042381042154)</f>
        <v>0.957042381042154</v>
      </c>
      <c r="G869" s="17">
        <f ca="1">IFERROR(__xludf.DUMMYFUNCTION("""COMPUTED_VALUE"""),0.974840450138372)</f>
        <v>0.97484045013837195</v>
      </c>
      <c r="H869" s="17">
        <f ca="1">IFERROR(__xludf.DUMMYFUNCTION("""COMPUTED_VALUE"""),1.06442940336535)</f>
        <v>1.0644294033653501</v>
      </c>
      <c r="I869" s="17">
        <f ca="1">IFERROR(__xludf.DUMMYFUNCTION("""COMPUTED_VALUE"""),0.748533037258135)</f>
        <v>0.74853303725813503</v>
      </c>
      <c r="J869" s="17">
        <f ca="1">IFERROR(__xludf.DUMMYFUNCTION("""COMPUTED_VALUE"""),1.00554528554904)</f>
        <v>1.0055452855490401</v>
      </c>
      <c r="K869" s="17" t="str">
        <f ca="1">IFERROR(__xludf.DUMMYFUNCTION("""COMPUTED_VALUE"""),"nan")</f>
        <v>nan</v>
      </c>
      <c r="L869" s="17">
        <f ca="1">IFERROR(__xludf.DUMMYFUNCTION("""COMPUTED_VALUE"""),0.921068866193908)</f>
        <v>0.92106886619390804</v>
      </c>
      <c r="M869" s="17">
        <f ca="1">IFERROR(__xludf.DUMMYFUNCTION("""COMPUTED_VALUE"""),0.97240540242915)</f>
        <v>0.97240540242914997</v>
      </c>
      <c r="N869" s="17">
        <f ca="1">IFERROR(__xludf.DUMMYFUNCTION("""COMPUTED_VALUE"""),0.824479565863707)</f>
        <v>0.82447956586370696</v>
      </c>
      <c r="O869" s="17">
        <f ca="1">IFERROR(__xludf.DUMMYFUNCTION("""COMPUTED_VALUE"""),0.811311137070503)</f>
        <v>0.81131113707050295</v>
      </c>
      <c r="P869" s="17">
        <f ca="1">IFERROR(__xludf.DUMMYFUNCTION("""COMPUTED_VALUE"""),0.844610692724133)</f>
        <v>0.84461069272413303</v>
      </c>
      <c r="Q869" s="17">
        <f ca="1">IFERROR(__xludf.DUMMYFUNCTION("""COMPUTED_VALUE"""),1.54656874038185)</f>
        <v>1.54656874038185</v>
      </c>
      <c r="R869" s="17">
        <f ca="1">IFERROR(__xludf.DUMMYFUNCTION("""COMPUTED_VALUE"""),0.857098590359694)</f>
        <v>0.85709859035969405</v>
      </c>
      <c r="S869" s="17">
        <f ca="1">IFERROR(__xludf.DUMMYFUNCTION("""COMPUTED_VALUE"""),1.04543982529599)</f>
        <v>1.04543982529599</v>
      </c>
      <c r="T869" s="17">
        <f ca="1">IFERROR(__xludf.DUMMYFUNCTION("""COMPUTED_VALUE"""),0.578474878097271)</f>
        <v>0.57847487809727105</v>
      </c>
      <c r="U869" s="17">
        <f ca="1">IFERROR(__xludf.DUMMYFUNCTION("""COMPUTED_VALUE"""),0.799912621588184)</f>
        <v>0.79991262158818399</v>
      </c>
      <c r="V869" s="17">
        <f ca="1">IFERROR(__xludf.DUMMYFUNCTION("""COMPUTED_VALUE"""),0.745118748348486)</f>
        <v>0.74511874834848602</v>
      </c>
      <c r="W869" s="17">
        <f ca="1">IFERROR(__xludf.DUMMYFUNCTION("""COMPUTED_VALUE"""),0.687729386643235)</f>
        <v>0.68772938664323502</v>
      </c>
      <c r="X869" s="17">
        <f ca="1">IFERROR(__xludf.DUMMYFUNCTION("""COMPUTED_VALUE"""),0.724400009565279)</f>
        <v>0.72440000956527895</v>
      </c>
      <c r="Y869" s="17">
        <f ca="1">IFERROR(__xludf.DUMMYFUNCTION("""COMPUTED_VALUE"""),0.54757141527024)</f>
        <v>0.54757141527024</v>
      </c>
      <c r="Z869" s="17">
        <f ca="1">IFERROR(__xludf.DUMMYFUNCTION("""COMPUTED_VALUE"""),0.738259282728699)</f>
        <v>0.73825928272869901</v>
      </c>
      <c r="AA869" s="17">
        <f ca="1">IFERROR(__xludf.DUMMYFUNCTION("""COMPUTED_VALUE"""),0.829512650585172)</f>
        <v>0.82951265058517198</v>
      </c>
      <c r="AB869" s="17">
        <f ca="1">IFERROR(__xludf.DUMMYFUNCTION("""COMPUTED_VALUE"""),0.914696577254238)</f>
        <v>0.91469657725423803</v>
      </c>
      <c r="AC869" s="17">
        <f ca="1">IFERROR(__xludf.DUMMYFUNCTION("""COMPUTED_VALUE"""),0.634725954344384)</f>
        <v>0.63472595434438395</v>
      </c>
      <c r="AD869" s="17">
        <f ca="1">IFERROR(__xludf.DUMMYFUNCTION("""COMPUTED_VALUE"""),0.665079048417991)</f>
        <v>0.66507904841799104</v>
      </c>
      <c r="AE869" s="17">
        <f ca="1">IFERROR(__xludf.DUMMYFUNCTION("""COMPUTED_VALUE"""),0.779785627600872)</f>
        <v>0.779785627600872</v>
      </c>
      <c r="AF869" s="17">
        <f ca="1">IFERROR(__xludf.DUMMYFUNCTION("""COMPUTED_VALUE"""),0.911742363081075)</f>
        <v>0.91174236308107504</v>
      </c>
      <c r="AG869" s="17">
        <f ca="1">IFERROR(__xludf.DUMMYFUNCTION("""COMPUTED_VALUE"""),1.06705065831894)</f>
        <v>1.0670506583189401</v>
      </c>
      <c r="AH869" s="17">
        <f ca="1">IFERROR(__xludf.DUMMYFUNCTION("""COMPUTED_VALUE"""),0.797727410168376)</f>
        <v>0.79772741016837601</v>
      </c>
      <c r="AI869" s="17">
        <f ca="1">IFERROR(__xludf.DUMMYFUNCTION("""COMPUTED_VALUE"""),0.954923021489572)</f>
        <v>0.95492302148957198</v>
      </c>
      <c r="AJ869" s="17">
        <f ca="1">IFERROR(__xludf.DUMMYFUNCTION("""COMPUTED_VALUE"""),0.848444880906349)</f>
        <v>0.84844488090634895</v>
      </c>
    </row>
    <row r="870" spans="2:36" ht="15.75" customHeight="1" x14ac:dyDescent="0.45">
      <c r="B870" s="10" t="str">
        <f ca="1">IFERROR(__xludf.DUMMYFUNCTION("""COMPUTED_VALUE"""),"ToeSegmentation1")</f>
        <v>ToeSegmentation1</v>
      </c>
      <c r="C870" s="10" t="str">
        <f ca="1">IFERROR(__xludf.DUMMYFUNCTION("""COMPUTED_VALUE"""),"mcar")</f>
        <v>mcar</v>
      </c>
      <c r="D870" s="10">
        <f ca="1">IFERROR(__xludf.DUMMYFUNCTION("""COMPUTED_VALUE"""),0.6)</f>
        <v>0.6</v>
      </c>
      <c r="E870" s="17">
        <f ca="1">IFERROR(__xludf.DUMMYFUNCTION("""COMPUTED_VALUE"""),0.93145613208812)</f>
        <v>0.93145613208811995</v>
      </c>
      <c r="F870" s="17">
        <f ca="1">IFERROR(__xludf.DUMMYFUNCTION("""COMPUTED_VALUE"""),1.11456010878368)</f>
        <v>1.1145601087836801</v>
      </c>
      <c r="G870" s="17">
        <f ca="1">IFERROR(__xludf.DUMMYFUNCTION("""COMPUTED_VALUE"""),1.25610503735385)</f>
        <v>1.25610503735385</v>
      </c>
      <c r="H870" s="17">
        <f ca="1">IFERROR(__xludf.DUMMYFUNCTION("""COMPUTED_VALUE"""),1.09366240126548)</f>
        <v>1.0936624012654801</v>
      </c>
      <c r="I870" s="17">
        <f ca="1">IFERROR(__xludf.DUMMYFUNCTION("""COMPUTED_VALUE"""),0.773154932892219)</f>
        <v>0.77315493289221904</v>
      </c>
      <c r="J870" s="17">
        <f ca="1">IFERROR(__xludf.DUMMYFUNCTION("""COMPUTED_VALUE"""),1.05640593600822)</f>
        <v>1.0564059360082201</v>
      </c>
      <c r="K870" s="17" t="str">
        <f ca="1">IFERROR(__xludf.DUMMYFUNCTION("""COMPUTED_VALUE"""),"nan")</f>
        <v>nan</v>
      </c>
      <c r="L870" s="17">
        <f ca="1">IFERROR(__xludf.DUMMYFUNCTION("""COMPUTED_VALUE"""),1.02520956697671)</f>
        <v>1.0252095669767101</v>
      </c>
      <c r="M870" s="17">
        <f ca="1">IFERROR(__xludf.DUMMYFUNCTION("""COMPUTED_VALUE"""),1.18921219047735)</f>
        <v>1.1892121904773501</v>
      </c>
      <c r="N870" s="17">
        <f ca="1">IFERROR(__xludf.DUMMYFUNCTION("""COMPUTED_VALUE"""),0.898524138803944)</f>
        <v>0.89852413880394399</v>
      </c>
      <c r="O870" s="17">
        <f ca="1">IFERROR(__xludf.DUMMYFUNCTION("""COMPUTED_VALUE"""),0.858478697097145)</f>
        <v>0.85847869709714497</v>
      </c>
      <c r="P870" s="17">
        <f ca="1">IFERROR(__xludf.DUMMYFUNCTION("""COMPUTED_VALUE"""),0.858356281732621)</f>
        <v>0.85835628173262102</v>
      </c>
      <c r="Q870" s="17">
        <f ca="1">IFERROR(__xludf.DUMMYFUNCTION("""COMPUTED_VALUE"""),1.47844692416956)</f>
        <v>1.4784469241695599</v>
      </c>
      <c r="R870" s="17">
        <f ca="1">IFERROR(__xludf.DUMMYFUNCTION("""COMPUTED_VALUE"""),1.15339004888137)</f>
        <v>1.15339004888137</v>
      </c>
      <c r="S870" s="17">
        <f ca="1">IFERROR(__xludf.DUMMYFUNCTION("""COMPUTED_VALUE"""),1.09356162014333)</f>
        <v>1.09356162014333</v>
      </c>
      <c r="T870" s="17">
        <f ca="1">IFERROR(__xludf.DUMMYFUNCTION("""COMPUTED_VALUE"""),0.679284861217606)</f>
        <v>0.67928486121760601</v>
      </c>
      <c r="U870" s="17">
        <f ca="1">IFERROR(__xludf.DUMMYFUNCTION("""COMPUTED_VALUE"""),0.813028399466257)</f>
        <v>0.81302839946625705</v>
      </c>
      <c r="V870" s="17">
        <f ca="1">IFERROR(__xludf.DUMMYFUNCTION("""COMPUTED_VALUE"""),0.791426592938217)</f>
        <v>0.79142659293821704</v>
      </c>
      <c r="W870" s="17">
        <f ca="1">IFERROR(__xludf.DUMMYFUNCTION("""COMPUTED_VALUE"""),0.710338970362046)</f>
        <v>0.71033897036204596</v>
      </c>
      <c r="X870" s="17">
        <f ca="1">IFERROR(__xludf.DUMMYFUNCTION("""COMPUTED_VALUE"""),0.775571737696376)</f>
        <v>0.775571737696376</v>
      </c>
      <c r="Y870" s="17">
        <f ca="1">IFERROR(__xludf.DUMMYFUNCTION("""COMPUTED_VALUE"""),0.66328069687436)</f>
        <v>0.66328069687435998</v>
      </c>
      <c r="Z870" s="17">
        <f ca="1">IFERROR(__xludf.DUMMYFUNCTION("""COMPUTED_VALUE"""),0.752943065894529)</f>
        <v>0.75294306589452897</v>
      </c>
      <c r="AA870" s="17">
        <f ca="1">IFERROR(__xludf.DUMMYFUNCTION("""COMPUTED_VALUE"""),1.12341990594222)</f>
        <v>1.1234199059422201</v>
      </c>
      <c r="AB870" s="17">
        <f ca="1">IFERROR(__xludf.DUMMYFUNCTION("""COMPUTED_VALUE"""),1.49253907162327)</f>
        <v>1.49253907162327</v>
      </c>
      <c r="AC870" s="17">
        <f ca="1">IFERROR(__xludf.DUMMYFUNCTION("""COMPUTED_VALUE"""),0.792506623555623)</f>
        <v>0.79250662355562296</v>
      </c>
      <c r="AD870" s="17">
        <f ca="1">IFERROR(__xludf.DUMMYFUNCTION("""COMPUTED_VALUE"""),0.668464969403966)</f>
        <v>0.66846496940396605</v>
      </c>
      <c r="AE870" s="17">
        <f ca="1">IFERROR(__xludf.DUMMYFUNCTION("""COMPUTED_VALUE"""),0.974358986851509)</f>
        <v>0.97435898685150901</v>
      </c>
      <c r="AF870" s="17">
        <f ca="1">IFERROR(__xludf.DUMMYFUNCTION("""COMPUTED_VALUE"""),0.973059974860616)</f>
        <v>0.97305997486061602</v>
      </c>
      <c r="AG870" s="17">
        <f ca="1">IFERROR(__xludf.DUMMYFUNCTION("""COMPUTED_VALUE"""),0.98811835230462)</f>
        <v>0.98811835230461997</v>
      </c>
      <c r="AH870" s="17">
        <f ca="1">IFERROR(__xludf.DUMMYFUNCTION("""COMPUTED_VALUE"""),0.935906499289696)</f>
        <v>0.93590649928969605</v>
      </c>
      <c r="AI870" s="17">
        <f ca="1">IFERROR(__xludf.DUMMYFUNCTION("""COMPUTED_VALUE"""),0.907041796520917)</f>
        <v>0.90704179652091699</v>
      </c>
      <c r="AJ870" s="17">
        <f ca="1">IFERROR(__xludf.DUMMYFUNCTION("""COMPUTED_VALUE"""),0.856982761593868)</f>
        <v>0.85698276159386799</v>
      </c>
    </row>
    <row r="871" spans="2:36" ht="15.75" customHeight="1" x14ac:dyDescent="0.45">
      <c r="B871" s="10" t="str">
        <f ca="1">IFERROR(__xludf.DUMMYFUNCTION("""COMPUTED_VALUE"""),"ToeSegmentation1")</f>
        <v>ToeSegmentation1</v>
      </c>
      <c r="C871" s="10" t="str">
        <f ca="1">IFERROR(__xludf.DUMMYFUNCTION("""COMPUTED_VALUE"""),"mcar")</f>
        <v>mcar</v>
      </c>
      <c r="D871" s="10">
        <f ca="1">IFERROR(__xludf.DUMMYFUNCTION("""COMPUTED_VALUE"""),0.8)</f>
        <v>0.8</v>
      </c>
      <c r="E871" s="17">
        <f ca="1">IFERROR(__xludf.DUMMYFUNCTION("""COMPUTED_VALUE"""),0.98173132522177)</f>
        <v>0.98173132522176998</v>
      </c>
      <c r="F871" s="17">
        <f ca="1">IFERROR(__xludf.DUMMYFUNCTION("""COMPUTED_VALUE"""),1.18150877135942)</f>
        <v>1.1815087713594199</v>
      </c>
      <c r="G871" s="17">
        <f ca="1">IFERROR(__xludf.DUMMYFUNCTION("""COMPUTED_VALUE"""),1.36500592870562)</f>
        <v>1.36500592870562</v>
      </c>
      <c r="H871" s="17">
        <f ca="1">IFERROR(__xludf.DUMMYFUNCTION("""COMPUTED_VALUE"""),1.08161419534967)</f>
        <v>1.0816141953496701</v>
      </c>
      <c r="I871" s="17">
        <f ca="1">IFERROR(__xludf.DUMMYFUNCTION("""COMPUTED_VALUE"""),0.873264109222482)</f>
        <v>0.87326410922248199</v>
      </c>
      <c r="J871" s="17">
        <f ca="1">IFERROR(__xludf.DUMMYFUNCTION("""COMPUTED_VALUE"""),1.10658221889997)</f>
        <v>1.1065822188999701</v>
      </c>
      <c r="K871" s="17" t="str">
        <f ca="1">IFERROR(__xludf.DUMMYFUNCTION("""COMPUTED_VALUE"""),"nan")</f>
        <v>nan</v>
      </c>
      <c r="L871" s="17">
        <f ca="1">IFERROR(__xludf.DUMMYFUNCTION("""COMPUTED_VALUE"""),1.1323117195147)</f>
        <v>1.1323117195147001</v>
      </c>
      <c r="M871" s="17">
        <f ca="1">IFERROR(__xludf.DUMMYFUNCTION("""COMPUTED_VALUE"""),1.19979146359051)</f>
        <v>1.19979146359051</v>
      </c>
      <c r="N871" s="17">
        <f ca="1">IFERROR(__xludf.DUMMYFUNCTION("""COMPUTED_VALUE"""),1.01949549628814)</f>
        <v>1.01949549628814</v>
      </c>
      <c r="O871" s="17">
        <f ca="1">IFERROR(__xludf.DUMMYFUNCTION("""COMPUTED_VALUE"""),1.13865795883932)</f>
        <v>1.13865795883932</v>
      </c>
      <c r="P871" s="17">
        <f ca="1">IFERROR(__xludf.DUMMYFUNCTION("""COMPUTED_VALUE"""),0.912388525819481)</f>
        <v>0.91238852581948104</v>
      </c>
      <c r="Q871" s="17">
        <f ca="1">IFERROR(__xludf.DUMMYFUNCTION("""COMPUTED_VALUE"""),1.40203485274665)</f>
        <v>1.40203485274665</v>
      </c>
      <c r="R871" s="17">
        <f ca="1">IFERROR(__xludf.DUMMYFUNCTION("""COMPUTED_VALUE"""),1.17958150896347)</f>
        <v>1.17958150896347</v>
      </c>
      <c r="S871" s="17">
        <f ca="1">IFERROR(__xludf.DUMMYFUNCTION("""COMPUTED_VALUE"""),1.30162268370682)</f>
        <v>1.3016226837068201</v>
      </c>
      <c r="T871" s="17">
        <f ca="1">IFERROR(__xludf.DUMMYFUNCTION("""COMPUTED_VALUE"""),0.895823967453067)</f>
        <v>0.89582396745306703</v>
      </c>
      <c r="U871" s="17">
        <f ca="1">IFERROR(__xludf.DUMMYFUNCTION("""COMPUTED_VALUE"""),1.10099583828584)</f>
        <v>1.10099583828584</v>
      </c>
      <c r="V871" s="17">
        <f ca="1">IFERROR(__xludf.DUMMYFUNCTION("""COMPUTED_VALUE"""),0.851393787416247)</f>
        <v>0.85139378741624705</v>
      </c>
      <c r="W871" s="17">
        <f ca="1">IFERROR(__xludf.DUMMYFUNCTION("""COMPUTED_VALUE"""),0.917179193188422)</f>
        <v>0.917179193188422</v>
      </c>
      <c r="X871" s="17">
        <f ca="1">IFERROR(__xludf.DUMMYFUNCTION("""COMPUTED_VALUE"""),0.962626926052541)</f>
        <v>0.96262692605254097</v>
      </c>
      <c r="Y871" s="17">
        <f ca="1">IFERROR(__xludf.DUMMYFUNCTION("""COMPUTED_VALUE"""),0.898344654596909)</f>
        <v>0.89834465459690904</v>
      </c>
      <c r="Z871" s="17">
        <f ca="1">IFERROR(__xludf.DUMMYFUNCTION("""COMPUTED_VALUE"""),0.907686079054914)</f>
        <v>0.90768607905491405</v>
      </c>
      <c r="AA871" s="17">
        <f ca="1">IFERROR(__xludf.DUMMYFUNCTION("""COMPUTED_VALUE"""),1.1041766011845)</f>
        <v>1.1041766011845</v>
      </c>
      <c r="AB871" s="17">
        <f ca="1">IFERROR(__xludf.DUMMYFUNCTION("""COMPUTED_VALUE"""),1.14723644253198)</f>
        <v>1.1472364425319801</v>
      </c>
      <c r="AC871" s="17">
        <f ca="1">IFERROR(__xludf.DUMMYFUNCTION("""COMPUTED_VALUE"""),0.955790131283926)</f>
        <v>0.95579013128392598</v>
      </c>
      <c r="AD871" s="17">
        <f ca="1">IFERROR(__xludf.DUMMYFUNCTION("""COMPUTED_VALUE"""),1.02225481824468)</f>
        <v>1.02225481824468</v>
      </c>
      <c r="AE871" s="17">
        <f ca="1">IFERROR(__xludf.DUMMYFUNCTION("""COMPUTED_VALUE"""),1.38271549709492)</f>
        <v>1.38271549709492</v>
      </c>
      <c r="AF871" s="17">
        <f ca="1">IFERROR(__xludf.DUMMYFUNCTION("""COMPUTED_VALUE"""),1.13912968801365)</f>
        <v>1.1391296880136501</v>
      </c>
      <c r="AG871" s="17">
        <f ca="1">IFERROR(__xludf.DUMMYFUNCTION("""COMPUTED_VALUE"""),1.1359888651907)</f>
        <v>1.1359888651907</v>
      </c>
      <c r="AH871" s="17">
        <f ca="1">IFERROR(__xludf.DUMMYFUNCTION("""COMPUTED_VALUE"""),1.0268310630618)</f>
        <v>1.0268310630618001</v>
      </c>
      <c r="AI871" s="17">
        <f ca="1">IFERROR(__xludf.DUMMYFUNCTION("""COMPUTED_VALUE"""),1.03859979684559)</f>
        <v>1.03859979684559</v>
      </c>
      <c r="AJ871" s="17">
        <f ca="1">IFERROR(__xludf.DUMMYFUNCTION("""COMPUTED_VALUE"""),1.2332600908476)</f>
        <v>1.2332600908475999</v>
      </c>
    </row>
    <row r="872" spans="2:36" ht="15.75" customHeight="1" x14ac:dyDescent="0.45">
      <c r="B872" s="10" t="str">
        <f ca="1">IFERROR(__xludf.DUMMYFUNCTION("""COMPUTED_VALUE"""),"ToeSegmentation2")</f>
        <v>ToeSegmentation2</v>
      </c>
      <c r="C872" s="10" t="str">
        <f ca="1">IFERROR(__xludf.DUMMYFUNCTION("""COMPUTED_VALUE"""),"aligned_series")</f>
        <v>aligned_series</v>
      </c>
      <c r="D872" s="10">
        <f ca="1">IFERROR(__xludf.DUMMYFUNCTION("""COMPUTED_VALUE"""),0.1)</f>
        <v>0.1</v>
      </c>
      <c r="E872" s="17">
        <f ca="1">IFERROR(__xludf.DUMMYFUNCTION("""COMPUTED_VALUE"""),0.833400654850065)</f>
        <v>0.83340065485006498</v>
      </c>
      <c r="F872" s="17">
        <f ca="1">IFERROR(__xludf.DUMMYFUNCTION("""COMPUTED_VALUE"""),0.661804773591323)</f>
        <v>0.66180477359132295</v>
      </c>
      <c r="G872" s="17">
        <f ca="1">IFERROR(__xludf.DUMMYFUNCTION("""COMPUTED_VALUE"""),0.665746832547669)</f>
        <v>0.66574683254766898</v>
      </c>
      <c r="H872" s="17">
        <f ca="1">IFERROR(__xludf.DUMMYFUNCTION("""COMPUTED_VALUE"""),0.641961996814234)</f>
        <v>0.64196199681423405</v>
      </c>
      <c r="I872" s="17">
        <f ca="1">IFERROR(__xludf.DUMMYFUNCTION("""COMPUTED_VALUE"""),0.621118719031132)</f>
        <v>0.62111871903113203</v>
      </c>
      <c r="J872" s="17">
        <f ca="1">IFERROR(__xludf.DUMMYFUNCTION("""COMPUTED_VALUE"""),0.65516328808119)</f>
        <v>0.65516328808118995</v>
      </c>
      <c r="K872" s="17" t="str">
        <f ca="1">IFERROR(__xludf.DUMMYFUNCTION("""COMPUTED_VALUE"""),"nan")</f>
        <v>nan</v>
      </c>
      <c r="L872" s="17">
        <f ca="1">IFERROR(__xludf.DUMMYFUNCTION("""COMPUTED_VALUE"""),0.732204380935572)</f>
        <v>0.73220438093557205</v>
      </c>
      <c r="M872" s="17">
        <f ca="1">IFERROR(__xludf.DUMMYFUNCTION("""COMPUTED_VALUE"""),0.65089105167536)</f>
        <v>0.65089105167535999</v>
      </c>
      <c r="N872" s="17">
        <f ca="1">IFERROR(__xludf.DUMMYFUNCTION("""COMPUTED_VALUE"""),0.895777266748219)</f>
        <v>0.895777266748219</v>
      </c>
      <c r="O872" s="17">
        <f ca="1">IFERROR(__xludf.DUMMYFUNCTION("""COMPUTED_VALUE"""),0.737944483476687)</f>
        <v>0.73794448347668695</v>
      </c>
      <c r="P872" s="17">
        <f ca="1">IFERROR(__xludf.DUMMYFUNCTION("""COMPUTED_VALUE"""),0.756542433385232)</f>
        <v>0.75654243338523197</v>
      </c>
      <c r="Q872" s="17">
        <f ca="1">IFERROR(__xludf.DUMMYFUNCTION("""COMPUTED_VALUE"""),1.18340401096933)</f>
        <v>1.18340401096933</v>
      </c>
      <c r="R872" s="17">
        <f ca="1">IFERROR(__xludf.DUMMYFUNCTION("""COMPUTED_VALUE"""),0.86747665839766)</f>
        <v>0.86747665839765997</v>
      </c>
      <c r="S872" s="17">
        <f ca="1">IFERROR(__xludf.DUMMYFUNCTION("""COMPUTED_VALUE"""),0.653424125074741)</f>
        <v>0.65342412507474101</v>
      </c>
      <c r="T872" s="17">
        <f ca="1">IFERROR(__xludf.DUMMYFUNCTION("""COMPUTED_VALUE"""),0.598755514378121)</f>
        <v>0.59875551437812102</v>
      </c>
      <c r="U872" s="17">
        <f ca="1">IFERROR(__xludf.DUMMYFUNCTION("""COMPUTED_VALUE"""),0.565105410873666)</f>
        <v>0.56510541087366595</v>
      </c>
      <c r="V872" s="17">
        <f ca="1">IFERROR(__xludf.DUMMYFUNCTION("""COMPUTED_VALUE"""),0.56384511983513)</f>
        <v>0.56384511983512997</v>
      </c>
      <c r="W872" s="17">
        <f ca="1">IFERROR(__xludf.DUMMYFUNCTION("""COMPUTED_VALUE"""),0.76995029353797)</f>
        <v>0.76995029353796995</v>
      </c>
      <c r="X872" s="17">
        <f ca="1">IFERROR(__xludf.DUMMYFUNCTION("""COMPUTED_VALUE"""),0.690877013086153)</f>
        <v>0.69087701308615301</v>
      </c>
      <c r="Y872" s="17">
        <f ca="1">IFERROR(__xludf.DUMMYFUNCTION("""COMPUTED_VALUE"""),0.588186746887243)</f>
        <v>0.58818674688724304</v>
      </c>
      <c r="Z872" s="17">
        <f ca="1">IFERROR(__xludf.DUMMYFUNCTION("""COMPUTED_VALUE"""),0.807243211402482)</f>
        <v>0.80724321140248201</v>
      </c>
      <c r="AA872" s="17">
        <f ca="1">IFERROR(__xludf.DUMMYFUNCTION("""COMPUTED_VALUE"""),0.794972912753095)</f>
        <v>0.79497291275309501</v>
      </c>
      <c r="AB872" s="17">
        <f ca="1">IFERROR(__xludf.DUMMYFUNCTION("""COMPUTED_VALUE"""),0.876717699197651)</f>
        <v>0.87671769919765097</v>
      </c>
      <c r="AC872" s="17">
        <f ca="1">IFERROR(__xludf.DUMMYFUNCTION("""COMPUTED_VALUE"""),0.701552615617992)</f>
        <v>0.70155261561799198</v>
      </c>
      <c r="AD872" s="17">
        <f ca="1">IFERROR(__xludf.DUMMYFUNCTION("""COMPUTED_VALUE"""),0.825361623986145)</f>
        <v>0.82536162398614499</v>
      </c>
      <c r="AE872" s="17">
        <f ca="1">IFERROR(__xludf.DUMMYFUNCTION("""COMPUTED_VALUE"""),1.03039095239205)</f>
        <v>1.03039095239205</v>
      </c>
      <c r="AF872" s="17">
        <f ca="1">IFERROR(__xludf.DUMMYFUNCTION("""COMPUTED_VALUE"""),0.353006629754415)</f>
        <v>0.35300662975441499</v>
      </c>
      <c r="AG872" s="17">
        <f ca="1">IFERROR(__xludf.DUMMYFUNCTION("""COMPUTED_VALUE"""),1.04815600701495)</f>
        <v>1.04815600701495</v>
      </c>
      <c r="AH872" s="17">
        <f ca="1">IFERROR(__xludf.DUMMYFUNCTION("""COMPUTED_VALUE"""),0.878796175221192)</f>
        <v>0.87879617522119202</v>
      </c>
      <c r="AI872" s="17">
        <f ca="1">IFERROR(__xludf.DUMMYFUNCTION("""COMPUTED_VALUE"""),0.882396793723871)</f>
        <v>0.88239679372387103</v>
      </c>
      <c r="AJ872" s="17">
        <f ca="1">IFERROR(__xludf.DUMMYFUNCTION("""COMPUTED_VALUE"""),0.835093704020706)</f>
        <v>0.83509370402070604</v>
      </c>
    </row>
    <row r="873" spans="2:36" ht="15.75" customHeight="1" x14ac:dyDescent="0.45">
      <c r="B873" s="10" t="str">
        <f ca="1">IFERROR(__xludf.DUMMYFUNCTION("""COMPUTED_VALUE"""),"ToeSegmentation2")</f>
        <v>ToeSegmentation2</v>
      </c>
      <c r="C873" s="10" t="str">
        <f ca="1">IFERROR(__xludf.DUMMYFUNCTION("""COMPUTED_VALUE"""),"aligned_series")</f>
        <v>aligned_series</v>
      </c>
      <c r="D873" s="10">
        <f ca="1">IFERROR(__xludf.DUMMYFUNCTION("""COMPUTED_VALUE"""),0.2)</f>
        <v>0.2</v>
      </c>
      <c r="E873" s="17">
        <f ca="1">IFERROR(__xludf.DUMMYFUNCTION("""COMPUTED_VALUE"""),0.850659799274648)</f>
        <v>0.85065979927464797</v>
      </c>
      <c r="F873" s="17">
        <f ca="1">IFERROR(__xludf.DUMMYFUNCTION("""COMPUTED_VALUE"""),0.838090437954573)</f>
        <v>0.83809043795457305</v>
      </c>
      <c r="G873" s="17">
        <f ca="1">IFERROR(__xludf.DUMMYFUNCTION("""COMPUTED_VALUE"""),0.84566527942675)</f>
        <v>0.84566527942674996</v>
      </c>
      <c r="H873" s="17">
        <f ca="1">IFERROR(__xludf.DUMMYFUNCTION("""COMPUTED_VALUE"""),0.762392942256555)</f>
        <v>0.76239294225655496</v>
      </c>
      <c r="I873" s="17">
        <f ca="1">IFERROR(__xludf.DUMMYFUNCTION("""COMPUTED_VALUE"""),0.669982062576188)</f>
        <v>0.66998206257618798</v>
      </c>
      <c r="J873" s="17">
        <f ca="1">IFERROR(__xludf.DUMMYFUNCTION("""COMPUTED_VALUE"""),0.878752671653144)</f>
        <v>0.87875267165314397</v>
      </c>
      <c r="K873" s="17" t="str">
        <f ca="1">IFERROR(__xludf.DUMMYFUNCTION("""COMPUTED_VALUE"""),"nan")</f>
        <v>nan</v>
      </c>
      <c r="L873" s="17">
        <f ca="1">IFERROR(__xludf.DUMMYFUNCTION("""COMPUTED_VALUE"""),0.964158374563216)</f>
        <v>0.96415837456321596</v>
      </c>
      <c r="M873" s="17">
        <f ca="1">IFERROR(__xludf.DUMMYFUNCTION("""COMPUTED_VALUE"""),0.819117148206496)</f>
        <v>0.81911714820649595</v>
      </c>
      <c r="N873" s="17">
        <f ca="1">IFERROR(__xludf.DUMMYFUNCTION("""COMPUTED_VALUE"""),0.867540350202661)</f>
        <v>0.86754035020266096</v>
      </c>
      <c r="O873" s="17">
        <f ca="1">IFERROR(__xludf.DUMMYFUNCTION("""COMPUTED_VALUE"""),1.08070281094797)</f>
        <v>1.0807028109479699</v>
      </c>
      <c r="P873" s="17">
        <f ca="1">IFERROR(__xludf.DUMMYFUNCTION("""COMPUTED_VALUE"""),0.925428898153864)</f>
        <v>0.92542889815386398</v>
      </c>
      <c r="Q873" s="17">
        <f ca="1">IFERROR(__xludf.DUMMYFUNCTION("""COMPUTED_VALUE"""),1.21664619599719)</f>
        <v>1.2166461959971899</v>
      </c>
      <c r="R873" s="17">
        <f ca="1">IFERROR(__xludf.DUMMYFUNCTION("""COMPUTED_VALUE"""),0.94174195459682)</f>
        <v>0.94174195459681997</v>
      </c>
      <c r="S873" s="17">
        <f ca="1">IFERROR(__xludf.DUMMYFUNCTION("""COMPUTED_VALUE"""),0.80711005472063)</f>
        <v>0.80711005472063002</v>
      </c>
      <c r="T873" s="17">
        <f ca="1">IFERROR(__xludf.DUMMYFUNCTION("""COMPUTED_VALUE"""),0.780769158763039)</f>
        <v>0.78076915876303898</v>
      </c>
      <c r="U873" s="17">
        <f ca="1">IFERROR(__xludf.DUMMYFUNCTION("""COMPUTED_VALUE"""),0.840127455157482)</f>
        <v>0.84012745515748199</v>
      </c>
      <c r="V873" s="17">
        <f ca="1">IFERROR(__xludf.DUMMYFUNCTION("""COMPUTED_VALUE"""),0.892082820754744)</f>
        <v>0.89208282075474399</v>
      </c>
      <c r="W873" s="17">
        <f ca="1">IFERROR(__xludf.DUMMYFUNCTION("""COMPUTED_VALUE"""),0.823608147474635)</f>
        <v>0.82360814747463496</v>
      </c>
      <c r="X873" s="17">
        <f ca="1">IFERROR(__xludf.DUMMYFUNCTION("""COMPUTED_VALUE"""),0.696747495816635)</f>
        <v>0.69674749581663498</v>
      </c>
      <c r="Y873" s="17">
        <f ca="1">IFERROR(__xludf.DUMMYFUNCTION("""COMPUTED_VALUE"""),0.81582043117601)</f>
        <v>0.81582043117601</v>
      </c>
      <c r="Z873" s="17">
        <f ca="1">IFERROR(__xludf.DUMMYFUNCTION("""COMPUTED_VALUE"""),0.85036723235116)</f>
        <v>0.85036723235115996</v>
      </c>
      <c r="AA873" s="17">
        <f ca="1">IFERROR(__xludf.DUMMYFUNCTION("""COMPUTED_VALUE"""),0.736479818324414)</f>
        <v>0.736479818324414</v>
      </c>
      <c r="AB873" s="17">
        <f ca="1">IFERROR(__xludf.DUMMYFUNCTION("""COMPUTED_VALUE"""),0.884556696680599)</f>
        <v>0.884556696680599</v>
      </c>
      <c r="AC873" s="17">
        <f ca="1">IFERROR(__xludf.DUMMYFUNCTION("""COMPUTED_VALUE"""),0.739983127043725)</f>
        <v>0.73998312704372504</v>
      </c>
      <c r="AD873" s="17">
        <f ca="1">IFERROR(__xludf.DUMMYFUNCTION("""COMPUTED_VALUE"""),0.86792419899734)</f>
        <v>0.86792419899733997</v>
      </c>
      <c r="AE873" s="17">
        <f ca="1">IFERROR(__xludf.DUMMYFUNCTION("""COMPUTED_VALUE"""),0.944833499029756)</f>
        <v>0.944833499029756</v>
      </c>
      <c r="AF873" s="17">
        <f ca="1">IFERROR(__xludf.DUMMYFUNCTION("""COMPUTED_VALUE"""),0.594970941262412)</f>
        <v>0.59497094126241201</v>
      </c>
      <c r="AG873" s="17">
        <f ca="1">IFERROR(__xludf.DUMMYFUNCTION("""COMPUTED_VALUE"""),1.37445067290692)</f>
        <v>1.3744506729069199</v>
      </c>
      <c r="AH873" s="17">
        <f ca="1">IFERROR(__xludf.DUMMYFUNCTION("""COMPUTED_VALUE"""),1.07996191785452)</f>
        <v>1.0799619178545199</v>
      </c>
      <c r="AI873" s="17">
        <f ca="1">IFERROR(__xludf.DUMMYFUNCTION("""COMPUTED_VALUE"""),1.07715057527904)</f>
        <v>1.07715057527904</v>
      </c>
      <c r="AJ873" s="17">
        <f ca="1">IFERROR(__xludf.DUMMYFUNCTION("""COMPUTED_VALUE"""),1.01938068282987)</f>
        <v>1.0193806828298699</v>
      </c>
    </row>
    <row r="874" spans="2:36" ht="15.75" customHeight="1" x14ac:dyDescent="0.45">
      <c r="B874" s="10" t="str">
        <f ca="1">IFERROR(__xludf.DUMMYFUNCTION("""COMPUTED_VALUE"""),"ToeSegmentation2")</f>
        <v>ToeSegmentation2</v>
      </c>
      <c r="C874" s="10" t="str">
        <f ca="1">IFERROR(__xludf.DUMMYFUNCTION("""COMPUTED_VALUE"""),"aligned_series")</f>
        <v>aligned_series</v>
      </c>
      <c r="D874" s="10">
        <f ca="1">IFERROR(__xludf.DUMMYFUNCTION("""COMPUTED_VALUE"""),0.4)</f>
        <v>0.4</v>
      </c>
      <c r="E874" s="17">
        <f ca="1">IFERROR(__xludf.DUMMYFUNCTION("""COMPUTED_VALUE"""),0.79566692109448)</f>
        <v>0.79566692109448001</v>
      </c>
      <c r="F874" s="17">
        <f ca="1">IFERROR(__xludf.DUMMYFUNCTION("""COMPUTED_VALUE"""),0.819035087575451)</f>
        <v>0.81903508757545096</v>
      </c>
      <c r="G874" s="17">
        <f ca="1">IFERROR(__xludf.DUMMYFUNCTION("""COMPUTED_VALUE"""),0.834302600702485)</f>
        <v>0.83430260070248496</v>
      </c>
      <c r="H874" s="17">
        <f ca="1">IFERROR(__xludf.DUMMYFUNCTION("""COMPUTED_VALUE"""),1.01560569511669)</f>
        <v>1.0156056951166901</v>
      </c>
      <c r="I874" s="17">
        <f ca="1">IFERROR(__xludf.DUMMYFUNCTION("""COMPUTED_VALUE"""),0.722307063900847)</f>
        <v>0.72230706390084698</v>
      </c>
      <c r="J874" s="17">
        <f ca="1">IFERROR(__xludf.DUMMYFUNCTION("""COMPUTED_VALUE"""),0.847623662151053)</f>
        <v>0.847623662151053</v>
      </c>
      <c r="K874" s="17" t="str">
        <f ca="1">IFERROR(__xludf.DUMMYFUNCTION("""COMPUTED_VALUE"""),"nan")</f>
        <v>nan</v>
      </c>
      <c r="L874" s="17">
        <f ca="1">IFERROR(__xludf.DUMMYFUNCTION("""COMPUTED_VALUE"""),0.983200897467149)</f>
        <v>0.983200897467149</v>
      </c>
      <c r="M874" s="17">
        <f ca="1">IFERROR(__xludf.DUMMYFUNCTION("""COMPUTED_VALUE"""),0.826945768401017)</f>
        <v>0.82694576840101697</v>
      </c>
      <c r="N874" s="17">
        <f ca="1">IFERROR(__xludf.DUMMYFUNCTION("""COMPUTED_VALUE"""),0.821265719529413)</f>
        <v>0.82126571952941296</v>
      </c>
      <c r="O874" s="17">
        <f ca="1">IFERROR(__xludf.DUMMYFUNCTION("""COMPUTED_VALUE"""),1.03108367749076)</f>
        <v>1.0310836774907599</v>
      </c>
      <c r="P874" s="17">
        <f ca="1">IFERROR(__xludf.DUMMYFUNCTION("""COMPUTED_VALUE"""),0.837256267098776)</f>
        <v>0.83725626709877599</v>
      </c>
      <c r="Q874" s="17">
        <f ca="1">IFERROR(__xludf.DUMMYFUNCTION("""COMPUTED_VALUE"""),1.33995262860476)</f>
        <v>1.3399526286047601</v>
      </c>
      <c r="R874" s="17">
        <f ca="1">IFERROR(__xludf.DUMMYFUNCTION("""COMPUTED_VALUE"""),0.982458737523048)</f>
        <v>0.98245873752304802</v>
      </c>
      <c r="S874" s="17">
        <f ca="1">IFERROR(__xludf.DUMMYFUNCTION("""COMPUTED_VALUE"""),0.859556750652018)</f>
        <v>0.85955675065201798</v>
      </c>
      <c r="T874" s="17">
        <f ca="1">IFERROR(__xludf.DUMMYFUNCTION("""COMPUTED_VALUE"""),0.872844565838192)</f>
        <v>0.87284456583819203</v>
      </c>
      <c r="U874" s="17">
        <f ca="1">IFERROR(__xludf.DUMMYFUNCTION("""COMPUTED_VALUE"""),1.0318111179177)</f>
        <v>1.0318111179177001</v>
      </c>
      <c r="V874" s="17">
        <f ca="1">IFERROR(__xludf.DUMMYFUNCTION("""COMPUTED_VALUE"""),0.87025289733339)</f>
        <v>0.87025289733338995</v>
      </c>
      <c r="W874" s="17">
        <f ca="1">IFERROR(__xludf.DUMMYFUNCTION("""COMPUTED_VALUE"""),0.724928520795972)</f>
        <v>0.72492852079597203</v>
      </c>
      <c r="X874" s="17">
        <f ca="1">IFERROR(__xludf.DUMMYFUNCTION("""COMPUTED_VALUE"""),1.36596172259988)</f>
        <v>1.3659617225998799</v>
      </c>
      <c r="Y874" s="17">
        <f ca="1">IFERROR(__xludf.DUMMYFUNCTION("""COMPUTED_VALUE"""),0.776717311481593)</f>
        <v>0.77671731148159295</v>
      </c>
      <c r="Z874" s="17">
        <f ca="1">IFERROR(__xludf.DUMMYFUNCTION("""COMPUTED_VALUE"""),0.767213708196807)</f>
        <v>0.76721370819680701</v>
      </c>
      <c r="AA874" s="17">
        <f ca="1">IFERROR(__xludf.DUMMYFUNCTION("""COMPUTED_VALUE"""),0.793462576094155)</f>
        <v>0.79346257609415505</v>
      </c>
      <c r="AB874" s="17">
        <f ca="1">IFERROR(__xludf.DUMMYFUNCTION("""COMPUTED_VALUE"""),1.31453230270681)</f>
        <v>1.3145323027068101</v>
      </c>
      <c r="AC874" s="17">
        <f ca="1">IFERROR(__xludf.DUMMYFUNCTION("""COMPUTED_VALUE"""),0.786250542541432)</f>
        <v>0.78625054254143201</v>
      </c>
      <c r="AD874" s="17">
        <f ca="1">IFERROR(__xludf.DUMMYFUNCTION("""COMPUTED_VALUE"""),0.748348826026561)</f>
        <v>0.74834882602656105</v>
      </c>
      <c r="AE874" s="17">
        <f ca="1">IFERROR(__xludf.DUMMYFUNCTION("""COMPUTED_VALUE"""),0.893599597412937)</f>
        <v>0.89359959741293704</v>
      </c>
      <c r="AF874" s="17">
        <f ca="1">IFERROR(__xludf.DUMMYFUNCTION("""COMPUTED_VALUE"""),0.668933823533862)</f>
        <v>0.66893382353386199</v>
      </c>
      <c r="AG874" s="17">
        <f ca="1">IFERROR(__xludf.DUMMYFUNCTION("""COMPUTED_VALUE"""),1.25989533911187)</f>
        <v>1.2598953391118699</v>
      </c>
      <c r="AH874" s="17">
        <f ca="1">IFERROR(__xludf.DUMMYFUNCTION("""COMPUTED_VALUE"""),0.996299987236363)</f>
        <v>0.99629998723636304</v>
      </c>
      <c r="AI874" s="17">
        <f ca="1">IFERROR(__xludf.DUMMYFUNCTION("""COMPUTED_VALUE"""),0.996794171568466)</f>
        <v>0.99679417156846595</v>
      </c>
      <c r="AJ874" s="17">
        <f ca="1">IFERROR(__xludf.DUMMYFUNCTION("""COMPUTED_VALUE"""),0.967583104302209)</f>
        <v>0.96758310430220895</v>
      </c>
    </row>
    <row r="875" spans="2:36" ht="15.75" customHeight="1" x14ac:dyDescent="0.45">
      <c r="B875" s="10" t="str">
        <f ca="1">IFERROR(__xludf.DUMMYFUNCTION("""COMPUTED_VALUE"""),"ToeSegmentation2")</f>
        <v>ToeSegmentation2</v>
      </c>
      <c r="C875" s="10" t="str">
        <f ca="1">IFERROR(__xludf.DUMMYFUNCTION("""COMPUTED_VALUE"""),"aligned_series")</f>
        <v>aligned_series</v>
      </c>
      <c r="D875" s="10">
        <f ca="1">IFERROR(__xludf.DUMMYFUNCTION("""COMPUTED_VALUE"""),0.6)</f>
        <v>0.6</v>
      </c>
      <c r="E875" s="17">
        <f ca="1">IFERROR(__xludf.DUMMYFUNCTION("""COMPUTED_VALUE"""),0.883798731760963)</f>
        <v>0.88379873176096302</v>
      </c>
      <c r="F875" s="17">
        <f ca="1">IFERROR(__xludf.DUMMYFUNCTION("""COMPUTED_VALUE"""),0.869499268403061)</f>
        <v>0.86949926840306102</v>
      </c>
      <c r="G875" s="17">
        <f ca="1">IFERROR(__xludf.DUMMYFUNCTION("""COMPUTED_VALUE"""),0.886698213993238)</f>
        <v>0.886698213993238</v>
      </c>
      <c r="H875" s="17">
        <f ca="1">IFERROR(__xludf.DUMMYFUNCTION("""COMPUTED_VALUE"""),1.03338738802352)</f>
        <v>1.03338738802352</v>
      </c>
      <c r="I875" s="17">
        <f ca="1">IFERROR(__xludf.DUMMYFUNCTION("""COMPUTED_VALUE"""),0.799243651326546)</f>
        <v>0.79924365132654596</v>
      </c>
      <c r="J875" s="17">
        <f ca="1">IFERROR(__xludf.DUMMYFUNCTION("""COMPUTED_VALUE"""),0.937394302753165)</f>
        <v>0.93739430275316504</v>
      </c>
      <c r="K875" s="17" t="str">
        <f ca="1">IFERROR(__xludf.DUMMYFUNCTION("""COMPUTED_VALUE"""),"nan")</f>
        <v>nan</v>
      </c>
      <c r="L875" s="17">
        <f ca="1">IFERROR(__xludf.DUMMYFUNCTION("""COMPUTED_VALUE"""),0.955570331277332)</f>
        <v>0.95557033127733204</v>
      </c>
      <c r="M875" s="17">
        <f ca="1">IFERROR(__xludf.DUMMYFUNCTION("""COMPUTED_VALUE"""),0.881898054093215)</f>
        <v>0.88189805409321498</v>
      </c>
      <c r="N875" s="17">
        <f ca="1">IFERROR(__xludf.DUMMYFUNCTION("""COMPUTED_VALUE"""),0.879997683629521)</f>
        <v>0.87999768362952102</v>
      </c>
      <c r="O875" s="17">
        <f ca="1">IFERROR(__xludf.DUMMYFUNCTION("""COMPUTED_VALUE"""),0.94687885210616)</f>
        <v>0.94687885210615996</v>
      </c>
      <c r="P875" s="17">
        <f ca="1">IFERROR(__xludf.DUMMYFUNCTION("""COMPUTED_VALUE"""),0.951028089838209)</f>
        <v>0.95102808983820897</v>
      </c>
      <c r="Q875" s="17">
        <f ca="1">IFERROR(__xludf.DUMMYFUNCTION("""COMPUTED_VALUE"""),1.25608090670419)</f>
        <v>1.25608090670419</v>
      </c>
      <c r="R875" s="17">
        <f ca="1">IFERROR(__xludf.DUMMYFUNCTION("""COMPUTED_VALUE"""),1.01803885423828)</f>
        <v>1.0180388542382801</v>
      </c>
      <c r="S875" s="17">
        <f ca="1">IFERROR(__xludf.DUMMYFUNCTION("""COMPUTED_VALUE"""),0.98511483897379)</f>
        <v>0.98511483897379004</v>
      </c>
      <c r="T875" s="17">
        <f ca="1">IFERROR(__xludf.DUMMYFUNCTION("""COMPUTED_VALUE"""),1.02798693772627)</f>
        <v>1.02798693772627</v>
      </c>
      <c r="U875" s="17">
        <f ca="1">IFERROR(__xludf.DUMMYFUNCTION("""COMPUTED_VALUE"""),0.950232633691799)</f>
        <v>0.950232633691799</v>
      </c>
      <c r="V875" s="17">
        <f ca="1">IFERROR(__xludf.DUMMYFUNCTION("""COMPUTED_VALUE"""),0.889483915800392)</f>
        <v>0.88948391580039199</v>
      </c>
      <c r="W875" s="17">
        <f ca="1">IFERROR(__xludf.DUMMYFUNCTION("""COMPUTED_VALUE"""),0.813485541182399)</f>
        <v>0.81348554118239902</v>
      </c>
      <c r="X875" s="17">
        <f ca="1">IFERROR(__xludf.DUMMYFUNCTION("""COMPUTED_VALUE"""),0.86877859276214)</f>
        <v>0.86877859276213998</v>
      </c>
      <c r="Y875" s="17">
        <f ca="1">IFERROR(__xludf.DUMMYFUNCTION("""COMPUTED_VALUE"""),0.877556754657643)</f>
        <v>0.87755675465764305</v>
      </c>
      <c r="Z875" s="17">
        <f ca="1">IFERROR(__xludf.DUMMYFUNCTION("""COMPUTED_VALUE"""),0.950726181860066)</f>
        <v>0.95072618186006597</v>
      </c>
      <c r="AA875" s="17">
        <f ca="1">IFERROR(__xludf.DUMMYFUNCTION("""COMPUTED_VALUE"""),0.86117346066189)</f>
        <v>0.86117346066189004</v>
      </c>
      <c r="AB875" s="17">
        <f ca="1">IFERROR(__xludf.DUMMYFUNCTION("""COMPUTED_VALUE"""),2.32867646213687)</f>
        <v>2.3286764621368699</v>
      </c>
      <c r="AC875" s="17">
        <f ca="1">IFERROR(__xludf.DUMMYFUNCTION("""COMPUTED_VALUE"""),0.931581635170471)</f>
        <v>0.93158163517047099</v>
      </c>
      <c r="AD875" s="17">
        <f ca="1">IFERROR(__xludf.DUMMYFUNCTION("""COMPUTED_VALUE"""),0.886450481597953)</f>
        <v>0.88645048159795303</v>
      </c>
      <c r="AE875" s="17">
        <f ca="1">IFERROR(__xludf.DUMMYFUNCTION("""COMPUTED_VALUE"""),1.05026433065506)</f>
        <v>1.0502643306550601</v>
      </c>
      <c r="AF875" s="17">
        <f ca="1">IFERROR(__xludf.DUMMYFUNCTION("""COMPUTED_VALUE"""),0.731596408337858)</f>
        <v>0.731596408337858</v>
      </c>
      <c r="AG875" s="17">
        <f ca="1">IFERROR(__xludf.DUMMYFUNCTION("""COMPUTED_VALUE"""),1.2254154823073)</f>
        <v>1.2254154823073</v>
      </c>
      <c r="AH875" s="17">
        <f ca="1">IFERROR(__xludf.DUMMYFUNCTION("""COMPUTED_VALUE"""),1.05266899833333)</f>
        <v>1.0526689983333299</v>
      </c>
      <c r="AI875" s="17">
        <f ca="1">IFERROR(__xludf.DUMMYFUNCTION("""COMPUTED_VALUE"""),1.05096751099122)</f>
        <v>1.05096751099122</v>
      </c>
      <c r="AJ875" s="17">
        <f ca="1">IFERROR(__xludf.DUMMYFUNCTION("""COMPUTED_VALUE"""),1.027566824973)</f>
        <v>1.0275668249729999</v>
      </c>
    </row>
    <row r="876" spans="2:36" ht="15.75" customHeight="1" x14ac:dyDescent="0.45">
      <c r="B876" s="10" t="str">
        <f ca="1">IFERROR(__xludf.DUMMYFUNCTION("""COMPUTED_VALUE"""),"ToeSegmentation2")</f>
        <v>ToeSegmentation2</v>
      </c>
      <c r="C876" s="10" t="str">
        <f ca="1">IFERROR(__xludf.DUMMYFUNCTION("""COMPUTED_VALUE"""),"aligned_series")</f>
        <v>aligned_series</v>
      </c>
      <c r="D876" s="10">
        <f ca="1">IFERROR(__xludf.DUMMYFUNCTION("""COMPUTED_VALUE"""),0.8)</f>
        <v>0.8</v>
      </c>
      <c r="E876" s="17">
        <f ca="1">IFERROR(__xludf.DUMMYFUNCTION("""COMPUTED_VALUE"""),0.889720032039013)</f>
        <v>0.88972003203901295</v>
      </c>
      <c r="F876" s="17">
        <f ca="1">IFERROR(__xludf.DUMMYFUNCTION("""COMPUTED_VALUE"""),0.984136237792314)</f>
        <v>0.98413623779231396</v>
      </c>
      <c r="G876" s="17">
        <f ca="1">IFERROR(__xludf.DUMMYFUNCTION("""COMPUTED_VALUE"""),1.11181854363256)</f>
        <v>1.1118185436325601</v>
      </c>
      <c r="H876" s="17">
        <f ca="1">IFERROR(__xludf.DUMMYFUNCTION("""COMPUTED_VALUE"""),1.11510145088072)</f>
        <v>1.11510145088072</v>
      </c>
      <c r="I876" s="17">
        <f ca="1">IFERROR(__xludf.DUMMYFUNCTION("""COMPUTED_VALUE"""),0.831545398032104)</f>
        <v>0.83154539803210403</v>
      </c>
      <c r="J876" s="17">
        <f ca="1">IFERROR(__xludf.DUMMYFUNCTION("""COMPUTED_VALUE"""),0.976856937408357)</f>
        <v>0.976856937408357</v>
      </c>
      <c r="K876" s="17" t="str">
        <f ca="1">IFERROR(__xludf.DUMMYFUNCTION("""COMPUTED_VALUE"""),"nan")</f>
        <v>nan</v>
      </c>
      <c r="L876" s="17">
        <f ca="1">IFERROR(__xludf.DUMMYFUNCTION("""COMPUTED_VALUE"""),0.99872812837249)</f>
        <v>0.99872812837249003</v>
      </c>
      <c r="M876" s="17">
        <f ca="1">IFERROR(__xludf.DUMMYFUNCTION("""COMPUTED_VALUE"""),1.10857972591835)</f>
        <v>1.1085797259183501</v>
      </c>
      <c r="N876" s="17">
        <f ca="1">IFERROR(__xludf.DUMMYFUNCTION("""COMPUTED_VALUE"""),1.04960170686551)</f>
        <v>1.0496017068655099</v>
      </c>
      <c r="O876" s="17">
        <f ca="1">IFERROR(__xludf.DUMMYFUNCTION("""COMPUTED_VALUE"""),0.899683093155085)</f>
        <v>0.89968309315508499</v>
      </c>
      <c r="P876" s="17">
        <f ca="1">IFERROR(__xludf.DUMMYFUNCTION("""COMPUTED_VALUE"""),0.991002216390602)</f>
        <v>0.99100221639060204</v>
      </c>
      <c r="Q876" s="17">
        <f ca="1">IFERROR(__xludf.DUMMYFUNCTION("""COMPUTED_VALUE"""),0.972187818621696)</f>
        <v>0.97218781862169601</v>
      </c>
      <c r="R876" s="17">
        <f ca="1">IFERROR(__xludf.DUMMYFUNCTION("""COMPUTED_VALUE"""),0.958867171530041)</f>
        <v>0.95886717153004097</v>
      </c>
      <c r="S876" s="17">
        <f ca="1">IFERROR(__xludf.DUMMYFUNCTION("""COMPUTED_VALUE"""),0.94240689607248)</f>
        <v>0.94240689607247996</v>
      </c>
      <c r="T876" s="17">
        <f ca="1">IFERROR(__xludf.DUMMYFUNCTION("""COMPUTED_VALUE"""),0.915906038542984)</f>
        <v>0.91590603854298402</v>
      </c>
      <c r="U876" s="17">
        <f ca="1">IFERROR(__xludf.DUMMYFUNCTION("""COMPUTED_VALUE"""),0.817693468291381)</f>
        <v>0.81769346829138101</v>
      </c>
      <c r="V876" s="17">
        <f ca="1">IFERROR(__xludf.DUMMYFUNCTION("""COMPUTED_VALUE"""),0.934714639878909)</f>
        <v>0.93471463987890901</v>
      </c>
      <c r="W876" s="17">
        <f ca="1">IFERROR(__xludf.DUMMYFUNCTION("""COMPUTED_VALUE"""),0.801980592374744)</f>
        <v>0.80198059237474395</v>
      </c>
      <c r="X876" s="17">
        <f ca="1">IFERROR(__xludf.DUMMYFUNCTION("""COMPUTED_VALUE"""),0.832953350384612)</f>
        <v>0.83295335038461205</v>
      </c>
      <c r="Y876" s="17">
        <f ca="1">IFERROR(__xludf.DUMMYFUNCTION("""COMPUTED_VALUE"""),0.838931892550354)</f>
        <v>0.83893189255035405</v>
      </c>
      <c r="Z876" s="17">
        <f ca="1">IFERROR(__xludf.DUMMYFUNCTION("""COMPUTED_VALUE"""),0.900342448059468)</f>
        <v>0.90034244805946795</v>
      </c>
      <c r="AA876" s="17">
        <f ca="1">IFERROR(__xludf.DUMMYFUNCTION("""COMPUTED_VALUE"""),0.929659639603476)</f>
        <v>0.92965963960347597</v>
      </c>
      <c r="AB876" s="17">
        <f ca="1">IFERROR(__xludf.DUMMYFUNCTION("""COMPUTED_VALUE"""),1.96675630782775)</f>
        <v>1.9667563078277499</v>
      </c>
      <c r="AC876" s="17">
        <f ca="1">IFERROR(__xludf.DUMMYFUNCTION("""COMPUTED_VALUE"""),0.837468607811083)</f>
        <v>0.83746860781108301</v>
      </c>
      <c r="AD876" s="17">
        <f ca="1">IFERROR(__xludf.DUMMYFUNCTION("""COMPUTED_VALUE"""),0.85833322004484)</f>
        <v>0.85833322004484003</v>
      </c>
      <c r="AE876" s="17">
        <f ca="1">IFERROR(__xludf.DUMMYFUNCTION("""COMPUTED_VALUE"""),1.03007783069116)</f>
        <v>1.03007783069116</v>
      </c>
      <c r="AF876" s="17">
        <f ca="1">IFERROR(__xludf.DUMMYFUNCTION("""COMPUTED_VALUE"""),0.713574579559057)</f>
        <v>0.71357457955905701</v>
      </c>
      <c r="AG876" s="17">
        <f ca="1">IFERROR(__xludf.DUMMYFUNCTION("""COMPUTED_VALUE"""),1.10660744958033)</f>
        <v>1.10660744958033</v>
      </c>
      <c r="AH876" s="17">
        <f ca="1">IFERROR(__xludf.DUMMYFUNCTION("""COMPUTED_VALUE"""),0.970419959860554)</f>
        <v>0.97041995986055396</v>
      </c>
      <c r="AI876" s="17">
        <f ca="1">IFERROR(__xludf.DUMMYFUNCTION("""COMPUTED_VALUE"""),0.972329047396504)</f>
        <v>0.97232904739650405</v>
      </c>
      <c r="AJ876" s="17">
        <f ca="1">IFERROR(__xludf.DUMMYFUNCTION("""COMPUTED_VALUE"""),0.951062203938489)</f>
        <v>0.95106220393848895</v>
      </c>
    </row>
    <row r="877" spans="2:36" ht="15.75" customHeight="1" x14ac:dyDescent="0.45">
      <c r="B877" s="10" t="str">
        <f ca="1">IFERROR(__xludf.DUMMYFUNCTION("""COMPUTED_VALUE"""),"ToeSegmentation2")</f>
        <v>ToeSegmentation2</v>
      </c>
      <c r="C877" s="10" t="str">
        <f ca="1">IFERROR(__xludf.DUMMYFUNCTION("""COMPUTED_VALUE"""),"aligned_timestamps")</f>
        <v>aligned_timestamps</v>
      </c>
      <c r="D877" s="10">
        <f ca="1">IFERROR(__xludf.DUMMYFUNCTION("""COMPUTED_VALUE"""),0.1)</f>
        <v>0.1</v>
      </c>
      <c r="E877" s="17">
        <f ca="1">IFERROR(__xludf.DUMMYFUNCTION("""COMPUTED_VALUE"""),0.928947056382654)</f>
        <v>0.92894705638265396</v>
      </c>
      <c r="F877" s="17">
        <f ca="1">IFERROR(__xludf.DUMMYFUNCTION("""COMPUTED_VALUE"""),0.794927261907495)</f>
        <v>0.79492726190749496</v>
      </c>
      <c r="G877" s="17">
        <f ca="1">IFERROR(__xludf.DUMMYFUNCTION("""COMPUTED_VALUE"""),0.798179678850019)</f>
        <v>0.79817967885001895</v>
      </c>
      <c r="H877" s="17">
        <f ca="1">IFERROR(__xludf.DUMMYFUNCTION("""COMPUTED_VALUE"""),0.676851997072715)</f>
        <v>0.67685199707271504</v>
      </c>
      <c r="I877" s="17">
        <f ca="1">IFERROR(__xludf.DUMMYFUNCTION("""COMPUTED_VALUE"""),0.65982120784717)</f>
        <v>0.65982120784717002</v>
      </c>
      <c r="J877" s="17">
        <f ca="1">IFERROR(__xludf.DUMMYFUNCTION("""COMPUTED_VALUE"""),0.88568762034596)</f>
        <v>0.88568762034596005</v>
      </c>
      <c r="K877" s="17" t="str">
        <f ca="1">IFERROR(__xludf.DUMMYFUNCTION("""COMPUTED_VALUE"""),"nan")</f>
        <v>nan</v>
      </c>
      <c r="L877" s="17">
        <f ca="1">IFERROR(__xludf.DUMMYFUNCTION("""COMPUTED_VALUE"""),1.00364890246921)</f>
        <v>1.0036489024692099</v>
      </c>
      <c r="M877" s="17">
        <f ca="1">IFERROR(__xludf.DUMMYFUNCTION("""COMPUTED_VALUE"""),0.757451456701483)</f>
        <v>0.75745145670148295</v>
      </c>
      <c r="N877" s="17">
        <f ca="1">IFERROR(__xludf.DUMMYFUNCTION("""COMPUTED_VALUE"""),0.800619069118363)</f>
        <v>0.800619069118363</v>
      </c>
      <c r="O877" s="17">
        <f ca="1">IFERROR(__xludf.DUMMYFUNCTION("""COMPUTED_VALUE"""),0.961904322343298)</f>
        <v>0.96190432234329803</v>
      </c>
      <c r="P877" s="17">
        <f ca="1">IFERROR(__xludf.DUMMYFUNCTION("""COMPUTED_VALUE"""),0.795806296254428)</f>
        <v>0.795806296254428</v>
      </c>
      <c r="Q877" s="17">
        <f ca="1">IFERROR(__xludf.DUMMYFUNCTION("""COMPUTED_VALUE"""),1.22904813823297)</f>
        <v>1.2290481382329701</v>
      </c>
      <c r="R877" s="17">
        <f ca="1">IFERROR(__xludf.DUMMYFUNCTION("""COMPUTED_VALUE"""),0.774413463367072)</f>
        <v>0.77441346336707195</v>
      </c>
      <c r="S877" s="17">
        <f ca="1">IFERROR(__xludf.DUMMYFUNCTION("""COMPUTED_VALUE"""),0.577727558857282)</f>
        <v>0.577727558857282</v>
      </c>
      <c r="T877" s="17">
        <f ca="1">IFERROR(__xludf.DUMMYFUNCTION("""COMPUTED_VALUE"""),0.659912346204354)</f>
        <v>0.65991234620435402</v>
      </c>
      <c r="U877" s="17">
        <f ca="1">IFERROR(__xludf.DUMMYFUNCTION("""COMPUTED_VALUE"""),0.711221050423874)</f>
        <v>0.71122105042387396</v>
      </c>
      <c r="V877" s="17">
        <f ca="1">IFERROR(__xludf.DUMMYFUNCTION("""COMPUTED_VALUE"""),0.482359670057866)</f>
        <v>0.48235967005786601</v>
      </c>
      <c r="W877" s="17">
        <f ca="1">IFERROR(__xludf.DUMMYFUNCTION("""COMPUTED_VALUE"""),0.777884087318335)</f>
        <v>0.77788408731833503</v>
      </c>
      <c r="X877" s="17">
        <f ca="1">IFERROR(__xludf.DUMMYFUNCTION("""COMPUTED_VALUE"""),0.706504553272694)</f>
        <v>0.70650455327269401</v>
      </c>
      <c r="Y877" s="17">
        <f ca="1">IFERROR(__xludf.DUMMYFUNCTION("""COMPUTED_VALUE"""),0.470749364008083)</f>
        <v>0.47074936400808298</v>
      </c>
      <c r="Z877" s="17">
        <f ca="1">IFERROR(__xludf.DUMMYFUNCTION("""COMPUTED_VALUE"""),0.902316942383551)</f>
        <v>0.90231694238355098</v>
      </c>
      <c r="AA877" s="17">
        <f ca="1">IFERROR(__xludf.DUMMYFUNCTION("""COMPUTED_VALUE"""),0.537050991022412)</f>
        <v>0.53705099102241205</v>
      </c>
      <c r="AB877" s="17">
        <f ca="1">IFERROR(__xludf.DUMMYFUNCTION("""COMPUTED_VALUE"""),0.886705835088745)</f>
        <v>0.88670583508874501</v>
      </c>
      <c r="AC877" s="17">
        <f ca="1">IFERROR(__xludf.DUMMYFUNCTION("""COMPUTED_VALUE"""),0.615031333917648)</f>
        <v>0.61503133391764797</v>
      </c>
      <c r="AD877" s="17">
        <f ca="1">IFERROR(__xludf.DUMMYFUNCTION("""COMPUTED_VALUE"""),0.773235634798927)</f>
        <v>0.77323563479892699</v>
      </c>
      <c r="AE877" s="17">
        <f ca="1">IFERROR(__xludf.DUMMYFUNCTION("""COMPUTED_VALUE"""),0.932144686106627)</f>
        <v>0.93214468610662704</v>
      </c>
      <c r="AF877" s="17">
        <f ca="1">IFERROR(__xludf.DUMMYFUNCTION("""COMPUTED_VALUE"""),0.642133000975688)</f>
        <v>0.64213300097568804</v>
      </c>
      <c r="AG877" s="17">
        <f ca="1">IFERROR(__xludf.DUMMYFUNCTION("""COMPUTED_VALUE"""),1.2673524509701)</f>
        <v>1.2673524509701</v>
      </c>
      <c r="AH877" s="17">
        <f ca="1">IFERROR(__xludf.DUMMYFUNCTION("""COMPUTED_VALUE"""),0.809502072031602)</f>
        <v>0.80950207203160196</v>
      </c>
      <c r="AI877" s="17">
        <f ca="1">IFERROR(__xludf.DUMMYFUNCTION("""COMPUTED_VALUE"""),0.792556570963641)</f>
        <v>0.79255657096364096</v>
      </c>
      <c r="AJ877" s="17">
        <f ca="1">IFERROR(__xludf.DUMMYFUNCTION("""COMPUTED_VALUE"""),0.740624038935943)</f>
        <v>0.74062403893594297</v>
      </c>
    </row>
    <row r="878" spans="2:36" ht="15.75" customHeight="1" x14ac:dyDescent="0.45">
      <c r="B878" s="10" t="str">
        <f ca="1">IFERROR(__xludf.DUMMYFUNCTION("""COMPUTED_VALUE"""),"ToeSegmentation2")</f>
        <v>ToeSegmentation2</v>
      </c>
      <c r="C878" s="10" t="str">
        <f ca="1">IFERROR(__xludf.DUMMYFUNCTION("""COMPUTED_VALUE"""),"aligned_timestamps")</f>
        <v>aligned_timestamps</v>
      </c>
      <c r="D878" s="10">
        <f ca="1">IFERROR(__xludf.DUMMYFUNCTION("""COMPUTED_VALUE"""),0.2)</f>
        <v>0.2</v>
      </c>
      <c r="E878" s="17">
        <f ca="1">IFERROR(__xludf.DUMMYFUNCTION("""COMPUTED_VALUE"""),0.850659799274648)</f>
        <v>0.85065979927464797</v>
      </c>
      <c r="F878" s="17">
        <f ca="1">IFERROR(__xludf.DUMMYFUNCTION("""COMPUTED_VALUE"""),0.838090437954573)</f>
        <v>0.83809043795457305</v>
      </c>
      <c r="G878" s="17">
        <f ca="1">IFERROR(__xludf.DUMMYFUNCTION("""COMPUTED_VALUE"""),0.84566527942675)</f>
        <v>0.84566527942674996</v>
      </c>
      <c r="H878" s="17">
        <f ca="1">IFERROR(__xludf.DUMMYFUNCTION("""COMPUTED_VALUE"""),0.762392942256555)</f>
        <v>0.76239294225655496</v>
      </c>
      <c r="I878" s="17">
        <f ca="1">IFERROR(__xludf.DUMMYFUNCTION("""COMPUTED_VALUE"""),0.669982062576188)</f>
        <v>0.66998206257618798</v>
      </c>
      <c r="J878" s="17">
        <f ca="1">IFERROR(__xludf.DUMMYFUNCTION("""COMPUTED_VALUE"""),0.878752671653144)</f>
        <v>0.87875267165314397</v>
      </c>
      <c r="K878" s="17" t="str">
        <f ca="1">IFERROR(__xludf.DUMMYFUNCTION("""COMPUTED_VALUE"""),"nan")</f>
        <v>nan</v>
      </c>
      <c r="L878" s="17">
        <f ca="1">IFERROR(__xludf.DUMMYFUNCTION("""COMPUTED_VALUE"""),0.964158374563216)</f>
        <v>0.96415837456321596</v>
      </c>
      <c r="M878" s="17">
        <f ca="1">IFERROR(__xludf.DUMMYFUNCTION("""COMPUTED_VALUE"""),0.819117148206496)</f>
        <v>0.81911714820649595</v>
      </c>
      <c r="N878" s="17">
        <f ca="1">IFERROR(__xludf.DUMMYFUNCTION("""COMPUTED_VALUE"""),0.867540350202661)</f>
        <v>0.86754035020266096</v>
      </c>
      <c r="O878" s="17">
        <f ca="1">IFERROR(__xludf.DUMMYFUNCTION("""COMPUTED_VALUE"""),1.08070281094797)</f>
        <v>1.0807028109479699</v>
      </c>
      <c r="P878" s="17">
        <f ca="1">IFERROR(__xludf.DUMMYFUNCTION("""COMPUTED_VALUE"""),0.925428898153864)</f>
        <v>0.92542889815386398</v>
      </c>
      <c r="Q878" s="17">
        <f ca="1">IFERROR(__xludf.DUMMYFUNCTION("""COMPUTED_VALUE"""),1.21664619599719)</f>
        <v>1.2166461959971899</v>
      </c>
      <c r="R878" s="17">
        <f ca="1">IFERROR(__xludf.DUMMYFUNCTION("""COMPUTED_VALUE"""),0.94174195459682)</f>
        <v>0.94174195459681997</v>
      </c>
      <c r="S878" s="17">
        <f ca="1">IFERROR(__xludf.DUMMYFUNCTION("""COMPUTED_VALUE"""),0.80711005472063)</f>
        <v>0.80711005472063002</v>
      </c>
      <c r="T878" s="17">
        <f ca="1">IFERROR(__xludf.DUMMYFUNCTION("""COMPUTED_VALUE"""),0.780769158763039)</f>
        <v>0.78076915876303898</v>
      </c>
      <c r="U878" s="17">
        <f ca="1">IFERROR(__xludf.DUMMYFUNCTION("""COMPUTED_VALUE"""),0.840127455157482)</f>
        <v>0.84012745515748199</v>
      </c>
      <c r="V878" s="17">
        <f ca="1">IFERROR(__xludf.DUMMYFUNCTION("""COMPUTED_VALUE"""),0.892082820754744)</f>
        <v>0.89208282075474399</v>
      </c>
      <c r="W878" s="17">
        <f ca="1">IFERROR(__xludf.DUMMYFUNCTION("""COMPUTED_VALUE"""),0.82817877053514)</f>
        <v>0.82817877053514</v>
      </c>
      <c r="X878" s="17">
        <f ca="1">IFERROR(__xludf.DUMMYFUNCTION("""COMPUTED_VALUE"""),0.832074942915686)</f>
        <v>0.83207494291568596</v>
      </c>
      <c r="Y878" s="17">
        <f ca="1">IFERROR(__xludf.DUMMYFUNCTION("""COMPUTED_VALUE"""),0.81582043117601)</f>
        <v>0.81582043117601</v>
      </c>
      <c r="Z878" s="17">
        <f ca="1">IFERROR(__xludf.DUMMYFUNCTION("""COMPUTED_VALUE"""),0.85036723235116)</f>
        <v>0.85036723235115996</v>
      </c>
      <c r="AA878" s="17">
        <f ca="1">IFERROR(__xludf.DUMMYFUNCTION("""COMPUTED_VALUE"""),0.736479818324414)</f>
        <v>0.736479818324414</v>
      </c>
      <c r="AB878" s="17">
        <f ca="1">IFERROR(__xludf.DUMMYFUNCTION("""COMPUTED_VALUE"""),0.988714501792632)</f>
        <v>0.98871450179263198</v>
      </c>
      <c r="AC878" s="17">
        <f ca="1">IFERROR(__xludf.DUMMYFUNCTION("""COMPUTED_VALUE"""),0.739975641994216)</f>
        <v>0.73997564199421595</v>
      </c>
      <c r="AD878" s="17">
        <f ca="1">IFERROR(__xludf.DUMMYFUNCTION("""COMPUTED_VALUE"""),0.873404989729275)</f>
        <v>0.87340498972927505</v>
      </c>
      <c r="AE878" s="17">
        <f ca="1">IFERROR(__xludf.DUMMYFUNCTION("""COMPUTED_VALUE"""),0.926099853204693)</f>
        <v>0.92609985320469301</v>
      </c>
      <c r="AF878" s="17">
        <f ca="1">IFERROR(__xludf.DUMMYFUNCTION("""COMPUTED_VALUE"""),0.594970941262412)</f>
        <v>0.59497094126241201</v>
      </c>
      <c r="AG878" s="17">
        <f ca="1">IFERROR(__xludf.DUMMYFUNCTION("""COMPUTED_VALUE"""),1.3504082273782)</f>
        <v>1.3504082273782001</v>
      </c>
      <c r="AH878" s="17">
        <f ca="1">IFERROR(__xludf.DUMMYFUNCTION("""COMPUTED_VALUE"""),1.07840891194271)</f>
        <v>1.07840891194271</v>
      </c>
      <c r="AI878" s="17">
        <f ca="1">IFERROR(__xludf.DUMMYFUNCTION("""COMPUTED_VALUE"""),1.07715057527904)</f>
        <v>1.07715057527904</v>
      </c>
      <c r="AJ878" s="17">
        <f ca="1">IFERROR(__xludf.DUMMYFUNCTION("""COMPUTED_VALUE"""),1.0063489972652)</f>
        <v>1.0063489972652</v>
      </c>
    </row>
    <row r="879" spans="2:36" ht="15.75" customHeight="1" x14ac:dyDescent="0.45">
      <c r="B879" s="10" t="str">
        <f ca="1">IFERROR(__xludf.DUMMYFUNCTION("""COMPUTED_VALUE"""),"ToeSegmentation2")</f>
        <v>ToeSegmentation2</v>
      </c>
      <c r="C879" s="10" t="str">
        <f ca="1">IFERROR(__xludf.DUMMYFUNCTION("""COMPUTED_VALUE"""),"aligned_timestamps")</f>
        <v>aligned_timestamps</v>
      </c>
      <c r="D879" s="10">
        <f ca="1">IFERROR(__xludf.DUMMYFUNCTION("""COMPUTED_VALUE"""),0.4)</f>
        <v>0.4</v>
      </c>
      <c r="E879" s="17">
        <f ca="1">IFERROR(__xludf.DUMMYFUNCTION("""COMPUTED_VALUE"""),1.03644510964748)</f>
        <v>1.03644510964748</v>
      </c>
      <c r="F879" s="17">
        <f ca="1">IFERROR(__xludf.DUMMYFUNCTION("""COMPUTED_VALUE"""),0.940980654503988)</f>
        <v>0.94098065450398805</v>
      </c>
      <c r="G879" s="17">
        <f ca="1">IFERROR(__xludf.DUMMYFUNCTION("""COMPUTED_VALUE"""),0.947320109485683)</f>
        <v>0.94732010948568302</v>
      </c>
      <c r="H879" s="17">
        <f ca="1">IFERROR(__xludf.DUMMYFUNCTION("""COMPUTED_VALUE"""),1.02773092095359)</f>
        <v>1.0277309209535901</v>
      </c>
      <c r="I879" s="17">
        <f ca="1">IFERROR(__xludf.DUMMYFUNCTION("""COMPUTED_VALUE"""),0.892298416566128)</f>
        <v>0.89229841656612796</v>
      </c>
      <c r="J879" s="17">
        <f ca="1">IFERROR(__xludf.DUMMYFUNCTION("""COMPUTED_VALUE"""),1.10300491085745)</f>
        <v>1.10300491085745</v>
      </c>
      <c r="K879" s="17" t="str">
        <f ca="1">IFERROR(__xludf.DUMMYFUNCTION("""COMPUTED_VALUE"""),"nan")</f>
        <v>nan</v>
      </c>
      <c r="L879" s="17">
        <f ca="1">IFERROR(__xludf.DUMMYFUNCTION("""COMPUTED_VALUE"""),0.94262034053668)</f>
        <v>0.94262034053667998</v>
      </c>
      <c r="M879" s="17">
        <f ca="1">IFERROR(__xludf.DUMMYFUNCTION("""COMPUTED_VALUE"""),0.981443383653806)</f>
        <v>0.98144338365380601</v>
      </c>
      <c r="N879" s="17">
        <f ca="1">IFERROR(__xludf.DUMMYFUNCTION("""COMPUTED_VALUE"""),1.07579336056761)</f>
        <v>1.07579336056761</v>
      </c>
      <c r="O879" s="17">
        <f ca="1">IFERROR(__xludf.DUMMYFUNCTION("""COMPUTED_VALUE"""),0.98733001032284)</f>
        <v>0.98733001032283996</v>
      </c>
      <c r="P879" s="17">
        <f ca="1">IFERROR(__xludf.DUMMYFUNCTION("""COMPUTED_VALUE"""),1.06540368608175)</f>
        <v>1.06540368608175</v>
      </c>
      <c r="Q879" s="17">
        <f ca="1">IFERROR(__xludf.DUMMYFUNCTION("""COMPUTED_VALUE"""),1.59068010635358)</f>
        <v>1.59068010635358</v>
      </c>
      <c r="R879" s="17">
        <f ca="1">IFERROR(__xludf.DUMMYFUNCTION("""COMPUTED_VALUE"""),1.13631596018741)</f>
        <v>1.13631596018741</v>
      </c>
      <c r="S879" s="17">
        <f ca="1">IFERROR(__xludf.DUMMYFUNCTION("""COMPUTED_VALUE"""),1.03625243940654)</f>
        <v>1.03625243940654</v>
      </c>
      <c r="T879" s="17">
        <f ca="1">IFERROR(__xludf.DUMMYFUNCTION("""COMPUTED_VALUE"""),0.999776708257072)</f>
        <v>0.99977670825707199</v>
      </c>
      <c r="U879" s="17">
        <f ca="1">IFERROR(__xludf.DUMMYFUNCTION("""COMPUTED_VALUE"""),0.99724361909381)</f>
        <v>0.99724361909380999</v>
      </c>
      <c r="V879" s="17">
        <f ca="1">IFERROR(__xludf.DUMMYFUNCTION("""COMPUTED_VALUE"""),0.949681750508749)</f>
        <v>0.94968175050874903</v>
      </c>
      <c r="W879" s="17">
        <f ca="1">IFERROR(__xludf.DUMMYFUNCTION("""COMPUTED_VALUE"""),1.00938320159048)</f>
        <v>1.00938320159048</v>
      </c>
      <c r="X879" s="17">
        <f ca="1">IFERROR(__xludf.DUMMYFUNCTION("""COMPUTED_VALUE"""),0.878104170118844)</f>
        <v>0.87810417011884401</v>
      </c>
      <c r="Y879" s="17">
        <f ca="1">IFERROR(__xludf.DUMMYFUNCTION("""COMPUTED_VALUE"""),0.902866108982675)</f>
        <v>0.90286610898267505</v>
      </c>
      <c r="Z879" s="17">
        <f ca="1">IFERROR(__xludf.DUMMYFUNCTION("""COMPUTED_VALUE"""),1.02344078183115)</f>
        <v>1.0234407818311499</v>
      </c>
      <c r="AA879" s="17">
        <f ca="1">IFERROR(__xludf.DUMMYFUNCTION("""COMPUTED_VALUE"""),1.09636474425543)</f>
        <v>1.0963647442554301</v>
      </c>
      <c r="AB879" s="17">
        <f ca="1">IFERROR(__xludf.DUMMYFUNCTION("""COMPUTED_VALUE"""),1.19906123758369)</f>
        <v>1.19906123758369</v>
      </c>
      <c r="AC879" s="17">
        <f ca="1">IFERROR(__xludf.DUMMYFUNCTION("""COMPUTED_VALUE"""),0.970190407851787)</f>
        <v>0.97019040785178701</v>
      </c>
      <c r="AD879" s="17">
        <f ca="1">IFERROR(__xludf.DUMMYFUNCTION("""COMPUTED_VALUE"""),1.04637449426822)</f>
        <v>1.04637449426822</v>
      </c>
      <c r="AE879" s="17">
        <f ca="1">IFERROR(__xludf.DUMMYFUNCTION("""COMPUTED_VALUE"""),1.2136942990574)</f>
        <v>1.2136942990574</v>
      </c>
      <c r="AF879" s="17">
        <f ca="1">IFERROR(__xludf.DUMMYFUNCTION("""COMPUTED_VALUE"""),1.25747505155065)</f>
        <v>1.2574750515506501</v>
      </c>
      <c r="AG879" s="17">
        <f ca="1">IFERROR(__xludf.DUMMYFUNCTION("""COMPUTED_VALUE"""),1.19009781445662)</f>
        <v>1.1900978144566201</v>
      </c>
      <c r="AH879" s="17">
        <f ca="1">IFERROR(__xludf.DUMMYFUNCTION("""COMPUTED_VALUE"""),1.15631481048686)</f>
        <v>1.1563148104868599</v>
      </c>
      <c r="AI879" s="17">
        <f ca="1">IFERROR(__xludf.DUMMYFUNCTION("""COMPUTED_VALUE"""),1.16044329013313)</f>
        <v>1.1604432901331301</v>
      </c>
      <c r="AJ879" s="17">
        <f ca="1">IFERROR(__xludf.DUMMYFUNCTION("""COMPUTED_VALUE"""),1.2244036701018)</f>
        <v>1.2244036701018</v>
      </c>
    </row>
    <row r="880" spans="2:36" ht="15.75" customHeight="1" x14ac:dyDescent="0.45">
      <c r="B880" s="10" t="str">
        <f ca="1">IFERROR(__xludf.DUMMYFUNCTION("""COMPUTED_VALUE"""),"ToeSegmentation2")</f>
        <v>ToeSegmentation2</v>
      </c>
      <c r="C880" s="10" t="str">
        <f ca="1">IFERROR(__xludf.DUMMYFUNCTION("""COMPUTED_VALUE"""),"aligned_timestamps")</f>
        <v>aligned_timestamps</v>
      </c>
      <c r="D880" s="10">
        <f ca="1">IFERROR(__xludf.DUMMYFUNCTION("""COMPUTED_VALUE"""),0.6)</f>
        <v>0.6</v>
      </c>
      <c r="E880" s="17">
        <f ca="1">IFERROR(__xludf.DUMMYFUNCTION("""COMPUTED_VALUE"""),1.02539411832101)</f>
        <v>1.02539411832101</v>
      </c>
      <c r="F880" s="17">
        <f ca="1">IFERROR(__xludf.DUMMYFUNCTION("""COMPUTED_VALUE"""),0.906442260774094)</f>
        <v>0.90644226077409396</v>
      </c>
      <c r="G880" s="17">
        <f ca="1">IFERROR(__xludf.DUMMYFUNCTION("""COMPUTED_VALUE"""),0.924126611271149)</f>
        <v>0.92412661127114903</v>
      </c>
      <c r="H880" s="17">
        <f ca="1">IFERROR(__xludf.DUMMYFUNCTION("""COMPUTED_VALUE"""),1.0281782403977)</f>
        <v>1.0281782403977</v>
      </c>
      <c r="I880" s="17">
        <f ca="1">IFERROR(__xludf.DUMMYFUNCTION("""COMPUTED_VALUE"""),0.907253936071407)</f>
        <v>0.90725393607140703</v>
      </c>
      <c r="J880" s="17">
        <f ca="1">IFERROR(__xludf.DUMMYFUNCTION("""COMPUTED_VALUE"""),1.00382398795305)</f>
        <v>1.0038239879530499</v>
      </c>
      <c r="K880" s="17" t="str">
        <f ca="1">IFERROR(__xludf.DUMMYFUNCTION("""COMPUTED_VALUE"""),"nan")</f>
        <v>nan</v>
      </c>
      <c r="L880" s="17">
        <f ca="1">IFERROR(__xludf.DUMMYFUNCTION("""COMPUTED_VALUE"""),1.01191363140231)</f>
        <v>1.0119136314023101</v>
      </c>
      <c r="M880" s="17">
        <f ca="1">IFERROR(__xludf.DUMMYFUNCTION("""COMPUTED_VALUE"""),0.99160101096142)</f>
        <v>0.99160101096141995</v>
      </c>
      <c r="N880" s="17">
        <f ca="1">IFERROR(__xludf.DUMMYFUNCTION("""COMPUTED_VALUE"""),1.07399136446992)</f>
        <v>1.0739913644699199</v>
      </c>
      <c r="O880" s="17">
        <f ca="1">IFERROR(__xludf.DUMMYFUNCTION("""COMPUTED_VALUE"""),1.03003549503117)</f>
        <v>1.0300354950311701</v>
      </c>
      <c r="P880" s="17">
        <f ca="1">IFERROR(__xludf.DUMMYFUNCTION("""COMPUTED_VALUE"""),1.01687525407508)</f>
        <v>1.0168752540750801</v>
      </c>
      <c r="Q880" s="17">
        <f ca="1">IFERROR(__xludf.DUMMYFUNCTION("""COMPUTED_VALUE"""),1.61212748131615)</f>
        <v>1.6121274813161499</v>
      </c>
      <c r="R880" s="17">
        <f ca="1">IFERROR(__xludf.DUMMYFUNCTION("""COMPUTED_VALUE"""),1.1467224073326)</f>
        <v>1.1467224073325999</v>
      </c>
      <c r="S880" s="17">
        <f ca="1">IFERROR(__xludf.DUMMYFUNCTION("""COMPUTED_VALUE"""),1.15466715307298)</f>
        <v>1.15466715307298</v>
      </c>
      <c r="T880" s="17">
        <f ca="1">IFERROR(__xludf.DUMMYFUNCTION("""COMPUTED_VALUE"""),1.13599962728242)</f>
        <v>1.13599962728242</v>
      </c>
      <c r="U880" s="17">
        <f ca="1">IFERROR(__xludf.DUMMYFUNCTION("""COMPUTED_VALUE"""),1.03229285265779)</f>
        <v>1.0322928526577899</v>
      </c>
      <c r="V880" s="17">
        <f ca="1">IFERROR(__xludf.DUMMYFUNCTION("""COMPUTED_VALUE"""),1.08546311899307)</f>
        <v>1.0854631189930699</v>
      </c>
      <c r="W880" s="17">
        <f ca="1">IFERROR(__xludf.DUMMYFUNCTION("""COMPUTED_VALUE"""),1.02657872700406)</f>
        <v>1.0265787270040601</v>
      </c>
      <c r="X880" s="17">
        <f ca="1">IFERROR(__xludf.DUMMYFUNCTION("""COMPUTED_VALUE"""),0.925350349351623)</f>
        <v>0.92535034935162297</v>
      </c>
      <c r="Y880" s="17">
        <f ca="1">IFERROR(__xludf.DUMMYFUNCTION("""COMPUTED_VALUE"""),1.01587732639225)</f>
        <v>1.01587732639225</v>
      </c>
      <c r="Z880" s="17">
        <f ca="1">IFERROR(__xludf.DUMMYFUNCTION("""COMPUTED_VALUE"""),1.01672502858793)</f>
        <v>1.0167250285879299</v>
      </c>
      <c r="AA880" s="17">
        <f ca="1">IFERROR(__xludf.DUMMYFUNCTION("""COMPUTED_VALUE"""),1.18276225492424)</f>
        <v>1.18276225492424</v>
      </c>
      <c r="AB880" s="17">
        <f ca="1">IFERROR(__xludf.DUMMYFUNCTION("""COMPUTED_VALUE"""),1.17362429831486)</f>
        <v>1.1736242983148599</v>
      </c>
      <c r="AC880" s="17">
        <f ca="1">IFERROR(__xludf.DUMMYFUNCTION("""COMPUTED_VALUE"""),1.03499563501144)</f>
        <v>1.03499563501144</v>
      </c>
      <c r="AD880" s="17">
        <f ca="1">IFERROR(__xludf.DUMMYFUNCTION("""COMPUTED_VALUE"""),1.13098314426196)</f>
        <v>1.13098314426196</v>
      </c>
      <c r="AE880" s="17">
        <f ca="1">IFERROR(__xludf.DUMMYFUNCTION("""COMPUTED_VALUE"""),1.21778400273673)</f>
        <v>1.2177840027367299</v>
      </c>
      <c r="AF880" s="17">
        <f ca="1">IFERROR(__xludf.DUMMYFUNCTION("""COMPUTED_VALUE"""),1.20831740408465)</f>
        <v>1.20831740408465</v>
      </c>
      <c r="AG880" s="17">
        <f ca="1">IFERROR(__xludf.DUMMYFUNCTION("""COMPUTED_VALUE"""),1.15580315559779)</f>
        <v>1.1558031555977899</v>
      </c>
      <c r="AH880" s="17">
        <f ca="1">IFERROR(__xludf.DUMMYFUNCTION("""COMPUTED_VALUE"""),1.13368254098906)</f>
        <v>1.1336825409890601</v>
      </c>
      <c r="AI880" s="17">
        <f ca="1">IFERROR(__xludf.DUMMYFUNCTION("""COMPUTED_VALUE"""),1.15019539776442)</f>
        <v>1.1501953977644199</v>
      </c>
      <c r="AJ880" s="17">
        <f ca="1">IFERROR(__xludf.DUMMYFUNCTION("""COMPUTED_VALUE"""),1.23330584092893)</f>
        <v>1.2333058409289299</v>
      </c>
    </row>
    <row r="881" spans="2:36" ht="15.75" customHeight="1" x14ac:dyDescent="0.45">
      <c r="B881" s="10" t="str">
        <f ca="1">IFERROR(__xludf.DUMMYFUNCTION("""COMPUTED_VALUE"""),"ToeSegmentation2")</f>
        <v>ToeSegmentation2</v>
      </c>
      <c r="C881" s="10" t="str">
        <f ca="1">IFERROR(__xludf.DUMMYFUNCTION("""COMPUTED_VALUE"""),"aligned_timestamps")</f>
        <v>aligned_timestamps</v>
      </c>
      <c r="D881" s="10">
        <f ca="1">IFERROR(__xludf.DUMMYFUNCTION("""COMPUTED_VALUE"""),0.8)</f>
        <v>0.8</v>
      </c>
      <c r="E881" s="17">
        <f ca="1">IFERROR(__xludf.DUMMYFUNCTION("""COMPUTED_VALUE"""),1.02422069122938)</f>
        <v>1.0242206912293801</v>
      </c>
      <c r="F881" s="17">
        <f ca="1">IFERROR(__xludf.DUMMYFUNCTION("""COMPUTED_VALUE"""),0.948206608247478)</f>
        <v>0.94820660824747804</v>
      </c>
      <c r="G881" s="17">
        <f ca="1">IFERROR(__xludf.DUMMYFUNCTION("""COMPUTED_VALUE"""),1.13120604264151)</f>
        <v>1.13120604264151</v>
      </c>
      <c r="H881" s="17">
        <f ca="1">IFERROR(__xludf.DUMMYFUNCTION("""COMPUTED_VALUE"""),1.08947771627252)</f>
        <v>1.08947771627252</v>
      </c>
      <c r="I881" s="17">
        <f ca="1">IFERROR(__xludf.DUMMYFUNCTION("""COMPUTED_VALUE"""),0.96240911017033)</f>
        <v>0.96240911017033004</v>
      </c>
      <c r="J881" s="17">
        <f ca="1">IFERROR(__xludf.DUMMYFUNCTION("""COMPUTED_VALUE"""),1.06173811044415)</f>
        <v>1.0617381104441499</v>
      </c>
      <c r="K881" s="17" t="str">
        <f ca="1">IFERROR(__xludf.DUMMYFUNCTION("""COMPUTED_VALUE"""),"nan")</f>
        <v>nan</v>
      </c>
      <c r="L881" s="17">
        <f ca="1">IFERROR(__xludf.DUMMYFUNCTION("""COMPUTED_VALUE"""),0.94968726966759)</f>
        <v>0.94968726966758998</v>
      </c>
      <c r="M881" s="17">
        <f ca="1">IFERROR(__xludf.DUMMYFUNCTION("""COMPUTED_VALUE"""),1.8718749134762)</f>
        <v>1.8718749134762001</v>
      </c>
      <c r="N881" s="17">
        <f ca="1">IFERROR(__xludf.DUMMYFUNCTION("""COMPUTED_VALUE"""),1.08927375866082)</f>
        <v>1.0892737586608201</v>
      </c>
      <c r="O881" s="17">
        <f ca="1">IFERROR(__xludf.DUMMYFUNCTION("""COMPUTED_VALUE"""),1.00128744725815)</f>
        <v>1.0012874472581501</v>
      </c>
      <c r="P881" s="17">
        <f ca="1">IFERROR(__xludf.DUMMYFUNCTION("""COMPUTED_VALUE"""),1.0491996326439)</f>
        <v>1.0491996326438999</v>
      </c>
      <c r="Q881" s="17">
        <f ca="1">IFERROR(__xludf.DUMMYFUNCTION("""COMPUTED_VALUE"""),1.68411493560938)</f>
        <v>1.6841149356093801</v>
      </c>
      <c r="R881" s="17">
        <f ca="1">IFERROR(__xludf.DUMMYFUNCTION("""COMPUTED_VALUE"""),1.48756469105479)</f>
        <v>1.4875646910547899</v>
      </c>
      <c r="S881" s="17">
        <f ca="1">IFERROR(__xludf.DUMMYFUNCTION("""COMPUTED_VALUE"""),1.18590611274994)</f>
        <v>1.18590611274994</v>
      </c>
      <c r="T881" s="17">
        <f ca="1">IFERROR(__xludf.DUMMYFUNCTION("""COMPUTED_VALUE"""),1.1332625741072)</f>
        <v>1.1332625741072</v>
      </c>
      <c r="U881" s="17">
        <f ca="1">IFERROR(__xludf.DUMMYFUNCTION("""COMPUTED_VALUE"""),1.1896451029206)</f>
        <v>1.1896451029206001</v>
      </c>
      <c r="V881" s="17">
        <f ca="1">IFERROR(__xludf.DUMMYFUNCTION("""COMPUTED_VALUE"""),1.20010457834678)</f>
        <v>1.2001045783467801</v>
      </c>
      <c r="W881" s="17">
        <f ca="1">IFERROR(__xludf.DUMMYFUNCTION("""COMPUTED_VALUE"""),1.01928761671616)</f>
        <v>1.01928761671616</v>
      </c>
      <c r="X881" s="17">
        <f ca="1">IFERROR(__xludf.DUMMYFUNCTION("""COMPUTED_VALUE"""),1.03253856717416)</f>
        <v>1.03253856717416</v>
      </c>
      <c r="Y881" s="17">
        <f ca="1">IFERROR(__xludf.DUMMYFUNCTION("""COMPUTED_VALUE"""),1.14518593566561)</f>
        <v>1.14518593566561</v>
      </c>
      <c r="Z881" s="17">
        <f ca="1">IFERROR(__xludf.DUMMYFUNCTION("""COMPUTED_VALUE"""),1.0126157633785)</f>
        <v>1.0126157633785</v>
      </c>
      <c r="AA881" s="17">
        <f ca="1">IFERROR(__xludf.DUMMYFUNCTION("""COMPUTED_VALUE"""),1.95449853621758)</f>
        <v>1.95449853621758</v>
      </c>
      <c r="AB881" s="17">
        <f ca="1">IFERROR(__xludf.DUMMYFUNCTION("""COMPUTED_VALUE"""),1.26010897195706)</f>
        <v>1.26010897195706</v>
      </c>
      <c r="AC881" s="17">
        <f ca="1">IFERROR(__xludf.DUMMYFUNCTION("""COMPUTED_VALUE"""),1.04107633020759)</f>
        <v>1.0410763302075901</v>
      </c>
      <c r="AD881" s="17">
        <f ca="1">IFERROR(__xludf.DUMMYFUNCTION("""COMPUTED_VALUE"""),1.10801651368162)</f>
        <v>1.10801651368162</v>
      </c>
      <c r="AE881" s="17" t="str">
        <f ca="1">IFERROR(__xludf.DUMMYFUNCTION("""COMPUTED_VALUE"""),"nan")</f>
        <v>nan</v>
      </c>
      <c r="AF881" s="17">
        <f ca="1">IFERROR(__xludf.DUMMYFUNCTION("""COMPUTED_VALUE"""),1.17843364917351)</f>
        <v>1.1784336491735099</v>
      </c>
      <c r="AG881" s="17">
        <f ca="1">IFERROR(__xludf.DUMMYFUNCTION("""COMPUTED_VALUE"""),1.16842639581323)</f>
        <v>1.1684263958132299</v>
      </c>
      <c r="AH881" s="17">
        <f ca="1">IFERROR(__xludf.DUMMYFUNCTION("""COMPUTED_VALUE"""),1.11008358315894)</f>
        <v>1.11008358315894</v>
      </c>
      <c r="AI881" s="17">
        <f ca="1">IFERROR(__xludf.DUMMYFUNCTION("""COMPUTED_VALUE"""),1.12687112876702)</f>
        <v>1.1268711287670199</v>
      </c>
      <c r="AJ881" s="17">
        <f ca="1">IFERROR(__xludf.DUMMYFUNCTION("""COMPUTED_VALUE"""),1.41630718888768)</f>
        <v>1.4163071888876799</v>
      </c>
    </row>
    <row r="882" spans="2:36" ht="15.75" customHeight="1" x14ac:dyDescent="0.45">
      <c r="B882" s="10" t="str">
        <f ca="1">IFERROR(__xludf.DUMMYFUNCTION("""COMPUTED_VALUE"""),"ToeSegmentation2")</f>
        <v>ToeSegmentation2</v>
      </c>
      <c r="C882" s="10" t="str">
        <f ca="1">IFERROR(__xludf.DUMMYFUNCTION("""COMPUTED_VALUE"""),"mcar")</f>
        <v>mcar</v>
      </c>
      <c r="D882" s="10">
        <f ca="1">IFERROR(__xludf.DUMMYFUNCTION("""COMPUTED_VALUE"""),0.1)</f>
        <v>0.1</v>
      </c>
      <c r="E882" s="17">
        <f ca="1">IFERROR(__xludf.DUMMYFUNCTION("""COMPUTED_VALUE"""),0.933819139902859)</f>
        <v>0.93381913990285903</v>
      </c>
      <c r="F882" s="17">
        <f ca="1">IFERROR(__xludf.DUMMYFUNCTION("""COMPUTED_VALUE"""),0.763422925194404)</f>
        <v>0.76342292519440402</v>
      </c>
      <c r="G882" s="17">
        <f ca="1">IFERROR(__xludf.DUMMYFUNCTION("""COMPUTED_VALUE"""),0.772386930704018)</f>
        <v>0.77238693070401798</v>
      </c>
      <c r="H882" s="17">
        <f ca="1">IFERROR(__xludf.DUMMYFUNCTION("""COMPUTED_VALUE"""),0.857040115914039)</f>
        <v>0.85704011591403895</v>
      </c>
      <c r="I882" s="17">
        <f ca="1">IFERROR(__xludf.DUMMYFUNCTION("""COMPUTED_VALUE"""),0.615345178997726)</f>
        <v>0.61534517899772601</v>
      </c>
      <c r="J882" s="17">
        <f ca="1">IFERROR(__xludf.DUMMYFUNCTION("""COMPUTED_VALUE"""),0.798971380586936)</f>
        <v>0.79897138058693595</v>
      </c>
      <c r="K882" s="17" t="str">
        <f ca="1">IFERROR(__xludf.DUMMYFUNCTION("""COMPUTED_VALUE"""),"nan")</f>
        <v>nan</v>
      </c>
      <c r="L882" s="17">
        <f ca="1">IFERROR(__xludf.DUMMYFUNCTION("""COMPUTED_VALUE"""),0.935153220032252)</f>
        <v>0.93515322003225199</v>
      </c>
      <c r="M882" s="17">
        <f ca="1">IFERROR(__xludf.DUMMYFUNCTION("""COMPUTED_VALUE"""),0.832425250035569)</f>
        <v>0.832425250035569</v>
      </c>
      <c r="N882" s="17">
        <f ca="1">IFERROR(__xludf.DUMMYFUNCTION("""COMPUTED_VALUE"""),0.676605916242248)</f>
        <v>0.67660591624224797</v>
      </c>
      <c r="O882" s="17">
        <f ca="1">IFERROR(__xludf.DUMMYFUNCTION("""COMPUTED_VALUE"""),0.955467810237393)</f>
        <v>0.95546781023739302</v>
      </c>
      <c r="P882" s="17">
        <f ca="1">IFERROR(__xludf.DUMMYFUNCTION("""COMPUTED_VALUE"""),0.608239437661147)</f>
        <v>0.60823943766114696</v>
      </c>
      <c r="Q882" s="17">
        <f ca="1">IFERROR(__xludf.DUMMYFUNCTION("""COMPUTED_VALUE"""),1.16591705976603)</f>
        <v>1.16591705976603</v>
      </c>
      <c r="R882" s="17">
        <f ca="1">IFERROR(__xludf.DUMMYFUNCTION("""COMPUTED_VALUE"""),0.718574040147235)</f>
        <v>0.71857404014723503</v>
      </c>
      <c r="S882" s="17">
        <f ca="1">IFERROR(__xludf.DUMMYFUNCTION("""COMPUTED_VALUE"""),0.408539494819331)</f>
        <v>0.40853949481933099</v>
      </c>
      <c r="T882" s="17">
        <f ca="1">IFERROR(__xludf.DUMMYFUNCTION("""COMPUTED_VALUE"""),0.441893589589411)</f>
        <v>0.441893589589411</v>
      </c>
      <c r="U882" s="17">
        <f ca="1">IFERROR(__xludf.DUMMYFUNCTION("""COMPUTED_VALUE"""),0.566644057510571)</f>
        <v>0.56664405751057101</v>
      </c>
      <c r="V882" s="17">
        <f ca="1">IFERROR(__xludf.DUMMYFUNCTION("""COMPUTED_VALUE"""),0.657903240630292)</f>
        <v>0.65790324063029204</v>
      </c>
      <c r="W882" s="17">
        <f ca="1">IFERROR(__xludf.DUMMYFUNCTION("""COMPUTED_VALUE"""),0.535635549501317)</f>
        <v>0.53563554950131698</v>
      </c>
      <c r="X882" s="17">
        <f ca="1">IFERROR(__xludf.DUMMYFUNCTION("""COMPUTED_VALUE"""),0.651533145057254)</f>
        <v>0.65153314505725402</v>
      </c>
      <c r="Y882" s="17">
        <f ca="1">IFERROR(__xludf.DUMMYFUNCTION("""COMPUTED_VALUE"""),0.405481558996667)</f>
        <v>0.40548155899666699</v>
      </c>
      <c r="Z882" s="17">
        <f ca="1">IFERROR(__xludf.DUMMYFUNCTION("""COMPUTED_VALUE"""),0.536700055919491)</f>
        <v>0.53670005591949099</v>
      </c>
      <c r="AA882" s="17">
        <f ca="1">IFERROR(__xludf.DUMMYFUNCTION("""COMPUTED_VALUE"""),0.526438414645111)</f>
        <v>0.52643841464511099</v>
      </c>
      <c r="AB882" s="17">
        <f ca="1">IFERROR(__xludf.DUMMYFUNCTION("""COMPUTED_VALUE"""),0.684986160623224)</f>
        <v>0.68498616062322404</v>
      </c>
      <c r="AC882" s="17">
        <f ca="1">IFERROR(__xludf.DUMMYFUNCTION("""COMPUTED_VALUE"""),0.464643513943244)</f>
        <v>0.46464351394324399</v>
      </c>
      <c r="AD882" s="17">
        <f ca="1">IFERROR(__xludf.DUMMYFUNCTION("""COMPUTED_VALUE"""),0.473900016449486)</f>
        <v>0.47390001644948598</v>
      </c>
      <c r="AE882" s="17">
        <f ca="1">IFERROR(__xludf.DUMMYFUNCTION("""COMPUTED_VALUE"""),0.453259228517063)</f>
        <v>0.45325922851706302</v>
      </c>
      <c r="AF882" s="17">
        <f ca="1">IFERROR(__xludf.DUMMYFUNCTION("""COMPUTED_VALUE"""),0.558973871320973)</f>
        <v>0.55897387132097298</v>
      </c>
      <c r="AG882" s="17">
        <f ca="1">IFERROR(__xludf.DUMMYFUNCTION("""COMPUTED_VALUE"""),0.90124108153788)</f>
        <v>0.90124108153787996</v>
      </c>
      <c r="AH882" s="17">
        <f ca="1">IFERROR(__xludf.DUMMYFUNCTION("""COMPUTED_VALUE"""),0.571203912911408)</f>
        <v>0.57120391291140804</v>
      </c>
      <c r="AI882" s="17">
        <f ca="1">IFERROR(__xludf.DUMMYFUNCTION("""COMPUTED_VALUE"""),0.53818396291727)</f>
        <v>0.53818396291727</v>
      </c>
      <c r="AJ882" s="17">
        <f ca="1">IFERROR(__xludf.DUMMYFUNCTION("""COMPUTED_VALUE"""),0.522354700247215)</f>
        <v>0.52235470024721498</v>
      </c>
    </row>
    <row r="883" spans="2:36" ht="15.75" customHeight="1" x14ac:dyDescent="0.45">
      <c r="B883" s="10" t="str">
        <f ca="1">IFERROR(__xludf.DUMMYFUNCTION("""COMPUTED_VALUE"""),"ToeSegmentation2")</f>
        <v>ToeSegmentation2</v>
      </c>
      <c r="C883" s="10" t="str">
        <f ca="1">IFERROR(__xludf.DUMMYFUNCTION("""COMPUTED_VALUE"""),"mcar")</f>
        <v>mcar</v>
      </c>
      <c r="D883" s="10">
        <f ca="1">IFERROR(__xludf.DUMMYFUNCTION("""COMPUTED_VALUE"""),0.2)</f>
        <v>0.2</v>
      </c>
      <c r="E883" s="17">
        <f ca="1">IFERROR(__xludf.DUMMYFUNCTION("""COMPUTED_VALUE"""),0.995692993498293)</f>
        <v>0.99569299349829299</v>
      </c>
      <c r="F883" s="17">
        <f ca="1">IFERROR(__xludf.DUMMYFUNCTION("""COMPUTED_VALUE"""),0.747710435158578)</f>
        <v>0.74771043515857805</v>
      </c>
      <c r="G883" s="17">
        <f ca="1">IFERROR(__xludf.DUMMYFUNCTION("""COMPUTED_VALUE"""),0.751995214071472)</f>
        <v>0.75199521407147196</v>
      </c>
      <c r="H883" s="17">
        <f ca="1">IFERROR(__xludf.DUMMYFUNCTION("""COMPUTED_VALUE"""),0.934998234296358)</f>
        <v>0.93499823429635798</v>
      </c>
      <c r="I883" s="17">
        <f ca="1">IFERROR(__xludf.DUMMYFUNCTION("""COMPUTED_VALUE"""),0.665875033261681)</f>
        <v>0.66587503326168096</v>
      </c>
      <c r="J883" s="17">
        <f ca="1">IFERROR(__xludf.DUMMYFUNCTION("""COMPUTED_VALUE"""),0.793589646976571)</f>
        <v>0.79358964697657097</v>
      </c>
      <c r="K883" s="17" t="str">
        <f ca="1">IFERROR(__xludf.DUMMYFUNCTION("""COMPUTED_VALUE"""),"nan")</f>
        <v>nan</v>
      </c>
      <c r="L883" s="17">
        <f ca="1">IFERROR(__xludf.DUMMYFUNCTION("""COMPUTED_VALUE"""),0.937544365042555)</f>
        <v>0.93754436504255501</v>
      </c>
      <c r="M883" s="17">
        <f ca="1">IFERROR(__xludf.DUMMYFUNCTION("""COMPUTED_VALUE"""),0.832441893043205)</f>
        <v>0.83244189304320504</v>
      </c>
      <c r="N883" s="17">
        <f ca="1">IFERROR(__xludf.DUMMYFUNCTION("""COMPUTED_VALUE"""),0.677277896348088)</f>
        <v>0.67727789634808799</v>
      </c>
      <c r="O883" s="17">
        <f ca="1">IFERROR(__xludf.DUMMYFUNCTION("""COMPUTED_VALUE"""),0.792348528441886)</f>
        <v>0.79234852844188597</v>
      </c>
      <c r="P883" s="17">
        <f ca="1">IFERROR(__xludf.DUMMYFUNCTION("""COMPUTED_VALUE"""),0.68994522602784)</f>
        <v>0.68994522602784003</v>
      </c>
      <c r="Q883" s="17">
        <f ca="1">IFERROR(__xludf.DUMMYFUNCTION("""COMPUTED_VALUE"""),1.28503408051705)</f>
        <v>1.2850340805170499</v>
      </c>
      <c r="R883" s="17">
        <f ca="1">IFERROR(__xludf.DUMMYFUNCTION("""COMPUTED_VALUE"""),0.771781173786453)</f>
        <v>0.77178117378645295</v>
      </c>
      <c r="S883" s="17">
        <f ca="1">IFERROR(__xludf.DUMMYFUNCTION("""COMPUTED_VALUE"""),0.698422879593243)</f>
        <v>0.69842287959324301</v>
      </c>
      <c r="T883" s="17">
        <f ca="1">IFERROR(__xludf.DUMMYFUNCTION("""COMPUTED_VALUE"""),0.481828409481408)</f>
        <v>0.48182840948140798</v>
      </c>
      <c r="U883" s="17">
        <f ca="1">IFERROR(__xludf.DUMMYFUNCTION("""COMPUTED_VALUE"""),0.518116825744579)</f>
        <v>0.51811682574457896</v>
      </c>
      <c r="V883" s="17">
        <f ca="1">IFERROR(__xludf.DUMMYFUNCTION("""COMPUTED_VALUE"""),0.66122630184614)</f>
        <v>0.66122630184613995</v>
      </c>
      <c r="W883" s="17">
        <f ca="1">IFERROR(__xludf.DUMMYFUNCTION("""COMPUTED_VALUE"""),0.595759070327988)</f>
        <v>0.59575907032798803</v>
      </c>
      <c r="X883" s="17">
        <f ca="1">IFERROR(__xludf.DUMMYFUNCTION("""COMPUTED_VALUE"""),0.631688667007997)</f>
        <v>0.63168866700799697</v>
      </c>
      <c r="Y883" s="17">
        <f ca="1">IFERROR(__xludf.DUMMYFUNCTION("""COMPUTED_VALUE"""),0.40899543313118)</f>
        <v>0.40899543313117998</v>
      </c>
      <c r="Z883" s="17">
        <f ca="1">IFERROR(__xludf.DUMMYFUNCTION("""COMPUTED_VALUE"""),0.557759926103454)</f>
        <v>0.55775992610345404</v>
      </c>
      <c r="AA883" s="17">
        <f ca="1">IFERROR(__xludf.DUMMYFUNCTION("""COMPUTED_VALUE"""),0.443705980658065)</f>
        <v>0.44370598065806499</v>
      </c>
      <c r="AB883" s="17">
        <f ca="1">IFERROR(__xludf.DUMMYFUNCTION("""COMPUTED_VALUE"""),0.767122957716699)</f>
        <v>0.76712295771669903</v>
      </c>
      <c r="AC883" s="17">
        <f ca="1">IFERROR(__xludf.DUMMYFUNCTION("""COMPUTED_VALUE"""),0.45758949441343)</f>
        <v>0.45758949441343</v>
      </c>
      <c r="AD883" s="17">
        <f ca="1">IFERROR(__xludf.DUMMYFUNCTION("""COMPUTED_VALUE"""),0.515751603292537)</f>
        <v>0.515751603292537</v>
      </c>
      <c r="AE883" s="17">
        <f ca="1">IFERROR(__xludf.DUMMYFUNCTION("""COMPUTED_VALUE"""),0.480669602457661)</f>
        <v>0.48066960245766099</v>
      </c>
      <c r="AF883" s="17">
        <f ca="1">IFERROR(__xludf.DUMMYFUNCTION("""COMPUTED_VALUE"""),0.773015632819744)</f>
        <v>0.77301563281974395</v>
      </c>
      <c r="AG883" s="17">
        <f ca="1">IFERROR(__xludf.DUMMYFUNCTION("""COMPUTED_VALUE"""),1.05445048167381)</f>
        <v>1.0544504816738101</v>
      </c>
      <c r="AH883" s="17">
        <f ca="1">IFERROR(__xludf.DUMMYFUNCTION("""COMPUTED_VALUE"""),0.565227125511695)</f>
        <v>0.56522712551169496</v>
      </c>
      <c r="AI883" s="17">
        <f ca="1">IFERROR(__xludf.DUMMYFUNCTION("""COMPUTED_VALUE"""),0.737745241342669)</f>
        <v>0.73774524134266894</v>
      </c>
      <c r="AJ883" s="17">
        <f ca="1">IFERROR(__xludf.DUMMYFUNCTION("""COMPUTED_VALUE"""),0.614709584739131)</f>
        <v>0.61470958473913095</v>
      </c>
    </row>
    <row r="884" spans="2:36" ht="15.75" customHeight="1" x14ac:dyDescent="0.45">
      <c r="B884" s="10" t="str">
        <f ca="1">IFERROR(__xludf.DUMMYFUNCTION("""COMPUTED_VALUE"""),"ToeSegmentation2")</f>
        <v>ToeSegmentation2</v>
      </c>
      <c r="C884" s="10" t="str">
        <f ca="1">IFERROR(__xludf.DUMMYFUNCTION("""COMPUTED_VALUE"""),"mcar")</f>
        <v>mcar</v>
      </c>
      <c r="D884" s="10">
        <f ca="1">IFERROR(__xludf.DUMMYFUNCTION("""COMPUTED_VALUE"""),0.4)</f>
        <v>0.4</v>
      </c>
      <c r="E884" s="17">
        <f ca="1">IFERROR(__xludf.DUMMYFUNCTION("""COMPUTED_VALUE"""),1.01149960417272)</f>
        <v>1.01149960417272</v>
      </c>
      <c r="F884" s="17">
        <f ca="1">IFERROR(__xludf.DUMMYFUNCTION("""COMPUTED_VALUE"""),0.852576503229569)</f>
        <v>0.85257650322956902</v>
      </c>
      <c r="G884" s="17">
        <f ca="1">IFERROR(__xludf.DUMMYFUNCTION("""COMPUTED_VALUE"""),0.863098387303972)</f>
        <v>0.86309838730397204</v>
      </c>
      <c r="H884" s="17">
        <f ca="1">IFERROR(__xludf.DUMMYFUNCTION("""COMPUTED_VALUE"""),0.958612757926138)</f>
        <v>0.95861275792613798</v>
      </c>
      <c r="I884" s="17">
        <f ca="1">IFERROR(__xludf.DUMMYFUNCTION("""COMPUTED_VALUE"""),0.740545020327022)</f>
        <v>0.74054502032702196</v>
      </c>
      <c r="J884" s="17">
        <f ca="1">IFERROR(__xludf.DUMMYFUNCTION("""COMPUTED_VALUE"""),0.89203566832075)</f>
        <v>0.89203566832074999</v>
      </c>
      <c r="K884" s="17" t="str">
        <f ca="1">IFERROR(__xludf.DUMMYFUNCTION("""COMPUTED_VALUE"""),"nan")</f>
        <v>nan</v>
      </c>
      <c r="L884" s="17">
        <f ca="1">IFERROR(__xludf.DUMMYFUNCTION("""COMPUTED_VALUE"""),0.971119537027351)</f>
        <v>0.97111953702735099</v>
      </c>
      <c r="M884" s="17">
        <f ca="1">IFERROR(__xludf.DUMMYFUNCTION("""COMPUTED_VALUE"""),0.926372771552502)</f>
        <v>0.92637277155250197</v>
      </c>
      <c r="N884" s="17">
        <f ca="1">IFERROR(__xludf.DUMMYFUNCTION("""COMPUTED_VALUE"""),0.732699736789702)</f>
        <v>0.73269973678970202</v>
      </c>
      <c r="O884" s="17">
        <f ca="1">IFERROR(__xludf.DUMMYFUNCTION("""COMPUTED_VALUE"""),0.906920181508506)</f>
        <v>0.90692018150850595</v>
      </c>
      <c r="P884" s="17">
        <f ca="1">IFERROR(__xludf.DUMMYFUNCTION("""COMPUTED_VALUE"""),0.773106991437607)</f>
        <v>0.77310699143760697</v>
      </c>
      <c r="Q884" s="17">
        <f ca="1">IFERROR(__xludf.DUMMYFUNCTION("""COMPUTED_VALUE"""),1.41371053897263)</f>
        <v>1.4137105389726301</v>
      </c>
      <c r="R884" s="17">
        <f ca="1">IFERROR(__xludf.DUMMYFUNCTION("""COMPUTED_VALUE"""),0.825077121033709)</f>
        <v>0.825077121033709</v>
      </c>
      <c r="S884" s="17">
        <f ca="1">IFERROR(__xludf.DUMMYFUNCTION("""COMPUTED_VALUE"""),0.885021059409872)</f>
        <v>0.88502105940987197</v>
      </c>
      <c r="T884" s="17">
        <f ca="1">IFERROR(__xludf.DUMMYFUNCTION("""COMPUTED_VALUE"""),0.549505414848035)</f>
        <v>0.54950541484803495</v>
      </c>
      <c r="U884" s="17">
        <f ca="1">IFERROR(__xludf.DUMMYFUNCTION("""COMPUTED_VALUE"""),0.732296673109904)</f>
        <v>0.73229667310990398</v>
      </c>
      <c r="V884" s="17">
        <f ca="1">IFERROR(__xludf.DUMMYFUNCTION("""COMPUTED_VALUE"""),0.665204528371103)</f>
        <v>0.665204528371103</v>
      </c>
      <c r="W884" s="17">
        <f ca="1">IFERROR(__xludf.DUMMYFUNCTION("""COMPUTED_VALUE"""),0.598505667307143)</f>
        <v>0.59850566730714305</v>
      </c>
      <c r="X884" s="17">
        <f ca="1">IFERROR(__xludf.DUMMYFUNCTION("""COMPUTED_VALUE"""),0.720263617679611)</f>
        <v>0.720263617679611</v>
      </c>
      <c r="Y884" s="17">
        <f ca="1">IFERROR(__xludf.DUMMYFUNCTION("""COMPUTED_VALUE"""),0.483747967089421)</f>
        <v>0.48374796708942103</v>
      </c>
      <c r="Z884" s="17">
        <f ca="1">IFERROR(__xludf.DUMMYFUNCTION("""COMPUTED_VALUE"""),0.707209045848555)</f>
        <v>0.70720904584855504</v>
      </c>
      <c r="AA884" s="17">
        <f ca="1">IFERROR(__xludf.DUMMYFUNCTION("""COMPUTED_VALUE"""),0.615344027731318)</f>
        <v>0.61534402773131802</v>
      </c>
      <c r="AB884" s="17">
        <f ca="1">IFERROR(__xludf.DUMMYFUNCTION("""COMPUTED_VALUE"""),0.838784579856275)</f>
        <v>0.83878457985627497</v>
      </c>
      <c r="AC884" s="17">
        <f ca="1">IFERROR(__xludf.DUMMYFUNCTION("""COMPUTED_VALUE"""),0.533394370452786)</f>
        <v>0.53339437045278604</v>
      </c>
      <c r="AD884" s="17">
        <f ca="1">IFERROR(__xludf.DUMMYFUNCTION("""COMPUTED_VALUE"""),0.583618569977675)</f>
        <v>0.58361856997767503</v>
      </c>
      <c r="AE884" s="17">
        <f ca="1">IFERROR(__xludf.DUMMYFUNCTION("""COMPUTED_VALUE"""),0.638953804521008)</f>
        <v>0.63895380452100803</v>
      </c>
      <c r="AF884" s="17">
        <f ca="1">IFERROR(__xludf.DUMMYFUNCTION("""COMPUTED_VALUE"""),0.946954264035986)</f>
        <v>0.94695426403598604</v>
      </c>
      <c r="AG884" s="17">
        <f ca="1">IFERROR(__xludf.DUMMYFUNCTION("""COMPUTED_VALUE"""),1.05525661237449)</f>
        <v>1.05525661237449</v>
      </c>
      <c r="AH884" s="17">
        <f ca="1">IFERROR(__xludf.DUMMYFUNCTION("""COMPUTED_VALUE"""),0.75225851086933)</f>
        <v>0.75225851086933004</v>
      </c>
      <c r="AI884" s="17">
        <f ca="1">IFERROR(__xludf.DUMMYFUNCTION("""COMPUTED_VALUE"""),1.00380603180759)</f>
        <v>1.0038060318075901</v>
      </c>
      <c r="AJ884" s="17">
        <f ca="1">IFERROR(__xludf.DUMMYFUNCTION("""COMPUTED_VALUE"""),0.836198521823178)</f>
        <v>0.836198521823178</v>
      </c>
    </row>
    <row r="885" spans="2:36" ht="15.75" customHeight="1" x14ac:dyDescent="0.45">
      <c r="B885" s="10" t="str">
        <f ca="1">IFERROR(__xludf.DUMMYFUNCTION("""COMPUTED_VALUE"""),"ToeSegmentation2")</f>
        <v>ToeSegmentation2</v>
      </c>
      <c r="C885" s="10" t="str">
        <f ca="1">IFERROR(__xludf.DUMMYFUNCTION("""COMPUTED_VALUE"""),"mcar")</f>
        <v>mcar</v>
      </c>
      <c r="D885" s="10">
        <f ca="1">IFERROR(__xludf.DUMMYFUNCTION("""COMPUTED_VALUE"""),0.6)</f>
        <v>0.6</v>
      </c>
      <c r="E885" s="17">
        <f ca="1">IFERROR(__xludf.DUMMYFUNCTION("""COMPUTED_VALUE"""),1.01366231524258)</f>
        <v>1.0136623152425801</v>
      </c>
      <c r="F885" s="17">
        <f ca="1">IFERROR(__xludf.DUMMYFUNCTION("""COMPUTED_VALUE"""),0.865010530044936)</f>
        <v>0.865010530044936</v>
      </c>
      <c r="G885" s="17">
        <f ca="1">IFERROR(__xludf.DUMMYFUNCTION("""COMPUTED_VALUE"""),0.888182635876875)</f>
        <v>0.88818263587687496</v>
      </c>
      <c r="H885" s="17">
        <f ca="1">IFERROR(__xludf.DUMMYFUNCTION("""COMPUTED_VALUE"""),1.00750903954001)</f>
        <v>1.0075090395400099</v>
      </c>
      <c r="I885" s="17">
        <f ca="1">IFERROR(__xludf.DUMMYFUNCTION("""COMPUTED_VALUE"""),0.789857749685121)</f>
        <v>0.78985774968512101</v>
      </c>
      <c r="J885" s="17">
        <f ca="1">IFERROR(__xludf.DUMMYFUNCTION("""COMPUTED_VALUE"""),0.915623901691731)</f>
        <v>0.91562390169173102</v>
      </c>
      <c r="K885" s="17" t="str">
        <f ca="1">IFERROR(__xludf.DUMMYFUNCTION("""COMPUTED_VALUE"""),"nan")</f>
        <v>nan</v>
      </c>
      <c r="L885" s="17">
        <f ca="1">IFERROR(__xludf.DUMMYFUNCTION("""COMPUTED_VALUE"""),0.908835751962249)</f>
        <v>0.90883575196224897</v>
      </c>
      <c r="M885" s="17">
        <f ca="1">IFERROR(__xludf.DUMMYFUNCTION("""COMPUTED_VALUE"""),0.940543171553156)</f>
        <v>0.94054317155315603</v>
      </c>
      <c r="N885" s="17">
        <f ca="1">IFERROR(__xludf.DUMMYFUNCTION("""COMPUTED_VALUE"""),0.859082848670362)</f>
        <v>0.859082848670362</v>
      </c>
      <c r="O885" s="17">
        <f ca="1">IFERROR(__xludf.DUMMYFUNCTION("""COMPUTED_VALUE"""),0.885385235504472)</f>
        <v>0.88538523550447201</v>
      </c>
      <c r="P885" s="17">
        <f ca="1">IFERROR(__xludf.DUMMYFUNCTION("""COMPUTED_VALUE"""),0.830110582374693)</f>
        <v>0.83011058237469304</v>
      </c>
      <c r="Q885" s="17">
        <f ca="1">IFERROR(__xludf.DUMMYFUNCTION("""COMPUTED_VALUE"""),1.35214011806136)</f>
        <v>1.3521401180613599</v>
      </c>
      <c r="R885" s="17">
        <f ca="1">IFERROR(__xludf.DUMMYFUNCTION("""COMPUTED_VALUE"""),0.850446382165691)</f>
        <v>0.85044638216569102</v>
      </c>
      <c r="S885" s="17">
        <f ca="1">IFERROR(__xludf.DUMMYFUNCTION("""COMPUTED_VALUE"""),1.04089730985768)</f>
        <v>1.0408973098576799</v>
      </c>
      <c r="T885" s="17">
        <f ca="1">IFERROR(__xludf.DUMMYFUNCTION("""COMPUTED_VALUE"""),0.627441966495225)</f>
        <v>0.62744196649522499</v>
      </c>
      <c r="U885" s="17">
        <f ca="1">IFERROR(__xludf.DUMMYFUNCTION("""COMPUTED_VALUE"""),0.769527918422684)</f>
        <v>0.76952791842268398</v>
      </c>
      <c r="V885" s="17">
        <f ca="1">IFERROR(__xludf.DUMMYFUNCTION("""COMPUTED_VALUE"""),0.680735060585058)</f>
        <v>0.68073506058505795</v>
      </c>
      <c r="W885" s="17">
        <f ca="1">IFERROR(__xludf.DUMMYFUNCTION("""COMPUTED_VALUE"""),0.699479658615779)</f>
        <v>0.69947965861577899</v>
      </c>
      <c r="X885" s="17">
        <f ca="1">IFERROR(__xludf.DUMMYFUNCTION("""COMPUTED_VALUE"""),0.774985213288396)</f>
        <v>0.77498521328839598</v>
      </c>
      <c r="Y885" s="17">
        <f ca="1">IFERROR(__xludf.DUMMYFUNCTION("""COMPUTED_VALUE"""),0.587020821597876)</f>
        <v>0.58702082159787605</v>
      </c>
      <c r="Z885" s="17">
        <f ca="1">IFERROR(__xludf.DUMMYFUNCTION("""COMPUTED_VALUE"""),0.77489911134046)</f>
        <v>0.77489911134045997</v>
      </c>
      <c r="AA885" s="17">
        <f ca="1">IFERROR(__xludf.DUMMYFUNCTION("""COMPUTED_VALUE"""),0.826686193496823)</f>
        <v>0.82668619349682304</v>
      </c>
      <c r="AB885" s="17">
        <f ca="1">IFERROR(__xludf.DUMMYFUNCTION("""COMPUTED_VALUE"""),0.979668809361331)</f>
        <v>0.97966880936133105</v>
      </c>
      <c r="AC885" s="17">
        <f ca="1">IFERROR(__xludf.DUMMYFUNCTION("""COMPUTED_VALUE"""),0.633726987827752)</f>
        <v>0.63372698782775205</v>
      </c>
      <c r="AD885" s="17">
        <f ca="1">IFERROR(__xludf.DUMMYFUNCTION("""COMPUTED_VALUE"""),0.702421417101279)</f>
        <v>0.70242141710127903</v>
      </c>
      <c r="AE885" s="17">
        <f ca="1">IFERROR(__xludf.DUMMYFUNCTION("""COMPUTED_VALUE"""),0.95222661808723)</f>
        <v>0.95222661808722997</v>
      </c>
      <c r="AF885" s="17">
        <f ca="1">IFERROR(__xludf.DUMMYFUNCTION("""COMPUTED_VALUE"""),0.997631403227286)</f>
        <v>0.99763140322728605</v>
      </c>
      <c r="AG885" s="17">
        <f ca="1">IFERROR(__xludf.DUMMYFUNCTION("""COMPUTED_VALUE"""),1.09596453480196)</f>
        <v>1.09596453480196</v>
      </c>
      <c r="AH885" s="17">
        <f ca="1">IFERROR(__xludf.DUMMYFUNCTION("""COMPUTED_VALUE"""),1.01240540932201)</f>
        <v>1.0124054093220101</v>
      </c>
      <c r="AI885" s="17">
        <f ca="1">IFERROR(__xludf.DUMMYFUNCTION("""COMPUTED_VALUE"""),1.00964157004029)</f>
        <v>1.0096415700402901</v>
      </c>
      <c r="AJ885" s="17">
        <f ca="1">IFERROR(__xludf.DUMMYFUNCTION("""COMPUTED_VALUE"""),1.07069769145582)</f>
        <v>1.0706976914558199</v>
      </c>
    </row>
    <row r="886" spans="2:36" ht="15.75" customHeight="1" x14ac:dyDescent="0.45">
      <c r="B886" s="10" t="str">
        <f ca="1">IFERROR(__xludf.DUMMYFUNCTION("""COMPUTED_VALUE"""),"ToeSegmentation2")</f>
        <v>ToeSegmentation2</v>
      </c>
      <c r="C886" s="10" t="str">
        <f ca="1">IFERROR(__xludf.DUMMYFUNCTION("""COMPUTED_VALUE"""),"mcar")</f>
        <v>mcar</v>
      </c>
      <c r="D886" s="10">
        <f ca="1">IFERROR(__xludf.DUMMYFUNCTION("""COMPUTED_VALUE"""),0.8)</f>
        <v>0.8</v>
      </c>
      <c r="E886" s="17">
        <f ca="1">IFERROR(__xludf.DUMMYFUNCTION("""COMPUTED_VALUE"""),1.00730216228605)</f>
        <v>1.0073021622860501</v>
      </c>
      <c r="F886" s="17">
        <f ca="1">IFERROR(__xludf.DUMMYFUNCTION("""COMPUTED_VALUE"""),0.988860535079819)</f>
        <v>0.98886053507981897</v>
      </c>
      <c r="G886" s="17">
        <f ca="1">IFERROR(__xludf.DUMMYFUNCTION("""COMPUTED_VALUE"""),1.22153589502232)</f>
        <v>1.2215358950223201</v>
      </c>
      <c r="H886" s="17">
        <f ca="1">IFERROR(__xludf.DUMMYFUNCTION("""COMPUTED_VALUE"""),1.03976746227058)</f>
        <v>1.0397674622705799</v>
      </c>
      <c r="I886" s="17">
        <f ca="1">IFERROR(__xludf.DUMMYFUNCTION("""COMPUTED_VALUE"""),0.891048117444956)</f>
        <v>0.89104811744495604</v>
      </c>
      <c r="J886" s="17">
        <f ca="1">IFERROR(__xludf.DUMMYFUNCTION("""COMPUTED_VALUE"""),1.02615593189176)</f>
        <v>1.0261559318917599</v>
      </c>
      <c r="K886" s="17" t="str">
        <f ca="1">IFERROR(__xludf.DUMMYFUNCTION("""COMPUTED_VALUE"""),"nan")</f>
        <v>nan</v>
      </c>
      <c r="L886" s="17">
        <f ca="1">IFERROR(__xludf.DUMMYFUNCTION("""COMPUTED_VALUE"""),1.03798829044141)</f>
        <v>1.0379882904414099</v>
      </c>
      <c r="M886" s="17">
        <f ca="1">IFERROR(__xludf.DUMMYFUNCTION("""COMPUTED_VALUE"""),1.40923019700269)</f>
        <v>1.4092301970026899</v>
      </c>
      <c r="N886" s="17">
        <f ca="1">IFERROR(__xludf.DUMMYFUNCTION("""COMPUTED_VALUE"""),1.03584540420338)</f>
        <v>1.03584540420338</v>
      </c>
      <c r="O886" s="17">
        <f ca="1">IFERROR(__xludf.DUMMYFUNCTION("""COMPUTED_VALUE"""),1.04936667377289)</f>
        <v>1.0493666737728899</v>
      </c>
      <c r="P886" s="17">
        <f ca="1">IFERROR(__xludf.DUMMYFUNCTION("""COMPUTED_VALUE"""),0.960147982514829)</f>
        <v>0.96014798251482902</v>
      </c>
      <c r="Q886" s="17">
        <f ca="1">IFERROR(__xludf.DUMMYFUNCTION("""COMPUTED_VALUE"""),1.37485834128033)</f>
        <v>1.3748583412803299</v>
      </c>
      <c r="R886" s="17">
        <f ca="1">IFERROR(__xludf.DUMMYFUNCTION("""COMPUTED_VALUE"""),1.50273516473235)</f>
        <v>1.5027351647323499</v>
      </c>
      <c r="S886" s="17">
        <f ca="1">IFERROR(__xludf.DUMMYFUNCTION("""COMPUTED_VALUE"""),1.40093567662537)</f>
        <v>1.40093567662537</v>
      </c>
      <c r="T886" s="17">
        <f ca="1">IFERROR(__xludf.DUMMYFUNCTION("""COMPUTED_VALUE"""),0.796893116396845)</f>
        <v>0.79689311639684501</v>
      </c>
      <c r="U886" s="17">
        <f ca="1">IFERROR(__xludf.DUMMYFUNCTION("""COMPUTED_VALUE"""),0.99249686728337)</f>
        <v>0.99249686728337005</v>
      </c>
      <c r="V886" s="17">
        <f ca="1">IFERROR(__xludf.DUMMYFUNCTION("""COMPUTED_VALUE"""),0.991644248604094)</f>
        <v>0.99164424860409395</v>
      </c>
      <c r="W886" s="17">
        <f ca="1">IFERROR(__xludf.DUMMYFUNCTION("""COMPUTED_VALUE"""),0.841945420109492)</f>
        <v>0.84194542010949203</v>
      </c>
      <c r="X886" s="17">
        <f ca="1">IFERROR(__xludf.DUMMYFUNCTION("""COMPUTED_VALUE"""),0.926995198455163)</f>
        <v>0.92699519845516298</v>
      </c>
      <c r="Y886" s="17">
        <f ca="1">IFERROR(__xludf.DUMMYFUNCTION("""COMPUTED_VALUE"""),0.877193720031397)</f>
        <v>0.87719372003139695</v>
      </c>
      <c r="Z886" s="17">
        <f ca="1">IFERROR(__xludf.DUMMYFUNCTION("""COMPUTED_VALUE"""),0.901055847982614)</f>
        <v>0.90105584798261396</v>
      </c>
      <c r="AA886" s="17">
        <f ca="1">IFERROR(__xludf.DUMMYFUNCTION("""COMPUTED_VALUE"""),1.25385952728072)</f>
        <v>1.25385952728072</v>
      </c>
      <c r="AB886" s="17">
        <f ca="1">IFERROR(__xludf.DUMMYFUNCTION("""COMPUTED_VALUE"""),1.33029482139278)</f>
        <v>1.3302948213927801</v>
      </c>
      <c r="AC886" s="17">
        <f ca="1">IFERROR(__xludf.DUMMYFUNCTION("""COMPUTED_VALUE"""),0.943684880993424)</f>
        <v>0.94368488099342396</v>
      </c>
      <c r="AD886" s="17">
        <f ca="1">IFERROR(__xludf.DUMMYFUNCTION("""COMPUTED_VALUE"""),0.910703547131755)</f>
        <v>0.91070354713175505</v>
      </c>
      <c r="AE886" s="17">
        <f ca="1">IFERROR(__xludf.DUMMYFUNCTION("""COMPUTED_VALUE"""),1.10168947085556)</f>
        <v>1.10168947085556</v>
      </c>
      <c r="AF886" s="17">
        <f ca="1">IFERROR(__xludf.DUMMYFUNCTION("""COMPUTED_VALUE"""),1.0200467342268)</f>
        <v>1.0200467342268</v>
      </c>
      <c r="AG886" s="17">
        <f ca="1">IFERROR(__xludf.DUMMYFUNCTION("""COMPUTED_VALUE"""),1.08436893688162)</f>
        <v>1.0843689368816201</v>
      </c>
      <c r="AH886" s="17">
        <f ca="1">IFERROR(__xludf.DUMMYFUNCTION("""COMPUTED_VALUE"""),1.12738391691508)</f>
        <v>1.1273839169150801</v>
      </c>
      <c r="AI886" s="17">
        <f ca="1">IFERROR(__xludf.DUMMYFUNCTION("""COMPUTED_VALUE"""),1.02830888012054)</f>
        <v>1.02830888012054</v>
      </c>
      <c r="AJ886" s="17">
        <f ca="1">IFERROR(__xludf.DUMMYFUNCTION("""COMPUTED_VALUE"""),1.05902706325129)</f>
        <v>1.0590270632512899</v>
      </c>
    </row>
    <row r="887" spans="2:36" ht="15.75" customHeight="1" x14ac:dyDescent="0.45">
      <c r="B887" s="10" t="str">
        <f ca="1">IFERROR(__xludf.DUMMYFUNCTION("""COMPUTED_VALUE"""),"Trace")</f>
        <v>Trace</v>
      </c>
      <c r="C887" s="10" t="str">
        <f ca="1">IFERROR(__xludf.DUMMYFUNCTION("""COMPUTED_VALUE"""),"aligned_series")</f>
        <v>aligned_series</v>
      </c>
      <c r="D887" s="10">
        <f ca="1">IFERROR(__xludf.DUMMYFUNCTION("""COMPUTED_VALUE"""),0.1)</f>
        <v>0.1</v>
      </c>
      <c r="E887" s="17">
        <f ca="1">IFERROR(__xludf.DUMMYFUNCTION("""COMPUTED_VALUE"""),1.35957836562703)</f>
        <v>1.3595783656270299</v>
      </c>
      <c r="F887" s="17">
        <f ca="1">IFERROR(__xludf.DUMMYFUNCTION("""COMPUTED_VALUE"""),0.598732123674736)</f>
        <v>0.59873212367473605</v>
      </c>
      <c r="G887" s="17">
        <f ca="1">IFERROR(__xludf.DUMMYFUNCTION("""COMPUTED_VALUE"""),0.597092852335456)</f>
        <v>0.59709285233545595</v>
      </c>
      <c r="H887" s="17">
        <f ca="1">IFERROR(__xludf.DUMMYFUNCTION("""COMPUTED_VALUE"""),0.649591844029666)</f>
        <v>0.64959184402966597</v>
      </c>
      <c r="I887" s="17">
        <f ca="1">IFERROR(__xludf.DUMMYFUNCTION("""COMPUTED_VALUE"""),0.529973059724598)</f>
        <v>0.52997305972459796</v>
      </c>
      <c r="J887" s="17">
        <f ca="1">IFERROR(__xludf.DUMMYFUNCTION("""COMPUTED_VALUE"""),0.67186314443693)</f>
        <v>0.67186314443692996</v>
      </c>
      <c r="K887" s="17" t="str">
        <f ca="1">IFERROR(__xludf.DUMMYFUNCTION("""COMPUTED_VALUE"""),"nan")</f>
        <v>nan</v>
      </c>
      <c r="L887" s="17">
        <f ca="1">IFERROR(__xludf.DUMMYFUNCTION("""COMPUTED_VALUE"""),0.5776273956568)</f>
        <v>0.57762739565679999</v>
      </c>
      <c r="M887" s="17">
        <f ca="1">IFERROR(__xludf.DUMMYFUNCTION("""COMPUTED_VALUE"""),0.60139609674236)</f>
        <v>0.60139609674236005</v>
      </c>
      <c r="N887" s="17">
        <f ca="1">IFERROR(__xludf.DUMMYFUNCTION("""COMPUTED_VALUE"""),0.67662177254434)</f>
        <v>0.67662177254433997</v>
      </c>
      <c r="O887" s="17">
        <f ca="1">IFERROR(__xludf.DUMMYFUNCTION("""COMPUTED_VALUE"""),0.554693108710811)</f>
        <v>0.55469310871081101</v>
      </c>
      <c r="P887" s="17">
        <f ca="1">IFERROR(__xludf.DUMMYFUNCTION("""COMPUTED_VALUE"""),1.42768213591355)</f>
        <v>1.4276821359135501</v>
      </c>
      <c r="Q887" s="17">
        <f ca="1">IFERROR(__xludf.DUMMYFUNCTION("""COMPUTED_VALUE"""),0.802749490813175)</f>
        <v>0.80274949081317504</v>
      </c>
      <c r="R887" s="17">
        <f ca="1">IFERROR(__xludf.DUMMYFUNCTION("""COMPUTED_VALUE"""),0.520059431132897)</f>
        <v>0.52005943113289699</v>
      </c>
      <c r="S887" s="17">
        <f ca="1">IFERROR(__xludf.DUMMYFUNCTION("""COMPUTED_VALUE"""),0.637230411906317)</f>
        <v>0.63723041190631702</v>
      </c>
      <c r="T887" s="17">
        <f ca="1">IFERROR(__xludf.DUMMYFUNCTION("""COMPUTED_VALUE"""),0.672093213176785)</f>
        <v>0.67209321317678505</v>
      </c>
      <c r="U887" s="17">
        <f ca="1">IFERROR(__xludf.DUMMYFUNCTION("""COMPUTED_VALUE"""),0.658663944723323)</f>
        <v>0.65866394472332301</v>
      </c>
      <c r="V887" s="17">
        <f ca="1">IFERROR(__xludf.DUMMYFUNCTION("""COMPUTED_VALUE"""),0.626768114092267)</f>
        <v>0.62676811409226696</v>
      </c>
      <c r="W887" s="17">
        <f ca="1">IFERROR(__xludf.DUMMYFUNCTION("""COMPUTED_VALUE"""),0.752254115329007)</f>
        <v>0.75225411532900699</v>
      </c>
      <c r="X887" s="17">
        <f ca="1">IFERROR(__xludf.DUMMYFUNCTION("""COMPUTED_VALUE"""),0.721922118770125)</f>
        <v>0.72192211877012502</v>
      </c>
      <c r="Y887" s="17">
        <f ca="1">IFERROR(__xludf.DUMMYFUNCTION("""COMPUTED_VALUE"""),0.65339085092485)</f>
        <v>0.65339085092485005</v>
      </c>
      <c r="Z887" s="17">
        <f ca="1">IFERROR(__xludf.DUMMYFUNCTION("""COMPUTED_VALUE"""),0.692563322087977)</f>
        <v>0.692563322087977</v>
      </c>
      <c r="AA887" s="17">
        <f ca="1">IFERROR(__xludf.DUMMYFUNCTION("""COMPUTED_VALUE"""),0.395683232408233)</f>
        <v>0.395683232408233</v>
      </c>
      <c r="AB887" s="17">
        <f ca="1">IFERROR(__xludf.DUMMYFUNCTION("""COMPUTED_VALUE"""),0.673281689241587)</f>
        <v>0.67328168924158704</v>
      </c>
      <c r="AC887" s="17">
        <f ca="1">IFERROR(__xludf.DUMMYFUNCTION("""COMPUTED_VALUE"""),1.10111693129565)</f>
        <v>1.1011169312956499</v>
      </c>
      <c r="AD887" s="17">
        <f ca="1">IFERROR(__xludf.DUMMYFUNCTION("""COMPUTED_VALUE"""),0.808692654614109)</f>
        <v>0.808692654614109</v>
      </c>
      <c r="AE887" s="17">
        <f ca="1">IFERROR(__xludf.DUMMYFUNCTION("""COMPUTED_VALUE"""),1.63073578420002)</f>
        <v>1.6307357842000201</v>
      </c>
      <c r="AF887" s="17">
        <f ca="1">IFERROR(__xludf.DUMMYFUNCTION("""COMPUTED_VALUE"""),0.87008951930409)</f>
        <v>0.87008951930408995</v>
      </c>
      <c r="AG887" s="17">
        <f ca="1">IFERROR(__xludf.DUMMYFUNCTION("""COMPUTED_VALUE"""),1.45164754798823)</f>
        <v>1.45164754798823</v>
      </c>
      <c r="AH887" s="17">
        <f ca="1">IFERROR(__xludf.DUMMYFUNCTION("""COMPUTED_VALUE"""),1.168266545689)</f>
        <v>1.168266545689</v>
      </c>
      <c r="AI887" s="17">
        <f ca="1">IFERROR(__xludf.DUMMYFUNCTION("""COMPUTED_VALUE"""),1.1010084681611)</f>
        <v>1.1010084681611001</v>
      </c>
      <c r="AJ887" s="17">
        <f ca="1">IFERROR(__xludf.DUMMYFUNCTION("""COMPUTED_VALUE"""),1.11850951896369)</f>
        <v>1.11850951896369</v>
      </c>
    </row>
    <row r="888" spans="2:36" ht="15.75" customHeight="1" x14ac:dyDescent="0.45">
      <c r="B888" s="10" t="str">
        <f ca="1">IFERROR(__xludf.DUMMYFUNCTION("""COMPUTED_VALUE"""),"Trace")</f>
        <v>Trace</v>
      </c>
      <c r="C888" s="10" t="str">
        <f ca="1">IFERROR(__xludf.DUMMYFUNCTION("""COMPUTED_VALUE"""),"aligned_series")</f>
        <v>aligned_series</v>
      </c>
      <c r="D888" s="10">
        <f ca="1">IFERROR(__xludf.DUMMYFUNCTION("""COMPUTED_VALUE"""),0.2)</f>
        <v>0.2</v>
      </c>
      <c r="E888" s="17">
        <f ca="1">IFERROR(__xludf.DUMMYFUNCTION("""COMPUTED_VALUE"""),1.36134650012725)</f>
        <v>1.36134650012725</v>
      </c>
      <c r="F888" s="17">
        <f ca="1">IFERROR(__xludf.DUMMYFUNCTION("""COMPUTED_VALUE"""),0.4999434106758)</f>
        <v>0.4999434106758</v>
      </c>
      <c r="G888" s="17">
        <f ca="1">IFERROR(__xludf.DUMMYFUNCTION("""COMPUTED_VALUE"""),0.496532690824522)</f>
        <v>0.49653269082452201</v>
      </c>
      <c r="H888" s="17">
        <f ca="1">IFERROR(__xludf.DUMMYFUNCTION("""COMPUTED_VALUE"""),0.573725332530923)</f>
        <v>0.57372533253092295</v>
      </c>
      <c r="I888" s="17">
        <f ca="1">IFERROR(__xludf.DUMMYFUNCTION("""COMPUTED_VALUE"""),0.492658162203153)</f>
        <v>0.492658162203153</v>
      </c>
      <c r="J888" s="17">
        <f ca="1">IFERROR(__xludf.DUMMYFUNCTION("""COMPUTED_VALUE"""),0.577290965236727)</f>
        <v>0.57729096523672696</v>
      </c>
      <c r="K888" s="17" t="str">
        <f ca="1">IFERROR(__xludf.DUMMYFUNCTION("""COMPUTED_VALUE"""),"nan")</f>
        <v>nan</v>
      </c>
      <c r="L888" s="17">
        <f ca="1">IFERROR(__xludf.DUMMYFUNCTION("""COMPUTED_VALUE"""),0.519395673745193)</f>
        <v>0.51939567374519302</v>
      </c>
      <c r="M888" s="17">
        <f ca="1">IFERROR(__xludf.DUMMYFUNCTION("""COMPUTED_VALUE"""),0.511603968283487)</f>
        <v>0.51160396828348698</v>
      </c>
      <c r="N888" s="17">
        <f ca="1">IFERROR(__xludf.DUMMYFUNCTION("""COMPUTED_VALUE"""),0.508489375786174)</f>
        <v>0.50848937578617404</v>
      </c>
      <c r="O888" s="17">
        <f ca="1">IFERROR(__xludf.DUMMYFUNCTION("""COMPUTED_VALUE"""),0.45914069863733)</f>
        <v>0.45914069863732998</v>
      </c>
      <c r="P888" s="17">
        <f ca="1">IFERROR(__xludf.DUMMYFUNCTION("""COMPUTED_VALUE"""),1.50443774806489)</f>
        <v>1.5044377480648901</v>
      </c>
      <c r="Q888" s="17">
        <f ca="1">IFERROR(__xludf.DUMMYFUNCTION("""COMPUTED_VALUE"""),0.938277330990291)</f>
        <v>0.93827733099029098</v>
      </c>
      <c r="R888" s="17">
        <f ca="1">IFERROR(__xludf.DUMMYFUNCTION("""COMPUTED_VALUE"""),0.955515608033254)</f>
        <v>0.95551560803325397</v>
      </c>
      <c r="S888" s="17">
        <f ca="1">IFERROR(__xludf.DUMMYFUNCTION("""COMPUTED_VALUE"""),0.584753616295205)</f>
        <v>0.58475361629520495</v>
      </c>
      <c r="T888" s="17">
        <f ca="1">IFERROR(__xludf.DUMMYFUNCTION("""COMPUTED_VALUE"""),0.62922151265974)</f>
        <v>0.62922151265974002</v>
      </c>
      <c r="U888" s="17">
        <f ca="1">IFERROR(__xludf.DUMMYFUNCTION("""COMPUTED_VALUE"""),0.550705866904736)</f>
        <v>0.550705866904736</v>
      </c>
      <c r="V888" s="17">
        <f ca="1">IFERROR(__xludf.DUMMYFUNCTION("""COMPUTED_VALUE"""),0.492850564721135)</f>
        <v>0.49285056472113498</v>
      </c>
      <c r="W888" s="17">
        <f ca="1">IFERROR(__xludf.DUMMYFUNCTION("""COMPUTED_VALUE"""),0.728622706058547)</f>
        <v>0.72862270605854695</v>
      </c>
      <c r="X888" s="17">
        <f ca="1">IFERROR(__xludf.DUMMYFUNCTION("""COMPUTED_VALUE"""),0.668380341176923)</f>
        <v>0.66838034117692302</v>
      </c>
      <c r="Y888" s="17">
        <f ca="1">IFERROR(__xludf.DUMMYFUNCTION("""COMPUTED_VALUE"""),0.540814367408381)</f>
        <v>0.54081436740838096</v>
      </c>
      <c r="Z888" s="17">
        <f ca="1">IFERROR(__xludf.DUMMYFUNCTION("""COMPUTED_VALUE"""),0.594806324649828)</f>
        <v>0.59480632464982797</v>
      </c>
      <c r="AA888" s="17">
        <f ca="1">IFERROR(__xludf.DUMMYFUNCTION("""COMPUTED_VALUE"""),0.425034776457027)</f>
        <v>0.42503477645702697</v>
      </c>
      <c r="AB888" s="17">
        <f ca="1">IFERROR(__xludf.DUMMYFUNCTION("""COMPUTED_VALUE"""),0.708775661115879)</f>
        <v>0.70877566111587897</v>
      </c>
      <c r="AC888" s="17">
        <f ca="1">IFERROR(__xludf.DUMMYFUNCTION("""COMPUTED_VALUE"""),0.986048300952473)</f>
        <v>0.98604830095247298</v>
      </c>
      <c r="AD888" s="17">
        <f ca="1">IFERROR(__xludf.DUMMYFUNCTION("""COMPUTED_VALUE"""),0.661355497200272)</f>
        <v>0.66135549720027198</v>
      </c>
      <c r="AE888" s="17">
        <f ca="1">IFERROR(__xludf.DUMMYFUNCTION("""COMPUTED_VALUE"""),1.58366178673111)</f>
        <v>1.58366178673111</v>
      </c>
      <c r="AF888" s="17">
        <f ca="1">IFERROR(__xludf.DUMMYFUNCTION("""COMPUTED_VALUE"""),0.779763442561767)</f>
        <v>0.779763442561767</v>
      </c>
      <c r="AG888" s="17">
        <f ca="1">IFERROR(__xludf.DUMMYFUNCTION("""COMPUTED_VALUE"""),1.37317893075715)</f>
        <v>1.37317893075715</v>
      </c>
      <c r="AH888" s="17">
        <f ca="1">IFERROR(__xludf.DUMMYFUNCTION("""COMPUTED_VALUE"""),0.938770603782554)</f>
        <v>0.93877060378255395</v>
      </c>
      <c r="AI888" s="17">
        <f ca="1">IFERROR(__xludf.DUMMYFUNCTION("""COMPUTED_VALUE"""),0.878015540269547)</f>
        <v>0.87801554026954698</v>
      </c>
      <c r="AJ888" s="17">
        <f ca="1">IFERROR(__xludf.DUMMYFUNCTION("""COMPUTED_VALUE"""),0.882232441381869)</f>
        <v>0.88223244138186896</v>
      </c>
    </row>
    <row r="889" spans="2:36" ht="15.75" customHeight="1" x14ac:dyDescent="0.45">
      <c r="B889" s="10" t="str">
        <f ca="1">IFERROR(__xludf.DUMMYFUNCTION("""COMPUTED_VALUE"""),"Trace")</f>
        <v>Trace</v>
      </c>
      <c r="C889" s="10" t="str">
        <f ca="1">IFERROR(__xludf.DUMMYFUNCTION("""COMPUTED_VALUE"""),"aligned_series")</f>
        <v>aligned_series</v>
      </c>
      <c r="D889" s="10">
        <f ca="1">IFERROR(__xludf.DUMMYFUNCTION("""COMPUTED_VALUE"""),0.4)</f>
        <v>0.4</v>
      </c>
      <c r="E889" s="17">
        <f ca="1">IFERROR(__xludf.DUMMYFUNCTION("""COMPUTED_VALUE"""),1.42120044338845)</f>
        <v>1.42120044338845</v>
      </c>
      <c r="F889" s="17">
        <f ca="1">IFERROR(__xludf.DUMMYFUNCTION("""COMPUTED_VALUE"""),0.525193342591537)</f>
        <v>0.52519334259153705</v>
      </c>
      <c r="G889" s="17">
        <f ca="1">IFERROR(__xludf.DUMMYFUNCTION("""COMPUTED_VALUE"""),0.516569372461098)</f>
        <v>0.51656937246109802</v>
      </c>
      <c r="H889" s="17">
        <f ca="1">IFERROR(__xludf.DUMMYFUNCTION("""COMPUTED_VALUE"""),0.59129583182583)</f>
        <v>0.59129583182583001</v>
      </c>
      <c r="I889" s="17">
        <f ca="1">IFERROR(__xludf.DUMMYFUNCTION("""COMPUTED_VALUE"""),0.696947593741287)</f>
        <v>0.69694759374128701</v>
      </c>
      <c r="J889" s="17">
        <f ca="1">IFERROR(__xludf.DUMMYFUNCTION("""COMPUTED_VALUE"""),0.64355417473034)</f>
        <v>0.64355417473034005</v>
      </c>
      <c r="K889" s="17" t="str">
        <f ca="1">IFERROR(__xludf.DUMMYFUNCTION("""COMPUTED_VALUE"""),"nan")</f>
        <v>nan</v>
      </c>
      <c r="L889" s="17">
        <f ca="1">IFERROR(__xludf.DUMMYFUNCTION("""COMPUTED_VALUE"""),0.516736948216909)</f>
        <v>0.51673694821690896</v>
      </c>
      <c r="M889" s="17">
        <f ca="1">IFERROR(__xludf.DUMMYFUNCTION("""COMPUTED_VALUE"""),0.518823775080027)</f>
        <v>0.51882377508002697</v>
      </c>
      <c r="N889" s="17">
        <f ca="1">IFERROR(__xludf.DUMMYFUNCTION("""COMPUTED_VALUE"""),0.516493035884327)</f>
        <v>0.51649303588432705</v>
      </c>
      <c r="O889" s="17">
        <f ca="1">IFERROR(__xludf.DUMMYFUNCTION("""COMPUTED_VALUE"""),0.472374804201576)</f>
        <v>0.47237480420157602</v>
      </c>
      <c r="P889" s="17">
        <f ca="1">IFERROR(__xludf.DUMMYFUNCTION("""COMPUTED_VALUE"""),1.59551136154445)</f>
        <v>1.5955113615444501</v>
      </c>
      <c r="Q889" s="17">
        <f ca="1">IFERROR(__xludf.DUMMYFUNCTION("""COMPUTED_VALUE"""),0.709401155216734)</f>
        <v>0.70940115521673397</v>
      </c>
      <c r="R889" s="17">
        <f ca="1">IFERROR(__xludf.DUMMYFUNCTION("""COMPUTED_VALUE"""),0.859801570303821)</f>
        <v>0.85980157030382098</v>
      </c>
      <c r="S889" s="17">
        <f ca="1">IFERROR(__xludf.DUMMYFUNCTION("""COMPUTED_VALUE"""),0.744619397199238)</f>
        <v>0.74461939719923798</v>
      </c>
      <c r="T889" s="17">
        <f ca="1">IFERROR(__xludf.DUMMYFUNCTION("""COMPUTED_VALUE"""),0.690083676176069)</f>
        <v>0.69008367617606903</v>
      </c>
      <c r="U889" s="17">
        <f ca="1">IFERROR(__xludf.DUMMYFUNCTION("""COMPUTED_VALUE"""),0.57345740150352)</f>
        <v>0.57345740150351998</v>
      </c>
      <c r="V889" s="17">
        <f ca="1">IFERROR(__xludf.DUMMYFUNCTION("""COMPUTED_VALUE"""),0.520644142425135)</f>
        <v>0.52064414242513501</v>
      </c>
      <c r="W889" s="17">
        <f ca="1">IFERROR(__xludf.DUMMYFUNCTION("""COMPUTED_VALUE"""),0.724397654160121)</f>
        <v>0.72439765416012103</v>
      </c>
      <c r="X889" s="17">
        <f ca="1">IFERROR(__xludf.DUMMYFUNCTION("""COMPUTED_VALUE"""),0.674794472576261)</f>
        <v>0.67479447257626102</v>
      </c>
      <c r="Y889" s="17">
        <f ca="1">IFERROR(__xludf.DUMMYFUNCTION("""COMPUTED_VALUE"""),0.566396527929817)</f>
        <v>0.56639652792981698</v>
      </c>
      <c r="Z889" s="17">
        <f ca="1">IFERROR(__xludf.DUMMYFUNCTION("""COMPUTED_VALUE"""),0.645708390886882)</f>
        <v>0.64570839088688203</v>
      </c>
      <c r="AA889" s="17">
        <f ca="1">IFERROR(__xludf.DUMMYFUNCTION("""COMPUTED_VALUE"""),0.410786351500447)</f>
        <v>0.41078635150044701</v>
      </c>
      <c r="AB889" s="17">
        <f ca="1">IFERROR(__xludf.DUMMYFUNCTION("""COMPUTED_VALUE"""),0.807935613556425)</f>
        <v>0.80793561355642496</v>
      </c>
      <c r="AC889" s="17">
        <f ca="1">IFERROR(__xludf.DUMMYFUNCTION("""COMPUTED_VALUE"""),0.971216952630113)</f>
        <v>0.97121695263011298</v>
      </c>
      <c r="AD889" s="17">
        <f ca="1">IFERROR(__xludf.DUMMYFUNCTION("""COMPUTED_VALUE"""),0.600827463892742)</f>
        <v>0.600827463892742</v>
      </c>
      <c r="AE889" s="17">
        <f ca="1">IFERROR(__xludf.DUMMYFUNCTION("""COMPUTED_VALUE"""),1.60876186340123)</f>
        <v>1.60876186340123</v>
      </c>
      <c r="AF889" s="17">
        <f ca="1">IFERROR(__xludf.DUMMYFUNCTION("""COMPUTED_VALUE"""),0.797692141886182)</f>
        <v>0.79769214188618198</v>
      </c>
      <c r="AG889" s="17">
        <f ca="1">IFERROR(__xludf.DUMMYFUNCTION("""COMPUTED_VALUE"""),1.39248544930287)</f>
        <v>1.39248544930287</v>
      </c>
      <c r="AH889" s="17">
        <f ca="1">IFERROR(__xludf.DUMMYFUNCTION("""COMPUTED_VALUE"""),0.977219634202381)</f>
        <v>0.977219634202381</v>
      </c>
      <c r="AI889" s="17">
        <f ca="1">IFERROR(__xludf.DUMMYFUNCTION("""COMPUTED_VALUE"""),0.921528953313485)</f>
        <v>0.92152895331348506</v>
      </c>
      <c r="AJ889" s="17">
        <f ca="1">IFERROR(__xludf.DUMMYFUNCTION("""COMPUTED_VALUE"""),0.928688423407812)</f>
        <v>0.92868842340781199</v>
      </c>
    </row>
    <row r="890" spans="2:36" ht="15.75" customHeight="1" x14ac:dyDescent="0.45">
      <c r="B890" s="10" t="str">
        <f ca="1">IFERROR(__xludf.DUMMYFUNCTION("""COMPUTED_VALUE"""),"Trace")</f>
        <v>Trace</v>
      </c>
      <c r="C890" s="10" t="str">
        <f ca="1">IFERROR(__xludf.DUMMYFUNCTION("""COMPUTED_VALUE"""),"aligned_series")</f>
        <v>aligned_series</v>
      </c>
      <c r="D890" s="10">
        <f ca="1">IFERROR(__xludf.DUMMYFUNCTION("""COMPUTED_VALUE"""),0.6)</f>
        <v>0.6</v>
      </c>
      <c r="E890" s="17">
        <f ca="1">IFERROR(__xludf.DUMMYFUNCTION("""COMPUTED_VALUE"""),1.46199048169919)</f>
        <v>1.46199048169919</v>
      </c>
      <c r="F890" s="17">
        <f ca="1">IFERROR(__xludf.DUMMYFUNCTION("""COMPUTED_VALUE"""),0.56405428546087)</f>
        <v>0.56405428546087</v>
      </c>
      <c r="G890" s="17">
        <f ca="1">IFERROR(__xludf.DUMMYFUNCTION("""COMPUTED_VALUE"""),0.559235470845608)</f>
        <v>0.55923547084560798</v>
      </c>
      <c r="H890" s="17">
        <f ca="1">IFERROR(__xludf.DUMMYFUNCTION("""COMPUTED_VALUE"""),0.618289000623136)</f>
        <v>0.61828900062313596</v>
      </c>
      <c r="I890" s="17">
        <f ca="1">IFERROR(__xludf.DUMMYFUNCTION("""COMPUTED_VALUE"""),0.881208634562271)</f>
        <v>0.88120863456227105</v>
      </c>
      <c r="J890" s="17">
        <f ca="1">IFERROR(__xludf.DUMMYFUNCTION("""COMPUTED_VALUE"""),0.617719154955281)</f>
        <v>0.61771915495528096</v>
      </c>
      <c r="K890" s="17" t="str">
        <f ca="1">IFERROR(__xludf.DUMMYFUNCTION("""COMPUTED_VALUE"""),"nan")</f>
        <v>nan</v>
      </c>
      <c r="L890" s="17">
        <f ca="1">IFERROR(__xludf.DUMMYFUNCTION("""COMPUTED_VALUE"""),0.572922650210582)</f>
        <v>0.57292265021058197</v>
      </c>
      <c r="M890" s="17">
        <f ca="1">IFERROR(__xludf.DUMMYFUNCTION("""COMPUTED_VALUE"""),0.563427879933203)</f>
        <v>0.56342787993320298</v>
      </c>
      <c r="N890" s="17">
        <f ca="1">IFERROR(__xludf.DUMMYFUNCTION("""COMPUTED_VALUE"""),0.550761965269136)</f>
        <v>0.55076196526913601</v>
      </c>
      <c r="O890" s="17">
        <f ca="1">IFERROR(__xludf.DUMMYFUNCTION("""COMPUTED_VALUE"""),0.505299213175805)</f>
        <v>0.50529921317580495</v>
      </c>
      <c r="P890" s="17">
        <f ca="1">IFERROR(__xludf.DUMMYFUNCTION("""COMPUTED_VALUE"""),1.59546028411251)</f>
        <v>1.5954602841125101</v>
      </c>
      <c r="Q890" s="17">
        <f ca="1">IFERROR(__xludf.DUMMYFUNCTION("""COMPUTED_VALUE"""),1.22742422157345)</f>
        <v>1.2274242215734501</v>
      </c>
      <c r="R890" s="17">
        <f ca="1">IFERROR(__xludf.DUMMYFUNCTION("""COMPUTED_VALUE"""),1.03310380045559)</f>
        <v>1.0331038004555899</v>
      </c>
      <c r="S890" s="17">
        <f ca="1">IFERROR(__xludf.DUMMYFUNCTION("""COMPUTED_VALUE"""),1.12324276228996)</f>
        <v>1.1232427622899599</v>
      </c>
      <c r="T890" s="17">
        <f ca="1">IFERROR(__xludf.DUMMYFUNCTION("""COMPUTED_VALUE"""),0.592684491448623)</f>
        <v>0.59268449144862301</v>
      </c>
      <c r="U890" s="17">
        <f ca="1">IFERROR(__xludf.DUMMYFUNCTION("""COMPUTED_VALUE"""),0.591290945650078)</f>
        <v>0.591290945650078</v>
      </c>
      <c r="V890" s="17">
        <f ca="1">IFERROR(__xludf.DUMMYFUNCTION("""COMPUTED_VALUE"""),0.649552285275743)</f>
        <v>0.64955228527574305</v>
      </c>
      <c r="W890" s="17">
        <f ca="1">IFERROR(__xludf.DUMMYFUNCTION("""COMPUTED_VALUE"""),0.71419816061405)</f>
        <v>0.71419816061404995</v>
      </c>
      <c r="X890" s="17">
        <f ca="1">IFERROR(__xludf.DUMMYFUNCTION("""COMPUTED_VALUE"""),0.696146894421595)</f>
        <v>0.69614689442159505</v>
      </c>
      <c r="Y890" s="17">
        <f ca="1">IFERROR(__xludf.DUMMYFUNCTION("""COMPUTED_VALUE"""),0.563450148539942)</f>
        <v>0.56345014853994202</v>
      </c>
      <c r="Z890" s="17">
        <f ca="1">IFERROR(__xludf.DUMMYFUNCTION("""COMPUTED_VALUE"""),0.666430194120424)</f>
        <v>0.66643019412042404</v>
      </c>
      <c r="AA890" s="17">
        <f ca="1">IFERROR(__xludf.DUMMYFUNCTION("""COMPUTED_VALUE"""),0.612357181824824)</f>
        <v>0.61235718182482402</v>
      </c>
      <c r="AB890" s="17">
        <f ca="1">IFERROR(__xludf.DUMMYFUNCTION("""COMPUTED_VALUE"""),1.62495677241269)</f>
        <v>1.6249567724126901</v>
      </c>
      <c r="AC890" s="17">
        <f ca="1">IFERROR(__xludf.DUMMYFUNCTION("""COMPUTED_VALUE"""),0.826423150935065)</f>
        <v>0.82642315093506502</v>
      </c>
      <c r="AD890" s="17">
        <f ca="1">IFERROR(__xludf.DUMMYFUNCTION("""COMPUTED_VALUE"""),0.5828015823975)</f>
        <v>0.58280158239750002</v>
      </c>
      <c r="AE890" s="17">
        <f ca="1">IFERROR(__xludf.DUMMYFUNCTION("""COMPUTED_VALUE"""),1.58526071481213)</f>
        <v>1.58526071481213</v>
      </c>
      <c r="AF890" s="17">
        <f ca="1">IFERROR(__xludf.DUMMYFUNCTION("""COMPUTED_VALUE"""),0.884705626407332)</f>
        <v>0.88470562640733197</v>
      </c>
      <c r="AG890" s="17">
        <f ca="1">IFERROR(__xludf.DUMMYFUNCTION("""COMPUTED_VALUE"""),1.41336528397058)</f>
        <v>1.4133652839705799</v>
      </c>
      <c r="AH890" s="17">
        <f ca="1">IFERROR(__xludf.DUMMYFUNCTION("""COMPUTED_VALUE"""),0.989978454945624)</f>
        <v>0.98997845494562398</v>
      </c>
      <c r="AI890" s="17">
        <f ca="1">IFERROR(__xludf.DUMMYFUNCTION("""COMPUTED_VALUE"""),0.929076246594743)</f>
        <v>0.92907624659474297</v>
      </c>
      <c r="AJ890" s="17">
        <f ca="1">IFERROR(__xludf.DUMMYFUNCTION("""COMPUTED_VALUE"""),1.02935761213056)</f>
        <v>1.0293576121305601</v>
      </c>
    </row>
    <row r="891" spans="2:36" ht="15.75" customHeight="1" x14ac:dyDescent="0.45">
      <c r="B891" s="10" t="str">
        <f ca="1">IFERROR(__xludf.DUMMYFUNCTION("""COMPUTED_VALUE"""),"Trace")</f>
        <v>Trace</v>
      </c>
      <c r="C891" s="10" t="str">
        <f ca="1">IFERROR(__xludf.DUMMYFUNCTION("""COMPUTED_VALUE"""),"aligned_series")</f>
        <v>aligned_series</v>
      </c>
      <c r="D891" s="10">
        <f ca="1">IFERROR(__xludf.DUMMYFUNCTION("""COMPUTED_VALUE"""),0.8)</f>
        <v>0.8</v>
      </c>
      <c r="E891" s="17">
        <f ca="1">IFERROR(__xludf.DUMMYFUNCTION("""COMPUTED_VALUE"""),1.52158725237428)</f>
        <v>1.5215872523742799</v>
      </c>
      <c r="F891" s="17">
        <f ca="1">IFERROR(__xludf.DUMMYFUNCTION("""COMPUTED_VALUE"""),0.626339573102565)</f>
        <v>0.62633957310256505</v>
      </c>
      <c r="G891" s="17">
        <f ca="1">IFERROR(__xludf.DUMMYFUNCTION("""COMPUTED_VALUE"""),0.589487169268772)</f>
        <v>0.58948716926877198</v>
      </c>
      <c r="H891" s="17">
        <f ca="1">IFERROR(__xludf.DUMMYFUNCTION("""COMPUTED_VALUE"""),0.698691458055405)</f>
        <v>0.698691458055405</v>
      </c>
      <c r="I891" s="17">
        <f ca="1">IFERROR(__xludf.DUMMYFUNCTION("""COMPUTED_VALUE"""),1.04016323922364)</f>
        <v>1.04016323922364</v>
      </c>
      <c r="J891" s="17">
        <f ca="1">IFERROR(__xludf.DUMMYFUNCTION("""COMPUTED_VALUE"""),0.630841486137283)</f>
        <v>0.63084148613728297</v>
      </c>
      <c r="K891" s="17" t="str">
        <f ca="1">IFERROR(__xludf.DUMMYFUNCTION("""COMPUTED_VALUE"""),"nan")</f>
        <v>nan</v>
      </c>
      <c r="L891" s="17">
        <f ca="1">IFERROR(__xludf.DUMMYFUNCTION("""COMPUTED_VALUE"""),0.666320436849897)</f>
        <v>0.66632043684989695</v>
      </c>
      <c r="M891" s="17">
        <f ca="1">IFERROR(__xludf.DUMMYFUNCTION("""COMPUTED_VALUE"""),0.590808629636531)</f>
        <v>0.59080862963653102</v>
      </c>
      <c r="N891" s="17">
        <f ca="1">IFERROR(__xludf.DUMMYFUNCTION("""COMPUTED_VALUE"""),0.539533338845378)</f>
        <v>0.53953333884537802</v>
      </c>
      <c r="O891" s="17">
        <f ca="1">IFERROR(__xludf.DUMMYFUNCTION("""COMPUTED_VALUE"""),0.56080028760912)</f>
        <v>0.56080028760912004</v>
      </c>
      <c r="P891" s="17">
        <f ca="1">IFERROR(__xludf.DUMMYFUNCTION("""COMPUTED_VALUE"""),1.61577842915958)</f>
        <v>1.61577842915958</v>
      </c>
      <c r="Q891" s="17">
        <f ca="1">IFERROR(__xludf.DUMMYFUNCTION("""COMPUTED_VALUE"""),1.53080070734964)</f>
        <v>1.5308007073496399</v>
      </c>
      <c r="R891" s="17">
        <f ca="1">IFERROR(__xludf.DUMMYFUNCTION("""COMPUTED_VALUE"""),1.33466592307563)</f>
        <v>1.3346659230756299</v>
      </c>
      <c r="S891" s="17">
        <f ca="1">IFERROR(__xludf.DUMMYFUNCTION("""COMPUTED_VALUE"""),1.2637619117136)</f>
        <v>1.2637619117136001</v>
      </c>
      <c r="T891" s="17">
        <f ca="1">IFERROR(__xludf.DUMMYFUNCTION("""COMPUTED_VALUE"""),0.69815478649522)</f>
        <v>0.69815478649522</v>
      </c>
      <c r="U891" s="17">
        <f ca="1">IFERROR(__xludf.DUMMYFUNCTION("""COMPUTED_VALUE"""),0.655537022798329)</f>
        <v>0.65553702279832904</v>
      </c>
      <c r="V891" s="17">
        <f ca="1">IFERROR(__xludf.DUMMYFUNCTION("""COMPUTED_VALUE"""),0.864321754710173)</f>
        <v>0.86432175471017303</v>
      </c>
      <c r="W891" s="17">
        <f ca="1">IFERROR(__xludf.DUMMYFUNCTION("""COMPUTED_VALUE"""),0.714200570057984)</f>
        <v>0.71420057005798399</v>
      </c>
      <c r="X891" s="17">
        <f ca="1">IFERROR(__xludf.DUMMYFUNCTION("""COMPUTED_VALUE"""),0.703283675892828)</f>
        <v>0.70328367589282803</v>
      </c>
      <c r="Y891" s="17">
        <f ca="1">IFERROR(__xludf.DUMMYFUNCTION("""COMPUTED_VALUE"""),0.587614970800511)</f>
        <v>0.58761497080051095</v>
      </c>
      <c r="Z891" s="17">
        <f ca="1">IFERROR(__xludf.DUMMYFUNCTION("""COMPUTED_VALUE"""),0.722967855622459)</f>
        <v>0.72296785562245902</v>
      </c>
      <c r="AA891" s="17">
        <f ca="1">IFERROR(__xludf.DUMMYFUNCTION("""COMPUTED_VALUE"""),0.463560536351952)</f>
        <v>0.46356053635195199</v>
      </c>
      <c r="AB891" s="17">
        <f ca="1">IFERROR(__xludf.DUMMYFUNCTION("""COMPUTED_VALUE"""),1.66554756836442)</f>
        <v>1.6655475683644201</v>
      </c>
      <c r="AC891" s="17">
        <f ca="1">IFERROR(__xludf.DUMMYFUNCTION("""COMPUTED_VALUE"""),0.901156707464995)</f>
        <v>0.90115670746499499</v>
      </c>
      <c r="AD891" s="17">
        <f ca="1">IFERROR(__xludf.DUMMYFUNCTION("""COMPUTED_VALUE"""),0.72161544552354)</f>
        <v>0.72161544552353996</v>
      </c>
      <c r="AE891" s="17">
        <f ca="1">IFERROR(__xludf.DUMMYFUNCTION("""COMPUTED_VALUE"""),1.59298687582022)</f>
        <v>1.5929868758202199</v>
      </c>
      <c r="AF891" s="17">
        <f ca="1">IFERROR(__xludf.DUMMYFUNCTION("""COMPUTED_VALUE"""),1.07792854963436)</f>
        <v>1.07792854963436</v>
      </c>
      <c r="AG891" s="17">
        <f ca="1">IFERROR(__xludf.DUMMYFUNCTION("""COMPUTED_VALUE"""),1.42442847692813)</f>
        <v>1.4244284769281299</v>
      </c>
      <c r="AH891" s="17">
        <f ca="1">IFERROR(__xludf.DUMMYFUNCTION("""COMPUTED_VALUE"""),0.991919784359887)</f>
        <v>0.99191978435988704</v>
      </c>
      <c r="AI891" s="17">
        <f ca="1">IFERROR(__xludf.DUMMYFUNCTION("""COMPUTED_VALUE"""),0.923242945919205)</f>
        <v>0.92324294591920497</v>
      </c>
      <c r="AJ891" s="17">
        <f ca="1">IFERROR(__xludf.DUMMYFUNCTION("""COMPUTED_VALUE"""),0.915280385303939)</f>
        <v>0.91528038530393896</v>
      </c>
    </row>
    <row r="892" spans="2:36" ht="15.75" customHeight="1" x14ac:dyDescent="0.45">
      <c r="B892" s="10" t="str">
        <f ca="1">IFERROR(__xludf.DUMMYFUNCTION("""COMPUTED_VALUE"""),"Trace")</f>
        <v>Trace</v>
      </c>
      <c r="C892" s="10" t="str">
        <f ca="1">IFERROR(__xludf.DUMMYFUNCTION("""COMPUTED_VALUE"""),"aligned_timestamps")</f>
        <v>aligned_timestamps</v>
      </c>
      <c r="D892" s="10">
        <f ca="1">IFERROR(__xludf.DUMMYFUNCTION("""COMPUTED_VALUE"""),0.1)</f>
        <v>0.1</v>
      </c>
      <c r="E892" s="17">
        <f ca="1">IFERROR(__xludf.DUMMYFUNCTION("""COMPUTED_VALUE"""),1.35361966688411)</f>
        <v>1.3536196668841101</v>
      </c>
      <c r="F892" s="17">
        <f ca="1">IFERROR(__xludf.DUMMYFUNCTION("""COMPUTED_VALUE"""),0.199707556349776)</f>
        <v>0.19970755634977599</v>
      </c>
      <c r="G892" s="17">
        <f ca="1">IFERROR(__xludf.DUMMYFUNCTION("""COMPUTED_VALUE"""),0.176397883530248)</f>
        <v>0.17639788353024799</v>
      </c>
      <c r="H892" s="17">
        <f ca="1">IFERROR(__xludf.DUMMYFUNCTION("""COMPUTED_VALUE"""),0.390620928283489)</f>
        <v>0.39062092828348899</v>
      </c>
      <c r="I892" s="17">
        <f ca="1">IFERROR(__xludf.DUMMYFUNCTION("""COMPUTED_VALUE"""),0.197305563902534)</f>
        <v>0.19730556390253401</v>
      </c>
      <c r="J892" s="17">
        <f ca="1">IFERROR(__xludf.DUMMYFUNCTION("""COMPUTED_VALUE"""),0.0923665764440777)</f>
        <v>9.2366576444077697E-2</v>
      </c>
      <c r="K892" s="17" t="str">
        <f ca="1">IFERROR(__xludf.DUMMYFUNCTION("""COMPUTED_VALUE"""),"nan")</f>
        <v>nan</v>
      </c>
      <c r="L892" s="17">
        <f ca="1">IFERROR(__xludf.DUMMYFUNCTION("""COMPUTED_VALUE"""),0.183323460220017)</f>
        <v>0.183323460220017</v>
      </c>
      <c r="M892" s="17">
        <f ca="1">IFERROR(__xludf.DUMMYFUNCTION("""COMPUTED_VALUE"""),0.185029542530353)</f>
        <v>0.185029542530353</v>
      </c>
      <c r="N892" s="17">
        <f ca="1">IFERROR(__xludf.DUMMYFUNCTION("""COMPUTED_VALUE"""),0.191611540027253)</f>
        <v>0.191611540027253</v>
      </c>
      <c r="O892" s="17">
        <f ca="1">IFERROR(__xludf.DUMMYFUNCTION("""COMPUTED_VALUE"""),0.0973029734165529)</f>
        <v>9.7302973416552904E-2</v>
      </c>
      <c r="P892" s="17">
        <f ca="1">IFERROR(__xludf.DUMMYFUNCTION("""COMPUTED_VALUE"""),1.4477235301602)</f>
        <v>1.4477235301602001</v>
      </c>
      <c r="Q892" s="17">
        <f ca="1">IFERROR(__xludf.DUMMYFUNCTION("""COMPUTED_VALUE"""),0.239155753283088)</f>
        <v>0.239155753283088</v>
      </c>
      <c r="R892" s="17">
        <f ca="1">IFERROR(__xludf.DUMMYFUNCTION("""COMPUTED_VALUE"""),0.336713591976955)</f>
        <v>0.336713591976955</v>
      </c>
      <c r="S892" s="17">
        <f ca="1">IFERROR(__xludf.DUMMYFUNCTION("""COMPUTED_VALUE"""),0.368305735761429)</f>
        <v>0.368305735761429</v>
      </c>
      <c r="T892" s="17">
        <f ca="1">IFERROR(__xludf.DUMMYFUNCTION("""COMPUTED_VALUE"""),0.130591298834712)</f>
        <v>0.13059129883471199</v>
      </c>
      <c r="U892" s="17">
        <f ca="1">IFERROR(__xludf.DUMMYFUNCTION("""COMPUTED_VALUE"""),0.20129522435842)</f>
        <v>0.20129522435842001</v>
      </c>
      <c r="V892" s="17">
        <f ca="1">IFERROR(__xludf.DUMMYFUNCTION("""COMPUTED_VALUE"""),0.0934527601844135)</f>
        <v>9.3452760184413494E-2</v>
      </c>
      <c r="W892" s="17">
        <f ca="1">IFERROR(__xludf.DUMMYFUNCTION("""COMPUTED_VALUE"""),0.366094655337444)</f>
        <v>0.36609465533744401</v>
      </c>
      <c r="X892" s="17">
        <f ca="1">IFERROR(__xludf.DUMMYFUNCTION("""COMPUTED_VALUE"""),0.569749274246174)</f>
        <v>0.56974927424617405</v>
      </c>
      <c r="Y892" s="17">
        <f ca="1">IFERROR(__xludf.DUMMYFUNCTION("""COMPUTED_VALUE"""),0.268969888264936)</f>
        <v>0.26896988826493601</v>
      </c>
      <c r="Z892" s="17">
        <f ca="1">IFERROR(__xludf.DUMMYFUNCTION("""COMPUTED_VALUE"""),0.0624419520142939)</f>
        <v>6.2441952014293901E-2</v>
      </c>
      <c r="AA892" s="17">
        <f ca="1">IFERROR(__xludf.DUMMYFUNCTION("""COMPUTED_VALUE"""),0.060151178095927)</f>
        <v>6.0151178095927002E-2</v>
      </c>
      <c r="AB892" s="17">
        <f ca="1">IFERROR(__xludf.DUMMYFUNCTION("""COMPUTED_VALUE"""),0.552910161385383)</f>
        <v>0.55291016138538296</v>
      </c>
      <c r="AC892" s="17">
        <f ca="1">IFERROR(__xludf.DUMMYFUNCTION("""COMPUTED_VALUE"""),0.35778533716511)</f>
        <v>0.35778533716511002</v>
      </c>
      <c r="AD892" s="17">
        <f ca="1">IFERROR(__xludf.DUMMYFUNCTION("""COMPUTED_VALUE"""),0.265785229674097)</f>
        <v>0.26578522967409701</v>
      </c>
      <c r="AE892" s="17">
        <f ca="1">IFERROR(__xludf.DUMMYFUNCTION("""COMPUTED_VALUE"""),1.08708250209875)</f>
        <v>1.08708250209875</v>
      </c>
      <c r="AF892" s="17">
        <f ca="1">IFERROR(__xludf.DUMMYFUNCTION("""COMPUTED_VALUE"""),0.0791914278102685)</f>
        <v>7.91914278102685E-2</v>
      </c>
      <c r="AG892" s="17">
        <f ca="1">IFERROR(__xludf.DUMMYFUNCTION("""COMPUTED_VALUE"""),0.907919314966474)</f>
        <v>0.90791931496647404</v>
      </c>
      <c r="AH892" s="17">
        <f ca="1">IFERROR(__xludf.DUMMYFUNCTION("""COMPUTED_VALUE"""),0.343962389220625)</f>
        <v>0.343962389220625</v>
      </c>
      <c r="AI892" s="17">
        <f ca="1">IFERROR(__xludf.DUMMYFUNCTION("""COMPUTED_VALUE"""),0.358236691974044)</f>
        <v>0.35823669197404401</v>
      </c>
      <c r="AJ892" s="17">
        <f ca="1">IFERROR(__xludf.DUMMYFUNCTION("""COMPUTED_VALUE"""),0.368847647456513)</f>
        <v>0.36884764745651299</v>
      </c>
    </row>
    <row r="893" spans="2:36" ht="15.75" customHeight="1" x14ac:dyDescent="0.45">
      <c r="B893" s="10" t="str">
        <f ca="1">IFERROR(__xludf.DUMMYFUNCTION("""COMPUTED_VALUE"""),"Trace")</f>
        <v>Trace</v>
      </c>
      <c r="C893" s="10" t="str">
        <f ca="1">IFERROR(__xludf.DUMMYFUNCTION("""COMPUTED_VALUE"""),"aligned_timestamps")</f>
        <v>aligned_timestamps</v>
      </c>
      <c r="D893" s="10">
        <f ca="1">IFERROR(__xludf.DUMMYFUNCTION("""COMPUTED_VALUE"""),0.2)</f>
        <v>0.2</v>
      </c>
      <c r="E893" s="17">
        <f ca="1">IFERROR(__xludf.DUMMYFUNCTION("""COMPUTED_VALUE"""),1.36134650012725)</f>
        <v>1.36134650012725</v>
      </c>
      <c r="F893" s="17">
        <f ca="1">IFERROR(__xludf.DUMMYFUNCTION("""COMPUTED_VALUE"""),0.4999434106758)</f>
        <v>0.4999434106758</v>
      </c>
      <c r="G893" s="17">
        <f ca="1">IFERROR(__xludf.DUMMYFUNCTION("""COMPUTED_VALUE"""),0.496532690824522)</f>
        <v>0.49653269082452201</v>
      </c>
      <c r="H893" s="17">
        <f ca="1">IFERROR(__xludf.DUMMYFUNCTION("""COMPUTED_VALUE"""),0.573725332530923)</f>
        <v>0.57372533253092295</v>
      </c>
      <c r="I893" s="17">
        <f ca="1">IFERROR(__xludf.DUMMYFUNCTION("""COMPUTED_VALUE"""),0.492658162203153)</f>
        <v>0.492658162203153</v>
      </c>
      <c r="J893" s="17">
        <f ca="1">IFERROR(__xludf.DUMMYFUNCTION("""COMPUTED_VALUE"""),0.577290965236727)</f>
        <v>0.57729096523672696</v>
      </c>
      <c r="K893" s="17" t="str">
        <f ca="1">IFERROR(__xludf.DUMMYFUNCTION("""COMPUTED_VALUE"""),"nan")</f>
        <v>nan</v>
      </c>
      <c r="L893" s="17">
        <f ca="1">IFERROR(__xludf.DUMMYFUNCTION("""COMPUTED_VALUE"""),0.519395673745193)</f>
        <v>0.51939567374519302</v>
      </c>
      <c r="M893" s="17">
        <f ca="1">IFERROR(__xludf.DUMMYFUNCTION("""COMPUTED_VALUE"""),0.511603968283487)</f>
        <v>0.51160396828348698</v>
      </c>
      <c r="N893" s="17">
        <f ca="1">IFERROR(__xludf.DUMMYFUNCTION("""COMPUTED_VALUE"""),0.508489375786174)</f>
        <v>0.50848937578617404</v>
      </c>
      <c r="O893" s="17">
        <f ca="1">IFERROR(__xludf.DUMMYFUNCTION("""COMPUTED_VALUE"""),0.45914069863733)</f>
        <v>0.45914069863732998</v>
      </c>
      <c r="P893" s="17">
        <f ca="1">IFERROR(__xludf.DUMMYFUNCTION("""COMPUTED_VALUE"""),1.50443774806489)</f>
        <v>1.5044377480648901</v>
      </c>
      <c r="Q893" s="17">
        <f ca="1">IFERROR(__xludf.DUMMYFUNCTION("""COMPUTED_VALUE"""),0.938277330990291)</f>
        <v>0.93827733099029098</v>
      </c>
      <c r="R893" s="17">
        <f ca="1">IFERROR(__xludf.DUMMYFUNCTION("""COMPUTED_VALUE"""),0.955515608033254)</f>
        <v>0.95551560803325397</v>
      </c>
      <c r="S893" s="17">
        <f ca="1">IFERROR(__xludf.DUMMYFUNCTION("""COMPUTED_VALUE"""),0.584753616295205)</f>
        <v>0.58475361629520495</v>
      </c>
      <c r="T893" s="17">
        <f ca="1">IFERROR(__xludf.DUMMYFUNCTION("""COMPUTED_VALUE"""),0.62922151265974)</f>
        <v>0.62922151265974002</v>
      </c>
      <c r="U893" s="17">
        <f ca="1">IFERROR(__xludf.DUMMYFUNCTION("""COMPUTED_VALUE"""),0.550705866904736)</f>
        <v>0.550705866904736</v>
      </c>
      <c r="V893" s="17">
        <f ca="1">IFERROR(__xludf.DUMMYFUNCTION("""COMPUTED_VALUE"""),0.492850564721135)</f>
        <v>0.49285056472113498</v>
      </c>
      <c r="W893" s="17">
        <f ca="1">IFERROR(__xludf.DUMMYFUNCTION("""COMPUTED_VALUE"""),0.755567958791839)</f>
        <v>0.75556795879183902</v>
      </c>
      <c r="X893" s="17">
        <f ca="1">IFERROR(__xludf.DUMMYFUNCTION("""COMPUTED_VALUE"""),0.664434626185002)</f>
        <v>0.66443462618500204</v>
      </c>
      <c r="Y893" s="17">
        <f ca="1">IFERROR(__xludf.DUMMYFUNCTION("""COMPUTED_VALUE"""),0.540814367408381)</f>
        <v>0.54081436740838096</v>
      </c>
      <c r="Z893" s="17">
        <f ca="1">IFERROR(__xludf.DUMMYFUNCTION("""COMPUTED_VALUE"""),0.594806324649828)</f>
        <v>0.59480632464982797</v>
      </c>
      <c r="AA893" s="17">
        <f ca="1">IFERROR(__xludf.DUMMYFUNCTION("""COMPUTED_VALUE"""),0.425034776457027)</f>
        <v>0.42503477645702697</v>
      </c>
      <c r="AB893" s="17">
        <f ca="1">IFERROR(__xludf.DUMMYFUNCTION("""COMPUTED_VALUE"""),0.794196584722231)</f>
        <v>0.79419658472223098</v>
      </c>
      <c r="AC893" s="17">
        <f ca="1">IFERROR(__xludf.DUMMYFUNCTION("""COMPUTED_VALUE"""),0.986048300952473)</f>
        <v>0.98604830095247298</v>
      </c>
      <c r="AD893" s="17">
        <f ca="1">IFERROR(__xludf.DUMMYFUNCTION("""COMPUTED_VALUE"""),0.645032106913994)</f>
        <v>0.64503210691399404</v>
      </c>
      <c r="AE893" s="17">
        <f ca="1">IFERROR(__xludf.DUMMYFUNCTION("""COMPUTED_VALUE"""),1.56986961417359)</f>
        <v>1.5698696141735899</v>
      </c>
      <c r="AF893" s="17">
        <f ca="1">IFERROR(__xludf.DUMMYFUNCTION("""COMPUTED_VALUE"""),0.779763442561767)</f>
        <v>0.779763442561767</v>
      </c>
      <c r="AG893" s="17">
        <f ca="1">IFERROR(__xludf.DUMMYFUNCTION("""COMPUTED_VALUE"""),1.38559495336317)</f>
        <v>1.38559495336317</v>
      </c>
      <c r="AH893" s="17">
        <f ca="1">IFERROR(__xludf.DUMMYFUNCTION("""COMPUTED_VALUE"""),0.937370942876317)</f>
        <v>0.93737094287631695</v>
      </c>
      <c r="AI893" s="17">
        <f ca="1">IFERROR(__xludf.DUMMYFUNCTION("""COMPUTED_VALUE"""),0.878015540269547)</f>
        <v>0.87801554026954698</v>
      </c>
      <c r="AJ893" s="17">
        <f ca="1">IFERROR(__xludf.DUMMYFUNCTION("""COMPUTED_VALUE"""),0.903161228277141)</f>
        <v>0.90316122827714096</v>
      </c>
    </row>
    <row r="894" spans="2:36" ht="15.75" customHeight="1" x14ac:dyDescent="0.45">
      <c r="B894" s="10" t="str">
        <f ca="1">IFERROR(__xludf.DUMMYFUNCTION("""COMPUTED_VALUE"""),"Trace")</f>
        <v>Trace</v>
      </c>
      <c r="C894" s="10" t="str">
        <f ca="1">IFERROR(__xludf.DUMMYFUNCTION("""COMPUTED_VALUE"""),"aligned_timestamps")</f>
        <v>aligned_timestamps</v>
      </c>
      <c r="D894" s="10">
        <f ca="1">IFERROR(__xludf.DUMMYFUNCTION("""COMPUTED_VALUE"""),0.4)</f>
        <v>0.4</v>
      </c>
      <c r="E894" s="17">
        <f ca="1">IFERROR(__xludf.DUMMYFUNCTION("""COMPUTED_VALUE"""),1.25458759200573)</f>
        <v>1.2545875920057299</v>
      </c>
      <c r="F894" s="17">
        <f ca="1">IFERROR(__xludf.DUMMYFUNCTION("""COMPUTED_VALUE"""),0.627266402900606)</f>
        <v>0.62726640290060598</v>
      </c>
      <c r="G894" s="17">
        <f ca="1">IFERROR(__xludf.DUMMYFUNCTION("""COMPUTED_VALUE"""),0.62709928399129)</f>
        <v>0.62709928399129</v>
      </c>
      <c r="H894" s="17">
        <f ca="1">IFERROR(__xludf.DUMMYFUNCTION("""COMPUTED_VALUE"""),0.868012692552448)</f>
        <v>0.86801269255244795</v>
      </c>
      <c r="I894" s="17">
        <f ca="1">IFERROR(__xludf.DUMMYFUNCTION("""COMPUTED_VALUE"""),0.673024987638984)</f>
        <v>0.673024987638984</v>
      </c>
      <c r="J894" s="17">
        <f ca="1">IFERROR(__xludf.DUMMYFUNCTION("""COMPUTED_VALUE"""),1.15290360685403)</f>
        <v>1.1529036068540299</v>
      </c>
      <c r="K894" s="17" t="str">
        <f ca="1">IFERROR(__xludf.DUMMYFUNCTION("""COMPUTED_VALUE"""),"nan")</f>
        <v>nan</v>
      </c>
      <c r="L894" s="17">
        <f ca="1">IFERROR(__xludf.DUMMYFUNCTION("""COMPUTED_VALUE"""),0.628012916207375)</f>
        <v>0.62801291620737498</v>
      </c>
      <c r="M894" s="17">
        <f ca="1">IFERROR(__xludf.DUMMYFUNCTION("""COMPUTED_VALUE"""),0.654111929642302)</f>
        <v>0.65411192964230203</v>
      </c>
      <c r="N894" s="17">
        <f ca="1">IFERROR(__xludf.DUMMYFUNCTION("""COMPUTED_VALUE"""),0.891190054587802)</f>
        <v>0.89119005458780198</v>
      </c>
      <c r="O894" s="17">
        <f ca="1">IFERROR(__xludf.DUMMYFUNCTION("""COMPUTED_VALUE"""),0.59155476488514)</f>
        <v>0.59155476488514003</v>
      </c>
      <c r="P894" s="17">
        <f ca="1">IFERROR(__xludf.DUMMYFUNCTION("""COMPUTED_VALUE"""),1.3179026275398)</f>
        <v>1.3179026275398</v>
      </c>
      <c r="Q894" s="17">
        <f ca="1">IFERROR(__xludf.DUMMYFUNCTION("""COMPUTED_VALUE"""),1.19543721300152)</f>
        <v>1.1954372130015201</v>
      </c>
      <c r="R894" s="17">
        <f ca="1">IFERROR(__xludf.DUMMYFUNCTION("""COMPUTED_VALUE"""),0.776502410151827)</f>
        <v>0.77650241015182697</v>
      </c>
      <c r="S894" s="17">
        <f ca="1">IFERROR(__xludf.DUMMYFUNCTION("""COMPUTED_VALUE"""),1.08416792380289)</f>
        <v>1.0841679238028901</v>
      </c>
      <c r="T894" s="17">
        <f ca="1">IFERROR(__xludf.DUMMYFUNCTION("""COMPUTED_VALUE"""),1.0527809574559)</f>
        <v>1.0527809574558999</v>
      </c>
      <c r="U894" s="17">
        <f ca="1">IFERROR(__xludf.DUMMYFUNCTION("""COMPUTED_VALUE"""),0.84856945577259)</f>
        <v>0.84856945577259002</v>
      </c>
      <c r="V894" s="17">
        <f ca="1">IFERROR(__xludf.DUMMYFUNCTION("""COMPUTED_VALUE"""),0.962040992733183)</f>
        <v>0.962040992733183</v>
      </c>
      <c r="W894" s="17">
        <f ca="1">IFERROR(__xludf.DUMMYFUNCTION("""COMPUTED_VALUE"""),1.0492234239332)</f>
        <v>1.0492234239331999</v>
      </c>
      <c r="X894" s="17">
        <f ca="1">IFERROR(__xludf.DUMMYFUNCTION("""COMPUTED_VALUE"""),0.730791968262172)</f>
        <v>0.73079196826217196</v>
      </c>
      <c r="Y894" s="17">
        <f ca="1">IFERROR(__xludf.DUMMYFUNCTION("""COMPUTED_VALUE"""),0.8810644696205)</f>
        <v>0.8810644696205</v>
      </c>
      <c r="Z894" s="17">
        <f ca="1">IFERROR(__xludf.DUMMYFUNCTION("""COMPUTED_VALUE"""),1.02216870009663)</f>
        <v>1.02216870009663</v>
      </c>
      <c r="AA894" s="17">
        <f ca="1">IFERROR(__xludf.DUMMYFUNCTION("""COMPUTED_VALUE"""),0.579261327670165)</f>
        <v>0.57926132767016503</v>
      </c>
      <c r="AB894" s="17">
        <f ca="1">IFERROR(__xludf.DUMMYFUNCTION("""COMPUTED_VALUE"""),1.13158289000338)</f>
        <v>1.13158289000338</v>
      </c>
      <c r="AC894" s="17">
        <f ca="1">IFERROR(__xludf.DUMMYFUNCTION("""COMPUTED_VALUE"""),1.16296246200814)</f>
        <v>1.16296246200814</v>
      </c>
      <c r="AD894" s="17">
        <f ca="1">IFERROR(__xludf.DUMMYFUNCTION("""COMPUTED_VALUE"""),0.932685965015672)</f>
        <v>0.93268596501567202</v>
      </c>
      <c r="AE894" s="17">
        <f ca="1">IFERROR(__xludf.DUMMYFUNCTION("""COMPUTED_VALUE"""),1.56593872566366)</f>
        <v>1.5659387256636601</v>
      </c>
      <c r="AF894" s="17">
        <f ca="1">IFERROR(__xludf.DUMMYFUNCTION("""COMPUTED_VALUE"""),1.08693254118356)</f>
        <v>1.08693254118356</v>
      </c>
      <c r="AG894" s="17">
        <f ca="1">IFERROR(__xludf.DUMMYFUNCTION("""COMPUTED_VALUE"""),1.28892287338728)</f>
        <v>1.28892287338728</v>
      </c>
      <c r="AH894" s="17">
        <f ca="1">IFERROR(__xludf.DUMMYFUNCTION("""COMPUTED_VALUE"""),1.20251334942137)</f>
        <v>1.20251334942137</v>
      </c>
      <c r="AI894" s="17">
        <f ca="1">IFERROR(__xludf.DUMMYFUNCTION("""COMPUTED_VALUE"""),1.26691933300353)</f>
        <v>1.26691933300353</v>
      </c>
      <c r="AJ894" s="17">
        <f ca="1">IFERROR(__xludf.DUMMYFUNCTION("""COMPUTED_VALUE"""),1.37444425972818)</f>
        <v>1.3744442597281801</v>
      </c>
    </row>
    <row r="895" spans="2:36" ht="15.75" customHeight="1" x14ac:dyDescent="0.45">
      <c r="B895" s="10" t="str">
        <f ca="1">IFERROR(__xludf.DUMMYFUNCTION("""COMPUTED_VALUE"""),"Trace")</f>
        <v>Trace</v>
      </c>
      <c r="C895" s="10" t="str">
        <f ca="1">IFERROR(__xludf.DUMMYFUNCTION("""COMPUTED_VALUE"""),"aligned_timestamps")</f>
        <v>aligned_timestamps</v>
      </c>
      <c r="D895" s="10">
        <f ca="1">IFERROR(__xludf.DUMMYFUNCTION("""COMPUTED_VALUE"""),0.6)</f>
        <v>0.6</v>
      </c>
      <c r="E895" s="17">
        <f ca="1">IFERROR(__xludf.DUMMYFUNCTION("""COMPUTED_VALUE"""),1.1508268239126)</f>
        <v>1.1508268239126</v>
      </c>
      <c r="F895" s="17">
        <f ca="1">IFERROR(__xludf.DUMMYFUNCTION("""COMPUTED_VALUE"""),0.561940944169038)</f>
        <v>0.56194094416903795</v>
      </c>
      <c r="G895" s="17">
        <f ca="1">IFERROR(__xludf.DUMMYFUNCTION("""COMPUTED_VALUE"""),0.567714858395395)</f>
        <v>0.56771485839539504</v>
      </c>
      <c r="H895" s="17">
        <f ca="1">IFERROR(__xludf.DUMMYFUNCTION("""COMPUTED_VALUE"""),0.757538002217975)</f>
        <v>0.75753800221797496</v>
      </c>
      <c r="I895" s="17">
        <f ca="1">IFERROR(__xludf.DUMMYFUNCTION("""COMPUTED_VALUE"""),0.723211697283713)</f>
        <v>0.72321169728371304</v>
      </c>
      <c r="J895" s="17">
        <f ca="1">IFERROR(__xludf.DUMMYFUNCTION("""COMPUTED_VALUE"""),1.58558709440199)</f>
        <v>1.5855870944019901</v>
      </c>
      <c r="K895" s="17" t="str">
        <f ca="1">IFERROR(__xludf.DUMMYFUNCTION("""COMPUTED_VALUE"""),"nan")</f>
        <v>nan</v>
      </c>
      <c r="L895" s="17">
        <f ca="1">IFERROR(__xludf.DUMMYFUNCTION("""COMPUTED_VALUE"""),0.568811256561196)</f>
        <v>0.56881125656119602</v>
      </c>
      <c r="M895" s="17">
        <f ca="1">IFERROR(__xludf.DUMMYFUNCTION("""COMPUTED_VALUE"""),0.724576318839861)</f>
        <v>0.72457631883986096</v>
      </c>
      <c r="N895" s="17">
        <f ca="1">IFERROR(__xludf.DUMMYFUNCTION("""COMPUTED_VALUE"""),0.852277923060894)</f>
        <v>0.852277923060894</v>
      </c>
      <c r="O895" s="17">
        <f ca="1">IFERROR(__xludf.DUMMYFUNCTION("""COMPUTED_VALUE"""),0.658575448597338)</f>
        <v>0.65857544859733796</v>
      </c>
      <c r="P895" s="17">
        <f ca="1">IFERROR(__xludf.DUMMYFUNCTION("""COMPUTED_VALUE"""),1.28221033553967)</f>
        <v>1.2822103355396699</v>
      </c>
      <c r="Q895" s="17">
        <f ca="1">IFERROR(__xludf.DUMMYFUNCTION("""COMPUTED_VALUE"""),1.0469763982929)</f>
        <v>1.0469763982928999</v>
      </c>
      <c r="R895" s="17">
        <f ca="1">IFERROR(__xludf.DUMMYFUNCTION("""COMPUTED_VALUE"""),0.83216925094267)</f>
        <v>0.83216925094267002</v>
      </c>
      <c r="S895" s="17">
        <f ca="1">IFERROR(__xludf.DUMMYFUNCTION("""COMPUTED_VALUE"""),0.939533881472497)</f>
        <v>0.93953388147249695</v>
      </c>
      <c r="T895" s="17">
        <f ca="1">IFERROR(__xludf.DUMMYFUNCTION("""COMPUTED_VALUE"""),0.978026351773186)</f>
        <v>0.97802635177318598</v>
      </c>
      <c r="U895" s="17">
        <f ca="1">IFERROR(__xludf.DUMMYFUNCTION("""COMPUTED_VALUE"""),0.758489012723438)</f>
        <v>0.75848901272343805</v>
      </c>
      <c r="V895" s="17">
        <f ca="1">IFERROR(__xludf.DUMMYFUNCTION("""COMPUTED_VALUE"""),0.934178090931987)</f>
        <v>0.934178090931987</v>
      </c>
      <c r="W895" s="17">
        <f ca="1">IFERROR(__xludf.DUMMYFUNCTION("""COMPUTED_VALUE"""),0.896741813787237)</f>
        <v>0.89674181378723705</v>
      </c>
      <c r="X895" s="17">
        <f ca="1">IFERROR(__xludf.DUMMYFUNCTION("""COMPUTED_VALUE"""),0.664860161605452)</f>
        <v>0.66486016160545203</v>
      </c>
      <c r="Y895" s="17">
        <f ca="1">IFERROR(__xludf.DUMMYFUNCTION("""COMPUTED_VALUE"""),0.841117014825429)</f>
        <v>0.841117014825429</v>
      </c>
      <c r="Z895" s="17">
        <f ca="1">IFERROR(__xludf.DUMMYFUNCTION("""COMPUTED_VALUE"""),0.942529243024643)</f>
        <v>0.94252924302464303</v>
      </c>
      <c r="AA895" s="17">
        <f ca="1">IFERROR(__xludf.DUMMYFUNCTION("""COMPUTED_VALUE"""),0.512072178358637)</f>
        <v>0.51207217835863705</v>
      </c>
      <c r="AB895" s="17">
        <f ca="1">IFERROR(__xludf.DUMMYFUNCTION("""COMPUTED_VALUE"""),1.09751290783703)</f>
        <v>1.09751290783703</v>
      </c>
      <c r="AC895" s="17">
        <f ca="1">IFERROR(__xludf.DUMMYFUNCTION("""COMPUTED_VALUE"""),1.1346603782178)</f>
        <v>1.1346603782178</v>
      </c>
      <c r="AD895" s="17">
        <f ca="1">IFERROR(__xludf.DUMMYFUNCTION("""COMPUTED_VALUE"""),1.03304300057674)</f>
        <v>1.0330430005767399</v>
      </c>
      <c r="AE895" s="17">
        <f ca="1">IFERROR(__xludf.DUMMYFUNCTION("""COMPUTED_VALUE"""),1.4518461939571)</f>
        <v>1.4518461939570999</v>
      </c>
      <c r="AF895" s="17">
        <f ca="1">IFERROR(__xludf.DUMMYFUNCTION("""COMPUTED_VALUE"""),0.998300966394261)</f>
        <v>0.99830096639426102</v>
      </c>
      <c r="AG895" s="17">
        <f ca="1">IFERROR(__xludf.DUMMYFUNCTION("""COMPUTED_VALUE"""),1.16734873577744)</f>
        <v>1.1673487357774399</v>
      </c>
      <c r="AH895" s="17">
        <f ca="1">IFERROR(__xludf.DUMMYFUNCTION("""COMPUTED_VALUE"""),1.08360977020126)</f>
        <v>1.0836097702012599</v>
      </c>
      <c r="AI895" s="17" t="str">
        <f ca="1">IFERROR(__xludf.DUMMYFUNCTION("""COMPUTED_VALUE"""),"nan")</f>
        <v>nan</v>
      </c>
      <c r="AJ895" s="17">
        <f ca="1">IFERROR(__xludf.DUMMYFUNCTION("""COMPUTED_VALUE"""),1.16322930316709)</f>
        <v>1.1632293031670899</v>
      </c>
    </row>
    <row r="896" spans="2:36" ht="15.75" customHeight="1" x14ac:dyDescent="0.45">
      <c r="B896" s="10" t="str">
        <f ca="1">IFERROR(__xludf.DUMMYFUNCTION("""COMPUTED_VALUE"""),"Trace")</f>
        <v>Trace</v>
      </c>
      <c r="C896" s="10" t="str">
        <f ca="1">IFERROR(__xludf.DUMMYFUNCTION("""COMPUTED_VALUE"""),"aligned_timestamps")</f>
        <v>aligned_timestamps</v>
      </c>
      <c r="D896" s="10">
        <f ca="1">IFERROR(__xludf.DUMMYFUNCTION("""COMPUTED_VALUE"""),0.8)</f>
        <v>0.8</v>
      </c>
      <c r="E896" s="17">
        <f ca="1">IFERROR(__xludf.DUMMYFUNCTION("""COMPUTED_VALUE"""),1.03309015301524)</f>
        <v>1.0330901530152401</v>
      </c>
      <c r="F896" s="17">
        <f ca="1">IFERROR(__xludf.DUMMYFUNCTION("""COMPUTED_VALUE"""),0.632826524170023)</f>
        <v>0.63282652417002305</v>
      </c>
      <c r="G896" s="17">
        <f ca="1">IFERROR(__xludf.DUMMYFUNCTION("""COMPUTED_VALUE"""),0.623665007760689)</f>
        <v>0.62366500776068901</v>
      </c>
      <c r="H896" s="17">
        <f ca="1">IFERROR(__xludf.DUMMYFUNCTION("""COMPUTED_VALUE"""),0.68631549934198)</f>
        <v>0.68631549934198</v>
      </c>
      <c r="I896" s="17">
        <f ca="1">IFERROR(__xludf.DUMMYFUNCTION("""COMPUTED_VALUE"""),0.733596507426324)</f>
        <v>0.73359650742632398</v>
      </c>
      <c r="J896" s="17">
        <f ca="1">IFERROR(__xludf.DUMMYFUNCTION("""COMPUTED_VALUE"""),1.64055795495123)</f>
        <v>1.6405579549512299</v>
      </c>
      <c r="K896" s="17" t="str">
        <f ca="1">IFERROR(__xludf.DUMMYFUNCTION("""COMPUTED_VALUE"""),"nan")</f>
        <v>nan</v>
      </c>
      <c r="L896" s="17">
        <f ca="1">IFERROR(__xludf.DUMMYFUNCTION("""COMPUTED_VALUE"""),0.652811644347959)</f>
        <v>0.65281164434795902</v>
      </c>
      <c r="M896" s="17">
        <f ca="1">IFERROR(__xludf.DUMMYFUNCTION("""COMPUTED_VALUE"""),1.06489187726645)</f>
        <v>1.06489187726645</v>
      </c>
      <c r="N896" s="17">
        <f ca="1">IFERROR(__xludf.DUMMYFUNCTION("""COMPUTED_VALUE"""),0.997901350899128)</f>
        <v>0.99790135089912801</v>
      </c>
      <c r="O896" s="17">
        <f ca="1">IFERROR(__xludf.DUMMYFUNCTION("""COMPUTED_VALUE"""),0.848957817600689)</f>
        <v>0.848957817600689</v>
      </c>
      <c r="P896" s="17">
        <f ca="1">IFERROR(__xludf.DUMMYFUNCTION("""COMPUTED_VALUE"""),1.26522351064052)</f>
        <v>1.2652235106405201</v>
      </c>
      <c r="Q896" s="17">
        <f ca="1">IFERROR(__xludf.DUMMYFUNCTION("""COMPUTED_VALUE"""),0.922256003749742)</f>
        <v>0.92225600374974204</v>
      </c>
      <c r="R896" s="17">
        <f ca="1">IFERROR(__xludf.DUMMYFUNCTION("""COMPUTED_VALUE"""),0.928920256503804)</f>
        <v>0.92892025650380405</v>
      </c>
      <c r="S896" s="17">
        <f ca="1">IFERROR(__xludf.DUMMYFUNCTION("""COMPUTED_VALUE"""),0.978515907750493)</f>
        <v>0.97851590775049302</v>
      </c>
      <c r="T896" s="17">
        <f ca="1">IFERROR(__xludf.DUMMYFUNCTION("""COMPUTED_VALUE"""),0.884242941917787)</f>
        <v>0.88424294191778696</v>
      </c>
      <c r="U896" s="17">
        <f ca="1">IFERROR(__xludf.DUMMYFUNCTION("""COMPUTED_VALUE"""),0.869207406519905)</f>
        <v>0.86920740651990502</v>
      </c>
      <c r="V896" s="17">
        <f ca="1">IFERROR(__xludf.DUMMYFUNCTION("""COMPUTED_VALUE"""),1.10090380744191)</f>
        <v>1.10090380744191</v>
      </c>
      <c r="W896" s="17">
        <f ca="1">IFERROR(__xludf.DUMMYFUNCTION("""COMPUTED_VALUE"""),0.855423771630251)</f>
        <v>0.85542377163025096</v>
      </c>
      <c r="X896" s="17">
        <f ca="1">IFERROR(__xludf.DUMMYFUNCTION("""COMPUTED_VALUE"""),11.5333085878088)</f>
        <v>11.533308587808801</v>
      </c>
      <c r="Y896" s="17">
        <f ca="1">IFERROR(__xludf.DUMMYFUNCTION("""COMPUTED_VALUE"""),0.807511406729946)</f>
        <v>0.80751140672994604</v>
      </c>
      <c r="Z896" s="17">
        <f ca="1">IFERROR(__xludf.DUMMYFUNCTION("""COMPUTED_VALUE"""),0.90131111148224)</f>
        <v>0.90131111148223997</v>
      </c>
      <c r="AA896" s="17">
        <f ca="1">IFERROR(__xludf.DUMMYFUNCTION("""COMPUTED_VALUE"""),0.627159326303088)</f>
        <v>0.62715932630308802</v>
      </c>
      <c r="AB896" s="17">
        <f ca="1">IFERROR(__xludf.DUMMYFUNCTION("""COMPUTED_VALUE"""),1.07711645481815)</f>
        <v>1.07711645481815</v>
      </c>
      <c r="AC896" s="17">
        <f ca="1">IFERROR(__xludf.DUMMYFUNCTION("""COMPUTED_VALUE"""),1.06273843045839)</f>
        <v>1.06273843045839</v>
      </c>
      <c r="AD896" s="17">
        <f ca="1">IFERROR(__xludf.DUMMYFUNCTION("""COMPUTED_VALUE"""),0.911718965584224)</f>
        <v>0.91171896558422405</v>
      </c>
      <c r="AE896" s="17">
        <f ca="1">IFERROR(__xludf.DUMMYFUNCTION("""COMPUTED_VALUE"""),1.71745522337219)</f>
        <v>1.71745522337219</v>
      </c>
      <c r="AF896" s="17">
        <f ca="1">IFERROR(__xludf.DUMMYFUNCTION("""COMPUTED_VALUE"""),0.960690114594658)</f>
        <v>0.96069011459465803</v>
      </c>
      <c r="AG896" s="17">
        <f ca="1">IFERROR(__xludf.DUMMYFUNCTION("""COMPUTED_VALUE"""),1.00741272497107)</f>
        <v>1.00741272497107</v>
      </c>
      <c r="AH896" s="17">
        <f ca="1">IFERROR(__xludf.DUMMYFUNCTION("""COMPUTED_VALUE"""),0.98076457742047)</f>
        <v>0.98076457742046996</v>
      </c>
      <c r="AI896" s="17">
        <f ca="1">IFERROR(__xludf.DUMMYFUNCTION("""COMPUTED_VALUE"""),1.02079763271282)</f>
        <v>1.0207976327128201</v>
      </c>
      <c r="AJ896" s="17">
        <f ca="1">IFERROR(__xludf.DUMMYFUNCTION("""COMPUTED_VALUE"""),1.07528772344393)</f>
        <v>1.07528772344393</v>
      </c>
    </row>
    <row r="897" spans="2:36" ht="15.75" customHeight="1" x14ac:dyDescent="0.45">
      <c r="B897" s="10" t="str">
        <f ca="1">IFERROR(__xludf.DUMMYFUNCTION("""COMPUTED_VALUE"""),"Trace")</f>
        <v>Trace</v>
      </c>
      <c r="C897" s="10" t="str">
        <f ca="1">IFERROR(__xludf.DUMMYFUNCTION("""COMPUTED_VALUE"""),"mcar")</f>
        <v>mcar</v>
      </c>
      <c r="D897" s="10">
        <f ca="1">IFERROR(__xludf.DUMMYFUNCTION("""COMPUTED_VALUE"""),0.1)</f>
        <v>0.1</v>
      </c>
      <c r="E897" s="17">
        <f ca="1">IFERROR(__xludf.DUMMYFUNCTION("""COMPUTED_VALUE"""),1.05758132394215)</f>
        <v>1.0575813239421501</v>
      </c>
      <c r="F897" s="17">
        <f ca="1">IFERROR(__xludf.DUMMYFUNCTION("""COMPUTED_VALUE"""),0.239624492459657)</f>
        <v>0.239624492459657</v>
      </c>
      <c r="G897" s="17">
        <f ca="1">IFERROR(__xludf.DUMMYFUNCTION("""COMPUTED_VALUE"""),0.232996366575167)</f>
        <v>0.23299636657516701</v>
      </c>
      <c r="H897" s="17">
        <f ca="1">IFERROR(__xludf.DUMMYFUNCTION("""COMPUTED_VALUE"""),0.278213924538106)</f>
        <v>0.27821392453810601</v>
      </c>
      <c r="I897" s="17">
        <f ca="1">IFERROR(__xludf.DUMMYFUNCTION("""COMPUTED_VALUE"""),0.216840747881199)</f>
        <v>0.216840747881199</v>
      </c>
      <c r="J897" s="17">
        <f ca="1">IFERROR(__xludf.DUMMYFUNCTION("""COMPUTED_VALUE"""),0.280874266267878)</f>
        <v>0.28087426626787798</v>
      </c>
      <c r="K897" s="17" t="str">
        <f ca="1">IFERROR(__xludf.DUMMYFUNCTION("""COMPUTED_VALUE"""),"nan")</f>
        <v>nan</v>
      </c>
      <c r="L897" s="17">
        <f ca="1">IFERROR(__xludf.DUMMYFUNCTION("""COMPUTED_VALUE"""),0.20286913386999)</f>
        <v>0.20286913386999</v>
      </c>
      <c r="M897" s="17">
        <f ca="1">IFERROR(__xludf.DUMMYFUNCTION("""COMPUTED_VALUE"""),0.224982441516937)</f>
        <v>0.224982441516937</v>
      </c>
      <c r="N897" s="17">
        <f ca="1">IFERROR(__xludf.DUMMYFUNCTION("""COMPUTED_VALUE"""),0.21300787018089)</f>
        <v>0.21300787018089001</v>
      </c>
      <c r="O897" s="17">
        <f ca="1">IFERROR(__xludf.DUMMYFUNCTION("""COMPUTED_VALUE"""),0.181740867140387)</f>
        <v>0.18174086714038701</v>
      </c>
      <c r="P897" s="17">
        <f ca="1">IFERROR(__xludf.DUMMYFUNCTION("""COMPUTED_VALUE"""),0.529967667768041)</f>
        <v>0.52996766776804105</v>
      </c>
      <c r="Q897" s="17">
        <f ca="1">IFERROR(__xludf.DUMMYFUNCTION("""COMPUTED_VALUE"""),0.905691057423591)</f>
        <v>0.90569105742359102</v>
      </c>
      <c r="R897" s="17">
        <f ca="1">IFERROR(__xludf.DUMMYFUNCTION("""COMPUTED_VALUE"""),0.388625369358533)</f>
        <v>0.38862536935853298</v>
      </c>
      <c r="S897" s="17">
        <f ca="1">IFERROR(__xludf.DUMMYFUNCTION("""COMPUTED_VALUE"""),0.220989404280909)</f>
        <v>0.22098940428090899</v>
      </c>
      <c r="T897" s="17">
        <f ca="1">IFERROR(__xludf.DUMMYFUNCTION("""COMPUTED_VALUE"""),0.170103178107477)</f>
        <v>0.17010317810747699</v>
      </c>
      <c r="U897" s="17">
        <f ca="1">IFERROR(__xludf.DUMMYFUNCTION("""COMPUTED_VALUE"""),0.216661058339105)</f>
        <v>0.21666105833910501</v>
      </c>
      <c r="V897" s="17">
        <f ca="1">IFERROR(__xludf.DUMMYFUNCTION("""COMPUTED_VALUE"""),0.154166397383614)</f>
        <v>0.15416639738361401</v>
      </c>
      <c r="W897" s="17">
        <f ca="1">IFERROR(__xludf.DUMMYFUNCTION("""COMPUTED_VALUE"""),0.187411328699777)</f>
        <v>0.187411328699777</v>
      </c>
      <c r="X897" s="17">
        <f ca="1">IFERROR(__xludf.DUMMYFUNCTION("""COMPUTED_VALUE"""),0.253424717359185)</f>
        <v>0.25342471735918498</v>
      </c>
      <c r="Y897" s="17">
        <f ca="1">IFERROR(__xludf.DUMMYFUNCTION("""COMPUTED_VALUE"""),0.159571391199395)</f>
        <v>0.15957139119939501</v>
      </c>
      <c r="Z897" s="17">
        <f ca="1">IFERROR(__xludf.DUMMYFUNCTION("""COMPUTED_VALUE"""),0.160093012350964)</f>
        <v>0.16009301235096399</v>
      </c>
      <c r="AA897" s="17">
        <f ca="1">IFERROR(__xludf.DUMMYFUNCTION("""COMPUTED_VALUE"""),0.0814953358527214)</f>
        <v>8.1495335852721396E-2</v>
      </c>
      <c r="AB897" s="17">
        <f ca="1">IFERROR(__xludf.DUMMYFUNCTION("""COMPUTED_VALUE"""),0.258596237122492)</f>
        <v>0.25859623712249202</v>
      </c>
      <c r="AC897" s="17">
        <f ca="1">IFERROR(__xludf.DUMMYFUNCTION("""COMPUTED_VALUE"""),0.493964236923033)</f>
        <v>0.49396423692303298</v>
      </c>
      <c r="AD897" s="17">
        <f ca="1">IFERROR(__xludf.DUMMYFUNCTION("""COMPUTED_VALUE"""),0.111054868923329)</f>
        <v>0.111054868923329</v>
      </c>
      <c r="AE897" s="17">
        <f ca="1">IFERROR(__xludf.DUMMYFUNCTION("""COMPUTED_VALUE"""),0.509208250943615)</f>
        <v>0.50920825094361499</v>
      </c>
      <c r="AF897" s="17">
        <f ca="1">IFERROR(__xludf.DUMMYFUNCTION("""COMPUTED_VALUE"""),0.137147192689253)</f>
        <v>0.13714719268925299</v>
      </c>
      <c r="AG897" s="17">
        <f ca="1">IFERROR(__xludf.DUMMYFUNCTION("""COMPUTED_VALUE"""),0.580371669714384)</f>
        <v>0.58037166971438403</v>
      </c>
      <c r="AH897" s="17">
        <f ca="1">IFERROR(__xludf.DUMMYFUNCTION("""COMPUTED_VALUE"""),0.123076133175467)</f>
        <v>0.12307613317546701</v>
      </c>
      <c r="AI897" s="17">
        <f ca="1">IFERROR(__xludf.DUMMYFUNCTION("""COMPUTED_VALUE"""),0.113128438115928)</f>
        <v>0.113128438115928</v>
      </c>
      <c r="AJ897" s="17">
        <f ca="1">IFERROR(__xludf.DUMMYFUNCTION("""COMPUTED_VALUE"""),0.248774660392357)</f>
        <v>0.24877466039235699</v>
      </c>
    </row>
    <row r="898" spans="2:36" ht="15.75" customHeight="1" x14ac:dyDescent="0.45">
      <c r="B898" s="10" t="str">
        <f ca="1">IFERROR(__xludf.DUMMYFUNCTION("""COMPUTED_VALUE"""),"Trace")</f>
        <v>Trace</v>
      </c>
      <c r="C898" s="10" t="str">
        <f ca="1">IFERROR(__xludf.DUMMYFUNCTION("""COMPUTED_VALUE"""),"mcar")</f>
        <v>mcar</v>
      </c>
      <c r="D898" s="10">
        <f ca="1">IFERROR(__xludf.DUMMYFUNCTION("""COMPUTED_VALUE"""),0.2)</f>
        <v>0.2</v>
      </c>
      <c r="E898" s="17">
        <f ca="1">IFERROR(__xludf.DUMMYFUNCTION("""COMPUTED_VALUE"""),0.919586253101913)</f>
        <v>0.919586253101913</v>
      </c>
      <c r="F898" s="17">
        <f ca="1">IFERROR(__xludf.DUMMYFUNCTION("""COMPUTED_VALUE"""),0.257906329227661)</f>
        <v>0.25790632922766099</v>
      </c>
      <c r="G898" s="17">
        <f ca="1">IFERROR(__xludf.DUMMYFUNCTION("""COMPUTED_VALUE"""),0.252852075835217)</f>
        <v>0.25285207583521702</v>
      </c>
      <c r="H898" s="17">
        <f ca="1">IFERROR(__xludf.DUMMYFUNCTION("""COMPUTED_VALUE"""),0.450422792354298)</f>
        <v>0.450422792354298</v>
      </c>
      <c r="I898" s="17">
        <f ca="1">IFERROR(__xludf.DUMMYFUNCTION("""COMPUTED_VALUE"""),0.22157188812838)</f>
        <v>0.22157188812838</v>
      </c>
      <c r="J898" s="17">
        <f ca="1">IFERROR(__xludf.DUMMYFUNCTION("""COMPUTED_VALUE"""),0.254945359457277)</f>
        <v>0.25494535945727698</v>
      </c>
      <c r="K898" s="17" t="str">
        <f ca="1">IFERROR(__xludf.DUMMYFUNCTION("""COMPUTED_VALUE"""),"nan")</f>
        <v>nan</v>
      </c>
      <c r="L898" s="17">
        <f ca="1">IFERROR(__xludf.DUMMYFUNCTION("""COMPUTED_VALUE"""),0.228662638900161)</f>
        <v>0.228662638900161</v>
      </c>
      <c r="M898" s="17">
        <f ca="1">IFERROR(__xludf.DUMMYFUNCTION("""COMPUTED_VALUE"""),0.240093282598937)</f>
        <v>0.240093282598937</v>
      </c>
      <c r="N898" s="17">
        <f ca="1">IFERROR(__xludf.DUMMYFUNCTION("""COMPUTED_VALUE"""),0.291774210813275)</f>
        <v>0.29177421081327498</v>
      </c>
      <c r="O898" s="17">
        <f ca="1">IFERROR(__xludf.DUMMYFUNCTION("""COMPUTED_VALUE"""),0.203637976583422)</f>
        <v>0.203637976583422</v>
      </c>
      <c r="P898" s="17">
        <f ca="1">IFERROR(__xludf.DUMMYFUNCTION("""COMPUTED_VALUE"""),0.500337604828478)</f>
        <v>0.500337604828478</v>
      </c>
      <c r="Q898" s="17">
        <f ca="1">IFERROR(__xludf.DUMMYFUNCTION("""COMPUTED_VALUE"""),0.824608503434741)</f>
        <v>0.82460850343474101</v>
      </c>
      <c r="R898" s="17">
        <f ca="1">IFERROR(__xludf.DUMMYFUNCTION("""COMPUTED_VALUE"""),0.23783612718019)</f>
        <v>0.23783612718019001</v>
      </c>
      <c r="S898" s="17">
        <f ca="1">IFERROR(__xludf.DUMMYFUNCTION("""COMPUTED_VALUE"""),0.346101170539656)</f>
        <v>0.346101170539656</v>
      </c>
      <c r="T898" s="17">
        <f ca="1">IFERROR(__xludf.DUMMYFUNCTION("""COMPUTED_VALUE"""),0.176130282116451)</f>
        <v>0.17613028211645099</v>
      </c>
      <c r="U898" s="17">
        <f ca="1">IFERROR(__xludf.DUMMYFUNCTION("""COMPUTED_VALUE"""),0.296919540498436)</f>
        <v>0.296919540498436</v>
      </c>
      <c r="V898" s="17">
        <f ca="1">IFERROR(__xludf.DUMMYFUNCTION("""COMPUTED_VALUE"""),0.136647878654121)</f>
        <v>0.13664787865412101</v>
      </c>
      <c r="W898" s="17">
        <f ca="1">IFERROR(__xludf.DUMMYFUNCTION("""COMPUTED_VALUE"""),0.181500873626855)</f>
        <v>0.18150087362685499</v>
      </c>
      <c r="X898" s="17">
        <f ca="1">IFERROR(__xludf.DUMMYFUNCTION("""COMPUTED_VALUE"""),0.259563330059424)</f>
        <v>0.259563330059424</v>
      </c>
      <c r="Y898" s="17">
        <f ca="1">IFERROR(__xludf.DUMMYFUNCTION("""COMPUTED_VALUE"""),0.250725872316403)</f>
        <v>0.25072587231640298</v>
      </c>
      <c r="Z898" s="17">
        <f ca="1">IFERROR(__xludf.DUMMYFUNCTION("""COMPUTED_VALUE"""),0.266669432225607)</f>
        <v>0.26666943222560702</v>
      </c>
      <c r="AA898" s="17">
        <f ca="1">IFERROR(__xludf.DUMMYFUNCTION("""COMPUTED_VALUE"""),0.126325386597574)</f>
        <v>0.126325386597574</v>
      </c>
      <c r="AB898" s="17">
        <f ca="1">IFERROR(__xludf.DUMMYFUNCTION("""COMPUTED_VALUE"""),0.387206204554962)</f>
        <v>0.38720620455496202</v>
      </c>
      <c r="AC898" s="17">
        <f ca="1">IFERROR(__xludf.DUMMYFUNCTION("""COMPUTED_VALUE"""),0.4692788318567)</f>
        <v>0.4692788318567</v>
      </c>
      <c r="AD898" s="17">
        <f ca="1">IFERROR(__xludf.DUMMYFUNCTION("""COMPUTED_VALUE"""),0.17691602410793)</f>
        <v>0.17691602410793</v>
      </c>
      <c r="AE898" s="17">
        <f ca="1">IFERROR(__xludf.DUMMYFUNCTION("""COMPUTED_VALUE"""),0.563560370301293)</f>
        <v>0.56356037030129302</v>
      </c>
      <c r="AF898" s="17">
        <f ca="1">IFERROR(__xludf.DUMMYFUNCTION("""COMPUTED_VALUE"""),0.283891724290383)</f>
        <v>0.28389172429038301</v>
      </c>
      <c r="AG898" s="17">
        <f ca="1">IFERROR(__xludf.DUMMYFUNCTION("""COMPUTED_VALUE"""),0.623500194545726)</f>
        <v>0.62350019454572603</v>
      </c>
      <c r="AH898" s="17">
        <f ca="1">IFERROR(__xludf.DUMMYFUNCTION("""COMPUTED_VALUE"""),0.230406879898031)</f>
        <v>0.23040687989803099</v>
      </c>
      <c r="AI898" s="17">
        <f ca="1">IFERROR(__xludf.DUMMYFUNCTION("""COMPUTED_VALUE"""),0.400240824154786)</f>
        <v>0.40024082415478601</v>
      </c>
      <c r="AJ898" s="17">
        <f ca="1">IFERROR(__xludf.DUMMYFUNCTION("""COMPUTED_VALUE"""),0.324144457807646)</f>
        <v>0.324144457807646</v>
      </c>
    </row>
    <row r="899" spans="2:36" ht="15.75" customHeight="1" x14ac:dyDescent="0.45">
      <c r="B899" s="10" t="str">
        <f ca="1">IFERROR(__xludf.DUMMYFUNCTION("""COMPUTED_VALUE"""),"Trace")</f>
        <v>Trace</v>
      </c>
      <c r="C899" s="10" t="str">
        <f ca="1">IFERROR(__xludf.DUMMYFUNCTION("""COMPUTED_VALUE"""),"mcar")</f>
        <v>mcar</v>
      </c>
      <c r="D899" s="10">
        <f ca="1">IFERROR(__xludf.DUMMYFUNCTION("""COMPUTED_VALUE"""),0.4)</f>
        <v>0.4</v>
      </c>
      <c r="E899" s="17">
        <f ca="1">IFERROR(__xludf.DUMMYFUNCTION("""COMPUTED_VALUE"""),0.939389060611753)</f>
        <v>0.93938906061175298</v>
      </c>
      <c r="F899" s="17">
        <f ca="1">IFERROR(__xludf.DUMMYFUNCTION("""COMPUTED_VALUE"""),0.305935087160566)</f>
        <v>0.305935087160566</v>
      </c>
      <c r="G899" s="17">
        <f ca="1">IFERROR(__xludf.DUMMYFUNCTION("""COMPUTED_VALUE"""),0.301238411724789)</f>
        <v>0.30123841172478899</v>
      </c>
      <c r="H899" s="17">
        <f ca="1">IFERROR(__xludf.DUMMYFUNCTION("""COMPUTED_VALUE"""),0.466175355289538)</f>
        <v>0.46617535528953802</v>
      </c>
      <c r="I899" s="17">
        <f ca="1">IFERROR(__xludf.DUMMYFUNCTION("""COMPUTED_VALUE"""),0.27134051121427)</f>
        <v>0.27134051121427</v>
      </c>
      <c r="J899" s="17">
        <f ca="1">IFERROR(__xludf.DUMMYFUNCTION("""COMPUTED_VALUE"""),0.467867662479449)</f>
        <v>0.467867662479449</v>
      </c>
      <c r="K899" s="17" t="str">
        <f ca="1">IFERROR(__xludf.DUMMYFUNCTION("""COMPUTED_VALUE"""),"nan")</f>
        <v>nan</v>
      </c>
      <c r="L899" s="17">
        <f ca="1">IFERROR(__xludf.DUMMYFUNCTION("""COMPUTED_VALUE"""),0.322381872767697)</f>
        <v>0.32238187276769698</v>
      </c>
      <c r="M899" s="17">
        <f ca="1">IFERROR(__xludf.DUMMYFUNCTION("""COMPUTED_VALUE"""),0.307385247313719)</f>
        <v>0.30738524731371902</v>
      </c>
      <c r="N899" s="17">
        <f ca="1">IFERROR(__xludf.DUMMYFUNCTION("""COMPUTED_VALUE"""),0.349274021754917)</f>
        <v>0.34927402175491701</v>
      </c>
      <c r="O899" s="17">
        <f ca="1">IFERROR(__xludf.DUMMYFUNCTION("""COMPUTED_VALUE"""),0.281699079584803)</f>
        <v>0.281699079584803</v>
      </c>
      <c r="P899" s="17">
        <f ca="1">IFERROR(__xludf.DUMMYFUNCTION("""COMPUTED_VALUE"""),0.578215697594969)</f>
        <v>0.57821569759496905</v>
      </c>
      <c r="Q899" s="17">
        <f ca="1">IFERROR(__xludf.DUMMYFUNCTION("""COMPUTED_VALUE"""),0.764822569008665)</f>
        <v>0.76482256900866497</v>
      </c>
      <c r="R899" s="17">
        <f ca="1">IFERROR(__xludf.DUMMYFUNCTION("""COMPUTED_VALUE"""),0.236175650188768)</f>
        <v>0.23617565018876799</v>
      </c>
      <c r="S899" s="17">
        <f ca="1">IFERROR(__xludf.DUMMYFUNCTION("""COMPUTED_VALUE"""),0.804498753866878)</f>
        <v>0.80449875386687797</v>
      </c>
      <c r="T899" s="17">
        <f ca="1">IFERROR(__xludf.DUMMYFUNCTION("""COMPUTED_VALUE"""),0.31410609576019)</f>
        <v>0.31410609576019</v>
      </c>
      <c r="U899" s="17">
        <f ca="1">IFERROR(__xludf.DUMMYFUNCTION("""COMPUTED_VALUE"""),0.352375852069552)</f>
        <v>0.35237585206955202</v>
      </c>
      <c r="V899" s="17">
        <f ca="1">IFERROR(__xludf.DUMMYFUNCTION("""COMPUTED_VALUE"""),0.255242706444164)</f>
        <v>0.25524270644416402</v>
      </c>
      <c r="W899" s="17">
        <f ca="1">IFERROR(__xludf.DUMMYFUNCTION("""COMPUTED_VALUE"""),0.350566977961531)</f>
        <v>0.35056697796153102</v>
      </c>
      <c r="X899" s="17">
        <f ca="1">IFERROR(__xludf.DUMMYFUNCTION("""COMPUTED_VALUE"""),0.330839900578316)</f>
        <v>0.33083990057831603</v>
      </c>
      <c r="Y899" s="17">
        <f ca="1">IFERROR(__xludf.DUMMYFUNCTION("""COMPUTED_VALUE"""),0.389526822558895)</f>
        <v>0.38952682255889498</v>
      </c>
      <c r="Z899" s="17">
        <f ca="1">IFERROR(__xludf.DUMMYFUNCTION("""COMPUTED_VALUE"""),0.446754435039696)</f>
        <v>0.44675443503969597</v>
      </c>
      <c r="AA899" s="17">
        <f ca="1">IFERROR(__xludf.DUMMYFUNCTION("""COMPUTED_VALUE"""),0.174813344038187)</f>
        <v>0.17481334403818699</v>
      </c>
      <c r="AB899" s="17">
        <f ca="1">IFERROR(__xludf.DUMMYFUNCTION("""COMPUTED_VALUE"""),0.377778958885346)</f>
        <v>0.37777895888534602</v>
      </c>
      <c r="AC899" s="17">
        <f ca="1">IFERROR(__xludf.DUMMYFUNCTION("""COMPUTED_VALUE"""),0.611309600294496)</f>
        <v>0.61130960029449599</v>
      </c>
      <c r="AD899" s="17">
        <f ca="1">IFERROR(__xludf.DUMMYFUNCTION("""COMPUTED_VALUE"""),0.365012028761336)</f>
        <v>0.36501202876133598</v>
      </c>
      <c r="AE899" s="17">
        <f ca="1">IFERROR(__xludf.DUMMYFUNCTION("""COMPUTED_VALUE"""),0.705106797673008)</f>
        <v>0.70510679767300799</v>
      </c>
      <c r="AF899" s="17">
        <f ca="1">IFERROR(__xludf.DUMMYFUNCTION("""COMPUTED_VALUE"""),0.466684587661013)</f>
        <v>0.46668458766101301</v>
      </c>
      <c r="AG899" s="17">
        <f ca="1">IFERROR(__xludf.DUMMYFUNCTION("""COMPUTED_VALUE"""),0.694323138625226)</f>
        <v>0.69432313862522599</v>
      </c>
      <c r="AH899" s="17">
        <f ca="1">IFERROR(__xludf.DUMMYFUNCTION("""COMPUTED_VALUE"""),0.46524484784824)</f>
        <v>0.46524484784824</v>
      </c>
      <c r="AI899" s="17">
        <f ca="1">IFERROR(__xludf.DUMMYFUNCTION("""COMPUTED_VALUE"""),0.718478084987875)</f>
        <v>0.71847808498787502</v>
      </c>
      <c r="AJ899" s="17">
        <f ca="1">IFERROR(__xludf.DUMMYFUNCTION("""COMPUTED_VALUE"""),0.500292585137436)</f>
        <v>0.50029258513743602</v>
      </c>
    </row>
    <row r="900" spans="2:36" ht="15.75" customHeight="1" x14ac:dyDescent="0.45">
      <c r="B900" s="10" t="str">
        <f ca="1">IFERROR(__xludf.DUMMYFUNCTION("""COMPUTED_VALUE"""),"Trace")</f>
        <v>Trace</v>
      </c>
      <c r="C900" s="10" t="str">
        <f ca="1">IFERROR(__xludf.DUMMYFUNCTION("""COMPUTED_VALUE"""),"mcar")</f>
        <v>mcar</v>
      </c>
      <c r="D900" s="10">
        <f ca="1">IFERROR(__xludf.DUMMYFUNCTION("""COMPUTED_VALUE"""),0.6)</f>
        <v>0.6</v>
      </c>
      <c r="E900" s="17">
        <f ca="1">IFERROR(__xludf.DUMMYFUNCTION("""COMPUTED_VALUE"""),0.941702868594003)</f>
        <v>0.94170286859400298</v>
      </c>
      <c r="F900" s="17">
        <f ca="1">IFERROR(__xludf.DUMMYFUNCTION("""COMPUTED_VALUE"""),0.370540771429583)</f>
        <v>0.37054077142958303</v>
      </c>
      <c r="G900" s="17">
        <f ca="1">IFERROR(__xludf.DUMMYFUNCTION("""COMPUTED_VALUE"""),0.372364401204061)</f>
        <v>0.372364401204061</v>
      </c>
      <c r="H900" s="17">
        <f ca="1">IFERROR(__xludf.DUMMYFUNCTION("""COMPUTED_VALUE"""),0.500383481192273)</f>
        <v>0.50038348119227305</v>
      </c>
      <c r="I900" s="17">
        <f ca="1">IFERROR(__xludf.DUMMYFUNCTION("""COMPUTED_VALUE"""),0.331015223731337)</f>
        <v>0.33101522373133702</v>
      </c>
      <c r="J900" s="17">
        <f ca="1">IFERROR(__xludf.DUMMYFUNCTION("""COMPUTED_VALUE"""),0.583725607392084)</f>
        <v>0.58372560739208401</v>
      </c>
      <c r="K900" s="17" t="str">
        <f ca="1">IFERROR(__xludf.DUMMYFUNCTION("""COMPUTED_VALUE"""),"nan")</f>
        <v>nan</v>
      </c>
      <c r="L900" s="17">
        <f ca="1">IFERROR(__xludf.DUMMYFUNCTION("""COMPUTED_VALUE"""),0.357645908315641)</f>
        <v>0.35764590831564103</v>
      </c>
      <c r="M900" s="17">
        <f ca="1">IFERROR(__xludf.DUMMYFUNCTION("""COMPUTED_VALUE"""),0.325788886037243)</f>
        <v>0.32578888603724299</v>
      </c>
      <c r="N900" s="17">
        <f ca="1">IFERROR(__xludf.DUMMYFUNCTION("""COMPUTED_VALUE"""),0.357047679953445)</f>
        <v>0.357047679953445</v>
      </c>
      <c r="O900" s="17">
        <f ca="1">IFERROR(__xludf.DUMMYFUNCTION("""COMPUTED_VALUE"""),0.424576681914808)</f>
        <v>0.42457668191480802</v>
      </c>
      <c r="P900" s="17">
        <f ca="1">IFERROR(__xludf.DUMMYFUNCTION("""COMPUTED_VALUE"""),0.704354167105094)</f>
        <v>0.70435416710509402</v>
      </c>
      <c r="Q900" s="17">
        <f ca="1">IFERROR(__xludf.DUMMYFUNCTION("""COMPUTED_VALUE"""),0.729582698798976)</f>
        <v>0.72958269879897597</v>
      </c>
      <c r="R900" s="17">
        <f ca="1">IFERROR(__xludf.DUMMYFUNCTION("""COMPUTED_VALUE"""),0.50257421770738)</f>
        <v>0.50257421770737998</v>
      </c>
      <c r="S900" s="17">
        <f ca="1">IFERROR(__xludf.DUMMYFUNCTION("""COMPUTED_VALUE"""),1.46191053542071)</f>
        <v>1.46191053542071</v>
      </c>
      <c r="T900" s="17">
        <f ca="1">IFERROR(__xludf.DUMMYFUNCTION("""COMPUTED_VALUE"""),0.455123178049915)</f>
        <v>0.45512317804991498</v>
      </c>
      <c r="U900" s="17">
        <f ca="1">IFERROR(__xludf.DUMMYFUNCTION("""COMPUTED_VALUE"""),0.387995840980194)</f>
        <v>0.38799584098019402</v>
      </c>
      <c r="V900" s="17">
        <f ca="1">IFERROR(__xludf.DUMMYFUNCTION("""COMPUTED_VALUE"""),0.549047763871803)</f>
        <v>0.54904776387180299</v>
      </c>
      <c r="W900" s="17">
        <f ca="1">IFERROR(__xludf.DUMMYFUNCTION("""COMPUTED_VALUE"""),0.456971161995904)</f>
        <v>0.45697116199590398</v>
      </c>
      <c r="X900" s="17">
        <f ca="1">IFERROR(__xludf.DUMMYFUNCTION("""COMPUTED_VALUE"""),0.358640585399321)</f>
        <v>0.35864058539932098</v>
      </c>
      <c r="Y900" s="17">
        <f ca="1">IFERROR(__xludf.DUMMYFUNCTION("""COMPUTED_VALUE"""),0.45170384515403)</f>
        <v>0.45170384515403</v>
      </c>
      <c r="Z900" s="17">
        <f ca="1">IFERROR(__xludf.DUMMYFUNCTION("""COMPUTED_VALUE"""),0.535963358447273)</f>
        <v>0.53596335844727305</v>
      </c>
      <c r="AA900" s="17">
        <f ca="1">IFERROR(__xludf.DUMMYFUNCTION("""COMPUTED_VALUE"""),0.394716636078468)</f>
        <v>0.39471663607846802</v>
      </c>
      <c r="AB900" s="17">
        <f ca="1">IFERROR(__xludf.DUMMYFUNCTION("""COMPUTED_VALUE"""),0.724655926310014)</f>
        <v>0.72465592631001396</v>
      </c>
      <c r="AC900" s="17">
        <f ca="1">IFERROR(__xludf.DUMMYFUNCTION("""COMPUTED_VALUE"""),0.681903824043056)</f>
        <v>0.68190382404305605</v>
      </c>
      <c r="AD900" s="17">
        <f ca="1">IFERROR(__xludf.DUMMYFUNCTION("""COMPUTED_VALUE"""),0.494451344789125)</f>
        <v>0.494451344789125</v>
      </c>
      <c r="AE900" s="17">
        <f ca="1">IFERROR(__xludf.DUMMYFUNCTION("""COMPUTED_VALUE"""),1.0775863365935)</f>
        <v>1.0775863365934999</v>
      </c>
      <c r="AF900" s="17">
        <f ca="1">IFERROR(__xludf.DUMMYFUNCTION("""COMPUTED_VALUE"""),0.542292926321166)</f>
        <v>0.54229292632116599</v>
      </c>
      <c r="AG900" s="17">
        <f ca="1">IFERROR(__xludf.DUMMYFUNCTION("""COMPUTED_VALUE"""),1.02666829235953)</f>
        <v>1.0266682923595301</v>
      </c>
      <c r="AH900" s="17">
        <f ca="1">IFERROR(__xludf.DUMMYFUNCTION("""COMPUTED_VALUE"""),0.749262332530654)</f>
        <v>0.749262332530654</v>
      </c>
      <c r="AI900" s="17">
        <f ca="1">IFERROR(__xludf.DUMMYFUNCTION("""COMPUTED_VALUE"""),0.912923786946876)</f>
        <v>0.91292378694687604</v>
      </c>
      <c r="AJ900" s="17">
        <f ca="1">IFERROR(__xludf.DUMMYFUNCTION("""COMPUTED_VALUE"""),1.00898172000705)</f>
        <v>1.0089817200070501</v>
      </c>
    </row>
    <row r="901" spans="2:36" ht="15.75" customHeight="1" x14ac:dyDescent="0.45">
      <c r="B901" s="10" t="str">
        <f ca="1">IFERROR(__xludf.DUMMYFUNCTION("""COMPUTED_VALUE"""),"Trace")</f>
        <v>Trace</v>
      </c>
      <c r="C901" s="10" t="str">
        <f ca="1">IFERROR(__xludf.DUMMYFUNCTION("""COMPUTED_VALUE"""),"mcar")</f>
        <v>mcar</v>
      </c>
      <c r="D901" s="10">
        <f ca="1">IFERROR(__xludf.DUMMYFUNCTION("""COMPUTED_VALUE"""),0.8)</f>
        <v>0.8</v>
      </c>
      <c r="E901" s="17">
        <f ca="1">IFERROR(__xludf.DUMMYFUNCTION("""COMPUTED_VALUE"""),0.962043194700743)</f>
        <v>0.96204319470074295</v>
      </c>
      <c r="F901" s="17">
        <f ca="1">IFERROR(__xludf.DUMMYFUNCTION("""COMPUTED_VALUE"""),0.429632167536458)</f>
        <v>0.429632167536458</v>
      </c>
      <c r="G901" s="17">
        <f ca="1">IFERROR(__xludf.DUMMYFUNCTION("""COMPUTED_VALUE"""),0.452078072022199)</f>
        <v>0.45207807202219902</v>
      </c>
      <c r="H901" s="17">
        <f ca="1">IFERROR(__xludf.DUMMYFUNCTION("""COMPUTED_VALUE"""),0.539980584844046)</f>
        <v>0.53998058484404599</v>
      </c>
      <c r="I901" s="17">
        <f ca="1">IFERROR(__xludf.DUMMYFUNCTION("""COMPUTED_VALUE"""),0.418007538580788)</f>
        <v>0.41800753858078799</v>
      </c>
      <c r="J901" s="17">
        <f ca="1">IFERROR(__xludf.DUMMYFUNCTION("""COMPUTED_VALUE"""),0.902565893525594)</f>
        <v>0.90256589352559402</v>
      </c>
      <c r="K901" s="17" t="str">
        <f ca="1">IFERROR(__xludf.DUMMYFUNCTION("""COMPUTED_VALUE"""),"nan")</f>
        <v>nan</v>
      </c>
      <c r="L901" s="17">
        <f ca="1">IFERROR(__xludf.DUMMYFUNCTION("""COMPUTED_VALUE"""),0.448610813114614)</f>
        <v>0.44861081311461398</v>
      </c>
      <c r="M901" s="17">
        <f ca="1">IFERROR(__xludf.DUMMYFUNCTION("""COMPUTED_VALUE"""),0.459106777201876)</f>
        <v>0.45910677720187598</v>
      </c>
      <c r="N901" s="17">
        <f ca="1">IFERROR(__xludf.DUMMYFUNCTION("""COMPUTED_VALUE"""),0.600387199805368)</f>
        <v>0.60038719980536803</v>
      </c>
      <c r="O901" s="17">
        <f ca="1">IFERROR(__xludf.DUMMYFUNCTION("""COMPUTED_VALUE"""),0.522504194253592)</f>
        <v>0.52250419425359196</v>
      </c>
      <c r="P901" s="17">
        <f ca="1">IFERROR(__xludf.DUMMYFUNCTION("""COMPUTED_VALUE"""),0.887661026009017)</f>
        <v>0.88766102600901697</v>
      </c>
      <c r="Q901" s="17">
        <f ca="1">IFERROR(__xludf.DUMMYFUNCTION("""COMPUTED_VALUE"""),0.78475392071529)</f>
        <v>0.78475392071529004</v>
      </c>
      <c r="R901" s="17">
        <f ca="1">IFERROR(__xludf.DUMMYFUNCTION("""COMPUTED_VALUE"""),0.568428392849459)</f>
        <v>0.56842839284945901</v>
      </c>
      <c r="S901" s="17">
        <f ca="1">IFERROR(__xludf.DUMMYFUNCTION("""COMPUTED_VALUE"""),1.69401266002872)</f>
        <v>1.69401266002872</v>
      </c>
      <c r="T901" s="17">
        <f ca="1">IFERROR(__xludf.DUMMYFUNCTION("""COMPUTED_VALUE"""),0.558582983362803)</f>
        <v>0.55858298336280299</v>
      </c>
      <c r="U901" s="17">
        <f ca="1">IFERROR(__xludf.DUMMYFUNCTION("""COMPUTED_VALUE"""),0.465830674745746)</f>
        <v>0.46583067474574602</v>
      </c>
      <c r="V901" s="17">
        <f ca="1">IFERROR(__xludf.DUMMYFUNCTION("""COMPUTED_VALUE"""),0.691238025495319)</f>
        <v>0.69123802549531899</v>
      </c>
      <c r="W901" s="17">
        <f ca="1">IFERROR(__xludf.DUMMYFUNCTION("""COMPUTED_VALUE"""),0.677643490444895)</f>
        <v>0.67764349044489502</v>
      </c>
      <c r="X901" s="17">
        <f ca="1">IFERROR(__xludf.DUMMYFUNCTION("""COMPUTED_VALUE"""),0.399644593969352)</f>
        <v>0.39964459396935198</v>
      </c>
      <c r="Y901" s="17">
        <f ca="1">IFERROR(__xludf.DUMMYFUNCTION("""COMPUTED_VALUE"""),0.577924854280622)</f>
        <v>0.57792485428062201</v>
      </c>
      <c r="Z901" s="17">
        <f ca="1">IFERROR(__xludf.DUMMYFUNCTION("""COMPUTED_VALUE"""),0.733683233872675)</f>
        <v>0.73368323387267498</v>
      </c>
      <c r="AA901" s="17">
        <f ca="1">IFERROR(__xludf.DUMMYFUNCTION("""COMPUTED_VALUE"""),0.394996046654037)</f>
        <v>0.39499604665403698</v>
      </c>
      <c r="AB901" s="17">
        <f ca="1">IFERROR(__xludf.DUMMYFUNCTION("""COMPUTED_VALUE"""),0.95668931719142)</f>
        <v>0.95668931719142003</v>
      </c>
      <c r="AC901" s="17">
        <f ca="1">IFERROR(__xludf.DUMMYFUNCTION("""COMPUTED_VALUE"""),0.873272697510739)</f>
        <v>0.87327269751073899</v>
      </c>
      <c r="AD901" s="17">
        <f ca="1">IFERROR(__xludf.DUMMYFUNCTION("""COMPUTED_VALUE"""),0.645790250892179)</f>
        <v>0.64579025089217901</v>
      </c>
      <c r="AE901" s="17">
        <f ca="1">IFERROR(__xludf.DUMMYFUNCTION("""COMPUTED_VALUE"""),1.17460538916)</f>
        <v>1.1746053891599999</v>
      </c>
      <c r="AF901" s="17">
        <f ca="1">IFERROR(__xludf.DUMMYFUNCTION("""COMPUTED_VALUE"""),0.854168989858731)</f>
        <v>0.85416898985873102</v>
      </c>
      <c r="AG901" s="17">
        <f ca="1">IFERROR(__xludf.DUMMYFUNCTION("""COMPUTED_VALUE"""),0.999432596898881)</f>
        <v>0.99943259689888098</v>
      </c>
      <c r="AH901" s="17">
        <f ca="1">IFERROR(__xludf.DUMMYFUNCTION("""COMPUTED_VALUE"""),1.05858535466217)</f>
        <v>1.05858535466217</v>
      </c>
      <c r="AI901" s="17">
        <f ca="1">IFERROR(__xludf.DUMMYFUNCTION("""COMPUTED_VALUE"""),1.00496659568935)</f>
        <v>1.0049665956893501</v>
      </c>
      <c r="AJ901" s="17">
        <f ca="1">IFERROR(__xludf.DUMMYFUNCTION("""COMPUTED_VALUE"""),0.932985497085853)</f>
        <v>0.93298549708585299</v>
      </c>
    </row>
    <row r="902" spans="2:36" ht="15.75" customHeight="1" x14ac:dyDescent="0.45">
      <c r="B902" s="10" t="str">
        <f ca="1">IFERROR(__xludf.DUMMYFUNCTION("""COMPUTED_VALUE"""),"TwoLeadECG")</f>
        <v>TwoLeadECG</v>
      </c>
      <c r="C902" s="10" t="str">
        <f ca="1">IFERROR(__xludf.DUMMYFUNCTION("""COMPUTED_VALUE"""),"aligned_series")</f>
        <v>aligned_series</v>
      </c>
      <c r="D902" s="10">
        <f ca="1">IFERROR(__xludf.DUMMYFUNCTION("""COMPUTED_VALUE"""),0.1)</f>
        <v>0.1</v>
      </c>
      <c r="E902" s="17">
        <f ca="1">IFERROR(__xludf.DUMMYFUNCTION("""COMPUTED_VALUE"""),0.294055420618522)</f>
        <v>0.29405542061852202</v>
      </c>
      <c r="F902" s="17">
        <f ca="1">IFERROR(__xludf.DUMMYFUNCTION("""COMPUTED_VALUE"""),0.267758636164518)</f>
        <v>0.267758636164518</v>
      </c>
      <c r="G902" s="17">
        <f ca="1">IFERROR(__xludf.DUMMYFUNCTION("""COMPUTED_VALUE"""),0.268218286126662)</f>
        <v>0.26821828612666199</v>
      </c>
      <c r="H902" s="17">
        <f ca="1">IFERROR(__xludf.DUMMYFUNCTION("""COMPUTED_VALUE"""),0.290969642744408)</f>
        <v>0.29096964274440801</v>
      </c>
      <c r="I902" s="17">
        <f ca="1">IFERROR(__xludf.DUMMYFUNCTION("""COMPUTED_VALUE"""),0.12753522978423)</f>
        <v>0.12753522978422999</v>
      </c>
      <c r="J902" s="17">
        <f ca="1">IFERROR(__xludf.DUMMYFUNCTION("""COMPUTED_VALUE"""),0.152810317051794)</f>
        <v>0.15281031705179399</v>
      </c>
      <c r="K902" s="17" t="str">
        <f ca="1">IFERROR(__xludf.DUMMYFUNCTION("""COMPUTED_VALUE"""),"nan")</f>
        <v>nan</v>
      </c>
      <c r="L902" s="17">
        <f ca="1">IFERROR(__xludf.DUMMYFUNCTION("""COMPUTED_VALUE"""),0.298842749114737)</f>
        <v>0.29884274911473702</v>
      </c>
      <c r="M902" s="17">
        <f ca="1">IFERROR(__xludf.DUMMYFUNCTION("""COMPUTED_VALUE"""),0.256334670044156)</f>
        <v>0.256334670044156</v>
      </c>
      <c r="N902" s="17">
        <f ca="1">IFERROR(__xludf.DUMMYFUNCTION("""COMPUTED_VALUE"""),0.176057701758576)</f>
        <v>0.17605770175857599</v>
      </c>
      <c r="O902" s="17">
        <f ca="1">IFERROR(__xludf.DUMMYFUNCTION("""COMPUTED_VALUE"""),0.137763082978959)</f>
        <v>0.13776308297895901</v>
      </c>
      <c r="P902" s="17">
        <f ca="1">IFERROR(__xludf.DUMMYFUNCTION("""COMPUTED_VALUE"""),0.26690467313302)</f>
        <v>0.26690467313302002</v>
      </c>
      <c r="Q902" s="17">
        <f ca="1">IFERROR(__xludf.DUMMYFUNCTION("""COMPUTED_VALUE"""),0.465418589684522)</f>
        <v>0.46541858968452199</v>
      </c>
      <c r="R902" s="17">
        <f ca="1">IFERROR(__xludf.DUMMYFUNCTION("""COMPUTED_VALUE"""),0.0922889472618784)</f>
        <v>9.2288947261878404E-2</v>
      </c>
      <c r="S902" s="17">
        <f ca="1">IFERROR(__xludf.DUMMYFUNCTION("""COMPUTED_VALUE"""),0.150431535927597)</f>
        <v>0.150431535927597</v>
      </c>
      <c r="T902" s="17">
        <f ca="1">IFERROR(__xludf.DUMMYFUNCTION("""COMPUTED_VALUE"""),0.213021674484688)</f>
        <v>0.21302167448468801</v>
      </c>
      <c r="U902" s="17">
        <f ca="1">IFERROR(__xludf.DUMMYFUNCTION("""COMPUTED_VALUE"""),0.157112257045934)</f>
        <v>0.15711225704593401</v>
      </c>
      <c r="V902" s="17">
        <f ca="1">IFERROR(__xludf.DUMMYFUNCTION("""COMPUTED_VALUE"""),0.0954468600817216)</f>
        <v>9.5446860081721596E-2</v>
      </c>
      <c r="W902" s="17">
        <f ca="1">IFERROR(__xludf.DUMMYFUNCTION("""COMPUTED_VALUE"""),0.358733336839867)</f>
        <v>0.35873333683986702</v>
      </c>
      <c r="X902" s="17">
        <f ca="1">IFERROR(__xludf.DUMMYFUNCTION("""COMPUTED_VALUE"""),0.266514810338315)</f>
        <v>0.26651481033831498</v>
      </c>
      <c r="Y902" s="17">
        <f ca="1">IFERROR(__xludf.DUMMYFUNCTION("""COMPUTED_VALUE"""),0.2796535766044)</f>
        <v>0.27965357660439999</v>
      </c>
      <c r="Z902" s="17">
        <f ca="1">IFERROR(__xludf.DUMMYFUNCTION("""COMPUTED_VALUE"""),0.171493009393056)</f>
        <v>0.17149300939305601</v>
      </c>
      <c r="AA902" s="17">
        <f ca="1">IFERROR(__xludf.DUMMYFUNCTION("""COMPUTED_VALUE"""),0.0757154912407527)</f>
        <v>7.5715491240752705E-2</v>
      </c>
      <c r="AB902" s="17">
        <f ca="1">IFERROR(__xludf.DUMMYFUNCTION("""COMPUTED_VALUE"""),0.234150255542516)</f>
        <v>0.23415025554251601</v>
      </c>
      <c r="AC902" s="17">
        <f ca="1">IFERROR(__xludf.DUMMYFUNCTION("""COMPUTED_VALUE"""),0.409085145235953)</f>
        <v>0.40908514523595302</v>
      </c>
      <c r="AD902" s="17">
        <f ca="1">IFERROR(__xludf.DUMMYFUNCTION("""COMPUTED_VALUE"""),0.305726570863473)</f>
        <v>0.30572657086347299</v>
      </c>
      <c r="AE902" s="17">
        <f ca="1">IFERROR(__xludf.DUMMYFUNCTION("""COMPUTED_VALUE"""),0.516525042279337)</f>
        <v>0.51652504227933704</v>
      </c>
      <c r="AF902" s="17">
        <f ca="1">IFERROR(__xludf.DUMMYFUNCTION("""COMPUTED_VALUE"""),0.235136155879221)</f>
        <v>0.23513615587922099</v>
      </c>
      <c r="AG902" s="17">
        <f ca="1">IFERROR(__xludf.DUMMYFUNCTION("""COMPUTED_VALUE"""),0.20399477886082)</f>
        <v>0.20399477886081999</v>
      </c>
      <c r="AH902" s="17">
        <f ca="1">IFERROR(__xludf.DUMMYFUNCTION("""COMPUTED_VALUE"""),0.351713310093071)</f>
        <v>0.351713310093071</v>
      </c>
      <c r="AI902" s="17">
        <f ca="1">IFERROR(__xludf.DUMMYFUNCTION("""COMPUTED_VALUE"""),0.203861558205977)</f>
        <v>0.20386155820597701</v>
      </c>
      <c r="AJ902" s="17">
        <f ca="1">IFERROR(__xludf.DUMMYFUNCTION("""COMPUTED_VALUE"""),0.175936862520283)</f>
        <v>0.17593686252028301</v>
      </c>
    </row>
    <row r="903" spans="2:36" ht="15.75" customHeight="1" x14ac:dyDescent="0.45">
      <c r="B903" s="10" t="str">
        <f ca="1">IFERROR(__xludf.DUMMYFUNCTION("""COMPUTED_VALUE"""),"TwoLeadECG")</f>
        <v>TwoLeadECG</v>
      </c>
      <c r="C903" s="10" t="str">
        <f ca="1">IFERROR(__xludf.DUMMYFUNCTION("""COMPUTED_VALUE"""),"aligned_series")</f>
        <v>aligned_series</v>
      </c>
      <c r="D903" s="10">
        <f ca="1">IFERROR(__xludf.DUMMYFUNCTION("""COMPUTED_VALUE"""),0.2)</f>
        <v>0.2</v>
      </c>
      <c r="E903" s="17">
        <f ca="1">IFERROR(__xludf.DUMMYFUNCTION("""COMPUTED_VALUE"""),0.270293793613673)</f>
        <v>0.27029379361367301</v>
      </c>
      <c r="F903" s="17">
        <f ca="1">IFERROR(__xludf.DUMMYFUNCTION("""COMPUTED_VALUE"""),0.233784475258189)</f>
        <v>0.23378447525818899</v>
      </c>
      <c r="G903" s="17">
        <f ca="1">IFERROR(__xludf.DUMMYFUNCTION("""COMPUTED_VALUE"""),0.234380508468356)</f>
        <v>0.23438050846835601</v>
      </c>
      <c r="H903" s="17">
        <f ca="1">IFERROR(__xludf.DUMMYFUNCTION("""COMPUTED_VALUE"""),0.251447021026942)</f>
        <v>0.251447021026942</v>
      </c>
      <c r="I903" s="17">
        <f ca="1">IFERROR(__xludf.DUMMYFUNCTION("""COMPUTED_VALUE"""),0.121119514263681)</f>
        <v>0.12111951426368101</v>
      </c>
      <c r="J903" s="17">
        <f ca="1">IFERROR(__xludf.DUMMYFUNCTION("""COMPUTED_VALUE"""),0.135111160836882)</f>
        <v>0.13511116083688199</v>
      </c>
      <c r="K903" s="17" t="str">
        <f ca="1">IFERROR(__xludf.DUMMYFUNCTION("""COMPUTED_VALUE"""),"nan")</f>
        <v>nan</v>
      </c>
      <c r="L903" s="17">
        <f ca="1">IFERROR(__xludf.DUMMYFUNCTION("""COMPUTED_VALUE"""),0.254712767392481)</f>
        <v>0.254712767392481</v>
      </c>
      <c r="M903" s="17">
        <f ca="1">IFERROR(__xludf.DUMMYFUNCTION("""COMPUTED_VALUE"""),0.225539994063782)</f>
        <v>0.225539994063782</v>
      </c>
      <c r="N903" s="17">
        <f ca="1">IFERROR(__xludf.DUMMYFUNCTION("""COMPUTED_VALUE"""),0.150948756887863)</f>
        <v>0.15094875688786299</v>
      </c>
      <c r="O903" s="17">
        <f ca="1">IFERROR(__xludf.DUMMYFUNCTION("""COMPUTED_VALUE"""),0.114977062013899)</f>
        <v>0.114977062013899</v>
      </c>
      <c r="P903" s="17">
        <f ca="1">IFERROR(__xludf.DUMMYFUNCTION("""COMPUTED_VALUE"""),0.241183893126772)</f>
        <v>0.24118389312677199</v>
      </c>
      <c r="Q903" s="17">
        <f ca="1">IFERROR(__xludf.DUMMYFUNCTION("""COMPUTED_VALUE"""),0.412967299178129)</f>
        <v>0.41296729917812902</v>
      </c>
      <c r="R903" s="17">
        <f ca="1">IFERROR(__xludf.DUMMYFUNCTION("""COMPUTED_VALUE"""),0.127959471335113)</f>
        <v>0.12795947133511301</v>
      </c>
      <c r="S903" s="17">
        <f ca="1">IFERROR(__xludf.DUMMYFUNCTION("""COMPUTED_VALUE"""),0.165456222568978)</f>
        <v>0.16545622256897799</v>
      </c>
      <c r="T903" s="17">
        <f ca="1">IFERROR(__xludf.DUMMYFUNCTION("""COMPUTED_VALUE"""),0.259136190996484)</f>
        <v>0.25913619099648399</v>
      </c>
      <c r="U903" s="17">
        <f ca="1">IFERROR(__xludf.DUMMYFUNCTION("""COMPUTED_VALUE"""),0.145828897692935)</f>
        <v>0.145828897692935</v>
      </c>
      <c r="V903" s="17">
        <f ca="1">IFERROR(__xludf.DUMMYFUNCTION("""COMPUTED_VALUE"""),0.110803294900893)</f>
        <v>0.110803294900893</v>
      </c>
      <c r="W903" s="17">
        <f ca="1">IFERROR(__xludf.DUMMYFUNCTION("""COMPUTED_VALUE"""),0.340535254089718)</f>
        <v>0.34053525408971802</v>
      </c>
      <c r="X903" s="17">
        <f ca="1">IFERROR(__xludf.DUMMYFUNCTION("""COMPUTED_VALUE"""),0.233694722754038)</f>
        <v>0.23369472275403799</v>
      </c>
      <c r="Y903" s="17">
        <f ca="1">IFERROR(__xludf.DUMMYFUNCTION("""COMPUTED_VALUE"""),0.24623486442288)</f>
        <v>0.24623486442288001</v>
      </c>
      <c r="Z903" s="17">
        <f ca="1">IFERROR(__xludf.DUMMYFUNCTION("""COMPUTED_VALUE"""),0.166717783999026)</f>
        <v>0.16671778399902601</v>
      </c>
      <c r="AA903" s="17">
        <f ca="1">IFERROR(__xludf.DUMMYFUNCTION("""COMPUTED_VALUE"""),0.0710342998930379)</f>
        <v>7.1034299893037903E-2</v>
      </c>
      <c r="AB903" s="17">
        <f ca="1">IFERROR(__xludf.DUMMYFUNCTION("""COMPUTED_VALUE"""),0.481949716325452)</f>
        <v>0.48194971632545203</v>
      </c>
      <c r="AC903" s="17">
        <f ca="1">IFERROR(__xludf.DUMMYFUNCTION("""COMPUTED_VALUE"""),0.426306700196223)</f>
        <v>0.42630670019622302</v>
      </c>
      <c r="AD903" s="17">
        <f ca="1">IFERROR(__xludf.DUMMYFUNCTION("""COMPUTED_VALUE"""),0.167346541995525)</f>
        <v>0.16734654199552501</v>
      </c>
      <c r="AE903" s="17">
        <f ca="1">IFERROR(__xludf.DUMMYFUNCTION("""COMPUTED_VALUE"""),0.430002393474572)</f>
        <v>0.43000239347457198</v>
      </c>
      <c r="AF903" s="17">
        <f ca="1">IFERROR(__xludf.DUMMYFUNCTION("""COMPUTED_VALUE"""),0.21129327139121)</f>
        <v>0.21129327139121001</v>
      </c>
      <c r="AG903" s="17">
        <f ca="1">IFERROR(__xludf.DUMMYFUNCTION("""COMPUTED_VALUE"""),0.191897107238944)</f>
        <v>0.19189710723894399</v>
      </c>
      <c r="AH903" s="17">
        <f ca="1">IFERROR(__xludf.DUMMYFUNCTION("""COMPUTED_VALUE"""),0.341976422753736)</f>
        <v>0.34197642275373602</v>
      </c>
      <c r="AI903" s="17">
        <f ca="1">IFERROR(__xludf.DUMMYFUNCTION("""COMPUTED_VALUE"""),0.207452376830826)</f>
        <v>0.20745237683082601</v>
      </c>
      <c r="AJ903" s="17">
        <f ca="1">IFERROR(__xludf.DUMMYFUNCTION("""COMPUTED_VALUE"""),0.168415041641559)</f>
        <v>0.16841504164155899</v>
      </c>
    </row>
    <row r="904" spans="2:36" ht="15.75" customHeight="1" x14ac:dyDescent="0.45">
      <c r="B904" s="10" t="str">
        <f ca="1">IFERROR(__xludf.DUMMYFUNCTION("""COMPUTED_VALUE"""),"TwoLeadECG")</f>
        <v>TwoLeadECG</v>
      </c>
      <c r="C904" s="10" t="str">
        <f ca="1">IFERROR(__xludf.DUMMYFUNCTION("""COMPUTED_VALUE"""),"aligned_series")</f>
        <v>aligned_series</v>
      </c>
      <c r="D904" s="10">
        <f ca="1">IFERROR(__xludf.DUMMYFUNCTION("""COMPUTED_VALUE"""),0.4)</f>
        <v>0.4</v>
      </c>
      <c r="E904" s="17">
        <f ca="1">IFERROR(__xludf.DUMMYFUNCTION("""COMPUTED_VALUE"""),0.253437704619382)</f>
        <v>0.25343770461938198</v>
      </c>
      <c r="F904" s="17">
        <f ca="1">IFERROR(__xludf.DUMMYFUNCTION("""COMPUTED_VALUE"""),0.24820238373681)</f>
        <v>0.24820238373681</v>
      </c>
      <c r="G904" s="17">
        <f ca="1">IFERROR(__xludf.DUMMYFUNCTION("""COMPUTED_VALUE"""),0.250591391238301)</f>
        <v>0.25059139123830099</v>
      </c>
      <c r="H904" s="17">
        <f ca="1">IFERROR(__xludf.DUMMYFUNCTION("""COMPUTED_VALUE"""),0.287195205079672)</f>
        <v>0.287195205079672</v>
      </c>
      <c r="I904" s="17">
        <f ca="1">IFERROR(__xludf.DUMMYFUNCTION("""COMPUTED_VALUE"""),0.19644266721547)</f>
        <v>0.19644266721546999</v>
      </c>
      <c r="J904" s="17">
        <f ca="1">IFERROR(__xludf.DUMMYFUNCTION("""COMPUTED_VALUE"""),0.138425732348336)</f>
        <v>0.13842573234833599</v>
      </c>
      <c r="K904" s="17" t="str">
        <f ca="1">IFERROR(__xludf.DUMMYFUNCTION("""COMPUTED_VALUE"""),"nan")</f>
        <v>nan</v>
      </c>
      <c r="L904" s="17">
        <f ca="1">IFERROR(__xludf.DUMMYFUNCTION("""COMPUTED_VALUE"""),0.316871979051941)</f>
        <v>0.31687197905194098</v>
      </c>
      <c r="M904" s="17">
        <f ca="1">IFERROR(__xludf.DUMMYFUNCTION("""COMPUTED_VALUE"""),0.244138725387342)</f>
        <v>0.24413872538734199</v>
      </c>
      <c r="N904" s="17">
        <f ca="1">IFERROR(__xludf.DUMMYFUNCTION("""COMPUTED_VALUE"""),0.151369087044664)</f>
        <v>0.15136908704466401</v>
      </c>
      <c r="O904" s="17">
        <f ca="1">IFERROR(__xludf.DUMMYFUNCTION("""COMPUTED_VALUE"""),0.134857838829591)</f>
        <v>0.13485783882959099</v>
      </c>
      <c r="P904" s="17">
        <f ca="1">IFERROR(__xludf.DUMMYFUNCTION("""COMPUTED_VALUE"""),0.308681541146731)</f>
        <v>0.30868154114673102</v>
      </c>
      <c r="Q904" s="17">
        <f ca="1">IFERROR(__xludf.DUMMYFUNCTION("""COMPUTED_VALUE"""),0.236053709263278)</f>
        <v>0.23605370926327801</v>
      </c>
      <c r="R904" s="17">
        <f ca="1">IFERROR(__xludf.DUMMYFUNCTION("""COMPUTED_VALUE"""),0.1903554871045)</f>
        <v>0.19035548710450001</v>
      </c>
      <c r="S904" s="17">
        <f ca="1">IFERROR(__xludf.DUMMYFUNCTION("""COMPUTED_VALUE"""),0.19078710591947)</f>
        <v>0.19078710591947001</v>
      </c>
      <c r="T904" s="17">
        <f ca="1">IFERROR(__xludf.DUMMYFUNCTION("""COMPUTED_VALUE"""),0.266646710563054)</f>
        <v>0.266646710563054</v>
      </c>
      <c r="U904" s="17">
        <f ca="1">IFERROR(__xludf.DUMMYFUNCTION("""COMPUTED_VALUE"""),0.200583142015128)</f>
        <v>0.200583142015128</v>
      </c>
      <c r="V904" s="17">
        <f ca="1">IFERROR(__xludf.DUMMYFUNCTION("""COMPUTED_VALUE"""),0.135402583317823)</f>
        <v>0.13540258331782301</v>
      </c>
      <c r="W904" s="17">
        <f ca="1">IFERROR(__xludf.DUMMYFUNCTION("""COMPUTED_VALUE"""),0.448694143785447)</f>
        <v>0.44869414378544697</v>
      </c>
      <c r="X904" s="17">
        <f ca="1">IFERROR(__xludf.DUMMYFUNCTION("""COMPUTED_VALUE"""),0.234611147780152)</f>
        <v>0.23461114778015199</v>
      </c>
      <c r="Y904" s="17">
        <f ca="1">IFERROR(__xludf.DUMMYFUNCTION("""COMPUTED_VALUE"""),0.237096266837385)</f>
        <v>0.23709626683738499</v>
      </c>
      <c r="Z904" s="17">
        <f ca="1">IFERROR(__xludf.DUMMYFUNCTION("""COMPUTED_VALUE"""),0.161599377496054)</f>
        <v>0.16159937749605399</v>
      </c>
      <c r="AA904" s="17">
        <f ca="1">IFERROR(__xludf.DUMMYFUNCTION("""COMPUTED_VALUE"""),0.0745986337510957)</f>
        <v>7.4598633751095697E-2</v>
      </c>
      <c r="AB904" s="17">
        <f ca="1">IFERROR(__xludf.DUMMYFUNCTION("""COMPUTED_VALUE"""),0.820699708978326)</f>
        <v>0.820699708978326</v>
      </c>
      <c r="AC904" s="17">
        <f ca="1">IFERROR(__xludf.DUMMYFUNCTION("""COMPUTED_VALUE"""),0.539111890325151)</f>
        <v>0.53911189032515106</v>
      </c>
      <c r="AD904" s="17">
        <f ca="1">IFERROR(__xludf.DUMMYFUNCTION("""COMPUTED_VALUE"""),0.21255719199776)</f>
        <v>0.21255719199775999</v>
      </c>
      <c r="AE904" s="17">
        <f ca="1">IFERROR(__xludf.DUMMYFUNCTION("""COMPUTED_VALUE"""),0.42657092401294)</f>
        <v>0.42657092401294</v>
      </c>
      <c r="AF904" s="17">
        <f ca="1">IFERROR(__xludf.DUMMYFUNCTION("""COMPUTED_VALUE"""),0.316026923506623)</f>
        <v>0.31602692350662298</v>
      </c>
      <c r="AG904" s="17">
        <f ca="1">IFERROR(__xludf.DUMMYFUNCTION("""COMPUTED_VALUE"""),0.215059087392549)</f>
        <v>0.215059087392549</v>
      </c>
      <c r="AH904" s="17">
        <f ca="1">IFERROR(__xludf.DUMMYFUNCTION("""COMPUTED_VALUE"""),0.372023944102925)</f>
        <v>0.372023944102925</v>
      </c>
      <c r="AI904" s="17">
        <f ca="1">IFERROR(__xludf.DUMMYFUNCTION("""COMPUTED_VALUE"""),0.211495521554193)</f>
        <v>0.21149552155419299</v>
      </c>
      <c r="AJ904" s="17">
        <f ca="1">IFERROR(__xludf.DUMMYFUNCTION("""COMPUTED_VALUE"""),0.224057358870274)</f>
        <v>0.224057358870274</v>
      </c>
    </row>
    <row r="905" spans="2:36" ht="15.75" customHeight="1" x14ac:dyDescent="0.45">
      <c r="B905" s="10" t="str">
        <f ca="1">IFERROR(__xludf.DUMMYFUNCTION("""COMPUTED_VALUE"""),"TwoLeadECG")</f>
        <v>TwoLeadECG</v>
      </c>
      <c r="C905" s="10" t="str">
        <f ca="1">IFERROR(__xludf.DUMMYFUNCTION("""COMPUTED_VALUE"""),"aligned_series")</f>
        <v>aligned_series</v>
      </c>
      <c r="D905" s="10">
        <f ca="1">IFERROR(__xludf.DUMMYFUNCTION("""COMPUTED_VALUE"""),0.6)</f>
        <v>0.6</v>
      </c>
      <c r="E905" s="17">
        <f ca="1">IFERROR(__xludf.DUMMYFUNCTION("""COMPUTED_VALUE"""),0.247786564267276)</f>
        <v>0.24778656426727599</v>
      </c>
      <c r="F905" s="17">
        <f ca="1">IFERROR(__xludf.DUMMYFUNCTION("""COMPUTED_VALUE"""),0.226886757825686)</f>
        <v>0.22688675782568599</v>
      </c>
      <c r="G905" s="17">
        <f ca="1">IFERROR(__xludf.DUMMYFUNCTION("""COMPUTED_VALUE"""),0.231051516815057)</f>
        <v>0.23105151681505701</v>
      </c>
      <c r="H905" s="17">
        <f ca="1">IFERROR(__xludf.DUMMYFUNCTION("""COMPUTED_VALUE"""),0.327173235516142)</f>
        <v>0.32717323551614202</v>
      </c>
      <c r="I905" s="17">
        <f ca="1">IFERROR(__xludf.DUMMYFUNCTION("""COMPUTED_VALUE"""),0.185907719968305)</f>
        <v>0.18590771996830499</v>
      </c>
      <c r="J905" s="17">
        <f ca="1">IFERROR(__xludf.DUMMYFUNCTION("""COMPUTED_VALUE"""),0.173204970629664)</f>
        <v>0.173204970629664</v>
      </c>
      <c r="K905" s="17" t="str">
        <f ca="1">IFERROR(__xludf.DUMMYFUNCTION("""COMPUTED_VALUE"""),"nan")</f>
        <v>nan</v>
      </c>
      <c r="L905" s="17">
        <f ca="1">IFERROR(__xludf.DUMMYFUNCTION("""COMPUTED_VALUE"""),0.274249730973783)</f>
        <v>0.27424973097378302</v>
      </c>
      <c r="M905" s="17">
        <f ca="1">IFERROR(__xludf.DUMMYFUNCTION("""COMPUTED_VALUE"""),0.228678742194041)</f>
        <v>0.228678742194041</v>
      </c>
      <c r="N905" s="17">
        <f ca="1">IFERROR(__xludf.DUMMYFUNCTION("""COMPUTED_VALUE"""),0.151701742459711)</f>
        <v>0.15170174245971099</v>
      </c>
      <c r="O905" s="17">
        <f ca="1">IFERROR(__xludf.DUMMYFUNCTION("""COMPUTED_VALUE"""),0.219666038635333)</f>
        <v>0.21966603863533299</v>
      </c>
      <c r="P905" s="17">
        <f ca="1">IFERROR(__xludf.DUMMYFUNCTION("""COMPUTED_VALUE"""),0.373410680762857)</f>
        <v>0.37341068076285699</v>
      </c>
      <c r="Q905" s="17">
        <f ca="1">IFERROR(__xludf.DUMMYFUNCTION("""COMPUTED_VALUE"""),0.325927823445749)</f>
        <v>0.325927823445749</v>
      </c>
      <c r="R905" s="17">
        <f ca="1">IFERROR(__xludf.DUMMYFUNCTION("""COMPUTED_VALUE"""),0.206715603032808)</f>
        <v>0.206715603032808</v>
      </c>
      <c r="S905" s="17">
        <f ca="1">IFERROR(__xludf.DUMMYFUNCTION("""COMPUTED_VALUE"""),0.217623133684843)</f>
        <v>0.21762313368484301</v>
      </c>
      <c r="T905" s="17">
        <f ca="1">IFERROR(__xludf.DUMMYFUNCTION("""COMPUTED_VALUE"""),0.271743035103779)</f>
        <v>0.27174303510377901</v>
      </c>
      <c r="U905" s="17">
        <f ca="1">IFERROR(__xludf.DUMMYFUNCTION("""COMPUTED_VALUE"""),0.18040022805139)</f>
        <v>0.18040022805139</v>
      </c>
      <c r="V905" s="17">
        <f ca="1">IFERROR(__xludf.DUMMYFUNCTION("""COMPUTED_VALUE"""),0.125482339391663)</f>
        <v>0.12548233939166301</v>
      </c>
      <c r="W905" s="17">
        <f ca="1">IFERROR(__xludf.DUMMYFUNCTION("""COMPUTED_VALUE"""),0.334195629100657)</f>
        <v>0.33419562910065698</v>
      </c>
      <c r="X905" s="17">
        <f ca="1">IFERROR(__xludf.DUMMYFUNCTION("""COMPUTED_VALUE"""),0.219335733595596)</f>
        <v>0.21933573359559599</v>
      </c>
      <c r="Y905" s="17">
        <f ca="1">IFERROR(__xludf.DUMMYFUNCTION("""COMPUTED_VALUE"""),0.225986543492482)</f>
        <v>0.22598654349248201</v>
      </c>
      <c r="Z905" s="17">
        <f ca="1">IFERROR(__xludf.DUMMYFUNCTION("""COMPUTED_VALUE"""),0.207843655122149)</f>
        <v>0.207843655122149</v>
      </c>
      <c r="AA905" s="17">
        <f ca="1">IFERROR(__xludf.DUMMYFUNCTION("""COMPUTED_VALUE"""),0.0900622554079607)</f>
        <v>9.0062255407960701E-2</v>
      </c>
      <c r="AB905" s="17">
        <f ca="1">IFERROR(__xludf.DUMMYFUNCTION("""COMPUTED_VALUE"""),1.35123530219156)</f>
        <v>1.35123530219156</v>
      </c>
      <c r="AC905" s="17">
        <f ca="1">IFERROR(__xludf.DUMMYFUNCTION("""COMPUTED_VALUE"""),0.619453998158694)</f>
        <v>0.61945399815869395</v>
      </c>
      <c r="AD905" s="17">
        <f ca="1">IFERROR(__xludf.DUMMYFUNCTION("""COMPUTED_VALUE"""),0.2086754374315)</f>
        <v>0.20867543743149999</v>
      </c>
      <c r="AE905" s="17">
        <f ca="1">IFERROR(__xludf.DUMMYFUNCTION("""COMPUTED_VALUE"""),0.423990800250964)</f>
        <v>0.42399080025096397</v>
      </c>
      <c r="AF905" s="17">
        <f ca="1">IFERROR(__xludf.DUMMYFUNCTION("""COMPUTED_VALUE"""),0.294441347147515)</f>
        <v>0.29444134714751502</v>
      </c>
      <c r="AG905" s="17">
        <f ca="1">IFERROR(__xludf.DUMMYFUNCTION("""COMPUTED_VALUE"""),0.377943834673518)</f>
        <v>0.377943834673518</v>
      </c>
      <c r="AH905" s="17">
        <f ca="1">IFERROR(__xludf.DUMMYFUNCTION("""COMPUTED_VALUE"""),0.357925162127054)</f>
        <v>0.357925162127054</v>
      </c>
      <c r="AI905" s="17">
        <f ca="1">IFERROR(__xludf.DUMMYFUNCTION("""COMPUTED_VALUE"""),0.211591212536035)</f>
        <v>0.21159121253603499</v>
      </c>
      <c r="AJ905" s="17">
        <f ca="1">IFERROR(__xludf.DUMMYFUNCTION("""COMPUTED_VALUE"""),0.29694057155782)</f>
        <v>0.29694057155782</v>
      </c>
    </row>
    <row r="906" spans="2:36" ht="15.75" customHeight="1" x14ac:dyDescent="0.45">
      <c r="B906" s="10" t="str">
        <f ca="1">IFERROR(__xludf.DUMMYFUNCTION("""COMPUTED_VALUE"""),"TwoLeadECG")</f>
        <v>TwoLeadECG</v>
      </c>
      <c r="C906" s="10" t="str">
        <f ca="1">IFERROR(__xludf.DUMMYFUNCTION("""COMPUTED_VALUE"""),"aligned_series")</f>
        <v>aligned_series</v>
      </c>
      <c r="D906" s="10">
        <f ca="1">IFERROR(__xludf.DUMMYFUNCTION("""COMPUTED_VALUE"""),0.8)</f>
        <v>0.8</v>
      </c>
      <c r="E906" s="17">
        <f ca="1">IFERROR(__xludf.DUMMYFUNCTION("""COMPUTED_VALUE"""),0.239027476688023)</f>
        <v>0.23902747668802299</v>
      </c>
      <c r="F906" s="17">
        <f ca="1">IFERROR(__xludf.DUMMYFUNCTION("""COMPUTED_VALUE"""),0.227473938975491)</f>
        <v>0.22747393897549101</v>
      </c>
      <c r="G906" s="17">
        <f ca="1">IFERROR(__xludf.DUMMYFUNCTION("""COMPUTED_VALUE"""),0.262362427560358)</f>
        <v>0.26236242756035799</v>
      </c>
      <c r="H906" s="17">
        <f ca="1">IFERROR(__xludf.DUMMYFUNCTION("""COMPUTED_VALUE"""),0.380555204263463)</f>
        <v>0.38055520426346301</v>
      </c>
      <c r="I906" s="17">
        <f ca="1">IFERROR(__xludf.DUMMYFUNCTION("""COMPUTED_VALUE"""),0.213843076069384)</f>
        <v>0.21384307606938399</v>
      </c>
      <c r="J906" s="17">
        <f ca="1">IFERROR(__xludf.DUMMYFUNCTION("""COMPUTED_VALUE"""),0.183281392252351)</f>
        <v>0.18328139225235099</v>
      </c>
      <c r="K906" s="17" t="str">
        <f ca="1">IFERROR(__xludf.DUMMYFUNCTION("""COMPUTED_VALUE"""),"nan")</f>
        <v>nan</v>
      </c>
      <c r="L906" s="17">
        <f ca="1">IFERROR(__xludf.DUMMYFUNCTION("""COMPUTED_VALUE"""),0.379390599433097)</f>
        <v>0.379390599433097</v>
      </c>
      <c r="M906" s="17">
        <f ca="1">IFERROR(__xludf.DUMMYFUNCTION("""COMPUTED_VALUE"""),0.26908007800958)</f>
        <v>0.26908007800958</v>
      </c>
      <c r="N906" s="17">
        <f ca="1">IFERROR(__xludf.DUMMYFUNCTION("""COMPUTED_VALUE"""),0.182293361549046)</f>
        <v>0.18229336154904599</v>
      </c>
      <c r="O906" s="17">
        <f ca="1">IFERROR(__xludf.DUMMYFUNCTION("""COMPUTED_VALUE"""),0.216679815580314)</f>
        <v>0.21667981558031399</v>
      </c>
      <c r="P906" s="17">
        <f ca="1">IFERROR(__xludf.DUMMYFUNCTION("""COMPUTED_VALUE"""),0.473044977370637)</f>
        <v>0.473044977370637</v>
      </c>
      <c r="Q906" s="17">
        <f ca="1">IFERROR(__xludf.DUMMYFUNCTION("""COMPUTED_VALUE"""),0.310416884305073)</f>
        <v>0.31041688430507303</v>
      </c>
      <c r="R906" s="17">
        <f ca="1">IFERROR(__xludf.DUMMYFUNCTION("""COMPUTED_VALUE"""),0.263959052751685)</f>
        <v>0.26395905275168502</v>
      </c>
      <c r="S906" s="17">
        <f ca="1">IFERROR(__xludf.DUMMYFUNCTION("""COMPUTED_VALUE"""),0.21271603123693)</f>
        <v>0.21271603123693</v>
      </c>
      <c r="T906" s="17">
        <f ca="1">IFERROR(__xludf.DUMMYFUNCTION("""COMPUTED_VALUE"""),0.253187566951084)</f>
        <v>0.25318756695108402</v>
      </c>
      <c r="U906" s="17">
        <f ca="1">IFERROR(__xludf.DUMMYFUNCTION("""COMPUTED_VALUE"""),0.247584958927179)</f>
        <v>0.24758495892717899</v>
      </c>
      <c r="V906" s="17">
        <f ca="1">IFERROR(__xludf.DUMMYFUNCTION("""COMPUTED_VALUE"""),0.209104098642926)</f>
        <v>0.20910409864292601</v>
      </c>
      <c r="W906" s="17">
        <f ca="1">IFERROR(__xludf.DUMMYFUNCTION("""COMPUTED_VALUE"""),0.390227427277807)</f>
        <v>0.39022742727780702</v>
      </c>
      <c r="X906" s="17">
        <f ca="1">IFERROR(__xludf.DUMMYFUNCTION("""COMPUTED_VALUE"""),0.223680352634348)</f>
        <v>0.22368035263434799</v>
      </c>
      <c r="Y906" s="17">
        <f ca="1">IFERROR(__xludf.DUMMYFUNCTION("""COMPUTED_VALUE"""),0.230353413356253)</f>
        <v>0.23035341335625301</v>
      </c>
      <c r="Z906" s="17">
        <f ca="1">IFERROR(__xludf.DUMMYFUNCTION("""COMPUTED_VALUE"""),0.163858104665568)</f>
        <v>0.16385810466556799</v>
      </c>
      <c r="AA906" s="17">
        <f ca="1">IFERROR(__xludf.DUMMYFUNCTION("""COMPUTED_VALUE"""),0.0912875098522671)</f>
        <v>9.1287509852267107E-2</v>
      </c>
      <c r="AB906" s="17">
        <f ca="1">IFERROR(__xludf.DUMMYFUNCTION("""COMPUTED_VALUE"""),2.25698429756587)</f>
        <v>2.2569842975658698</v>
      </c>
      <c r="AC906" s="17">
        <f ca="1">IFERROR(__xludf.DUMMYFUNCTION("""COMPUTED_VALUE"""),0.599649628020904)</f>
        <v>0.59964962802090405</v>
      </c>
      <c r="AD906" s="17">
        <f ca="1">IFERROR(__xludf.DUMMYFUNCTION("""COMPUTED_VALUE"""),0.347345340342219)</f>
        <v>0.34734534034221898</v>
      </c>
      <c r="AE906" s="17">
        <f ca="1">IFERROR(__xludf.DUMMYFUNCTION("""COMPUTED_VALUE"""),0.425067514748839)</f>
        <v>0.42506751474883903</v>
      </c>
      <c r="AF906" s="17">
        <f ca="1">IFERROR(__xludf.DUMMYFUNCTION("""COMPUTED_VALUE"""),0.301960109709984)</f>
        <v>0.30196010970998399</v>
      </c>
      <c r="AG906" s="17">
        <f ca="1">IFERROR(__xludf.DUMMYFUNCTION("""COMPUTED_VALUE"""),0.364651379877865)</f>
        <v>0.364651379877865</v>
      </c>
      <c r="AH906" s="17">
        <f ca="1">IFERROR(__xludf.DUMMYFUNCTION("""COMPUTED_VALUE"""),0.370716757052825)</f>
        <v>0.37071675705282497</v>
      </c>
      <c r="AI906" s="17">
        <f ca="1">IFERROR(__xludf.DUMMYFUNCTION("""COMPUTED_VALUE"""),0.203406928621369)</f>
        <v>0.203406928621369</v>
      </c>
      <c r="AJ906" s="17">
        <f ca="1">IFERROR(__xludf.DUMMYFUNCTION("""COMPUTED_VALUE"""),0.330244487178321)</f>
        <v>0.330244487178321</v>
      </c>
    </row>
    <row r="907" spans="2:36" ht="15.75" customHeight="1" x14ac:dyDescent="0.45">
      <c r="B907" s="10" t="str">
        <f ca="1">IFERROR(__xludf.DUMMYFUNCTION("""COMPUTED_VALUE"""),"TwoLeadECG")</f>
        <v>TwoLeadECG</v>
      </c>
      <c r="C907" s="10" t="str">
        <f ca="1">IFERROR(__xludf.DUMMYFUNCTION("""COMPUTED_VALUE"""),"aligned_timestamps")</f>
        <v>aligned_timestamps</v>
      </c>
      <c r="D907" s="10">
        <f ca="1">IFERROR(__xludf.DUMMYFUNCTION("""COMPUTED_VALUE"""),0.1)</f>
        <v>0.1</v>
      </c>
      <c r="E907" s="17">
        <f ca="1">IFERROR(__xludf.DUMMYFUNCTION("""COMPUTED_VALUE"""),0.311035260023831)</f>
        <v>0.31103526002383097</v>
      </c>
      <c r="F907" s="17">
        <f ca="1">IFERROR(__xludf.DUMMYFUNCTION("""COMPUTED_VALUE"""),0.268864719188185)</f>
        <v>0.268864719188185</v>
      </c>
      <c r="G907" s="17">
        <f ca="1">IFERROR(__xludf.DUMMYFUNCTION("""COMPUTED_VALUE"""),0.27035649229994)</f>
        <v>0.27035649229994002</v>
      </c>
      <c r="H907" s="17">
        <f ca="1">IFERROR(__xludf.DUMMYFUNCTION("""COMPUTED_VALUE"""),0.279970780959661)</f>
        <v>0.27997078095966099</v>
      </c>
      <c r="I907" s="17">
        <f ca="1">IFERROR(__xludf.DUMMYFUNCTION("""COMPUTED_VALUE"""),0.130424928757281)</f>
        <v>0.13042492875728101</v>
      </c>
      <c r="J907" s="17">
        <f ca="1">IFERROR(__xludf.DUMMYFUNCTION("""COMPUTED_VALUE"""),0.129000556991681)</f>
        <v>0.129000556991681</v>
      </c>
      <c r="K907" s="17" t="str">
        <f ca="1">IFERROR(__xludf.DUMMYFUNCTION("""COMPUTED_VALUE"""),"nan")</f>
        <v>nan</v>
      </c>
      <c r="L907" s="17">
        <f ca="1">IFERROR(__xludf.DUMMYFUNCTION("""COMPUTED_VALUE"""),0.30499847362615)</f>
        <v>0.30499847362615001</v>
      </c>
      <c r="M907" s="17">
        <f ca="1">IFERROR(__xludf.DUMMYFUNCTION("""COMPUTED_VALUE"""),0.262010914950765)</f>
        <v>0.26201091495076501</v>
      </c>
      <c r="N907" s="17">
        <f ca="1">IFERROR(__xludf.DUMMYFUNCTION("""COMPUTED_VALUE"""),0.119394648857969)</f>
        <v>0.11939464885796899</v>
      </c>
      <c r="O907" s="17">
        <f ca="1">IFERROR(__xludf.DUMMYFUNCTION("""COMPUTED_VALUE"""),0.119860459603489)</f>
        <v>0.119860459603489</v>
      </c>
      <c r="P907" s="17">
        <f ca="1">IFERROR(__xludf.DUMMYFUNCTION("""COMPUTED_VALUE"""),0.217439813988259)</f>
        <v>0.21743981398825901</v>
      </c>
      <c r="Q907" s="17">
        <f ca="1">IFERROR(__xludf.DUMMYFUNCTION("""COMPUTED_VALUE"""),0.485975876522179)</f>
        <v>0.485975876522179</v>
      </c>
      <c r="R907" s="17">
        <f ca="1">IFERROR(__xludf.DUMMYFUNCTION("""COMPUTED_VALUE"""),0.146950736635487)</f>
        <v>0.14695073663548699</v>
      </c>
      <c r="S907" s="17">
        <f ca="1">IFERROR(__xludf.DUMMYFUNCTION("""COMPUTED_VALUE"""),0.210734733139989)</f>
        <v>0.210734733139989</v>
      </c>
      <c r="T907" s="17">
        <f ca="1">IFERROR(__xludf.DUMMYFUNCTION("""COMPUTED_VALUE"""),0.242965833918897)</f>
        <v>0.24296583391889701</v>
      </c>
      <c r="U907" s="17">
        <f ca="1">IFERROR(__xludf.DUMMYFUNCTION("""COMPUTED_VALUE"""),0.132474579359018)</f>
        <v>0.13247457935901799</v>
      </c>
      <c r="V907" s="17">
        <f ca="1">IFERROR(__xludf.DUMMYFUNCTION("""COMPUTED_VALUE"""),0.0986489517801511)</f>
        <v>9.8648951780151095E-2</v>
      </c>
      <c r="W907" s="17">
        <f ca="1">IFERROR(__xludf.DUMMYFUNCTION("""COMPUTED_VALUE"""),0.326256188562295)</f>
        <v>0.32625618856229499</v>
      </c>
      <c r="X907" s="17">
        <f ca="1">IFERROR(__xludf.DUMMYFUNCTION("""COMPUTED_VALUE"""),0.273691407004305)</f>
        <v>0.273691407004305</v>
      </c>
      <c r="Y907" s="17">
        <f ca="1">IFERROR(__xludf.DUMMYFUNCTION("""COMPUTED_VALUE"""),0.221140554307233)</f>
        <v>0.22114055430723301</v>
      </c>
      <c r="Z907" s="17">
        <f ca="1">IFERROR(__xludf.DUMMYFUNCTION("""COMPUTED_VALUE"""),0.199969473729769)</f>
        <v>0.199969473729769</v>
      </c>
      <c r="AA907" s="17">
        <f ca="1">IFERROR(__xludf.DUMMYFUNCTION("""COMPUTED_VALUE"""),0.0665982863607463)</f>
        <v>6.65982863607463E-2</v>
      </c>
      <c r="AB907" s="17">
        <f ca="1">IFERROR(__xludf.DUMMYFUNCTION("""COMPUTED_VALUE"""),0.234876904706061)</f>
        <v>0.23487690470606101</v>
      </c>
      <c r="AC907" s="17">
        <f ca="1">IFERROR(__xludf.DUMMYFUNCTION("""COMPUTED_VALUE"""),0.441110996647478)</f>
        <v>0.44111099664747799</v>
      </c>
      <c r="AD907" s="17">
        <f ca="1">IFERROR(__xludf.DUMMYFUNCTION("""COMPUTED_VALUE"""),0.23412711410606)</f>
        <v>0.23412711410605999</v>
      </c>
      <c r="AE907" s="17">
        <f ca="1">IFERROR(__xludf.DUMMYFUNCTION("""COMPUTED_VALUE"""),0.289987754374806)</f>
        <v>0.28998775437480601</v>
      </c>
      <c r="AF907" s="17">
        <f ca="1">IFERROR(__xludf.DUMMYFUNCTION("""COMPUTED_VALUE"""),0.0794404559743114)</f>
        <v>7.9440455974311402E-2</v>
      </c>
      <c r="AG907" s="17">
        <f ca="1">IFERROR(__xludf.DUMMYFUNCTION("""COMPUTED_VALUE"""),0.267478250356355)</f>
        <v>0.26747825035635497</v>
      </c>
      <c r="AH907" s="17">
        <f ca="1">IFERROR(__xludf.DUMMYFUNCTION("""COMPUTED_VALUE"""),0.213534906476112)</f>
        <v>0.21353490647611201</v>
      </c>
      <c r="AI907" s="17">
        <f ca="1">IFERROR(__xludf.DUMMYFUNCTION("""COMPUTED_VALUE"""),0.168713454824786)</f>
        <v>0.168713454824786</v>
      </c>
      <c r="AJ907" s="17">
        <f ca="1">IFERROR(__xludf.DUMMYFUNCTION("""COMPUTED_VALUE"""),0.19050404872539)</f>
        <v>0.19050404872539001</v>
      </c>
    </row>
    <row r="908" spans="2:36" ht="15.75" customHeight="1" x14ac:dyDescent="0.45">
      <c r="B908" s="10" t="str">
        <f ca="1">IFERROR(__xludf.DUMMYFUNCTION("""COMPUTED_VALUE"""),"TwoLeadECG")</f>
        <v>TwoLeadECG</v>
      </c>
      <c r="C908" s="10" t="str">
        <f ca="1">IFERROR(__xludf.DUMMYFUNCTION("""COMPUTED_VALUE"""),"aligned_timestamps")</f>
        <v>aligned_timestamps</v>
      </c>
      <c r="D908" s="10">
        <f ca="1">IFERROR(__xludf.DUMMYFUNCTION("""COMPUTED_VALUE"""),0.2)</f>
        <v>0.2</v>
      </c>
      <c r="E908" s="17">
        <f ca="1">IFERROR(__xludf.DUMMYFUNCTION("""COMPUTED_VALUE"""),0.270293793613673)</f>
        <v>0.27029379361367301</v>
      </c>
      <c r="F908" s="17">
        <f ca="1">IFERROR(__xludf.DUMMYFUNCTION("""COMPUTED_VALUE"""),0.233784475258189)</f>
        <v>0.23378447525818899</v>
      </c>
      <c r="G908" s="17">
        <f ca="1">IFERROR(__xludf.DUMMYFUNCTION("""COMPUTED_VALUE"""),0.234380508468356)</f>
        <v>0.23438050846835601</v>
      </c>
      <c r="H908" s="17">
        <f ca="1">IFERROR(__xludf.DUMMYFUNCTION("""COMPUTED_VALUE"""),0.251447021026942)</f>
        <v>0.251447021026942</v>
      </c>
      <c r="I908" s="17">
        <f ca="1">IFERROR(__xludf.DUMMYFUNCTION("""COMPUTED_VALUE"""),0.121119514263681)</f>
        <v>0.12111951426368101</v>
      </c>
      <c r="J908" s="17">
        <f ca="1">IFERROR(__xludf.DUMMYFUNCTION("""COMPUTED_VALUE"""),0.135111160836882)</f>
        <v>0.13511116083688199</v>
      </c>
      <c r="K908" s="17" t="str">
        <f ca="1">IFERROR(__xludf.DUMMYFUNCTION("""COMPUTED_VALUE"""),"nan")</f>
        <v>nan</v>
      </c>
      <c r="L908" s="17">
        <f ca="1">IFERROR(__xludf.DUMMYFUNCTION("""COMPUTED_VALUE"""),0.254712767392481)</f>
        <v>0.254712767392481</v>
      </c>
      <c r="M908" s="17">
        <f ca="1">IFERROR(__xludf.DUMMYFUNCTION("""COMPUTED_VALUE"""),0.225539994063782)</f>
        <v>0.225539994063782</v>
      </c>
      <c r="N908" s="17">
        <f ca="1">IFERROR(__xludf.DUMMYFUNCTION("""COMPUTED_VALUE"""),0.150948756887863)</f>
        <v>0.15094875688786299</v>
      </c>
      <c r="O908" s="17">
        <f ca="1">IFERROR(__xludf.DUMMYFUNCTION("""COMPUTED_VALUE"""),0.114977062013899)</f>
        <v>0.114977062013899</v>
      </c>
      <c r="P908" s="17">
        <f ca="1">IFERROR(__xludf.DUMMYFUNCTION("""COMPUTED_VALUE"""),0.241183893126772)</f>
        <v>0.24118389312677199</v>
      </c>
      <c r="Q908" s="17">
        <f ca="1">IFERROR(__xludf.DUMMYFUNCTION("""COMPUTED_VALUE"""),0.412967299178129)</f>
        <v>0.41296729917812902</v>
      </c>
      <c r="R908" s="17">
        <f ca="1">IFERROR(__xludf.DUMMYFUNCTION("""COMPUTED_VALUE"""),0.127959471335113)</f>
        <v>0.12795947133511301</v>
      </c>
      <c r="S908" s="17">
        <f ca="1">IFERROR(__xludf.DUMMYFUNCTION("""COMPUTED_VALUE"""),0.165456222568978)</f>
        <v>0.16545622256897799</v>
      </c>
      <c r="T908" s="17">
        <f ca="1">IFERROR(__xludf.DUMMYFUNCTION("""COMPUTED_VALUE"""),0.259136190996484)</f>
        <v>0.25913619099648399</v>
      </c>
      <c r="U908" s="17">
        <f ca="1">IFERROR(__xludf.DUMMYFUNCTION("""COMPUTED_VALUE"""),0.145828897692935)</f>
        <v>0.145828897692935</v>
      </c>
      <c r="V908" s="17">
        <f ca="1">IFERROR(__xludf.DUMMYFUNCTION("""COMPUTED_VALUE"""),0.110803294900893)</f>
        <v>0.110803294900893</v>
      </c>
      <c r="W908" s="17">
        <f ca="1">IFERROR(__xludf.DUMMYFUNCTION("""COMPUTED_VALUE"""),0.316520309399119)</f>
        <v>0.31652030939911902</v>
      </c>
      <c r="X908" s="17">
        <f ca="1">IFERROR(__xludf.DUMMYFUNCTION("""COMPUTED_VALUE"""),0.235465373422612)</f>
        <v>0.23546537342261201</v>
      </c>
      <c r="Y908" s="17">
        <f ca="1">IFERROR(__xludf.DUMMYFUNCTION("""COMPUTED_VALUE"""),0.24623486442288)</f>
        <v>0.24623486442288001</v>
      </c>
      <c r="Z908" s="17">
        <f ca="1">IFERROR(__xludf.DUMMYFUNCTION("""COMPUTED_VALUE"""),0.166717783999026)</f>
        <v>0.16671778399902601</v>
      </c>
      <c r="AA908" s="17">
        <f ca="1">IFERROR(__xludf.DUMMYFUNCTION("""COMPUTED_VALUE"""),0.0710342998930379)</f>
        <v>7.1034299893037903E-2</v>
      </c>
      <c r="AB908" s="17">
        <f ca="1">IFERROR(__xludf.DUMMYFUNCTION("""COMPUTED_VALUE"""),0.305942139367273)</f>
        <v>0.30594213936727299</v>
      </c>
      <c r="AC908" s="17">
        <f ca="1">IFERROR(__xludf.DUMMYFUNCTION("""COMPUTED_VALUE"""),0.426306700196223)</f>
        <v>0.42630670019622302</v>
      </c>
      <c r="AD908" s="17">
        <f ca="1">IFERROR(__xludf.DUMMYFUNCTION("""COMPUTED_VALUE"""),0.191133067541718)</f>
        <v>0.19113306754171799</v>
      </c>
      <c r="AE908" s="17">
        <f ca="1">IFERROR(__xludf.DUMMYFUNCTION("""COMPUTED_VALUE"""),0.398295346997845)</f>
        <v>0.39829534699784502</v>
      </c>
      <c r="AF908" s="17">
        <f ca="1">IFERROR(__xludf.DUMMYFUNCTION("""COMPUTED_VALUE"""),0.21129327139121)</f>
        <v>0.21129327139121001</v>
      </c>
      <c r="AG908" s="17">
        <f ca="1">IFERROR(__xludf.DUMMYFUNCTION("""COMPUTED_VALUE"""),0.199484837099536)</f>
        <v>0.19948483709953599</v>
      </c>
      <c r="AH908" s="17">
        <f ca="1">IFERROR(__xludf.DUMMYFUNCTION("""COMPUTED_VALUE"""),0.357302598844414)</f>
        <v>0.35730259884441401</v>
      </c>
      <c r="AI908" s="17">
        <f ca="1">IFERROR(__xludf.DUMMYFUNCTION("""COMPUTED_VALUE"""),0.207452376830826)</f>
        <v>0.20745237683082601</v>
      </c>
      <c r="AJ908" s="17">
        <f ca="1">IFERROR(__xludf.DUMMYFUNCTION("""COMPUTED_VALUE"""),0.167932490960358)</f>
        <v>0.16793249096035801</v>
      </c>
    </row>
    <row r="909" spans="2:36" ht="15.75" customHeight="1" x14ac:dyDescent="0.45">
      <c r="B909" s="10" t="str">
        <f ca="1">IFERROR(__xludf.DUMMYFUNCTION("""COMPUTED_VALUE"""),"TwoLeadECG")</f>
        <v>TwoLeadECG</v>
      </c>
      <c r="C909" s="10" t="str">
        <f ca="1">IFERROR(__xludf.DUMMYFUNCTION("""COMPUTED_VALUE"""),"aligned_timestamps")</f>
        <v>aligned_timestamps</v>
      </c>
      <c r="D909" s="10">
        <f ca="1">IFERROR(__xludf.DUMMYFUNCTION("""COMPUTED_VALUE"""),0.4)</f>
        <v>0.4</v>
      </c>
      <c r="E909" s="17">
        <f ca="1">IFERROR(__xludf.DUMMYFUNCTION("""COMPUTED_VALUE"""),1.06379316068621)</f>
        <v>1.0637931606862101</v>
      </c>
      <c r="F909" s="17">
        <f ca="1">IFERROR(__xludf.DUMMYFUNCTION("""COMPUTED_VALUE"""),0.373671456055416)</f>
        <v>0.37367145605541602</v>
      </c>
      <c r="G909" s="17">
        <f ca="1">IFERROR(__xludf.DUMMYFUNCTION("""COMPUTED_VALUE"""),0.386195317212217)</f>
        <v>0.386195317212217</v>
      </c>
      <c r="H909" s="17">
        <f ca="1">IFERROR(__xludf.DUMMYFUNCTION("""COMPUTED_VALUE"""),0.501968348161897)</f>
        <v>0.50196834816189695</v>
      </c>
      <c r="I909" s="17">
        <f ca="1">IFERROR(__xludf.DUMMYFUNCTION("""COMPUTED_VALUE"""),0.445947123030352)</f>
        <v>0.445947123030352</v>
      </c>
      <c r="J909" s="17">
        <f ca="1">IFERROR(__xludf.DUMMYFUNCTION("""COMPUTED_VALUE"""),0.581640252537502)</f>
        <v>0.58164025253750196</v>
      </c>
      <c r="K909" s="17" t="str">
        <f ca="1">IFERROR(__xludf.DUMMYFUNCTION("""COMPUTED_VALUE"""),"nan")</f>
        <v>nan</v>
      </c>
      <c r="L909" s="17">
        <f ca="1">IFERROR(__xludf.DUMMYFUNCTION("""COMPUTED_VALUE"""),0.392054256406366)</f>
        <v>0.39205425640636599</v>
      </c>
      <c r="M909" s="17">
        <f ca="1">IFERROR(__xludf.DUMMYFUNCTION("""COMPUTED_VALUE"""),0.398491699728686)</f>
        <v>0.39849169972868598</v>
      </c>
      <c r="N909" s="17">
        <f ca="1">IFERROR(__xludf.DUMMYFUNCTION("""COMPUTED_VALUE"""),0.441022837624217)</f>
        <v>0.44102283762421701</v>
      </c>
      <c r="O909" s="17">
        <f ca="1">IFERROR(__xludf.DUMMYFUNCTION("""COMPUTED_VALUE"""),0.294877903490786)</f>
        <v>0.29487790349078602</v>
      </c>
      <c r="P909" s="17">
        <f ca="1">IFERROR(__xludf.DUMMYFUNCTION("""COMPUTED_VALUE"""),1.12578398246842)</f>
        <v>1.1257839824684199</v>
      </c>
      <c r="Q909" s="17">
        <f ca="1">IFERROR(__xludf.DUMMYFUNCTION("""COMPUTED_VALUE"""),0.442243762178675)</f>
        <v>0.442243762178675</v>
      </c>
      <c r="R909" s="17">
        <f ca="1">IFERROR(__xludf.DUMMYFUNCTION("""COMPUTED_VALUE"""),0.32541797456752)</f>
        <v>0.32541797456751997</v>
      </c>
      <c r="S909" s="17">
        <f ca="1">IFERROR(__xludf.DUMMYFUNCTION("""COMPUTED_VALUE"""),0.597496471237663)</f>
        <v>0.59749647123766303</v>
      </c>
      <c r="T909" s="17">
        <f ca="1">IFERROR(__xludf.DUMMYFUNCTION("""COMPUTED_VALUE"""),0.624075896097385)</f>
        <v>0.62407589609738501</v>
      </c>
      <c r="U909" s="17">
        <f ca="1">IFERROR(__xludf.DUMMYFUNCTION("""COMPUTED_VALUE"""),0.402543006710696)</f>
        <v>0.40254300671069598</v>
      </c>
      <c r="V909" s="17">
        <f ca="1">IFERROR(__xludf.DUMMYFUNCTION("""COMPUTED_VALUE"""),0.471268908133132)</f>
        <v>0.47126890813313199</v>
      </c>
      <c r="W909" s="17">
        <f ca="1">IFERROR(__xludf.DUMMYFUNCTION("""COMPUTED_VALUE"""),0.501220996738087)</f>
        <v>0.50122099673808695</v>
      </c>
      <c r="X909" s="17">
        <f ca="1">IFERROR(__xludf.DUMMYFUNCTION("""COMPUTED_VALUE"""),6.3872333114375)</f>
        <v>6.3872333114374999</v>
      </c>
      <c r="Y909" s="17">
        <f ca="1">IFERROR(__xludf.DUMMYFUNCTION("""COMPUTED_VALUE"""),0.464384347433474)</f>
        <v>0.46438434743347401</v>
      </c>
      <c r="Z909" s="17">
        <f ca="1">IFERROR(__xludf.DUMMYFUNCTION("""COMPUTED_VALUE"""),0.62883013287297)</f>
        <v>0.62883013287296996</v>
      </c>
      <c r="AA909" s="17">
        <f ca="1">IFERROR(__xludf.DUMMYFUNCTION("""COMPUTED_VALUE"""),0.206315831783487)</f>
        <v>0.206315831783487</v>
      </c>
      <c r="AB909" s="17">
        <f ca="1">IFERROR(__xludf.DUMMYFUNCTION("""COMPUTED_VALUE"""),0.75107745008249)</f>
        <v>0.75107745008249005</v>
      </c>
      <c r="AC909" s="17">
        <f ca="1">IFERROR(__xludf.DUMMYFUNCTION("""COMPUTED_VALUE"""),0.709922245230052)</f>
        <v>0.70992224523005198</v>
      </c>
      <c r="AD909" s="17">
        <f ca="1">IFERROR(__xludf.DUMMYFUNCTION("""COMPUTED_VALUE"""),0.542989764902714)</f>
        <v>0.542989764902714</v>
      </c>
      <c r="AE909" s="17">
        <f ca="1">IFERROR(__xludf.DUMMYFUNCTION("""COMPUTED_VALUE"""),1.23513826038489)</f>
        <v>1.2351382603848899</v>
      </c>
      <c r="AF909" s="17">
        <f ca="1">IFERROR(__xludf.DUMMYFUNCTION("""COMPUTED_VALUE"""),0.575623020490271)</f>
        <v>0.57562302049027103</v>
      </c>
      <c r="AG909" s="17">
        <f ca="1">IFERROR(__xludf.DUMMYFUNCTION("""COMPUTED_VALUE"""),1.42333893130495)</f>
        <v>1.42333893130495</v>
      </c>
      <c r="AH909" s="17">
        <f ca="1">IFERROR(__xludf.DUMMYFUNCTION("""COMPUTED_VALUE"""),1.30648248150327)</f>
        <v>1.3064824815032701</v>
      </c>
      <c r="AI909" s="17">
        <f ca="1">IFERROR(__xludf.DUMMYFUNCTION("""COMPUTED_VALUE"""),1.31547325065196)</f>
        <v>1.31547325065196</v>
      </c>
      <c r="AJ909" s="17">
        <f ca="1">IFERROR(__xludf.DUMMYFUNCTION("""COMPUTED_VALUE"""),1.49887758989121)</f>
        <v>1.4988775898912099</v>
      </c>
    </row>
    <row r="910" spans="2:36" ht="15.75" customHeight="1" x14ac:dyDescent="0.45">
      <c r="B910" s="10" t="str">
        <f ca="1">IFERROR(__xludf.DUMMYFUNCTION("""COMPUTED_VALUE"""),"TwoLeadECG")</f>
        <v>TwoLeadECG</v>
      </c>
      <c r="C910" s="10" t="str">
        <f ca="1">IFERROR(__xludf.DUMMYFUNCTION("""COMPUTED_VALUE"""),"aligned_timestamps")</f>
        <v>aligned_timestamps</v>
      </c>
      <c r="D910" s="10">
        <f ca="1">IFERROR(__xludf.DUMMYFUNCTION("""COMPUTED_VALUE"""),0.6)</f>
        <v>0.6</v>
      </c>
      <c r="E910" s="17">
        <f ca="1">IFERROR(__xludf.DUMMYFUNCTION("""COMPUTED_VALUE"""),1.12576948095608)</f>
        <v>1.1257694809560801</v>
      </c>
      <c r="F910" s="17">
        <f ca="1">IFERROR(__xludf.DUMMYFUNCTION("""COMPUTED_VALUE"""),0.356911781460079)</f>
        <v>0.35691178146007901</v>
      </c>
      <c r="G910" s="17">
        <f ca="1">IFERROR(__xludf.DUMMYFUNCTION("""COMPUTED_VALUE"""),0.365519995346844)</f>
        <v>0.36551999534684398</v>
      </c>
      <c r="H910" s="17">
        <f ca="1">IFERROR(__xludf.DUMMYFUNCTION("""COMPUTED_VALUE"""),0.520585739334986)</f>
        <v>0.52058573933498598</v>
      </c>
      <c r="I910" s="17">
        <f ca="1">IFERROR(__xludf.DUMMYFUNCTION("""COMPUTED_VALUE"""),0.577042758413456)</f>
        <v>0.57704275841345598</v>
      </c>
      <c r="J910" s="17">
        <f ca="1">IFERROR(__xludf.DUMMYFUNCTION("""COMPUTED_VALUE"""),0.857410487502827)</f>
        <v>0.857410487502827</v>
      </c>
      <c r="K910" s="17" t="str">
        <f ca="1">IFERROR(__xludf.DUMMYFUNCTION("""COMPUTED_VALUE"""),"nan")</f>
        <v>nan</v>
      </c>
      <c r="L910" s="17">
        <f ca="1">IFERROR(__xludf.DUMMYFUNCTION("""COMPUTED_VALUE"""),0.485969381143862)</f>
        <v>0.48596938114386201</v>
      </c>
      <c r="M910" s="17">
        <f ca="1">IFERROR(__xludf.DUMMYFUNCTION("""COMPUTED_VALUE"""),1.46447161984592)</f>
        <v>1.46447161984592</v>
      </c>
      <c r="N910" s="17">
        <f ca="1">IFERROR(__xludf.DUMMYFUNCTION("""COMPUTED_VALUE"""),0.377183474497303)</f>
        <v>0.377183474497303</v>
      </c>
      <c r="O910" s="17">
        <f ca="1">IFERROR(__xludf.DUMMYFUNCTION("""COMPUTED_VALUE"""),0.335208181585956)</f>
        <v>0.335208181585956</v>
      </c>
      <c r="P910" s="17">
        <f ca="1">IFERROR(__xludf.DUMMYFUNCTION("""COMPUTED_VALUE"""),1.43792310296904)</f>
        <v>1.43792310296904</v>
      </c>
      <c r="Q910" s="17">
        <f ca="1">IFERROR(__xludf.DUMMYFUNCTION("""COMPUTED_VALUE"""),0.39901673527373)</f>
        <v>0.39901673527372999</v>
      </c>
      <c r="R910" s="17">
        <f ca="1">IFERROR(__xludf.DUMMYFUNCTION("""COMPUTED_VALUE"""),0.514843703290381)</f>
        <v>0.51484370329038098</v>
      </c>
      <c r="S910" s="17">
        <f ca="1">IFERROR(__xludf.DUMMYFUNCTION("""COMPUTED_VALUE"""),1.09603558810812)</f>
        <v>1.0960355881081201</v>
      </c>
      <c r="T910" s="17">
        <f ca="1">IFERROR(__xludf.DUMMYFUNCTION("""COMPUTED_VALUE"""),1.45030611507031)</f>
        <v>1.45030611507031</v>
      </c>
      <c r="U910" s="17">
        <f ca="1">IFERROR(__xludf.DUMMYFUNCTION("""COMPUTED_VALUE"""),0.499620496202457)</f>
        <v>0.49962049620245702</v>
      </c>
      <c r="V910" s="17">
        <f ca="1">IFERROR(__xludf.DUMMYFUNCTION("""COMPUTED_VALUE"""),0.992466241814859)</f>
        <v>0.99246624181485898</v>
      </c>
      <c r="W910" s="17">
        <f ca="1">IFERROR(__xludf.DUMMYFUNCTION("""COMPUTED_VALUE"""),0.707157566781393)</f>
        <v>0.70715756678139297</v>
      </c>
      <c r="X910" s="17">
        <f ca="1">IFERROR(__xludf.DUMMYFUNCTION("""COMPUTED_VALUE"""),0.442474204223889)</f>
        <v>0.442474204223889</v>
      </c>
      <c r="Y910" s="17">
        <f ca="1">IFERROR(__xludf.DUMMYFUNCTION("""COMPUTED_VALUE"""),0.562062817119295)</f>
        <v>0.56206281711929496</v>
      </c>
      <c r="Z910" s="17">
        <f ca="1">IFERROR(__xludf.DUMMYFUNCTION("""COMPUTED_VALUE"""),1.08842302897338)</f>
        <v>1.0884230289733801</v>
      </c>
      <c r="AA910" s="17">
        <f ca="1">IFERROR(__xludf.DUMMYFUNCTION("""COMPUTED_VALUE"""),0.395231753466936)</f>
        <v>0.39523175346693601</v>
      </c>
      <c r="AB910" s="17">
        <f ca="1">IFERROR(__xludf.DUMMYFUNCTION("""COMPUTED_VALUE"""),1.16217230867456)</f>
        <v>1.1621723086745599</v>
      </c>
      <c r="AC910" s="17">
        <f ca="1">IFERROR(__xludf.DUMMYFUNCTION("""COMPUTED_VALUE"""),1.03185842297951)</f>
        <v>1.03185842297951</v>
      </c>
      <c r="AD910" s="17">
        <f ca="1">IFERROR(__xludf.DUMMYFUNCTION("""COMPUTED_VALUE"""),0.774234093056009)</f>
        <v>0.77423409305600899</v>
      </c>
      <c r="AE910" s="17">
        <f ca="1">IFERROR(__xludf.DUMMYFUNCTION("""COMPUTED_VALUE"""),1.77927907908481)</f>
        <v>1.7792790790848101</v>
      </c>
      <c r="AF910" s="17">
        <f ca="1">IFERROR(__xludf.DUMMYFUNCTION("""COMPUTED_VALUE"""),1.09704577481267)</f>
        <v>1.0970457748126701</v>
      </c>
      <c r="AG910" s="17">
        <f ca="1">IFERROR(__xludf.DUMMYFUNCTION("""COMPUTED_VALUE"""),1.29109955322378)</f>
        <v>1.2910995532237799</v>
      </c>
      <c r="AH910" s="17">
        <f ca="1">IFERROR(__xludf.DUMMYFUNCTION("""COMPUTED_VALUE"""),1.32988051351812)</f>
        <v>1.32988051351812</v>
      </c>
      <c r="AI910" s="17" t="str">
        <f ca="1">IFERROR(__xludf.DUMMYFUNCTION("""COMPUTED_VALUE"""),"nan")</f>
        <v>nan</v>
      </c>
      <c r="AJ910" s="17">
        <f ca="1">IFERROR(__xludf.DUMMYFUNCTION("""COMPUTED_VALUE"""),1.26483277029875)</f>
        <v>1.2648327702987501</v>
      </c>
    </row>
    <row r="911" spans="2:36" ht="15.75" customHeight="1" x14ac:dyDescent="0.45">
      <c r="B911" s="10" t="str">
        <f ca="1">IFERROR(__xludf.DUMMYFUNCTION("""COMPUTED_VALUE"""),"TwoLeadECG")</f>
        <v>TwoLeadECG</v>
      </c>
      <c r="C911" s="10" t="str">
        <f ca="1">IFERROR(__xludf.DUMMYFUNCTION("""COMPUTED_VALUE"""),"aligned_timestamps")</f>
        <v>aligned_timestamps</v>
      </c>
      <c r="D911" s="10">
        <f ca="1">IFERROR(__xludf.DUMMYFUNCTION("""COMPUTED_VALUE"""),0.8)</f>
        <v>0.8</v>
      </c>
      <c r="E911" s="17">
        <f ca="1">IFERROR(__xludf.DUMMYFUNCTION("""COMPUTED_VALUE"""),1.08822376932749)</f>
        <v>1.0882237693274901</v>
      </c>
      <c r="F911" s="17">
        <f ca="1">IFERROR(__xludf.DUMMYFUNCTION("""COMPUTED_VALUE"""),0.668331857479319)</f>
        <v>0.668331857479319</v>
      </c>
      <c r="G911" s="17">
        <f ca="1">IFERROR(__xludf.DUMMYFUNCTION("""COMPUTED_VALUE"""),0.706414214781074)</f>
        <v>0.70641421478107402</v>
      </c>
      <c r="H911" s="17">
        <f ca="1">IFERROR(__xludf.DUMMYFUNCTION("""COMPUTED_VALUE"""),0.73822201982417)</f>
        <v>0.73822201982417002</v>
      </c>
      <c r="I911" s="17">
        <f ca="1">IFERROR(__xludf.DUMMYFUNCTION("""COMPUTED_VALUE"""),0.882028335312704)</f>
        <v>0.88202833531270397</v>
      </c>
      <c r="J911" s="17">
        <f ca="1">IFERROR(__xludf.DUMMYFUNCTION("""COMPUTED_VALUE"""),1.06120312307777)</f>
        <v>1.0612031230777701</v>
      </c>
      <c r="K911" s="17" t="str">
        <f ca="1">IFERROR(__xludf.DUMMYFUNCTION("""COMPUTED_VALUE"""),"nan")</f>
        <v>nan</v>
      </c>
      <c r="L911" s="17">
        <f ca="1">IFERROR(__xludf.DUMMYFUNCTION("""COMPUTED_VALUE"""),0.60531816039733)</f>
        <v>0.60531816039733</v>
      </c>
      <c r="M911" s="17">
        <f ca="1">IFERROR(__xludf.DUMMYFUNCTION("""COMPUTED_VALUE"""),1.35709982930372)</f>
        <v>1.35709982930372</v>
      </c>
      <c r="N911" s="17">
        <f ca="1">IFERROR(__xludf.DUMMYFUNCTION("""COMPUTED_VALUE"""),0.366445603721105)</f>
        <v>0.36644560372110502</v>
      </c>
      <c r="O911" s="17">
        <f ca="1">IFERROR(__xludf.DUMMYFUNCTION("""COMPUTED_VALUE"""),0.549275224690814)</f>
        <v>0.54927522469081402</v>
      </c>
      <c r="P911" s="17">
        <f ca="1">IFERROR(__xludf.DUMMYFUNCTION("""COMPUTED_VALUE"""),1.19959097280971)</f>
        <v>1.1995909728097101</v>
      </c>
      <c r="Q911" s="17">
        <f ca="1">IFERROR(__xludf.DUMMYFUNCTION("""COMPUTED_VALUE"""),0.370368203507587)</f>
        <v>0.37036820350758698</v>
      </c>
      <c r="R911" s="17">
        <f ca="1">IFERROR(__xludf.DUMMYFUNCTION("""COMPUTED_VALUE"""),0.374799445983745)</f>
        <v>0.37479944598374498</v>
      </c>
      <c r="S911" s="17">
        <f ca="1">IFERROR(__xludf.DUMMYFUNCTION("""COMPUTED_VALUE"""),0.98482420263383)</f>
        <v>0.98482420263382997</v>
      </c>
      <c r="T911" s="17">
        <f ca="1">IFERROR(__xludf.DUMMYFUNCTION("""COMPUTED_VALUE"""),1.24793436408082)</f>
        <v>1.24793436408082</v>
      </c>
      <c r="U911" s="17">
        <f ca="1">IFERROR(__xludf.DUMMYFUNCTION("""COMPUTED_VALUE"""),1.36368881954613)</f>
        <v>1.3636888195461301</v>
      </c>
      <c r="V911" s="17">
        <f ca="1">IFERROR(__xludf.DUMMYFUNCTION("""COMPUTED_VALUE"""),1.29157715258734)</f>
        <v>1.2915771525873401</v>
      </c>
      <c r="W911" s="17">
        <f ca="1">IFERROR(__xludf.DUMMYFUNCTION("""COMPUTED_VALUE"""),0.971680509742776)</f>
        <v>0.97168050974277598</v>
      </c>
      <c r="X911" s="17">
        <f ca="1">IFERROR(__xludf.DUMMYFUNCTION("""COMPUTED_VALUE"""),0.432453558555559)</f>
        <v>0.432453558555559</v>
      </c>
      <c r="Y911" s="17">
        <f ca="1">IFERROR(__xludf.DUMMYFUNCTION("""COMPUTED_VALUE"""),0.806561385694884)</f>
        <v>0.806561385694884</v>
      </c>
      <c r="Z911" s="17">
        <f ca="1">IFERROR(__xludf.DUMMYFUNCTION("""COMPUTED_VALUE"""),1.05577814412534)</f>
        <v>1.05577814412534</v>
      </c>
      <c r="AA911" s="17">
        <f ca="1">IFERROR(__xludf.DUMMYFUNCTION("""COMPUTED_VALUE"""),0.389923822123745)</f>
        <v>0.38992382212374499</v>
      </c>
      <c r="AB911" s="17">
        <f ca="1">IFERROR(__xludf.DUMMYFUNCTION("""COMPUTED_VALUE"""),1.09982303282935)</f>
        <v>1.0998230328293499</v>
      </c>
      <c r="AC911" s="17">
        <f ca="1">IFERROR(__xludf.DUMMYFUNCTION("""COMPUTED_VALUE"""),1.06079994846423)</f>
        <v>1.0607999484642301</v>
      </c>
      <c r="AD911" s="17">
        <f ca="1">IFERROR(__xludf.DUMMYFUNCTION("""COMPUTED_VALUE"""),0.684066455404907)</f>
        <v>0.68406645540490696</v>
      </c>
      <c r="AE911" s="17" t="str">
        <f ca="1">IFERROR(__xludf.DUMMYFUNCTION("""COMPUTED_VALUE"""),"nan")</f>
        <v>nan</v>
      </c>
      <c r="AF911" s="17">
        <f ca="1">IFERROR(__xludf.DUMMYFUNCTION("""COMPUTED_VALUE"""),0.853598297438782)</f>
        <v>0.85359829743878202</v>
      </c>
      <c r="AG911" s="17">
        <f ca="1">IFERROR(__xludf.DUMMYFUNCTION("""COMPUTED_VALUE"""),1.33421955249924)</f>
        <v>1.33421955249924</v>
      </c>
      <c r="AH911" s="17">
        <f ca="1">IFERROR(__xludf.DUMMYFUNCTION("""COMPUTED_VALUE"""),1.22381928888794)</f>
        <v>1.22381928888794</v>
      </c>
      <c r="AI911" s="17" t="str">
        <f ca="1">IFERROR(__xludf.DUMMYFUNCTION("""COMPUTED_VALUE"""),"nan")</f>
        <v>nan</v>
      </c>
      <c r="AJ911" s="17">
        <f ca="1">IFERROR(__xludf.DUMMYFUNCTION("""COMPUTED_VALUE"""),1.22376912191999)</f>
        <v>1.22376912191999</v>
      </c>
    </row>
    <row r="912" spans="2:36" ht="15.75" customHeight="1" x14ac:dyDescent="0.45">
      <c r="B912" s="10" t="str">
        <f ca="1">IFERROR(__xludf.DUMMYFUNCTION("""COMPUTED_VALUE"""),"TwoLeadECG")</f>
        <v>TwoLeadECG</v>
      </c>
      <c r="C912" s="10" t="str">
        <f ca="1">IFERROR(__xludf.DUMMYFUNCTION("""COMPUTED_VALUE"""),"mcar")</f>
        <v>mcar</v>
      </c>
      <c r="D912" s="10">
        <f ca="1">IFERROR(__xludf.DUMMYFUNCTION("""COMPUTED_VALUE"""),0.1)</f>
        <v>0.1</v>
      </c>
      <c r="E912" s="17">
        <f ca="1">IFERROR(__xludf.DUMMYFUNCTION("""COMPUTED_VALUE"""),0.543055452992993)</f>
        <v>0.54305545299299296</v>
      </c>
      <c r="F912" s="17">
        <f ca="1">IFERROR(__xludf.DUMMYFUNCTION("""COMPUTED_VALUE"""),0.553492185815992)</f>
        <v>0.55349218581599202</v>
      </c>
      <c r="G912" s="17">
        <f ca="1">IFERROR(__xludf.DUMMYFUNCTION("""COMPUTED_VALUE"""),0.71684951366798)</f>
        <v>0.71684951366798</v>
      </c>
      <c r="H912" s="17">
        <f ca="1">IFERROR(__xludf.DUMMYFUNCTION("""COMPUTED_VALUE"""),0.318184650292678)</f>
        <v>0.31818465029267801</v>
      </c>
      <c r="I912" s="17">
        <f ca="1">IFERROR(__xludf.DUMMYFUNCTION("""COMPUTED_VALUE"""),0.163316261385384)</f>
        <v>0.16331626138538399</v>
      </c>
      <c r="J912" s="17">
        <f ca="1">IFERROR(__xludf.DUMMYFUNCTION("""COMPUTED_VALUE"""),0.293221724771887)</f>
        <v>0.29322172477188702</v>
      </c>
      <c r="K912" s="17" t="str">
        <f ca="1">IFERROR(__xludf.DUMMYFUNCTION("""COMPUTED_VALUE"""),"nan")</f>
        <v>nan</v>
      </c>
      <c r="L912" s="17">
        <f ca="1">IFERROR(__xludf.DUMMYFUNCTION("""COMPUTED_VALUE"""),0.327203393630233)</f>
        <v>0.32720339363023299</v>
      </c>
      <c r="M912" s="17">
        <f ca="1">IFERROR(__xludf.DUMMYFUNCTION("""COMPUTED_VALUE"""),0.393354875776235)</f>
        <v>0.39335487577623501</v>
      </c>
      <c r="N912" s="17">
        <f ca="1">IFERROR(__xludf.DUMMYFUNCTION("""COMPUTED_VALUE"""),0.24498516728431)</f>
        <v>0.24498516728431</v>
      </c>
      <c r="O912" s="17">
        <f ca="1">IFERROR(__xludf.DUMMYFUNCTION("""COMPUTED_VALUE"""),0.601944834084036)</f>
        <v>0.60194483408403598</v>
      </c>
      <c r="P912" s="17">
        <f ca="1">IFERROR(__xludf.DUMMYFUNCTION("""COMPUTED_VALUE"""),0.317864294173357)</f>
        <v>0.31786429417335699</v>
      </c>
      <c r="Q912" s="17">
        <f ca="1">IFERROR(__xludf.DUMMYFUNCTION("""COMPUTED_VALUE"""),0.468938190856751)</f>
        <v>0.46893819085675098</v>
      </c>
      <c r="R912" s="17">
        <f ca="1">IFERROR(__xludf.DUMMYFUNCTION("""COMPUTED_VALUE"""),0.445544828549915)</f>
        <v>0.44554482854991501</v>
      </c>
      <c r="S912" s="17">
        <f ca="1">IFERROR(__xludf.DUMMYFUNCTION("""COMPUTED_VALUE"""),0.20962553331306)</f>
        <v>0.20962553331306</v>
      </c>
      <c r="T912" s="17">
        <f ca="1">IFERROR(__xludf.DUMMYFUNCTION("""COMPUTED_VALUE"""),0.389709792511381)</f>
        <v>0.38970979251138099</v>
      </c>
      <c r="U912" s="17">
        <f ca="1">IFERROR(__xludf.DUMMYFUNCTION("""COMPUTED_VALUE"""),0.184589134248267)</f>
        <v>0.18458913424826701</v>
      </c>
      <c r="V912" s="17">
        <f ca="1">IFERROR(__xludf.DUMMYFUNCTION("""COMPUTED_VALUE"""),0.293879259401712)</f>
        <v>0.293879259401712</v>
      </c>
      <c r="W912" s="17">
        <f ca="1">IFERROR(__xludf.DUMMYFUNCTION("""COMPUTED_VALUE"""),0.390605303261411)</f>
        <v>0.39060530326141102</v>
      </c>
      <c r="X912" s="17">
        <f ca="1">IFERROR(__xludf.DUMMYFUNCTION("""COMPUTED_VALUE"""),0.405418108132949)</f>
        <v>0.40541810813294898</v>
      </c>
      <c r="Y912" s="17">
        <f ca="1">IFERROR(__xludf.DUMMYFUNCTION("""COMPUTED_VALUE"""),0.474693715784383)</f>
        <v>0.47469371578438302</v>
      </c>
      <c r="Z912" s="17">
        <f ca="1">IFERROR(__xludf.DUMMYFUNCTION("""COMPUTED_VALUE"""),0.295316955006844)</f>
        <v>0.29531695500684402</v>
      </c>
      <c r="AA912" s="17">
        <f ca="1">IFERROR(__xludf.DUMMYFUNCTION("""COMPUTED_VALUE"""),0.198546530907545)</f>
        <v>0.19854653090754501</v>
      </c>
      <c r="AB912" s="17">
        <f ca="1">IFERROR(__xludf.DUMMYFUNCTION("""COMPUTED_VALUE"""),0.418290406282202)</f>
        <v>0.41829040628220199</v>
      </c>
      <c r="AC912" s="17">
        <f ca="1">IFERROR(__xludf.DUMMYFUNCTION("""COMPUTED_VALUE"""),0.904744821742912)</f>
        <v>0.90474482174291204</v>
      </c>
      <c r="AD912" s="17">
        <f ca="1">IFERROR(__xludf.DUMMYFUNCTION("""COMPUTED_VALUE"""),0.432841561248032)</f>
        <v>0.43284156124803203</v>
      </c>
      <c r="AE912" s="17">
        <f ca="1">IFERROR(__xludf.DUMMYFUNCTION("""COMPUTED_VALUE"""),0.436899261715634)</f>
        <v>0.43689926171563398</v>
      </c>
      <c r="AF912" s="17">
        <f ca="1">IFERROR(__xludf.DUMMYFUNCTION("""COMPUTED_VALUE"""),0.220559108369091)</f>
        <v>0.22055910836909101</v>
      </c>
      <c r="AG912" s="17">
        <f ca="1">IFERROR(__xludf.DUMMYFUNCTION("""COMPUTED_VALUE"""),0.397852075084376)</f>
        <v>0.39785207508437598</v>
      </c>
      <c r="AH912" s="17">
        <f ca="1">IFERROR(__xludf.DUMMYFUNCTION("""COMPUTED_VALUE"""),0.317946223447303)</f>
        <v>0.317946223447303</v>
      </c>
      <c r="AI912" s="17">
        <f ca="1">IFERROR(__xludf.DUMMYFUNCTION("""COMPUTED_VALUE"""),0.357873660759526)</f>
        <v>0.35787366075952598</v>
      </c>
      <c r="AJ912" s="17">
        <f ca="1">IFERROR(__xludf.DUMMYFUNCTION("""COMPUTED_VALUE"""),0.224256175784358)</f>
        <v>0.224256175784358</v>
      </c>
    </row>
    <row r="913" spans="1:36" ht="15.75" customHeight="1" x14ac:dyDescent="0.45">
      <c r="B913" s="10" t="str">
        <f ca="1">IFERROR(__xludf.DUMMYFUNCTION("""COMPUTED_VALUE"""),"TwoLeadECG")</f>
        <v>TwoLeadECG</v>
      </c>
      <c r="C913" s="10" t="str">
        <f ca="1">IFERROR(__xludf.DUMMYFUNCTION("""COMPUTED_VALUE"""),"mcar")</f>
        <v>mcar</v>
      </c>
      <c r="D913" s="10">
        <f ca="1">IFERROR(__xludf.DUMMYFUNCTION("""COMPUTED_VALUE"""),0.2)</f>
        <v>0.2</v>
      </c>
      <c r="E913" s="17">
        <f ca="1">IFERROR(__xludf.DUMMYFUNCTION("""COMPUTED_VALUE"""),1.18319393161828)</f>
        <v>1.18319393161828</v>
      </c>
      <c r="F913" s="17">
        <f ca="1">IFERROR(__xludf.DUMMYFUNCTION("""COMPUTED_VALUE"""),0.528133202895792)</f>
        <v>0.52813320289579202</v>
      </c>
      <c r="G913" s="17">
        <f ca="1">IFERROR(__xludf.DUMMYFUNCTION("""COMPUTED_VALUE"""),0.629154824386638)</f>
        <v>0.62915482438663795</v>
      </c>
      <c r="H913" s="17">
        <f ca="1">IFERROR(__xludf.DUMMYFUNCTION("""COMPUTED_VALUE"""),0.722972199837555)</f>
        <v>0.72297219983755501</v>
      </c>
      <c r="I913" s="17">
        <f ca="1">IFERROR(__xludf.DUMMYFUNCTION("""COMPUTED_VALUE"""),0.369729604167977)</f>
        <v>0.36972960416797701</v>
      </c>
      <c r="J913" s="17">
        <f ca="1">IFERROR(__xludf.DUMMYFUNCTION("""COMPUTED_VALUE"""),0.412661072891079)</f>
        <v>0.41266107289107901</v>
      </c>
      <c r="K913" s="17" t="str">
        <f ca="1">IFERROR(__xludf.DUMMYFUNCTION("""COMPUTED_VALUE"""),"nan")</f>
        <v>nan</v>
      </c>
      <c r="L913" s="17">
        <f ca="1">IFERROR(__xludf.DUMMYFUNCTION("""COMPUTED_VALUE"""),0.518854083233949)</f>
        <v>0.51885408323394899</v>
      </c>
      <c r="M913" s="17">
        <f ca="1">IFERROR(__xludf.DUMMYFUNCTION("""COMPUTED_VALUE"""),0.572093847426903)</f>
        <v>0.57209384742690295</v>
      </c>
      <c r="N913" s="17">
        <f ca="1">IFERROR(__xludf.DUMMYFUNCTION("""COMPUTED_VALUE"""),0.495089885558667)</f>
        <v>0.49508988555866701</v>
      </c>
      <c r="O913" s="17">
        <f ca="1">IFERROR(__xludf.DUMMYFUNCTION("""COMPUTED_VALUE"""),0.540402825131225)</f>
        <v>0.54040282513122495</v>
      </c>
      <c r="P913" s="17">
        <f ca="1">IFERROR(__xludf.DUMMYFUNCTION("""COMPUTED_VALUE"""),0.925093436619941)</f>
        <v>0.92509343661994103</v>
      </c>
      <c r="Q913" s="17">
        <f ca="1">IFERROR(__xludf.DUMMYFUNCTION("""COMPUTED_VALUE"""),0.763367582578951)</f>
        <v>0.76336758257895099</v>
      </c>
      <c r="R913" s="17">
        <f ca="1">IFERROR(__xludf.DUMMYFUNCTION("""COMPUTED_VALUE"""),0.482220664852406)</f>
        <v>0.482220664852406</v>
      </c>
      <c r="S913" s="17">
        <f ca="1">IFERROR(__xludf.DUMMYFUNCTION("""COMPUTED_VALUE"""),0.781734359911116)</f>
        <v>0.78173435991111595</v>
      </c>
      <c r="T913" s="17">
        <f ca="1">IFERROR(__xludf.DUMMYFUNCTION("""COMPUTED_VALUE"""),0.679656500381389)</f>
        <v>0.67965650038138903</v>
      </c>
      <c r="U913" s="17">
        <f ca="1">IFERROR(__xludf.DUMMYFUNCTION("""COMPUTED_VALUE"""),0.660897534027905)</f>
        <v>0.66089753402790496</v>
      </c>
      <c r="V913" s="17">
        <f ca="1">IFERROR(__xludf.DUMMYFUNCTION("""COMPUTED_VALUE"""),0.420637840455435)</f>
        <v>0.42063784045543501</v>
      </c>
      <c r="W913" s="17">
        <f ca="1">IFERROR(__xludf.DUMMYFUNCTION("""COMPUTED_VALUE"""),0.397969825587183)</f>
        <v>0.39796982558718302</v>
      </c>
      <c r="X913" s="17">
        <f ca="1">IFERROR(__xludf.DUMMYFUNCTION("""COMPUTED_VALUE"""),0.725413774174927)</f>
        <v>0.72541377417492703</v>
      </c>
      <c r="Y913" s="17">
        <f ca="1">IFERROR(__xludf.DUMMYFUNCTION("""COMPUTED_VALUE"""),0.553813231262317)</f>
        <v>0.55381323126231696</v>
      </c>
      <c r="Z913" s="17">
        <f ca="1">IFERROR(__xludf.DUMMYFUNCTION("""COMPUTED_VALUE"""),0.953874642450921)</f>
        <v>0.95387464245092102</v>
      </c>
      <c r="AA913" s="17">
        <f ca="1">IFERROR(__xludf.DUMMYFUNCTION("""COMPUTED_VALUE"""),0.366037301395089)</f>
        <v>0.366037301395089</v>
      </c>
      <c r="AB913" s="17">
        <f ca="1">IFERROR(__xludf.DUMMYFUNCTION("""COMPUTED_VALUE"""),0.482332523237997)</f>
        <v>0.48233252323799702</v>
      </c>
      <c r="AC913" s="17">
        <f ca="1">IFERROR(__xludf.DUMMYFUNCTION("""COMPUTED_VALUE"""),0.899042052267022)</f>
        <v>0.89904205226702205</v>
      </c>
      <c r="AD913" s="17">
        <f ca="1">IFERROR(__xludf.DUMMYFUNCTION("""COMPUTED_VALUE"""),0.768971150619617)</f>
        <v>0.76897115061961696</v>
      </c>
      <c r="AE913" s="17">
        <f ca="1">IFERROR(__xludf.DUMMYFUNCTION("""COMPUTED_VALUE"""),1.03552896876291)</f>
        <v>1.0355289687629099</v>
      </c>
      <c r="AF913" s="17">
        <f ca="1">IFERROR(__xludf.DUMMYFUNCTION("""COMPUTED_VALUE"""),0.489325012359792)</f>
        <v>0.48932501235979198</v>
      </c>
      <c r="AG913" s="17">
        <f ca="1">IFERROR(__xludf.DUMMYFUNCTION("""COMPUTED_VALUE"""),0.544164524216772)</f>
        <v>0.54416452421677197</v>
      </c>
      <c r="AH913" s="17">
        <f ca="1">IFERROR(__xludf.DUMMYFUNCTION("""COMPUTED_VALUE"""),0.675414946468219)</f>
        <v>0.67541494646821898</v>
      </c>
      <c r="AI913" s="17">
        <f ca="1">IFERROR(__xludf.DUMMYFUNCTION("""COMPUTED_VALUE"""),0.517724717620197)</f>
        <v>0.51772471762019701</v>
      </c>
      <c r="AJ913" s="17">
        <f ca="1">IFERROR(__xludf.DUMMYFUNCTION("""COMPUTED_VALUE"""),0.522089100458299)</f>
        <v>0.52208910045829904</v>
      </c>
    </row>
    <row r="914" spans="1:36" ht="15.75" customHeight="1" x14ac:dyDescent="0.45">
      <c r="B914" s="10" t="str">
        <f ca="1">IFERROR(__xludf.DUMMYFUNCTION("""COMPUTED_VALUE"""),"TwoLeadECG")</f>
        <v>TwoLeadECG</v>
      </c>
      <c r="C914" s="10" t="str">
        <f ca="1">IFERROR(__xludf.DUMMYFUNCTION("""COMPUTED_VALUE"""),"mcar")</f>
        <v>mcar</v>
      </c>
      <c r="D914" s="10">
        <f ca="1">IFERROR(__xludf.DUMMYFUNCTION("""COMPUTED_VALUE"""),0.4)</f>
        <v>0.4</v>
      </c>
      <c r="E914" s="17">
        <f ca="1">IFERROR(__xludf.DUMMYFUNCTION("""COMPUTED_VALUE"""),0.905703037587657)</f>
        <v>0.90570303758765702</v>
      </c>
      <c r="F914" s="17">
        <f ca="1">IFERROR(__xludf.DUMMYFUNCTION("""COMPUTED_VALUE"""),0.348234961240139)</f>
        <v>0.34823496124013897</v>
      </c>
      <c r="G914" s="17">
        <f ca="1">IFERROR(__xludf.DUMMYFUNCTION("""COMPUTED_VALUE"""),0.422411548901595)</f>
        <v>0.42241154890159499</v>
      </c>
      <c r="H914" s="17">
        <f ca="1">IFERROR(__xludf.DUMMYFUNCTION("""COMPUTED_VALUE"""),0.680973733215579)</f>
        <v>0.68097373321557897</v>
      </c>
      <c r="I914" s="17">
        <f ca="1">IFERROR(__xludf.DUMMYFUNCTION("""COMPUTED_VALUE"""),0.276298009191785)</f>
        <v>0.27629800919178499</v>
      </c>
      <c r="J914" s="17">
        <f ca="1">IFERROR(__xludf.DUMMYFUNCTION("""COMPUTED_VALUE"""),0.396699363335445)</f>
        <v>0.39669936333544498</v>
      </c>
      <c r="K914" s="17" t="str">
        <f ca="1">IFERROR(__xludf.DUMMYFUNCTION("""COMPUTED_VALUE"""),"nan")</f>
        <v>nan</v>
      </c>
      <c r="L914" s="17">
        <f ca="1">IFERROR(__xludf.DUMMYFUNCTION("""COMPUTED_VALUE"""),0.360354210853245)</f>
        <v>0.36035421085324498</v>
      </c>
      <c r="M914" s="17">
        <f ca="1">IFERROR(__xludf.DUMMYFUNCTION("""COMPUTED_VALUE"""),0.345237629520095)</f>
        <v>0.34523762952009501</v>
      </c>
      <c r="N914" s="17">
        <f ca="1">IFERROR(__xludf.DUMMYFUNCTION("""COMPUTED_VALUE"""),0.34272664930694)</f>
        <v>0.34272664930694002</v>
      </c>
      <c r="O914" s="17">
        <f ca="1">IFERROR(__xludf.DUMMYFUNCTION("""COMPUTED_VALUE"""),0.355875409753587)</f>
        <v>0.355875409753587</v>
      </c>
      <c r="P914" s="17">
        <f ca="1">IFERROR(__xludf.DUMMYFUNCTION("""COMPUTED_VALUE"""),0.714305024461631)</f>
        <v>0.71430502446163102</v>
      </c>
      <c r="Q914" s="17">
        <f ca="1">IFERROR(__xludf.DUMMYFUNCTION("""COMPUTED_VALUE"""),0.607963555320215)</f>
        <v>0.60796355532021495</v>
      </c>
      <c r="R914" s="17">
        <f ca="1">IFERROR(__xludf.DUMMYFUNCTION("""COMPUTED_VALUE"""),0.32242570203768)</f>
        <v>0.32242570203768001</v>
      </c>
      <c r="S914" s="17">
        <f ca="1">IFERROR(__xludf.DUMMYFUNCTION("""COMPUTED_VALUE"""),0.609676014846266)</f>
        <v>0.60967601484626599</v>
      </c>
      <c r="T914" s="17">
        <f ca="1">IFERROR(__xludf.DUMMYFUNCTION("""COMPUTED_VALUE"""),0.417005350753404)</f>
        <v>0.417005350753404</v>
      </c>
      <c r="U914" s="17">
        <f ca="1">IFERROR(__xludf.DUMMYFUNCTION("""COMPUTED_VALUE"""),0.477219967481405)</f>
        <v>0.47721996748140499</v>
      </c>
      <c r="V914" s="17">
        <f ca="1">IFERROR(__xludf.DUMMYFUNCTION("""COMPUTED_VALUE"""),0.40803252005505)</f>
        <v>0.40803252005504997</v>
      </c>
      <c r="W914" s="17">
        <f ca="1">IFERROR(__xludf.DUMMYFUNCTION("""COMPUTED_VALUE"""),0.397455470643543)</f>
        <v>0.39745547064354297</v>
      </c>
      <c r="X914" s="17">
        <f ca="1">IFERROR(__xludf.DUMMYFUNCTION("""COMPUTED_VALUE"""),0.482820311478301)</f>
        <v>0.48282031147830101</v>
      </c>
      <c r="Y914" s="17">
        <f ca="1">IFERROR(__xludf.DUMMYFUNCTION("""COMPUTED_VALUE"""),0.434328042283694)</f>
        <v>0.43432804228369398</v>
      </c>
      <c r="Z914" s="17">
        <f ca="1">IFERROR(__xludf.DUMMYFUNCTION("""COMPUTED_VALUE"""),0.780816883768046)</f>
        <v>0.78081688376804603</v>
      </c>
      <c r="AA914" s="17">
        <f ca="1">IFERROR(__xludf.DUMMYFUNCTION("""COMPUTED_VALUE"""),0.241883663502685)</f>
        <v>0.241883663502685</v>
      </c>
      <c r="AB914" s="17">
        <f ca="1">IFERROR(__xludf.DUMMYFUNCTION("""COMPUTED_VALUE"""),0.61891491594787)</f>
        <v>0.61891491594786996</v>
      </c>
      <c r="AC914" s="17">
        <f ca="1">IFERROR(__xludf.DUMMYFUNCTION("""COMPUTED_VALUE"""),0.839083432068149)</f>
        <v>0.83908343206814895</v>
      </c>
      <c r="AD914" s="17">
        <f ca="1">IFERROR(__xludf.DUMMYFUNCTION("""COMPUTED_VALUE"""),0.648761640973795)</f>
        <v>0.64876164097379496</v>
      </c>
      <c r="AE914" s="17">
        <f ca="1">IFERROR(__xludf.DUMMYFUNCTION("""COMPUTED_VALUE"""),0.730703624112374)</f>
        <v>0.730703624112374</v>
      </c>
      <c r="AF914" s="17">
        <f ca="1">IFERROR(__xludf.DUMMYFUNCTION("""COMPUTED_VALUE"""),0.378549303562822)</f>
        <v>0.37854930356282201</v>
      </c>
      <c r="AG914" s="17">
        <f ca="1">IFERROR(__xludf.DUMMYFUNCTION("""COMPUTED_VALUE"""),0.737317587616841)</f>
        <v>0.73731758761684096</v>
      </c>
      <c r="AH914" s="17">
        <f ca="1">IFERROR(__xludf.DUMMYFUNCTION("""COMPUTED_VALUE"""),0.807874243319387)</f>
        <v>0.80787424331938695</v>
      </c>
      <c r="AI914" s="17">
        <f ca="1">IFERROR(__xludf.DUMMYFUNCTION("""COMPUTED_VALUE"""),1.08646348482756)</f>
        <v>1.0864634848275601</v>
      </c>
      <c r="AJ914" s="17">
        <f ca="1">IFERROR(__xludf.DUMMYFUNCTION("""COMPUTED_VALUE"""),1.11954541817446)</f>
        <v>1.11954541817446</v>
      </c>
    </row>
    <row r="915" spans="1:36" ht="15.75" customHeight="1" x14ac:dyDescent="0.45">
      <c r="B915" s="10" t="str">
        <f ca="1">IFERROR(__xludf.DUMMYFUNCTION("""COMPUTED_VALUE"""),"TwoLeadECG")</f>
        <v>TwoLeadECG</v>
      </c>
      <c r="C915" s="10" t="str">
        <f ca="1">IFERROR(__xludf.DUMMYFUNCTION("""COMPUTED_VALUE"""),"mcar")</f>
        <v>mcar</v>
      </c>
      <c r="D915" s="10">
        <f ca="1">IFERROR(__xludf.DUMMYFUNCTION("""COMPUTED_VALUE"""),0.6)</f>
        <v>0.6</v>
      </c>
      <c r="E915" s="17">
        <f ca="1">IFERROR(__xludf.DUMMYFUNCTION("""COMPUTED_VALUE"""),1.036886355006)</f>
        <v>1.0368863550059999</v>
      </c>
      <c r="F915" s="17">
        <f ca="1">IFERROR(__xludf.DUMMYFUNCTION("""COMPUTED_VALUE"""),0.340093387567085)</f>
        <v>0.34009338756708501</v>
      </c>
      <c r="G915" s="17">
        <f ca="1">IFERROR(__xludf.DUMMYFUNCTION("""COMPUTED_VALUE"""),0.397418877923834)</f>
        <v>0.39741887792383401</v>
      </c>
      <c r="H915" s="17">
        <f ca="1">IFERROR(__xludf.DUMMYFUNCTION("""COMPUTED_VALUE"""),0.90511172372451)</f>
        <v>0.90511172372450999</v>
      </c>
      <c r="I915" s="17">
        <f ca="1">IFERROR(__xludf.DUMMYFUNCTION("""COMPUTED_VALUE"""),0.409157056980968)</f>
        <v>0.40915705698096799</v>
      </c>
      <c r="J915" s="17">
        <f ca="1">IFERROR(__xludf.DUMMYFUNCTION("""COMPUTED_VALUE"""),0.373409091443888)</f>
        <v>0.37340909144388801</v>
      </c>
      <c r="K915" s="17" t="str">
        <f ca="1">IFERROR(__xludf.DUMMYFUNCTION("""COMPUTED_VALUE"""),"nan")</f>
        <v>nan</v>
      </c>
      <c r="L915" s="17">
        <f ca="1">IFERROR(__xludf.DUMMYFUNCTION("""COMPUTED_VALUE"""),0.3848151550338)</f>
        <v>0.38481515503379998</v>
      </c>
      <c r="M915" s="17">
        <f ca="1">IFERROR(__xludf.DUMMYFUNCTION("""COMPUTED_VALUE"""),0.330509424544814)</f>
        <v>0.33050942454481402</v>
      </c>
      <c r="N915" s="17">
        <f ca="1">IFERROR(__xludf.DUMMYFUNCTION("""COMPUTED_VALUE"""),0.388560273067119)</f>
        <v>0.38856027306711899</v>
      </c>
      <c r="O915" s="17">
        <f ca="1">IFERROR(__xludf.DUMMYFUNCTION("""COMPUTED_VALUE"""),0.328676447877272)</f>
        <v>0.32867644787727202</v>
      </c>
      <c r="P915" s="17">
        <f ca="1">IFERROR(__xludf.DUMMYFUNCTION("""COMPUTED_VALUE"""),0.867048150185419)</f>
        <v>0.86704815018541903</v>
      </c>
      <c r="Q915" s="17">
        <f ca="1">IFERROR(__xludf.DUMMYFUNCTION("""COMPUTED_VALUE"""),0.68028482058682)</f>
        <v>0.68028482058682005</v>
      </c>
      <c r="R915" s="17">
        <f ca="1">IFERROR(__xludf.DUMMYFUNCTION("""COMPUTED_VALUE"""),0.282516669164937)</f>
        <v>0.28251666916493701</v>
      </c>
      <c r="S915" s="17">
        <f ca="1">IFERROR(__xludf.DUMMYFUNCTION("""COMPUTED_VALUE"""),0.750180231737698)</f>
        <v>0.75018023173769799</v>
      </c>
      <c r="T915" s="17">
        <f ca="1">IFERROR(__xludf.DUMMYFUNCTION("""COMPUTED_VALUE"""),0.537723181311218)</f>
        <v>0.53772318131121799</v>
      </c>
      <c r="U915" s="17">
        <f ca="1">IFERROR(__xludf.DUMMYFUNCTION("""COMPUTED_VALUE"""),0.818815512179725)</f>
        <v>0.81881551217972504</v>
      </c>
      <c r="V915" s="17">
        <f ca="1">IFERROR(__xludf.DUMMYFUNCTION("""COMPUTED_VALUE"""),0.462642226954466)</f>
        <v>0.462642226954466</v>
      </c>
      <c r="W915" s="17">
        <f ca="1">IFERROR(__xludf.DUMMYFUNCTION("""COMPUTED_VALUE"""),0.478020480411764)</f>
        <v>0.47802048041176398</v>
      </c>
      <c r="X915" s="17">
        <f ca="1">IFERROR(__xludf.DUMMYFUNCTION("""COMPUTED_VALUE"""),0.531809274222018)</f>
        <v>0.53180927422201796</v>
      </c>
      <c r="Y915" s="17">
        <f ca="1">IFERROR(__xludf.DUMMYFUNCTION("""COMPUTED_VALUE"""),0.474159449598504)</f>
        <v>0.47415944959850398</v>
      </c>
      <c r="Z915" s="17">
        <f ca="1">IFERROR(__xludf.DUMMYFUNCTION("""COMPUTED_VALUE"""),0.780663908350859)</f>
        <v>0.78066390835085897</v>
      </c>
      <c r="AA915" s="17">
        <f ca="1">IFERROR(__xludf.DUMMYFUNCTION("""COMPUTED_VALUE"""),0.213983332677905)</f>
        <v>0.21398333267790501</v>
      </c>
      <c r="AB915" s="17">
        <f ca="1">IFERROR(__xludf.DUMMYFUNCTION("""COMPUTED_VALUE"""),0.640114949539907)</f>
        <v>0.640114949539907</v>
      </c>
      <c r="AC915" s="17">
        <f ca="1">IFERROR(__xludf.DUMMYFUNCTION("""COMPUTED_VALUE"""),0.893696503264436)</f>
        <v>0.89369650326443595</v>
      </c>
      <c r="AD915" s="17">
        <f ca="1">IFERROR(__xludf.DUMMYFUNCTION("""COMPUTED_VALUE"""),0.782735345037316)</f>
        <v>0.78273534503731601</v>
      </c>
      <c r="AE915" s="17">
        <f ca="1">IFERROR(__xludf.DUMMYFUNCTION("""COMPUTED_VALUE"""),1.19023919887274)</f>
        <v>1.1902391988727401</v>
      </c>
      <c r="AF915" s="17">
        <f ca="1">IFERROR(__xludf.DUMMYFUNCTION("""COMPUTED_VALUE"""),0.530200992053774)</f>
        <v>0.53020099205377402</v>
      </c>
      <c r="AG915" s="17">
        <f ca="1">IFERROR(__xludf.DUMMYFUNCTION("""COMPUTED_VALUE"""),1.51359583471044)</f>
        <v>1.5135958347104399</v>
      </c>
      <c r="AH915" s="17">
        <f ca="1">IFERROR(__xludf.DUMMYFUNCTION("""COMPUTED_VALUE"""),1.11841504363478)</f>
        <v>1.1184150436347799</v>
      </c>
      <c r="AI915" s="17">
        <f ca="1">IFERROR(__xludf.DUMMYFUNCTION("""COMPUTED_VALUE"""),1.0775257769366)</f>
        <v>1.0775257769366</v>
      </c>
      <c r="AJ915" s="17">
        <f ca="1">IFERROR(__xludf.DUMMYFUNCTION("""COMPUTED_VALUE"""),1.29361909783881)</f>
        <v>1.29361909783881</v>
      </c>
    </row>
    <row r="916" spans="1:36" ht="15.75" customHeight="1" x14ac:dyDescent="0.45">
      <c r="B916" s="10" t="str">
        <f ca="1">IFERROR(__xludf.DUMMYFUNCTION("""COMPUTED_VALUE"""),"TwoLeadECG")</f>
        <v>TwoLeadECG</v>
      </c>
      <c r="C916" s="10" t="str">
        <f ca="1">IFERROR(__xludf.DUMMYFUNCTION("""COMPUTED_VALUE"""),"mcar")</f>
        <v>mcar</v>
      </c>
      <c r="D916" s="10">
        <f ca="1">IFERROR(__xludf.DUMMYFUNCTION("""COMPUTED_VALUE"""),0.8)</f>
        <v>0.8</v>
      </c>
      <c r="E916" s="17">
        <f ca="1">IFERROR(__xludf.DUMMYFUNCTION("""COMPUTED_VALUE"""),1.08496045073246)</f>
        <v>1.0849604507324599</v>
      </c>
      <c r="F916" s="17">
        <f ca="1">IFERROR(__xludf.DUMMYFUNCTION("""COMPUTED_VALUE"""),0.384601834451075)</f>
        <v>0.38460183445107499</v>
      </c>
      <c r="G916" s="17">
        <f ca="1">IFERROR(__xludf.DUMMYFUNCTION("""COMPUTED_VALUE"""),0.439040157217564)</f>
        <v>0.43904015721756401</v>
      </c>
      <c r="H916" s="17">
        <f ca="1">IFERROR(__xludf.DUMMYFUNCTION("""COMPUTED_VALUE"""),1.19379653533166)</f>
        <v>1.19379653533166</v>
      </c>
      <c r="I916" s="17">
        <f ca="1">IFERROR(__xludf.DUMMYFUNCTION("""COMPUTED_VALUE"""),0.709758481623189)</f>
        <v>0.709758481623189</v>
      </c>
      <c r="J916" s="17">
        <f ca="1">IFERROR(__xludf.DUMMYFUNCTION("""COMPUTED_VALUE"""),0.816562493126922)</f>
        <v>0.81656249312692197</v>
      </c>
      <c r="K916" s="17" t="str">
        <f ca="1">IFERROR(__xludf.DUMMYFUNCTION("""COMPUTED_VALUE"""),"nan")</f>
        <v>nan</v>
      </c>
      <c r="L916" s="17">
        <f ca="1">IFERROR(__xludf.DUMMYFUNCTION("""COMPUTED_VALUE"""),0.562211361031378)</f>
        <v>0.56221136103137803</v>
      </c>
      <c r="M916" s="17">
        <f ca="1">IFERROR(__xludf.DUMMYFUNCTION("""COMPUTED_VALUE"""),0.465007128227509)</f>
        <v>0.465007128227509</v>
      </c>
      <c r="N916" s="17">
        <f ca="1">IFERROR(__xludf.DUMMYFUNCTION("""COMPUTED_VALUE"""),0.678738820458749)</f>
        <v>0.678738820458749</v>
      </c>
      <c r="O916" s="17">
        <f ca="1">IFERROR(__xludf.DUMMYFUNCTION("""COMPUTED_VALUE"""),0.306872864474766)</f>
        <v>0.30687286447476603</v>
      </c>
      <c r="P916" s="17">
        <f ca="1">IFERROR(__xludf.DUMMYFUNCTION("""COMPUTED_VALUE"""),1.0819268992181)</f>
        <v>1.0819268992180999</v>
      </c>
      <c r="Q916" s="17">
        <f ca="1">IFERROR(__xludf.DUMMYFUNCTION("""COMPUTED_VALUE"""),0.800629089780601)</f>
        <v>0.80062908978060099</v>
      </c>
      <c r="R916" s="17">
        <f ca="1">IFERROR(__xludf.DUMMYFUNCTION("""COMPUTED_VALUE"""),0.539009847165538)</f>
        <v>0.53900984716553801</v>
      </c>
      <c r="S916" s="17">
        <f ca="1">IFERROR(__xludf.DUMMYFUNCTION("""COMPUTED_VALUE"""),1.1120092430324)</f>
        <v>1.1120092430324</v>
      </c>
      <c r="T916" s="17">
        <f ca="1">IFERROR(__xludf.DUMMYFUNCTION("""COMPUTED_VALUE"""),1.1226734829486)</f>
        <v>1.1226734829486</v>
      </c>
      <c r="U916" s="17">
        <f ca="1">IFERROR(__xludf.DUMMYFUNCTION("""COMPUTED_VALUE"""),0.64516853422863)</f>
        <v>0.64516853422862996</v>
      </c>
      <c r="V916" s="17">
        <f ca="1">IFERROR(__xludf.DUMMYFUNCTION("""COMPUTED_VALUE"""),1.20286375554474)</f>
        <v>1.2028637555447399</v>
      </c>
      <c r="W916" s="17">
        <f ca="1">IFERROR(__xludf.DUMMYFUNCTION("""COMPUTED_VALUE"""),0.530561379148213)</f>
        <v>0.530561379148213</v>
      </c>
      <c r="X916" s="17">
        <f ca="1">IFERROR(__xludf.DUMMYFUNCTION("""COMPUTED_VALUE"""),0.52413632572194)</f>
        <v>0.52413632572194002</v>
      </c>
      <c r="Y916" s="17">
        <f ca="1">IFERROR(__xludf.DUMMYFUNCTION("""COMPUTED_VALUE"""),0.555242604087986)</f>
        <v>0.55524260408798598</v>
      </c>
      <c r="Z916" s="17">
        <f ca="1">IFERROR(__xludf.DUMMYFUNCTION("""COMPUTED_VALUE"""),1.05728037594111)</f>
        <v>1.05728037594111</v>
      </c>
      <c r="AA916" s="17">
        <f ca="1">IFERROR(__xludf.DUMMYFUNCTION("""COMPUTED_VALUE"""),0.248637736545097)</f>
        <v>0.24863773654509699</v>
      </c>
      <c r="AB916" s="17">
        <f ca="1">IFERROR(__xludf.DUMMYFUNCTION("""COMPUTED_VALUE"""),0.958136204789982)</f>
        <v>0.95813620478998196</v>
      </c>
      <c r="AC916" s="17">
        <f ca="1">IFERROR(__xludf.DUMMYFUNCTION("""COMPUTED_VALUE"""),1.00139962824721)</f>
        <v>1.00139962824721</v>
      </c>
      <c r="AD916" s="17">
        <f ca="1">IFERROR(__xludf.DUMMYFUNCTION("""COMPUTED_VALUE"""),0.646039890821489)</f>
        <v>0.64603989082148905</v>
      </c>
      <c r="AE916" s="17">
        <f ca="1">IFERROR(__xludf.DUMMYFUNCTION("""COMPUTED_VALUE"""),1.6292848684642)</f>
        <v>1.6292848684642001</v>
      </c>
      <c r="AF916" s="17">
        <f ca="1">IFERROR(__xludf.DUMMYFUNCTION("""COMPUTED_VALUE"""),0.845796494466801)</f>
        <v>0.84579649446680105</v>
      </c>
      <c r="AG916" s="17">
        <f ca="1">IFERROR(__xludf.DUMMYFUNCTION("""COMPUTED_VALUE"""),1.07548706108399)</f>
        <v>1.0754870610839899</v>
      </c>
      <c r="AH916" s="17">
        <f ca="1">IFERROR(__xludf.DUMMYFUNCTION("""COMPUTED_VALUE"""),1.2140238991851)</f>
        <v>1.2140238991851</v>
      </c>
      <c r="AI916" s="17">
        <f ca="1">IFERROR(__xludf.DUMMYFUNCTION("""COMPUTED_VALUE"""),1.22045921134133)</f>
        <v>1.22045921134133</v>
      </c>
      <c r="AJ916" s="17">
        <f ca="1">IFERROR(__xludf.DUMMYFUNCTION("""COMPUTED_VALUE"""),1.27371544971738)</f>
        <v>1.2737154497173799</v>
      </c>
    </row>
    <row r="917" spans="1:36" ht="15.75" customHeight="1" x14ac:dyDescent="0.45">
      <c r="B917" s="10" t="str">
        <f ca="1">IFERROR(__xludf.DUMMYFUNCTION("""COMPUTED_VALUE"""),"TwoPatterns")</f>
        <v>TwoPatterns</v>
      </c>
      <c r="C917" s="10" t="str">
        <f ca="1">IFERROR(__xludf.DUMMYFUNCTION("""COMPUTED_VALUE"""),"aligned_series")</f>
        <v>aligned_series</v>
      </c>
      <c r="D917" s="10">
        <f ca="1">IFERROR(__xludf.DUMMYFUNCTION("""COMPUTED_VALUE"""),0.1)</f>
        <v>0.1</v>
      </c>
      <c r="E917" s="17">
        <f ca="1">IFERROR(__xludf.DUMMYFUNCTION("""COMPUTED_VALUE"""),0.806137417144169)</f>
        <v>0.80613741714416898</v>
      </c>
      <c r="F917" s="17">
        <f ca="1">IFERROR(__xludf.DUMMYFUNCTION("""COMPUTED_VALUE"""),0.813282487375582)</f>
        <v>0.81328248737558195</v>
      </c>
      <c r="G917" s="17">
        <f ca="1">IFERROR(__xludf.DUMMYFUNCTION("""COMPUTED_VALUE"""),0.813697434842545)</f>
        <v>0.81369743484254498</v>
      </c>
      <c r="H917" s="17">
        <f ca="1">IFERROR(__xludf.DUMMYFUNCTION("""COMPUTED_VALUE"""),0.807793964290142)</f>
        <v>0.80779396429014205</v>
      </c>
      <c r="I917" s="17">
        <f ca="1">IFERROR(__xludf.DUMMYFUNCTION("""COMPUTED_VALUE"""),0.70469413122544)</f>
        <v>0.70469413122544</v>
      </c>
      <c r="J917" s="17">
        <f ca="1">IFERROR(__xludf.DUMMYFUNCTION("""COMPUTED_VALUE"""),0.835583344183227)</f>
        <v>0.83558334418322699</v>
      </c>
      <c r="K917" s="17" t="str">
        <f ca="1">IFERROR(__xludf.DUMMYFUNCTION("""COMPUTED_VALUE"""),"nan")</f>
        <v>nan</v>
      </c>
      <c r="L917" s="17">
        <f ca="1">IFERROR(__xludf.DUMMYFUNCTION("""COMPUTED_VALUE"""),0.818162494772054)</f>
        <v>0.81816249477205405</v>
      </c>
      <c r="M917" s="17">
        <f ca="1">IFERROR(__xludf.DUMMYFUNCTION("""COMPUTED_VALUE"""),0.86712084491133)</f>
        <v>0.86712084491133001</v>
      </c>
      <c r="N917" s="17">
        <f ca="1">IFERROR(__xludf.DUMMYFUNCTION("""COMPUTED_VALUE"""),0.773508399835859)</f>
        <v>0.77350839983585895</v>
      </c>
      <c r="O917" s="17">
        <f ca="1">IFERROR(__xludf.DUMMYFUNCTION("""COMPUTED_VALUE"""),0.808783278545571)</f>
        <v>0.80878327854557097</v>
      </c>
      <c r="P917" s="17">
        <f ca="1">IFERROR(__xludf.DUMMYFUNCTION("""COMPUTED_VALUE"""),0.82970861707969)</f>
        <v>0.82970861707969001</v>
      </c>
      <c r="Q917" s="17">
        <f ca="1">IFERROR(__xludf.DUMMYFUNCTION("""COMPUTED_VALUE"""),1.08482539980162)</f>
        <v>1.08482539980162</v>
      </c>
      <c r="R917" s="17">
        <f ca="1">IFERROR(__xludf.DUMMYFUNCTION("""COMPUTED_VALUE"""),0.757581467549978)</f>
        <v>0.75758146754997802</v>
      </c>
      <c r="S917" s="17">
        <f ca="1">IFERROR(__xludf.DUMMYFUNCTION("""COMPUTED_VALUE"""),0.808916943274399)</f>
        <v>0.808916943274399</v>
      </c>
      <c r="T917" s="17">
        <f ca="1">IFERROR(__xludf.DUMMYFUNCTION("""COMPUTED_VALUE"""),0.808063073789112)</f>
        <v>0.80806307378911202</v>
      </c>
      <c r="U917" s="17">
        <f ca="1">IFERROR(__xludf.DUMMYFUNCTION("""COMPUTED_VALUE"""),0.750478285202392)</f>
        <v>0.75047828520239201</v>
      </c>
      <c r="V917" s="17">
        <f ca="1">IFERROR(__xludf.DUMMYFUNCTION("""COMPUTED_VALUE"""),0.810158535789616)</f>
        <v>0.81015853578961605</v>
      </c>
      <c r="W917" s="17">
        <f ca="1">IFERROR(__xludf.DUMMYFUNCTION("""COMPUTED_VALUE"""),0.746098089489044)</f>
        <v>0.74609808948904399</v>
      </c>
      <c r="X917" s="17">
        <f ca="1">IFERROR(__xludf.DUMMYFUNCTION("""COMPUTED_VALUE"""),0.85187585477967)</f>
        <v>0.85187585477966998</v>
      </c>
      <c r="Y917" s="17">
        <f ca="1">IFERROR(__xludf.DUMMYFUNCTION("""COMPUTED_VALUE"""),0.799436553094857)</f>
        <v>0.79943655309485695</v>
      </c>
      <c r="Z917" s="17">
        <f ca="1">IFERROR(__xludf.DUMMYFUNCTION("""COMPUTED_VALUE"""),0.774690867565999)</f>
        <v>0.77469086756599903</v>
      </c>
      <c r="AA917" s="17">
        <f ca="1">IFERROR(__xludf.DUMMYFUNCTION("""COMPUTED_VALUE"""),1.29565514717395)</f>
        <v>1.2956551471739499</v>
      </c>
      <c r="AB917" s="17">
        <f ca="1">IFERROR(__xludf.DUMMYFUNCTION("""COMPUTED_VALUE"""),0.949882033835998)</f>
        <v>0.94988203383599801</v>
      </c>
      <c r="AC917" s="17">
        <f ca="1">IFERROR(__xludf.DUMMYFUNCTION("""COMPUTED_VALUE"""),0.840023080079484)</f>
        <v>0.84002308007948401</v>
      </c>
      <c r="AD917" s="17">
        <f ca="1">IFERROR(__xludf.DUMMYFUNCTION("""COMPUTED_VALUE"""),0.779702396541103)</f>
        <v>0.77970239654110296</v>
      </c>
      <c r="AE917" s="17">
        <f ca="1">IFERROR(__xludf.DUMMYFUNCTION("""COMPUTED_VALUE"""),0.82997029905129)</f>
        <v>0.82997029905129005</v>
      </c>
      <c r="AF917" s="17">
        <f ca="1">IFERROR(__xludf.DUMMYFUNCTION("""COMPUTED_VALUE"""),0.868278728627854)</f>
        <v>0.86827872862785405</v>
      </c>
      <c r="AG917" s="17">
        <f ca="1">IFERROR(__xludf.DUMMYFUNCTION("""COMPUTED_VALUE"""),1.02214224332233)</f>
        <v>1.0221422433223299</v>
      </c>
      <c r="AH917" s="17">
        <f ca="1">IFERROR(__xludf.DUMMYFUNCTION("""COMPUTED_VALUE"""),0.988383215970068)</f>
        <v>0.98838321597006795</v>
      </c>
      <c r="AI917" s="17">
        <f ca="1">IFERROR(__xludf.DUMMYFUNCTION("""COMPUTED_VALUE"""),0.971292753620054)</f>
        <v>0.97129275362005396</v>
      </c>
      <c r="AJ917" s="17">
        <f ca="1">IFERROR(__xludf.DUMMYFUNCTION("""COMPUTED_VALUE"""),0.881303515549503)</f>
        <v>0.88130351554950304</v>
      </c>
    </row>
    <row r="918" spans="1:36" ht="15.75" customHeight="1" x14ac:dyDescent="0.45">
      <c r="B918" s="10" t="str">
        <f ca="1">IFERROR(__xludf.DUMMYFUNCTION("""COMPUTED_VALUE"""),"TwoPatterns")</f>
        <v>TwoPatterns</v>
      </c>
      <c r="C918" s="10" t="str">
        <f ca="1">IFERROR(__xludf.DUMMYFUNCTION("""COMPUTED_VALUE"""),"aligned_series")</f>
        <v>aligned_series</v>
      </c>
      <c r="D918" s="10">
        <f ca="1">IFERROR(__xludf.DUMMYFUNCTION("""COMPUTED_VALUE"""),0.2)</f>
        <v>0.2</v>
      </c>
      <c r="E918" s="17">
        <f ca="1">IFERROR(__xludf.DUMMYFUNCTION("""COMPUTED_VALUE"""),0.839816718201032)</f>
        <v>0.83981671820103199</v>
      </c>
      <c r="F918" s="17">
        <f ca="1">IFERROR(__xludf.DUMMYFUNCTION("""COMPUTED_VALUE"""),0.847800589332775)</f>
        <v>0.84780058933277502</v>
      </c>
      <c r="G918" s="17">
        <f ca="1">IFERROR(__xludf.DUMMYFUNCTION("""COMPUTED_VALUE"""),0.84835910287664)</f>
        <v>0.84835910287663996</v>
      </c>
      <c r="H918" s="17">
        <f ca="1">IFERROR(__xludf.DUMMYFUNCTION("""COMPUTED_VALUE"""),0.842500861684444)</f>
        <v>0.84250086168444405</v>
      </c>
      <c r="I918" s="17">
        <f ca="1">IFERROR(__xludf.DUMMYFUNCTION("""COMPUTED_VALUE"""),0.741192626587091)</f>
        <v>0.74119262658709095</v>
      </c>
      <c r="J918" s="17">
        <f ca="1">IFERROR(__xludf.DUMMYFUNCTION("""COMPUTED_VALUE"""),0.864695245011069)</f>
        <v>0.86469524501106898</v>
      </c>
      <c r="K918" s="17" t="str">
        <f ca="1">IFERROR(__xludf.DUMMYFUNCTION("""COMPUTED_VALUE"""),"nan")</f>
        <v>nan</v>
      </c>
      <c r="L918" s="17">
        <f ca="1">IFERROR(__xludf.DUMMYFUNCTION("""COMPUTED_VALUE"""),0.856761457066887)</f>
        <v>0.856761457066887</v>
      </c>
      <c r="M918" s="17">
        <f ca="1">IFERROR(__xludf.DUMMYFUNCTION("""COMPUTED_VALUE"""),0.877156778245754)</f>
        <v>0.877156778245754</v>
      </c>
      <c r="N918" s="17">
        <f ca="1">IFERROR(__xludf.DUMMYFUNCTION("""COMPUTED_VALUE"""),0.808321787453466)</f>
        <v>0.80832178745346595</v>
      </c>
      <c r="O918" s="17">
        <f ca="1">IFERROR(__xludf.DUMMYFUNCTION("""COMPUTED_VALUE"""),0.842920647183997)</f>
        <v>0.84292064718399695</v>
      </c>
      <c r="P918" s="17">
        <f ca="1">IFERROR(__xludf.DUMMYFUNCTION("""COMPUTED_VALUE"""),0.878370583919695)</f>
        <v>0.87837058391969502</v>
      </c>
      <c r="Q918" s="17">
        <f ca="1">IFERROR(__xludf.DUMMYFUNCTION("""COMPUTED_VALUE"""),1.17391969353506)</f>
        <v>1.17391969353506</v>
      </c>
      <c r="R918" s="17">
        <f ca="1">IFERROR(__xludf.DUMMYFUNCTION("""COMPUTED_VALUE"""),0.770593847709796)</f>
        <v>0.770593847709796</v>
      </c>
      <c r="S918" s="17">
        <f ca="1">IFERROR(__xludf.DUMMYFUNCTION("""COMPUTED_VALUE"""),0.846024669837403)</f>
        <v>0.84602466983740299</v>
      </c>
      <c r="T918" s="17">
        <f ca="1">IFERROR(__xludf.DUMMYFUNCTION("""COMPUTED_VALUE"""),0.844050239801848)</f>
        <v>0.84405023980184801</v>
      </c>
      <c r="U918" s="17">
        <f ca="1">IFERROR(__xludf.DUMMYFUNCTION("""COMPUTED_VALUE"""),0.776295007304063)</f>
        <v>0.77629500730406298</v>
      </c>
      <c r="V918" s="17">
        <f ca="1">IFERROR(__xludf.DUMMYFUNCTION("""COMPUTED_VALUE"""),0.849504715624568)</f>
        <v>0.84950471562456797</v>
      </c>
      <c r="W918" s="17">
        <f ca="1">IFERROR(__xludf.DUMMYFUNCTION("""COMPUTED_VALUE"""),0.773774617583962)</f>
        <v>0.77377461758396204</v>
      </c>
      <c r="X918" s="17">
        <f ca="1">IFERROR(__xludf.DUMMYFUNCTION("""COMPUTED_VALUE"""),0.806948878657969)</f>
        <v>0.80694887865796905</v>
      </c>
      <c r="Y918" s="17">
        <f ca="1">IFERROR(__xludf.DUMMYFUNCTION("""COMPUTED_VALUE"""),0.835979390805167)</f>
        <v>0.83597939080516703</v>
      </c>
      <c r="Z918" s="17">
        <f ca="1">IFERROR(__xludf.DUMMYFUNCTION("""COMPUTED_VALUE"""),0.797165608612698)</f>
        <v>0.79716560861269803</v>
      </c>
      <c r="AA918" s="17">
        <f ca="1">IFERROR(__xludf.DUMMYFUNCTION("""COMPUTED_VALUE"""),1.18138574189255)</f>
        <v>1.18138574189255</v>
      </c>
      <c r="AB918" s="17">
        <f ca="1">IFERROR(__xludf.DUMMYFUNCTION("""COMPUTED_VALUE"""),0.978274153940866)</f>
        <v>0.97827415394086603</v>
      </c>
      <c r="AC918" s="17">
        <f ca="1">IFERROR(__xludf.DUMMYFUNCTION("""COMPUTED_VALUE"""),0.864622727003323)</f>
        <v>0.86462272700332299</v>
      </c>
      <c r="AD918" s="17">
        <f ca="1">IFERROR(__xludf.DUMMYFUNCTION("""COMPUTED_VALUE"""),0.826431938994448)</f>
        <v>0.826431938994448</v>
      </c>
      <c r="AE918" s="17">
        <f ca="1">IFERROR(__xludf.DUMMYFUNCTION("""COMPUTED_VALUE"""),0.871556710049834)</f>
        <v>0.87155671004983404</v>
      </c>
      <c r="AF918" s="17">
        <f ca="1">IFERROR(__xludf.DUMMYFUNCTION("""COMPUTED_VALUE"""),0.927601217683773)</f>
        <v>0.92760121768377302</v>
      </c>
      <c r="AG918" s="17">
        <f ca="1">IFERROR(__xludf.DUMMYFUNCTION("""COMPUTED_VALUE"""),1.04562087264822)</f>
        <v>1.0456208726482199</v>
      </c>
      <c r="AH918" s="17">
        <f ca="1">IFERROR(__xludf.DUMMYFUNCTION("""COMPUTED_VALUE"""),1.02182996957935)</f>
        <v>1.02182996957935</v>
      </c>
      <c r="AI918" s="17">
        <f ca="1">IFERROR(__xludf.DUMMYFUNCTION("""COMPUTED_VALUE"""),1.00648103978247)</f>
        <v>1.0064810397824699</v>
      </c>
      <c r="AJ918" s="17">
        <f ca="1">IFERROR(__xludf.DUMMYFUNCTION("""COMPUTED_VALUE"""),0.919223650557257)</f>
        <v>0.91922365055725697</v>
      </c>
    </row>
    <row r="919" spans="1:36" ht="15.75" customHeight="1" x14ac:dyDescent="0.45">
      <c r="A919" s="10" t="s">
        <v>6</v>
      </c>
      <c r="B919" s="1" t="str">
        <f ca="1">IFERROR(__xludf.DUMMYFUNCTION("""COMPUTED_VALUE"""),"TwoPatterns")</f>
        <v>TwoPatterns</v>
      </c>
      <c r="C919" s="10" t="str">
        <f ca="1">IFERROR(__xludf.DUMMYFUNCTION("""COMPUTED_VALUE"""),"aligned_series")</f>
        <v>aligned_series</v>
      </c>
      <c r="D919" s="10">
        <f ca="1">IFERROR(__xludf.DUMMYFUNCTION("""COMPUTED_VALUE"""),0.4)</f>
        <v>0.4</v>
      </c>
      <c r="E919" s="17">
        <f ca="1">IFERROR(__xludf.DUMMYFUNCTION("""COMPUTED_VALUE"""),0.833657004014481)</f>
        <v>0.83365700401448095</v>
      </c>
      <c r="F919" s="17">
        <f ca="1">IFERROR(__xludf.DUMMYFUNCTION("""COMPUTED_VALUE"""),0.83605553348114)</f>
        <v>0.83605553348114003</v>
      </c>
      <c r="G919" s="17">
        <f ca="1">IFERROR(__xludf.DUMMYFUNCTION("""COMPUTED_VALUE"""),0.836430455381765)</f>
        <v>0.83643045538176497</v>
      </c>
      <c r="H919" s="17">
        <f ca="1">IFERROR(__xludf.DUMMYFUNCTION("""COMPUTED_VALUE"""),0.836548146342318)</f>
        <v>0.836548146342318</v>
      </c>
      <c r="I919" s="17">
        <f ca="1">IFERROR(__xludf.DUMMYFUNCTION("""COMPUTED_VALUE"""),0.746163693530452)</f>
        <v>0.74616369353045198</v>
      </c>
      <c r="J919" s="17">
        <f ca="1">IFERROR(__xludf.DUMMYFUNCTION("""COMPUTED_VALUE"""),0.844169285182667)</f>
        <v>0.84416928518266698</v>
      </c>
      <c r="K919" s="17" t="str">
        <f ca="1">IFERROR(__xludf.DUMMYFUNCTION("""COMPUTED_VALUE"""),"nan")</f>
        <v>nan</v>
      </c>
      <c r="L919" s="17">
        <f ca="1">IFERROR(__xludf.DUMMYFUNCTION("""COMPUTED_VALUE"""),0.852313459125391)</f>
        <v>0.85231345912539103</v>
      </c>
      <c r="M919" s="17">
        <f ca="1">IFERROR(__xludf.DUMMYFUNCTION("""COMPUTED_VALUE"""),0.868024470381208)</f>
        <v>0.868024470381208</v>
      </c>
      <c r="N919" s="17">
        <f ca="1">IFERROR(__xludf.DUMMYFUNCTION("""COMPUTED_VALUE"""),0.788608838797927)</f>
        <v>0.78860883879792698</v>
      </c>
      <c r="O919" s="17">
        <f ca="1">IFERROR(__xludf.DUMMYFUNCTION("""COMPUTED_VALUE"""),0.840490751679979)</f>
        <v>0.840490751679979</v>
      </c>
      <c r="P919" s="17">
        <f ca="1">IFERROR(__xludf.DUMMYFUNCTION("""COMPUTED_VALUE"""),0.905307381591008)</f>
        <v>0.90530738159100799</v>
      </c>
      <c r="Q919" s="17">
        <f ca="1">IFERROR(__xludf.DUMMYFUNCTION("""COMPUTED_VALUE"""),1.12161039188383)</f>
        <v>1.12161039188383</v>
      </c>
      <c r="R919" s="17">
        <f ca="1">IFERROR(__xludf.DUMMYFUNCTION("""COMPUTED_VALUE"""),0.759416602270823)</f>
        <v>0.75941660227082297</v>
      </c>
      <c r="S919" s="17">
        <f ca="1">IFERROR(__xludf.DUMMYFUNCTION("""COMPUTED_VALUE"""),0.851614485541145)</f>
        <v>0.85161448554114505</v>
      </c>
      <c r="T919" s="17">
        <f ca="1">IFERROR(__xludf.DUMMYFUNCTION("""COMPUTED_VALUE"""),0.862731185071232)</f>
        <v>0.86273118507123203</v>
      </c>
      <c r="U919" s="17">
        <f ca="1">IFERROR(__xludf.DUMMYFUNCTION("""COMPUTED_VALUE"""),0.771191208486006)</f>
        <v>0.77119120848600597</v>
      </c>
      <c r="V919" s="17">
        <f ca="1">IFERROR(__xludf.DUMMYFUNCTION("""COMPUTED_VALUE"""),0.846796937332423)</f>
        <v>0.84679693733242301</v>
      </c>
      <c r="W919" s="17">
        <f ca="1">IFERROR(__xludf.DUMMYFUNCTION("""COMPUTED_VALUE"""),0.761846036396141)</f>
        <v>0.76184603639614101</v>
      </c>
      <c r="X919" s="17">
        <f ca="1">IFERROR(__xludf.DUMMYFUNCTION("""COMPUTED_VALUE"""),0.800996887880416)</f>
        <v>0.80099688788041601</v>
      </c>
      <c r="Y919" s="17">
        <f ca="1">IFERROR(__xludf.DUMMYFUNCTION("""COMPUTED_VALUE"""),0.83213570015636)</f>
        <v>0.83213570015635996</v>
      </c>
      <c r="Z919" s="17">
        <f ca="1">IFERROR(__xludf.DUMMYFUNCTION("""COMPUTED_VALUE"""),0.788445307214212)</f>
        <v>0.78844530721421202</v>
      </c>
      <c r="AA919" s="17">
        <f ca="1">IFERROR(__xludf.DUMMYFUNCTION("""COMPUTED_VALUE"""),1.10538297285883)</f>
        <v>1.10538297285883</v>
      </c>
      <c r="AB919" s="17">
        <f ca="1">IFERROR(__xludf.DUMMYFUNCTION("""COMPUTED_VALUE"""),1.11632602127613)</f>
        <v>1.1163260212761299</v>
      </c>
      <c r="AC919" s="17">
        <f ca="1">IFERROR(__xludf.DUMMYFUNCTION("""COMPUTED_VALUE"""),0.82196770493218)</f>
        <v>0.82196770493217997</v>
      </c>
      <c r="AD919" s="17">
        <f ca="1">IFERROR(__xludf.DUMMYFUNCTION("""COMPUTED_VALUE"""),0.815736047305154)</f>
        <v>0.81573604730515403</v>
      </c>
      <c r="AE919" s="17">
        <f ca="1">IFERROR(__xludf.DUMMYFUNCTION("""COMPUTED_VALUE"""),0.87055652924878)</f>
        <v>0.87055652924878002</v>
      </c>
      <c r="AF919" s="17">
        <f ca="1">IFERROR(__xludf.DUMMYFUNCTION("""COMPUTED_VALUE"""),0.974922075011975)</f>
        <v>0.97492207501197503</v>
      </c>
      <c r="AG919" s="17">
        <f ca="1">IFERROR(__xludf.DUMMYFUNCTION("""COMPUTED_VALUE"""),1.0465613639381)</f>
        <v>1.0465613639381</v>
      </c>
      <c r="AH919" s="17">
        <f ca="1">IFERROR(__xludf.DUMMYFUNCTION("""COMPUTED_VALUE"""),1.01219583078073)</f>
        <v>1.0121958307807299</v>
      </c>
      <c r="AI919" s="17">
        <f ca="1">IFERROR(__xludf.DUMMYFUNCTION("""COMPUTED_VALUE"""),0.992310174778418)</f>
        <v>0.99231017477841799</v>
      </c>
      <c r="AJ919" s="17">
        <f ca="1">IFERROR(__xludf.DUMMYFUNCTION("""COMPUTED_VALUE"""),0.908070555206889)</f>
        <v>0.90807055520688895</v>
      </c>
    </row>
    <row r="920" spans="1:36" ht="15.75" customHeight="1" x14ac:dyDescent="0.45">
      <c r="B920" s="10" t="str">
        <f ca="1">IFERROR(__xludf.DUMMYFUNCTION("""COMPUTED_VALUE"""),"TwoPatterns")</f>
        <v>TwoPatterns</v>
      </c>
      <c r="C920" s="10" t="str">
        <f ca="1">IFERROR(__xludf.DUMMYFUNCTION("""COMPUTED_VALUE"""),"aligned_series")</f>
        <v>aligned_series</v>
      </c>
      <c r="D920" s="10">
        <f ca="1">IFERROR(__xludf.DUMMYFUNCTION("""COMPUTED_VALUE"""),0.6)</f>
        <v>0.6</v>
      </c>
      <c r="E920" s="17">
        <f ca="1">IFERROR(__xludf.DUMMYFUNCTION("""COMPUTED_VALUE"""),0.820428908679274)</f>
        <v>0.82042890867927398</v>
      </c>
      <c r="F920" s="17">
        <f ca="1">IFERROR(__xludf.DUMMYFUNCTION("""COMPUTED_VALUE"""),0.824317749152637)</f>
        <v>0.824317749152637</v>
      </c>
      <c r="G920" s="17">
        <f ca="1">IFERROR(__xludf.DUMMYFUNCTION("""COMPUTED_VALUE"""),0.825478804153949)</f>
        <v>0.82547880415394903</v>
      </c>
      <c r="H920" s="17">
        <f ca="1">IFERROR(__xludf.DUMMYFUNCTION("""COMPUTED_VALUE"""),0.821669128979739)</f>
        <v>0.82166912897973898</v>
      </c>
      <c r="I920" s="17">
        <f ca="1">IFERROR(__xludf.DUMMYFUNCTION("""COMPUTED_VALUE"""),0.762830804708683)</f>
        <v>0.76283080470868303</v>
      </c>
      <c r="J920" s="17">
        <f ca="1">IFERROR(__xludf.DUMMYFUNCTION("""COMPUTED_VALUE"""),0.837116744284756)</f>
        <v>0.83711674428475602</v>
      </c>
      <c r="K920" s="17" t="str">
        <f ca="1">IFERROR(__xludf.DUMMYFUNCTION("""COMPUTED_VALUE"""),"nan")</f>
        <v>nan</v>
      </c>
      <c r="L920" s="17">
        <f ca="1">IFERROR(__xludf.DUMMYFUNCTION("""COMPUTED_VALUE"""),0.849960488502597)</f>
        <v>0.84996048850259698</v>
      </c>
      <c r="M920" s="17">
        <f ca="1">IFERROR(__xludf.DUMMYFUNCTION("""COMPUTED_VALUE"""),0.848223285246139)</f>
        <v>0.84822328524613899</v>
      </c>
      <c r="N920" s="17">
        <f ca="1">IFERROR(__xludf.DUMMYFUNCTION("""COMPUTED_VALUE"""),0.777574747954571)</f>
        <v>0.77757474795457104</v>
      </c>
      <c r="O920" s="17">
        <f ca="1">IFERROR(__xludf.DUMMYFUNCTION("""COMPUTED_VALUE"""),0.829450648296946)</f>
        <v>0.82945064829694604</v>
      </c>
      <c r="P920" s="17">
        <f ca="1">IFERROR(__xludf.DUMMYFUNCTION("""COMPUTED_VALUE"""),0.915715916435471)</f>
        <v>0.91571591643547101</v>
      </c>
      <c r="Q920" s="17">
        <f ca="1">IFERROR(__xludf.DUMMYFUNCTION("""COMPUTED_VALUE"""),1.02281565512527)</f>
        <v>1.0228156551252701</v>
      </c>
      <c r="R920" s="17">
        <f ca="1">IFERROR(__xludf.DUMMYFUNCTION("""COMPUTED_VALUE"""),0.779931552098373)</f>
        <v>0.77993155209837295</v>
      </c>
      <c r="S920" s="17">
        <f ca="1">IFERROR(__xludf.DUMMYFUNCTION("""COMPUTED_VALUE"""),0.862434628564514)</f>
        <v>0.86243462856451403</v>
      </c>
      <c r="T920" s="17">
        <f ca="1">IFERROR(__xludf.DUMMYFUNCTION("""COMPUTED_VALUE"""),0.883142102146672)</f>
        <v>0.88314210214667199</v>
      </c>
      <c r="U920" s="17">
        <f ca="1">IFERROR(__xludf.DUMMYFUNCTION("""COMPUTED_VALUE"""),0.77928122016584)</f>
        <v>0.77928122016584001</v>
      </c>
      <c r="V920" s="17">
        <f ca="1">IFERROR(__xludf.DUMMYFUNCTION("""COMPUTED_VALUE"""),0.851691375521202)</f>
        <v>0.851691375521202</v>
      </c>
      <c r="W920" s="17">
        <f ca="1">IFERROR(__xludf.DUMMYFUNCTION("""COMPUTED_VALUE"""),0.752419610546728)</f>
        <v>0.75241961054672801</v>
      </c>
      <c r="X920" s="17">
        <f ca="1">IFERROR(__xludf.DUMMYFUNCTION("""COMPUTED_VALUE"""),0.80046306081409)</f>
        <v>0.80046306081409002</v>
      </c>
      <c r="Y920" s="17">
        <f ca="1">IFERROR(__xludf.DUMMYFUNCTION("""COMPUTED_VALUE"""),0.815362097772996)</f>
        <v>0.81536209777299595</v>
      </c>
      <c r="Z920" s="17">
        <f ca="1">IFERROR(__xludf.DUMMYFUNCTION("""COMPUTED_VALUE"""),0.786922786557639)</f>
        <v>0.78692278655763903</v>
      </c>
      <c r="AA920" s="17">
        <f ca="1">IFERROR(__xludf.DUMMYFUNCTION("""COMPUTED_VALUE"""),1.07277621512717)</f>
        <v>1.07277621512717</v>
      </c>
      <c r="AB920" s="17">
        <f ca="1">IFERROR(__xludf.DUMMYFUNCTION("""COMPUTED_VALUE"""),1.65775574846281)</f>
        <v>1.65775574846281</v>
      </c>
      <c r="AC920" s="17">
        <f ca="1">IFERROR(__xludf.DUMMYFUNCTION("""COMPUTED_VALUE"""),0.803721229501056)</f>
        <v>0.80372122950105596</v>
      </c>
      <c r="AD920" s="17">
        <f ca="1">IFERROR(__xludf.DUMMYFUNCTION("""COMPUTED_VALUE"""),0.806041303563221)</f>
        <v>0.80604130356322101</v>
      </c>
      <c r="AE920" s="17">
        <f ca="1">IFERROR(__xludf.DUMMYFUNCTION("""COMPUTED_VALUE"""),0.858964446821581)</f>
        <v>0.85896444682158102</v>
      </c>
      <c r="AF920" s="17">
        <f ca="1">IFERROR(__xludf.DUMMYFUNCTION("""COMPUTED_VALUE"""),1.03131068551184)</f>
        <v>1.0313106855118399</v>
      </c>
      <c r="AG920" s="17">
        <f ca="1">IFERROR(__xludf.DUMMYFUNCTION("""COMPUTED_VALUE"""),1.01055979857886)</f>
        <v>1.0105597985788599</v>
      </c>
      <c r="AH920" s="17">
        <f ca="1">IFERROR(__xludf.DUMMYFUNCTION("""COMPUTED_VALUE"""),0.991898967194099)</f>
        <v>0.99189896719409898</v>
      </c>
      <c r="AI920" s="17">
        <f ca="1">IFERROR(__xludf.DUMMYFUNCTION("""COMPUTED_VALUE"""),0.974894386430075)</f>
        <v>0.97489438643007498</v>
      </c>
      <c r="AJ920" s="17">
        <f ca="1">IFERROR(__xludf.DUMMYFUNCTION("""COMPUTED_VALUE"""),0.912738281164206)</f>
        <v>0.91273828116420597</v>
      </c>
    </row>
    <row r="921" spans="1:36" ht="15.75" customHeight="1" x14ac:dyDescent="0.45">
      <c r="B921" s="10" t="str">
        <f ca="1">IFERROR(__xludf.DUMMYFUNCTION("""COMPUTED_VALUE"""),"TwoPatterns")</f>
        <v>TwoPatterns</v>
      </c>
      <c r="C921" s="10" t="str">
        <f ca="1">IFERROR(__xludf.DUMMYFUNCTION("""COMPUTED_VALUE"""),"aligned_series")</f>
        <v>aligned_series</v>
      </c>
      <c r="D921" s="10">
        <f ca="1">IFERROR(__xludf.DUMMYFUNCTION("""COMPUTED_VALUE"""),0.8)</f>
        <v>0.8</v>
      </c>
      <c r="E921" s="17">
        <f ca="1">IFERROR(__xludf.DUMMYFUNCTION("""COMPUTED_VALUE"""),0.813134831033937)</f>
        <v>0.81313483103393702</v>
      </c>
      <c r="F921" s="17">
        <f ca="1">IFERROR(__xludf.DUMMYFUNCTION("""COMPUTED_VALUE"""),0.837180923094948)</f>
        <v>0.83718092309494796</v>
      </c>
      <c r="G921" s="17">
        <f ca="1">IFERROR(__xludf.DUMMYFUNCTION("""COMPUTED_VALUE"""),0.847685743122657)</f>
        <v>0.84768574312265699</v>
      </c>
      <c r="H921" s="17">
        <f ca="1">IFERROR(__xludf.DUMMYFUNCTION("""COMPUTED_VALUE"""),0.824688571827148)</f>
        <v>0.82468857182714805</v>
      </c>
      <c r="I921" s="17">
        <f ca="1">IFERROR(__xludf.DUMMYFUNCTION("""COMPUTED_VALUE"""),0.775257035097778)</f>
        <v>0.77525703509777799</v>
      </c>
      <c r="J921" s="17">
        <f ca="1">IFERROR(__xludf.DUMMYFUNCTION("""COMPUTED_VALUE"""),0.823361518710466)</f>
        <v>0.82336151871046603</v>
      </c>
      <c r="K921" s="17" t="str">
        <f ca="1">IFERROR(__xludf.DUMMYFUNCTION("""COMPUTED_VALUE"""),"nan")</f>
        <v>nan</v>
      </c>
      <c r="L921" s="17">
        <f ca="1">IFERROR(__xludf.DUMMYFUNCTION("""COMPUTED_VALUE"""),0.866125748579136)</f>
        <v>0.86612574857913605</v>
      </c>
      <c r="M921" s="17">
        <f ca="1">IFERROR(__xludf.DUMMYFUNCTION("""COMPUTED_VALUE"""),0.863805489657997)</f>
        <v>0.86380548965799697</v>
      </c>
      <c r="N921" s="17">
        <f ca="1">IFERROR(__xludf.DUMMYFUNCTION("""COMPUTED_VALUE"""),0.769559822824838)</f>
        <v>0.76955982282483804</v>
      </c>
      <c r="O921" s="17">
        <f ca="1">IFERROR(__xludf.DUMMYFUNCTION("""COMPUTED_VALUE"""),0.853192795502163)</f>
        <v>0.85319279550216298</v>
      </c>
      <c r="P921" s="17">
        <f ca="1">IFERROR(__xludf.DUMMYFUNCTION("""COMPUTED_VALUE"""),0.942899661527966)</f>
        <v>0.942899661527966</v>
      </c>
      <c r="Q921" s="17">
        <f ca="1">IFERROR(__xludf.DUMMYFUNCTION("""COMPUTED_VALUE"""),0.913577038855887)</f>
        <v>0.91357703885588704</v>
      </c>
      <c r="R921" s="17">
        <f ca="1">IFERROR(__xludf.DUMMYFUNCTION("""COMPUTED_VALUE"""),0.796596892662299)</f>
        <v>0.79659689266229905</v>
      </c>
      <c r="S921" s="17">
        <f ca="1">IFERROR(__xludf.DUMMYFUNCTION("""COMPUTED_VALUE"""),0.858275890089108)</f>
        <v>0.85827589008910798</v>
      </c>
      <c r="T921" s="17">
        <f ca="1">IFERROR(__xludf.DUMMYFUNCTION("""COMPUTED_VALUE"""),0.925136460934481)</f>
        <v>0.92513646093448099</v>
      </c>
      <c r="U921" s="17">
        <f ca="1">IFERROR(__xludf.DUMMYFUNCTION("""COMPUTED_VALUE"""),0.800262050018833)</f>
        <v>0.80026205001883299</v>
      </c>
      <c r="V921" s="17">
        <f ca="1">IFERROR(__xludf.DUMMYFUNCTION("""COMPUTED_VALUE"""),0.873525156606952)</f>
        <v>0.87352515660695196</v>
      </c>
      <c r="W921" s="17">
        <f ca="1">IFERROR(__xludf.DUMMYFUNCTION("""COMPUTED_VALUE"""),0.740625696451804)</f>
        <v>0.74062569645180398</v>
      </c>
      <c r="X921" s="17">
        <f ca="1">IFERROR(__xludf.DUMMYFUNCTION("""COMPUTED_VALUE"""),0.825248296258675)</f>
        <v>0.82524829625867502</v>
      </c>
      <c r="Y921" s="17">
        <f ca="1">IFERROR(__xludf.DUMMYFUNCTION("""COMPUTED_VALUE"""),0.799210252691661)</f>
        <v>0.79921025269166102</v>
      </c>
      <c r="Z921" s="17">
        <f ca="1">IFERROR(__xludf.DUMMYFUNCTION("""COMPUTED_VALUE"""),0.797781148681079)</f>
        <v>0.79778114868107897</v>
      </c>
      <c r="AA921" s="17">
        <f ca="1">IFERROR(__xludf.DUMMYFUNCTION("""COMPUTED_VALUE"""),0.992818384208714)</f>
        <v>0.99281838420871404</v>
      </c>
      <c r="AB921" s="17">
        <f ca="1">IFERROR(__xludf.DUMMYFUNCTION("""COMPUTED_VALUE"""),1.77253991830453)</f>
        <v>1.7725399183045301</v>
      </c>
      <c r="AC921" s="17">
        <f ca="1">IFERROR(__xludf.DUMMYFUNCTION("""COMPUTED_VALUE"""),0.806992412469797)</f>
        <v>0.80699241246979703</v>
      </c>
      <c r="AD921" s="17">
        <f ca="1">IFERROR(__xludf.DUMMYFUNCTION("""COMPUTED_VALUE"""),0.806275467130087)</f>
        <v>0.80627546713008702</v>
      </c>
      <c r="AE921" s="17">
        <f ca="1">IFERROR(__xludf.DUMMYFUNCTION("""COMPUTED_VALUE"""),0.852275098943575)</f>
        <v>0.852275098943575</v>
      </c>
      <c r="AF921" s="17">
        <f ca="1">IFERROR(__xludf.DUMMYFUNCTION("""COMPUTED_VALUE"""),1.14946631593938)</f>
        <v>1.1494663159393801</v>
      </c>
      <c r="AG921" s="17">
        <f ca="1">IFERROR(__xludf.DUMMYFUNCTION("""COMPUTED_VALUE"""),1.02703859201848)</f>
        <v>1.0270385920184799</v>
      </c>
      <c r="AH921" s="17">
        <f ca="1">IFERROR(__xludf.DUMMYFUNCTION("""COMPUTED_VALUE"""),0.986704741359693)</f>
        <v>0.98670474135969299</v>
      </c>
      <c r="AI921" s="17">
        <f ca="1">IFERROR(__xludf.DUMMYFUNCTION("""COMPUTED_VALUE"""),0.96933242581853)</f>
        <v>0.96933242581852996</v>
      </c>
      <c r="AJ921" s="17">
        <f ca="1">IFERROR(__xludf.DUMMYFUNCTION("""COMPUTED_VALUE"""),0.921032797882693)</f>
        <v>0.92103279788269299</v>
      </c>
    </row>
    <row r="922" spans="1:36" ht="15.75" customHeight="1" x14ac:dyDescent="0.45">
      <c r="B922" s="10" t="str">
        <f ca="1">IFERROR(__xludf.DUMMYFUNCTION("""COMPUTED_VALUE"""),"TwoPatterns")</f>
        <v>TwoPatterns</v>
      </c>
      <c r="C922" s="10" t="str">
        <f ca="1">IFERROR(__xludf.DUMMYFUNCTION("""COMPUTED_VALUE"""),"aligned_timestamps")</f>
        <v>aligned_timestamps</v>
      </c>
      <c r="D922" s="10">
        <f ca="1">IFERROR(__xludf.DUMMYFUNCTION("""COMPUTED_VALUE"""),0.1)</f>
        <v>0.1</v>
      </c>
      <c r="E922" s="17">
        <f ca="1">IFERROR(__xludf.DUMMYFUNCTION("""COMPUTED_VALUE"""),0.747448740700387)</f>
        <v>0.74744874070038703</v>
      </c>
      <c r="F922" s="17">
        <f ca="1">IFERROR(__xludf.DUMMYFUNCTION("""COMPUTED_VALUE"""),0.750267056232069)</f>
        <v>0.75026705623206902</v>
      </c>
      <c r="G922" s="17">
        <f ca="1">IFERROR(__xludf.DUMMYFUNCTION("""COMPUTED_VALUE"""),0.750571805310862)</f>
        <v>0.75057180531086198</v>
      </c>
      <c r="H922" s="17">
        <f ca="1">IFERROR(__xludf.DUMMYFUNCTION("""COMPUTED_VALUE"""),0.749680348167319)</f>
        <v>0.74968034816731899</v>
      </c>
      <c r="I922" s="17">
        <f ca="1">IFERROR(__xludf.DUMMYFUNCTION("""COMPUTED_VALUE"""),0.538104095836385)</f>
        <v>0.53810409583638497</v>
      </c>
      <c r="J922" s="17">
        <f ca="1">IFERROR(__xludf.DUMMYFUNCTION("""COMPUTED_VALUE"""),0.765166525205567)</f>
        <v>0.76516652520556705</v>
      </c>
      <c r="K922" s="17" t="str">
        <f ca="1">IFERROR(__xludf.DUMMYFUNCTION("""COMPUTED_VALUE"""),"nan")</f>
        <v>nan</v>
      </c>
      <c r="L922" s="17">
        <f ca="1">IFERROR(__xludf.DUMMYFUNCTION("""COMPUTED_VALUE"""),0.747276754050363)</f>
        <v>0.74727675405036298</v>
      </c>
      <c r="M922" s="17">
        <f ca="1">IFERROR(__xludf.DUMMYFUNCTION("""COMPUTED_VALUE"""),0.740032356589616)</f>
        <v>0.74003235658961597</v>
      </c>
      <c r="N922" s="17">
        <f ca="1">IFERROR(__xludf.DUMMYFUNCTION("""COMPUTED_VALUE"""),0.650810427742327)</f>
        <v>0.650810427742327</v>
      </c>
      <c r="O922" s="17">
        <f ca="1">IFERROR(__xludf.DUMMYFUNCTION("""COMPUTED_VALUE"""),0.744106512340215)</f>
        <v>0.74410651234021497</v>
      </c>
      <c r="P922" s="17">
        <f ca="1">IFERROR(__xludf.DUMMYFUNCTION("""COMPUTED_VALUE"""),0.775858172163292)</f>
        <v>0.775858172163292</v>
      </c>
      <c r="Q922" s="17">
        <f ca="1">IFERROR(__xludf.DUMMYFUNCTION("""COMPUTED_VALUE"""),1.01650145050447)</f>
        <v>1.01650145050447</v>
      </c>
      <c r="R922" s="17">
        <f ca="1">IFERROR(__xludf.DUMMYFUNCTION("""COMPUTED_VALUE"""),0.605143533484775)</f>
        <v>0.60514353348477501</v>
      </c>
      <c r="S922" s="17">
        <f ca="1">IFERROR(__xludf.DUMMYFUNCTION("""COMPUTED_VALUE"""),0.688360810631931)</f>
        <v>0.688360810631931</v>
      </c>
      <c r="T922" s="17">
        <f ca="1">IFERROR(__xludf.DUMMYFUNCTION("""COMPUTED_VALUE"""),0.676622451890623)</f>
        <v>0.67662245189062298</v>
      </c>
      <c r="U922" s="17">
        <f ca="1">IFERROR(__xludf.DUMMYFUNCTION("""COMPUTED_VALUE"""),0.597093361876251)</f>
        <v>0.59709336187625095</v>
      </c>
      <c r="V922" s="17">
        <f ca="1">IFERROR(__xludf.DUMMYFUNCTION("""COMPUTED_VALUE"""),0.681481126725984)</f>
        <v>0.68148112672598404</v>
      </c>
      <c r="W922" s="17">
        <f ca="1">IFERROR(__xludf.DUMMYFUNCTION("""COMPUTED_VALUE"""),0.564570184400118)</f>
        <v>0.56457018440011797</v>
      </c>
      <c r="X922" s="17">
        <f ca="1">IFERROR(__xludf.DUMMYFUNCTION("""COMPUTED_VALUE"""),0.684379560471222)</f>
        <v>0.68437956047122195</v>
      </c>
      <c r="Y922" s="17">
        <f ca="1">IFERROR(__xludf.DUMMYFUNCTION("""COMPUTED_VALUE"""),0.606165568713656)</f>
        <v>0.60616556871365601</v>
      </c>
      <c r="Z922" s="17">
        <f ca="1">IFERROR(__xludf.DUMMYFUNCTION("""COMPUTED_VALUE"""),0.684729093633705)</f>
        <v>0.68472909363370504</v>
      </c>
      <c r="AA922" s="17">
        <f ca="1">IFERROR(__xludf.DUMMYFUNCTION("""COMPUTED_VALUE"""),0.546115377644869)</f>
        <v>0.54611537764486895</v>
      </c>
      <c r="AB922" s="17">
        <f ca="1">IFERROR(__xludf.DUMMYFUNCTION("""COMPUTED_VALUE"""),0.847381214745528)</f>
        <v>0.84738121474552797</v>
      </c>
      <c r="AC922" s="17">
        <f ca="1">IFERROR(__xludf.DUMMYFUNCTION("""COMPUTED_VALUE"""),0.702495435367159)</f>
        <v>0.70249543536715897</v>
      </c>
      <c r="AD922" s="17">
        <f ca="1">IFERROR(__xludf.DUMMYFUNCTION("""COMPUTED_VALUE"""),0.6776172900009)</f>
        <v>0.67761729000089999</v>
      </c>
      <c r="AE922" s="17">
        <f ca="1">IFERROR(__xludf.DUMMYFUNCTION("""COMPUTED_VALUE"""),0.726803090788714)</f>
        <v>0.72680309078871397</v>
      </c>
      <c r="AF922" s="17">
        <f ca="1">IFERROR(__xludf.DUMMYFUNCTION("""COMPUTED_VALUE"""),0.585500215671372)</f>
        <v>0.585500215671372</v>
      </c>
      <c r="AG922" s="17">
        <f ca="1">IFERROR(__xludf.DUMMYFUNCTION("""COMPUTED_VALUE"""),0.967481729341572)</f>
        <v>0.96748172934157195</v>
      </c>
      <c r="AH922" s="17">
        <f ca="1">IFERROR(__xludf.DUMMYFUNCTION("""COMPUTED_VALUE"""),0.802668371286293)</f>
        <v>0.80266837128629298</v>
      </c>
      <c r="AI922" s="17">
        <f ca="1">IFERROR(__xludf.DUMMYFUNCTION("""COMPUTED_VALUE"""),0.702731721412109)</f>
        <v>0.70273172141210904</v>
      </c>
      <c r="AJ922" s="17">
        <f ca="1">IFERROR(__xludf.DUMMYFUNCTION("""COMPUTED_VALUE"""),0.770078088323417)</f>
        <v>0.77007808832341695</v>
      </c>
    </row>
    <row r="923" spans="1:36" ht="15.75" customHeight="1" x14ac:dyDescent="0.45">
      <c r="B923" s="10" t="str">
        <f ca="1">IFERROR(__xludf.DUMMYFUNCTION("""COMPUTED_VALUE"""),"TwoPatterns")</f>
        <v>TwoPatterns</v>
      </c>
      <c r="C923" s="10" t="str">
        <f ca="1">IFERROR(__xludf.DUMMYFUNCTION("""COMPUTED_VALUE"""),"aligned_timestamps")</f>
        <v>aligned_timestamps</v>
      </c>
      <c r="D923" s="10">
        <f ca="1">IFERROR(__xludf.DUMMYFUNCTION("""COMPUTED_VALUE"""),0.2)</f>
        <v>0.2</v>
      </c>
      <c r="E923" s="17">
        <f ca="1">IFERROR(__xludf.DUMMYFUNCTION("""COMPUTED_VALUE"""),0.839816718201032)</f>
        <v>0.83981671820103199</v>
      </c>
      <c r="F923" s="17">
        <f ca="1">IFERROR(__xludf.DUMMYFUNCTION("""COMPUTED_VALUE"""),0.847800589332775)</f>
        <v>0.84780058933277502</v>
      </c>
      <c r="G923" s="17">
        <f ca="1">IFERROR(__xludf.DUMMYFUNCTION("""COMPUTED_VALUE"""),0.84835910287664)</f>
        <v>0.84835910287663996</v>
      </c>
      <c r="H923" s="17">
        <f ca="1">IFERROR(__xludf.DUMMYFUNCTION("""COMPUTED_VALUE"""),0.842500861684444)</f>
        <v>0.84250086168444405</v>
      </c>
      <c r="I923" s="17">
        <f ca="1">IFERROR(__xludf.DUMMYFUNCTION("""COMPUTED_VALUE"""),0.741192626587091)</f>
        <v>0.74119262658709095</v>
      </c>
      <c r="J923" s="17">
        <f ca="1">IFERROR(__xludf.DUMMYFUNCTION("""COMPUTED_VALUE"""),0.864695245011069)</f>
        <v>0.86469524501106898</v>
      </c>
      <c r="K923" s="17" t="str">
        <f ca="1">IFERROR(__xludf.DUMMYFUNCTION("""COMPUTED_VALUE"""),"nan")</f>
        <v>nan</v>
      </c>
      <c r="L923" s="17">
        <f ca="1">IFERROR(__xludf.DUMMYFUNCTION("""COMPUTED_VALUE"""),0.856761457066887)</f>
        <v>0.856761457066887</v>
      </c>
      <c r="M923" s="17">
        <f ca="1">IFERROR(__xludf.DUMMYFUNCTION("""COMPUTED_VALUE"""),0.877156778245754)</f>
        <v>0.877156778245754</v>
      </c>
      <c r="N923" s="17">
        <f ca="1">IFERROR(__xludf.DUMMYFUNCTION("""COMPUTED_VALUE"""),0.808321787453466)</f>
        <v>0.80832178745346595</v>
      </c>
      <c r="O923" s="17">
        <f ca="1">IFERROR(__xludf.DUMMYFUNCTION("""COMPUTED_VALUE"""),0.842920647183997)</f>
        <v>0.84292064718399695</v>
      </c>
      <c r="P923" s="17">
        <f ca="1">IFERROR(__xludf.DUMMYFUNCTION("""COMPUTED_VALUE"""),0.878370583919695)</f>
        <v>0.87837058391969502</v>
      </c>
      <c r="Q923" s="17">
        <f ca="1">IFERROR(__xludf.DUMMYFUNCTION("""COMPUTED_VALUE"""),1.17391969353506)</f>
        <v>1.17391969353506</v>
      </c>
      <c r="R923" s="17">
        <f ca="1">IFERROR(__xludf.DUMMYFUNCTION("""COMPUTED_VALUE"""),0.770593847709796)</f>
        <v>0.770593847709796</v>
      </c>
      <c r="S923" s="17">
        <f ca="1">IFERROR(__xludf.DUMMYFUNCTION("""COMPUTED_VALUE"""),0.846024669837403)</f>
        <v>0.84602466983740299</v>
      </c>
      <c r="T923" s="17">
        <f ca="1">IFERROR(__xludf.DUMMYFUNCTION("""COMPUTED_VALUE"""),0.844050239801848)</f>
        <v>0.84405023980184801</v>
      </c>
      <c r="U923" s="17">
        <f ca="1">IFERROR(__xludf.DUMMYFUNCTION("""COMPUTED_VALUE"""),0.776295007304063)</f>
        <v>0.77629500730406298</v>
      </c>
      <c r="V923" s="17">
        <f ca="1">IFERROR(__xludf.DUMMYFUNCTION("""COMPUTED_VALUE"""),0.849504715624568)</f>
        <v>0.84950471562456797</v>
      </c>
      <c r="W923" s="17">
        <f ca="1">IFERROR(__xludf.DUMMYFUNCTION("""COMPUTED_VALUE"""),0.772880018348969)</f>
        <v>0.77288001834896902</v>
      </c>
      <c r="X923" s="17">
        <f ca="1">IFERROR(__xludf.DUMMYFUNCTION("""COMPUTED_VALUE"""),0.802301626662035)</f>
        <v>0.80230162666203497</v>
      </c>
      <c r="Y923" s="17">
        <f ca="1">IFERROR(__xludf.DUMMYFUNCTION("""COMPUTED_VALUE"""),0.835979390805167)</f>
        <v>0.83597939080516703</v>
      </c>
      <c r="Z923" s="17">
        <f ca="1">IFERROR(__xludf.DUMMYFUNCTION("""COMPUTED_VALUE"""),0.797165608612698)</f>
        <v>0.79716560861269803</v>
      </c>
      <c r="AA923" s="17">
        <f ca="1">IFERROR(__xludf.DUMMYFUNCTION("""COMPUTED_VALUE"""),1.18138574189255)</f>
        <v>1.18138574189255</v>
      </c>
      <c r="AB923" s="17">
        <f ca="1">IFERROR(__xludf.DUMMYFUNCTION("""COMPUTED_VALUE"""),0.999082457920712)</f>
        <v>0.99908245792071204</v>
      </c>
      <c r="AC923" s="17">
        <f ca="1">IFERROR(__xludf.DUMMYFUNCTION("""COMPUTED_VALUE"""),0.864622727003323)</f>
        <v>0.86462272700332299</v>
      </c>
      <c r="AD923" s="17">
        <f ca="1">IFERROR(__xludf.DUMMYFUNCTION("""COMPUTED_VALUE"""),0.820672345410015)</f>
        <v>0.82067234541001499</v>
      </c>
      <c r="AE923" s="17">
        <f ca="1">IFERROR(__xludf.DUMMYFUNCTION("""COMPUTED_VALUE"""),0.869720639405757)</f>
        <v>0.86972063940575695</v>
      </c>
      <c r="AF923" s="17">
        <f ca="1">IFERROR(__xludf.DUMMYFUNCTION("""COMPUTED_VALUE"""),0.927601217683773)</f>
        <v>0.92760121768377302</v>
      </c>
      <c r="AG923" s="17">
        <f ca="1">IFERROR(__xludf.DUMMYFUNCTION("""COMPUTED_VALUE"""),1.04420238670401)</f>
        <v>1.04420238670401</v>
      </c>
      <c r="AH923" s="17">
        <f ca="1">IFERROR(__xludf.DUMMYFUNCTION("""COMPUTED_VALUE"""),1.02275624702838)</f>
        <v>1.02275624702838</v>
      </c>
      <c r="AI923" s="17">
        <f ca="1">IFERROR(__xludf.DUMMYFUNCTION("""COMPUTED_VALUE"""),1.00648103978247)</f>
        <v>1.0064810397824699</v>
      </c>
      <c r="AJ923" s="17">
        <f ca="1">IFERROR(__xludf.DUMMYFUNCTION("""COMPUTED_VALUE"""),0.930562857990978)</f>
        <v>0.93056285799097804</v>
      </c>
    </row>
    <row r="924" spans="1:36" ht="15.75" customHeight="1" x14ac:dyDescent="0.45">
      <c r="B924" s="10" t="str">
        <f ca="1">IFERROR(__xludf.DUMMYFUNCTION("""COMPUTED_VALUE"""),"TwoPatterns")</f>
        <v>TwoPatterns</v>
      </c>
      <c r="C924" s="10" t="str">
        <f ca="1">IFERROR(__xludf.DUMMYFUNCTION("""COMPUTED_VALUE"""),"aligned_timestamps")</f>
        <v>aligned_timestamps</v>
      </c>
      <c r="D924" s="10">
        <f ca="1">IFERROR(__xludf.DUMMYFUNCTION("""COMPUTED_VALUE"""),0.4)</f>
        <v>0.4</v>
      </c>
      <c r="E924" s="17">
        <f ca="1">IFERROR(__xludf.DUMMYFUNCTION("""COMPUTED_VALUE"""),0.880240135643421)</f>
        <v>0.88024013564342096</v>
      </c>
      <c r="F924" s="17">
        <f ca="1">IFERROR(__xludf.DUMMYFUNCTION("""COMPUTED_VALUE"""),0.88686923365341)</f>
        <v>0.88686923365340997</v>
      </c>
      <c r="G924" s="17">
        <f ca="1">IFERROR(__xludf.DUMMYFUNCTION("""COMPUTED_VALUE"""),0.887566223120732)</f>
        <v>0.88756622312073197</v>
      </c>
      <c r="H924" s="17">
        <f ca="1">IFERROR(__xludf.DUMMYFUNCTION("""COMPUTED_VALUE"""),0.887924289944842)</f>
        <v>0.88792428994484196</v>
      </c>
      <c r="I924" s="17">
        <f ca="1">IFERROR(__xludf.DUMMYFUNCTION("""COMPUTED_VALUE"""),0.840708095514838)</f>
        <v>0.84070809551483805</v>
      </c>
      <c r="J924" s="17">
        <f ca="1">IFERROR(__xludf.DUMMYFUNCTION("""COMPUTED_VALUE"""),0.916771117828601)</f>
        <v>0.91677111782860099</v>
      </c>
      <c r="K924" s="17" t="str">
        <f ca="1">IFERROR(__xludf.DUMMYFUNCTION("""COMPUTED_VALUE"""),"nan")</f>
        <v>nan</v>
      </c>
      <c r="L924" s="17">
        <f ca="1">IFERROR(__xludf.DUMMYFUNCTION("""COMPUTED_VALUE"""),0.936650017954464)</f>
        <v>0.93665001795446401</v>
      </c>
      <c r="M924" s="17">
        <f ca="1">IFERROR(__xludf.DUMMYFUNCTION("""COMPUTED_VALUE"""),0.97503030286334)</f>
        <v>0.97503030286334003</v>
      </c>
      <c r="N924" s="17">
        <f ca="1">IFERROR(__xludf.DUMMYFUNCTION("""COMPUTED_VALUE"""),0.868743076460569)</f>
        <v>0.86874307646056903</v>
      </c>
      <c r="O924" s="17">
        <f ca="1">IFERROR(__xludf.DUMMYFUNCTION("""COMPUTED_VALUE"""),0.90549816678899)</f>
        <v>0.90549816678898998</v>
      </c>
      <c r="P924" s="17">
        <f ca="1">IFERROR(__xludf.DUMMYFUNCTION("""COMPUTED_VALUE"""),0.974339358450828)</f>
        <v>0.97433935845082797</v>
      </c>
      <c r="Q924" s="17">
        <f ca="1">IFERROR(__xludf.DUMMYFUNCTION("""COMPUTED_VALUE"""),1.24491509266265)</f>
        <v>1.24491509266265</v>
      </c>
      <c r="R924" s="17">
        <f ca="1">IFERROR(__xludf.DUMMYFUNCTION("""COMPUTED_VALUE"""),0.930189067242345)</f>
        <v>0.93018906724234496</v>
      </c>
      <c r="S924" s="17">
        <f ca="1">IFERROR(__xludf.DUMMYFUNCTION("""COMPUTED_VALUE"""),0.896794714645273)</f>
        <v>0.89679471464527305</v>
      </c>
      <c r="T924" s="17">
        <f ca="1">IFERROR(__xludf.DUMMYFUNCTION("""COMPUTED_VALUE"""),0.915384975269317)</f>
        <v>0.91538497526931695</v>
      </c>
      <c r="U924" s="17">
        <f ca="1">IFERROR(__xludf.DUMMYFUNCTION("""COMPUTED_VALUE"""),0.914444769204335)</f>
        <v>0.91444476920433504</v>
      </c>
      <c r="V924" s="17">
        <f ca="1">IFERROR(__xludf.DUMMYFUNCTION("""COMPUTED_VALUE"""),0.947320421991524)</f>
        <v>0.947320421991524</v>
      </c>
      <c r="W924" s="17">
        <f ca="1">IFERROR(__xludf.DUMMYFUNCTION("""COMPUTED_VALUE"""),0.849257718217634)</f>
        <v>0.84925771821763396</v>
      </c>
      <c r="X924" s="17">
        <f ca="1">IFERROR(__xludf.DUMMYFUNCTION("""COMPUTED_VALUE"""),0.870110135667593)</f>
        <v>0.87011013566759299</v>
      </c>
      <c r="Y924" s="17">
        <f ca="1">IFERROR(__xludf.DUMMYFUNCTION("""COMPUTED_VALUE"""),0.872687987241155)</f>
        <v>0.87268798724115504</v>
      </c>
      <c r="Z924" s="17">
        <f ca="1">IFERROR(__xludf.DUMMYFUNCTION("""COMPUTED_VALUE"""),0.856422999658383)</f>
        <v>0.85642299965838298</v>
      </c>
      <c r="AA924" s="17">
        <f ca="1">IFERROR(__xludf.DUMMYFUNCTION("""COMPUTED_VALUE"""),2.06874945025834)</f>
        <v>2.0687494502583399</v>
      </c>
      <c r="AB924" s="17">
        <f ca="1">IFERROR(__xludf.DUMMYFUNCTION("""COMPUTED_VALUE"""),1.16596537180081)</f>
        <v>1.1659653718008101</v>
      </c>
      <c r="AC924" s="17">
        <f ca="1">IFERROR(__xludf.DUMMYFUNCTION("""COMPUTED_VALUE"""),0.912362212683132)</f>
        <v>0.912362212683132</v>
      </c>
      <c r="AD924" s="17">
        <f ca="1">IFERROR(__xludf.DUMMYFUNCTION("""COMPUTED_VALUE"""),0.884125100811462)</f>
        <v>0.88412510081146201</v>
      </c>
      <c r="AE924" s="17">
        <f ca="1">IFERROR(__xludf.DUMMYFUNCTION("""COMPUTED_VALUE"""),0.981866829454395)</f>
        <v>0.98186682945439496</v>
      </c>
      <c r="AF924" s="17">
        <f ca="1">IFERROR(__xludf.DUMMYFUNCTION("""COMPUTED_VALUE"""),1.05454665183031)</f>
        <v>1.0545466518303099</v>
      </c>
      <c r="AG924" s="17">
        <f ca="1">IFERROR(__xludf.DUMMYFUNCTION("""COMPUTED_VALUE"""),1.0468410471334)</f>
        <v>1.0468410471334</v>
      </c>
      <c r="AH924" s="17">
        <f ca="1">IFERROR(__xludf.DUMMYFUNCTION("""COMPUTED_VALUE"""),0.990803826308739)</f>
        <v>0.99080382630873898</v>
      </c>
      <c r="AI924" s="17" t="str">
        <f ca="1">IFERROR(__xludf.DUMMYFUNCTION("""COMPUTED_VALUE"""),"nan")</f>
        <v>nan</v>
      </c>
      <c r="AJ924" s="17">
        <f ca="1">IFERROR(__xludf.DUMMYFUNCTION("""COMPUTED_VALUE"""),1.10614004848905)</f>
        <v>1.10614004848905</v>
      </c>
    </row>
    <row r="925" spans="1:36" ht="15.75" customHeight="1" x14ac:dyDescent="0.45">
      <c r="B925" s="10" t="str">
        <f ca="1">IFERROR(__xludf.DUMMYFUNCTION("""COMPUTED_VALUE"""),"TwoPatterns")</f>
        <v>TwoPatterns</v>
      </c>
      <c r="C925" s="10" t="str">
        <f ca="1">IFERROR(__xludf.DUMMYFUNCTION("""COMPUTED_VALUE"""),"aligned_timestamps")</f>
        <v>aligned_timestamps</v>
      </c>
      <c r="D925" s="10">
        <f ca="1">IFERROR(__xludf.DUMMYFUNCTION("""COMPUTED_VALUE"""),0.6)</f>
        <v>0.6</v>
      </c>
      <c r="E925" s="17">
        <f ca="1">IFERROR(__xludf.DUMMYFUNCTION("""COMPUTED_VALUE"""),0.961728583143817)</f>
        <v>0.96172858314381704</v>
      </c>
      <c r="F925" s="17">
        <f ca="1">IFERROR(__xludf.DUMMYFUNCTION("""COMPUTED_VALUE"""),0.978077157448372)</f>
        <v>0.97807715744837198</v>
      </c>
      <c r="G925" s="17">
        <f ca="1">IFERROR(__xludf.DUMMYFUNCTION("""COMPUTED_VALUE"""),0.985971833786779)</f>
        <v>0.985971833786779</v>
      </c>
      <c r="H925" s="17">
        <f ca="1">IFERROR(__xludf.DUMMYFUNCTION("""COMPUTED_VALUE"""),0.960396294262563)</f>
        <v>0.96039629426256301</v>
      </c>
      <c r="I925" s="17">
        <f ca="1">IFERROR(__xludf.DUMMYFUNCTION("""COMPUTED_VALUE"""),0.915929469056371)</f>
        <v>0.91592946905637096</v>
      </c>
      <c r="J925" s="17">
        <f ca="1">IFERROR(__xludf.DUMMYFUNCTION("""COMPUTED_VALUE"""),0.974838609042609)</f>
        <v>0.97483860904260899</v>
      </c>
      <c r="K925" s="17" t="str">
        <f ca="1">IFERROR(__xludf.DUMMYFUNCTION("""COMPUTED_VALUE"""),"nan")</f>
        <v>nan</v>
      </c>
      <c r="L925" s="17">
        <f ca="1">IFERROR(__xludf.DUMMYFUNCTION("""COMPUTED_VALUE"""),1.17828619755779)</f>
        <v>1.1782861975577901</v>
      </c>
      <c r="M925" s="17">
        <f ca="1">IFERROR(__xludf.DUMMYFUNCTION("""COMPUTED_VALUE"""),1.06718777910141)</f>
        <v>1.0671877791014099</v>
      </c>
      <c r="N925" s="17">
        <f ca="1">IFERROR(__xludf.DUMMYFUNCTION("""COMPUTED_VALUE"""),0.946856801314715)</f>
        <v>0.94685680131471495</v>
      </c>
      <c r="O925" s="17">
        <f ca="1">IFERROR(__xludf.DUMMYFUNCTION("""COMPUTED_VALUE"""),1.14541631377182)</f>
        <v>1.1454163137718201</v>
      </c>
      <c r="P925" s="17">
        <f ca="1">IFERROR(__xludf.DUMMYFUNCTION("""COMPUTED_VALUE"""),1.04215605805814)</f>
        <v>1.0421560580581399</v>
      </c>
      <c r="Q925" s="17">
        <f ca="1">IFERROR(__xludf.DUMMYFUNCTION("""COMPUTED_VALUE"""),1.38333884410892)</f>
        <v>1.3833388441089201</v>
      </c>
      <c r="R925" s="17">
        <f ca="1">IFERROR(__xludf.DUMMYFUNCTION("""COMPUTED_VALUE"""),1.01972169373961)</f>
        <v>1.0197216937396101</v>
      </c>
      <c r="S925" s="17">
        <f ca="1">IFERROR(__xludf.DUMMYFUNCTION("""COMPUTED_VALUE"""),0.97928631640506)</f>
        <v>0.97928631640506003</v>
      </c>
      <c r="T925" s="17">
        <f ca="1">IFERROR(__xludf.DUMMYFUNCTION("""COMPUTED_VALUE"""),1.00591007587184)</f>
        <v>1.00591007587184</v>
      </c>
      <c r="U925" s="17">
        <f ca="1">IFERROR(__xludf.DUMMYFUNCTION("""COMPUTED_VALUE"""),1.00084788902479)</f>
        <v>1.00084788902479</v>
      </c>
      <c r="V925" s="17">
        <f ca="1">IFERROR(__xludf.DUMMYFUNCTION("""COMPUTED_VALUE"""),1.07879374403208)</f>
        <v>1.0787937440320801</v>
      </c>
      <c r="W925" s="17">
        <f ca="1">IFERROR(__xludf.DUMMYFUNCTION("""COMPUTED_VALUE"""),0.93422458951264)</f>
        <v>0.93422458951263998</v>
      </c>
      <c r="X925" s="17">
        <f ca="1">IFERROR(__xludf.DUMMYFUNCTION("""COMPUTED_VALUE"""),0.926362114771728)</f>
        <v>0.92636211477172803</v>
      </c>
      <c r="Y925" s="17">
        <f ca="1">IFERROR(__xludf.DUMMYFUNCTION("""COMPUTED_VALUE"""),0.951272911814408)</f>
        <v>0.95127291181440798</v>
      </c>
      <c r="Z925" s="17">
        <f ca="1">IFERROR(__xludf.DUMMYFUNCTION("""COMPUTED_VALUE"""),0.936187705746523)</f>
        <v>0.93618770574652299</v>
      </c>
      <c r="AA925" s="17">
        <f ca="1">IFERROR(__xludf.DUMMYFUNCTION("""COMPUTED_VALUE"""),1.10309904168438)</f>
        <v>1.10309904168438</v>
      </c>
      <c r="AB925" s="17">
        <f ca="1">IFERROR(__xludf.DUMMYFUNCTION("""COMPUTED_VALUE"""),1.43126377605146)</f>
        <v>1.4312637760514599</v>
      </c>
      <c r="AC925" s="17">
        <f ca="1">IFERROR(__xludf.DUMMYFUNCTION("""COMPUTED_VALUE"""),0.995944927161779)</f>
        <v>0.99594492716177896</v>
      </c>
      <c r="AD925" s="17">
        <f ca="1">IFERROR(__xludf.DUMMYFUNCTION("""COMPUTED_VALUE"""),0.966157616724457)</f>
        <v>0.96615761672445699</v>
      </c>
      <c r="AE925" s="17">
        <f ca="1">IFERROR(__xludf.DUMMYFUNCTION("""COMPUTED_VALUE"""),1.3139495146722)</f>
        <v>1.3139495146722</v>
      </c>
      <c r="AF925" s="17">
        <f ca="1">IFERROR(__xludf.DUMMYFUNCTION("""COMPUTED_VALUE"""),1.11538039264295)</f>
        <v>1.11538039264295</v>
      </c>
      <c r="AG925" s="17">
        <f ca="1">IFERROR(__xludf.DUMMYFUNCTION("""COMPUTED_VALUE"""),1.17404877744162)</f>
        <v>1.17404877744162</v>
      </c>
      <c r="AH925" s="17">
        <f ca="1">IFERROR(__xludf.DUMMYFUNCTION("""COMPUTED_VALUE"""),1.06205484496681)</f>
        <v>1.0620548449668099</v>
      </c>
      <c r="AI925" s="17" t="str">
        <f ca="1">IFERROR(__xludf.DUMMYFUNCTION("""COMPUTED_VALUE"""),"nan")</f>
        <v>nan</v>
      </c>
      <c r="AJ925" s="17">
        <f ca="1">IFERROR(__xludf.DUMMYFUNCTION("""COMPUTED_VALUE"""),1.15692522404311)</f>
        <v>1.15692522404311</v>
      </c>
    </row>
    <row r="926" spans="1:36" ht="15.75" customHeight="1" x14ac:dyDescent="0.45">
      <c r="B926" s="10" t="str">
        <f ca="1">IFERROR(__xludf.DUMMYFUNCTION("""COMPUTED_VALUE"""),"TwoPatterns")</f>
        <v>TwoPatterns</v>
      </c>
      <c r="C926" s="10" t="str">
        <f ca="1">IFERROR(__xludf.DUMMYFUNCTION("""COMPUTED_VALUE"""),"aligned_timestamps")</f>
        <v>aligned_timestamps</v>
      </c>
      <c r="D926" s="10">
        <f ca="1">IFERROR(__xludf.DUMMYFUNCTION("""COMPUTED_VALUE"""),0.8)</f>
        <v>0.8</v>
      </c>
      <c r="E926" s="17">
        <f ca="1">IFERROR(__xludf.DUMMYFUNCTION("""COMPUTED_VALUE"""),1.03680752338779)</f>
        <v>1.03680752338779</v>
      </c>
      <c r="F926" s="17">
        <f ca="1">IFERROR(__xludf.DUMMYFUNCTION("""COMPUTED_VALUE"""),1.0938219339507)</f>
        <v>1.0938219339507</v>
      </c>
      <c r="G926" s="17">
        <f ca="1">IFERROR(__xludf.DUMMYFUNCTION("""COMPUTED_VALUE"""),1.17641105332608)</f>
        <v>1.1764110533260801</v>
      </c>
      <c r="H926" s="17">
        <f ca="1">IFERROR(__xludf.DUMMYFUNCTION("""COMPUTED_VALUE"""),1.02561319428474)</f>
        <v>1.02561319428474</v>
      </c>
      <c r="I926" s="17">
        <f ca="1">IFERROR(__xludf.DUMMYFUNCTION("""COMPUTED_VALUE"""),0.998607727209299)</f>
        <v>0.99860772720929902</v>
      </c>
      <c r="J926" s="17">
        <f ca="1">IFERROR(__xludf.DUMMYFUNCTION("""COMPUTED_VALUE"""),1.02380262435784)</f>
        <v>1.02380262435784</v>
      </c>
      <c r="K926" s="17" t="str">
        <f ca="1">IFERROR(__xludf.DUMMYFUNCTION("""COMPUTED_VALUE"""),"nan")</f>
        <v>nan</v>
      </c>
      <c r="L926" s="17">
        <f ca="1">IFERROR(__xludf.DUMMYFUNCTION("""COMPUTED_VALUE"""),1.13518748798735)</f>
        <v>1.13518748798735</v>
      </c>
      <c r="M926" s="17">
        <f ca="1">IFERROR(__xludf.DUMMYFUNCTION("""COMPUTED_VALUE"""),1.25043992279227)</f>
        <v>1.25043992279227</v>
      </c>
      <c r="N926" s="17">
        <f ca="1">IFERROR(__xludf.DUMMYFUNCTION("""COMPUTED_VALUE"""),1.05192679228088)</f>
        <v>1.0519267922808799</v>
      </c>
      <c r="O926" s="17">
        <f ca="1">IFERROR(__xludf.DUMMYFUNCTION("""COMPUTED_VALUE"""),1.16697370003406)</f>
        <v>1.1669737000340601</v>
      </c>
      <c r="P926" s="17">
        <f ca="1">IFERROR(__xludf.DUMMYFUNCTION("""COMPUTED_VALUE"""),1.13371743706627)</f>
        <v>1.1337174370662699</v>
      </c>
      <c r="Q926" s="17">
        <f ca="1">IFERROR(__xludf.DUMMYFUNCTION("""COMPUTED_VALUE"""),1.48640299899086)</f>
        <v>1.48640299899086</v>
      </c>
      <c r="R926" s="17">
        <f ca="1">IFERROR(__xludf.DUMMYFUNCTION("""COMPUTED_VALUE"""),1.05854930477193)</f>
        <v>1.0585493047719301</v>
      </c>
      <c r="S926" s="17">
        <f ca="1">IFERROR(__xludf.DUMMYFUNCTION("""COMPUTED_VALUE"""),1.05881285746911)</f>
        <v>1.05881285746911</v>
      </c>
      <c r="T926" s="17">
        <f ca="1">IFERROR(__xludf.DUMMYFUNCTION("""COMPUTED_VALUE"""),1.13226254423649)</f>
        <v>1.13226254423649</v>
      </c>
      <c r="U926" s="17">
        <f ca="1">IFERROR(__xludf.DUMMYFUNCTION("""COMPUTED_VALUE"""),1.23737064716086)</f>
        <v>1.2373706471608601</v>
      </c>
      <c r="V926" s="17">
        <f ca="1">IFERROR(__xludf.DUMMYFUNCTION("""COMPUTED_VALUE"""),1.16103288157002)</f>
        <v>1.1610328815700199</v>
      </c>
      <c r="W926" s="17">
        <f ca="1">IFERROR(__xludf.DUMMYFUNCTION("""COMPUTED_VALUE"""),1.02569518142162)</f>
        <v>1.02569518142162</v>
      </c>
      <c r="X926" s="17">
        <f ca="1">IFERROR(__xludf.DUMMYFUNCTION("""COMPUTED_VALUE"""),1.00496900741239)</f>
        <v>1.00496900741239</v>
      </c>
      <c r="Y926" s="17">
        <f ca="1">IFERROR(__xludf.DUMMYFUNCTION("""COMPUTED_VALUE"""),1.12363065847625)</f>
        <v>1.1236306584762501</v>
      </c>
      <c r="Z926" s="17">
        <f ca="1">IFERROR(__xludf.DUMMYFUNCTION("""COMPUTED_VALUE"""),1.02461651864835)</f>
        <v>1.02461651864835</v>
      </c>
      <c r="AA926" s="17">
        <f ca="1">IFERROR(__xludf.DUMMYFUNCTION("""COMPUTED_VALUE"""),1.25530413439817)</f>
        <v>1.2553041343981699</v>
      </c>
      <c r="AB926" s="17">
        <f ca="1">IFERROR(__xludf.DUMMYFUNCTION("""COMPUTED_VALUE"""),1.45750861061206)</f>
        <v>1.4575086106120601</v>
      </c>
      <c r="AC926" s="17">
        <f ca="1">IFERROR(__xludf.DUMMYFUNCTION("""COMPUTED_VALUE"""),1.07248143125436)</f>
        <v>1.07248143125436</v>
      </c>
      <c r="AD926" s="17">
        <f ca="1">IFERROR(__xludf.DUMMYFUNCTION("""COMPUTED_VALUE"""),1.04619250436164)</f>
        <v>1.04619250436164</v>
      </c>
      <c r="AE926" s="17">
        <f ca="1">IFERROR(__xludf.DUMMYFUNCTION("""COMPUTED_VALUE"""),2.20126831210705)</f>
        <v>2.2012683121070502</v>
      </c>
      <c r="AF926" s="17">
        <f ca="1">IFERROR(__xludf.DUMMYFUNCTION("""COMPUTED_VALUE"""),1.14102674780714)</f>
        <v>1.1410267478071401</v>
      </c>
      <c r="AG926" s="17">
        <f ca="1">IFERROR(__xludf.DUMMYFUNCTION("""COMPUTED_VALUE"""),1.22312218965472)</f>
        <v>1.22312218965472</v>
      </c>
      <c r="AH926" s="17">
        <f ca="1">IFERROR(__xludf.DUMMYFUNCTION("""COMPUTED_VALUE"""),1.10723231700918)</f>
        <v>1.10723231700918</v>
      </c>
      <c r="AI926" s="17" t="str">
        <f ca="1">IFERROR(__xludf.DUMMYFUNCTION("""COMPUTED_VALUE"""),"nan")</f>
        <v>nan</v>
      </c>
      <c r="AJ926" s="17">
        <f ca="1">IFERROR(__xludf.DUMMYFUNCTION("""COMPUTED_VALUE"""),1.24667167524926)</f>
        <v>1.2466716752492599</v>
      </c>
    </row>
    <row r="927" spans="1:36" ht="15.75" customHeight="1" x14ac:dyDescent="0.45">
      <c r="B927" s="10" t="str">
        <f ca="1">IFERROR(__xludf.DUMMYFUNCTION("""COMPUTED_VALUE"""),"TwoPatterns")</f>
        <v>TwoPatterns</v>
      </c>
      <c r="C927" s="10" t="str">
        <f ca="1">IFERROR(__xludf.DUMMYFUNCTION("""COMPUTED_VALUE"""),"mcar")</f>
        <v>mcar</v>
      </c>
      <c r="D927" s="10">
        <f ca="1">IFERROR(__xludf.DUMMYFUNCTION("""COMPUTED_VALUE"""),0.1)</f>
        <v>0.1</v>
      </c>
      <c r="E927" s="17">
        <f ca="1">IFERROR(__xludf.DUMMYFUNCTION("""COMPUTED_VALUE"""),0.992498065143778)</f>
        <v>0.99249806514377803</v>
      </c>
      <c r="F927" s="17">
        <f ca="1">IFERROR(__xludf.DUMMYFUNCTION("""COMPUTED_VALUE"""),0.945308743306619)</f>
        <v>0.94530874330661896</v>
      </c>
      <c r="G927" s="17">
        <f ca="1">IFERROR(__xludf.DUMMYFUNCTION("""COMPUTED_VALUE"""),0.948231021346858)</f>
        <v>0.94823102134685799</v>
      </c>
      <c r="H927" s="17">
        <f ca="1">IFERROR(__xludf.DUMMYFUNCTION("""COMPUTED_VALUE"""),0.973921994450005)</f>
        <v>0.97392199445000505</v>
      </c>
      <c r="I927" s="17">
        <f ca="1">IFERROR(__xludf.DUMMYFUNCTION("""COMPUTED_VALUE"""),0.619848643873272)</f>
        <v>0.61984864387327199</v>
      </c>
      <c r="J927" s="17">
        <f ca="1">IFERROR(__xludf.DUMMYFUNCTION("""COMPUTED_VALUE"""),0.969572712433105)</f>
        <v>0.96957271243310506</v>
      </c>
      <c r="K927" s="17" t="str">
        <f ca="1">IFERROR(__xludf.DUMMYFUNCTION("""COMPUTED_VALUE"""),"nan")</f>
        <v>nan</v>
      </c>
      <c r="L927" s="17">
        <f ca="1">IFERROR(__xludf.DUMMYFUNCTION("""COMPUTED_VALUE"""),0.888268145017817)</f>
        <v>0.88826814501781703</v>
      </c>
      <c r="M927" s="17">
        <f ca="1">IFERROR(__xludf.DUMMYFUNCTION("""COMPUTED_VALUE"""),0.976121255447702)</f>
        <v>0.97612125544770201</v>
      </c>
      <c r="N927" s="17">
        <f ca="1">IFERROR(__xludf.DUMMYFUNCTION("""COMPUTED_VALUE"""),0.809050827774388)</f>
        <v>0.80905082777438797</v>
      </c>
      <c r="O927" s="17">
        <f ca="1">IFERROR(__xludf.DUMMYFUNCTION("""COMPUTED_VALUE"""),0.910443034665006)</f>
        <v>0.91044303466500598</v>
      </c>
      <c r="P927" s="17">
        <f ca="1">IFERROR(__xludf.DUMMYFUNCTION("""COMPUTED_VALUE"""),0.889928576571929)</f>
        <v>0.88992857657192903</v>
      </c>
      <c r="Q927" s="17">
        <f ca="1">IFERROR(__xludf.DUMMYFUNCTION("""COMPUTED_VALUE"""),1.32768355868313)</f>
        <v>1.3276835586831299</v>
      </c>
      <c r="R927" s="17">
        <f ca="1">IFERROR(__xludf.DUMMYFUNCTION("""COMPUTED_VALUE"""),0.703054866421437)</f>
        <v>0.703054866421437</v>
      </c>
      <c r="S927" s="17">
        <f ca="1">IFERROR(__xludf.DUMMYFUNCTION("""COMPUTED_VALUE"""),1.05787978449532)</f>
        <v>1.0578797844953201</v>
      </c>
      <c r="T927" s="17">
        <f ca="1">IFERROR(__xludf.DUMMYFUNCTION("""COMPUTED_VALUE"""),0.802647200183335)</f>
        <v>0.80264720018333502</v>
      </c>
      <c r="U927" s="17">
        <f ca="1">IFERROR(__xludf.DUMMYFUNCTION("""COMPUTED_VALUE"""),0.725969056802344)</f>
        <v>0.72596905680234403</v>
      </c>
      <c r="V927" s="17">
        <f ca="1">IFERROR(__xludf.DUMMYFUNCTION("""COMPUTED_VALUE"""),0.933393421258417)</f>
        <v>0.93339342125841696</v>
      </c>
      <c r="W927" s="17">
        <f ca="1">IFERROR(__xludf.DUMMYFUNCTION("""COMPUTED_VALUE"""),0.777039007682733)</f>
        <v>0.77703900768273304</v>
      </c>
      <c r="X927" s="17">
        <f ca="1">IFERROR(__xludf.DUMMYFUNCTION("""COMPUTED_VALUE"""),0.82509308421403)</f>
        <v>0.82509308421403005</v>
      </c>
      <c r="Y927" s="17">
        <f ca="1">IFERROR(__xludf.DUMMYFUNCTION("""COMPUTED_VALUE"""),0.815338552648395)</f>
        <v>0.81533855264839505</v>
      </c>
      <c r="Z927" s="17">
        <f ca="1">IFERROR(__xludf.DUMMYFUNCTION("""COMPUTED_VALUE"""),0.891588302378372)</f>
        <v>0.89158830237837206</v>
      </c>
      <c r="AA927" s="17">
        <f ca="1">IFERROR(__xludf.DUMMYFUNCTION("""COMPUTED_VALUE"""),0.659458847443478)</f>
        <v>0.65945884744347805</v>
      </c>
      <c r="AB927" s="17">
        <f ca="1">IFERROR(__xludf.DUMMYFUNCTION("""COMPUTED_VALUE"""),0.91386434946821)</f>
        <v>0.91386434946821005</v>
      </c>
      <c r="AC927" s="17">
        <f ca="1">IFERROR(__xludf.DUMMYFUNCTION("""COMPUTED_VALUE"""),0.755826247744739)</f>
        <v>0.75582624774473905</v>
      </c>
      <c r="AD927" s="17">
        <f ca="1">IFERROR(__xludf.DUMMYFUNCTION("""COMPUTED_VALUE"""),0.87161980929046)</f>
        <v>0.87161980929046001</v>
      </c>
      <c r="AE927" s="17">
        <f ca="1">IFERROR(__xludf.DUMMYFUNCTION("""COMPUTED_VALUE"""),0.94041855454311)</f>
        <v>0.94041855454310996</v>
      </c>
      <c r="AF927" s="17">
        <f ca="1">IFERROR(__xludf.DUMMYFUNCTION("""COMPUTED_VALUE"""),0.780616316628786)</f>
        <v>0.78061631662878606</v>
      </c>
      <c r="AG927" s="17">
        <f ca="1">IFERROR(__xludf.DUMMYFUNCTION("""COMPUTED_VALUE"""),1.15163486600577)</f>
        <v>1.15163486600577</v>
      </c>
      <c r="AH927" s="17">
        <f ca="1">IFERROR(__xludf.DUMMYFUNCTION("""COMPUTED_VALUE"""),1.01770451630736)</f>
        <v>1.0177045163073599</v>
      </c>
      <c r="AI927" s="17">
        <f ca="1">IFERROR(__xludf.DUMMYFUNCTION("""COMPUTED_VALUE"""),0.888958765490594)</f>
        <v>0.88895876549059405</v>
      </c>
      <c r="AJ927" s="17">
        <f ca="1">IFERROR(__xludf.DUMMYFUNCTION("""COMPUTED_VALUE"""),0.962258862562514)</f>
        <v>0.96225886256251403</v>
      </c>
    </row>
    <row r="928" spans="1:36" ht="15.75" customHeight="1" x14ac:dyDescent="0.45">
      <c r="B928" s="10" t="str">
        <f ca="1">IFERROR(__xludf.DUMMYFUNCTION("""COMPUTED_VALUE"""),"TwoPatterns")</f>
        <v>TwoPatterns</v>
      </c>
      <c r="C928" s="10" t="str">
        <f ca="1">IFERROR(__xludf.DUMMYFUNCTION("""COMPUTED_VALUE"""),"mcar")</f>
        <v>mcar</v>
      </c>
      <c r="D928" s="10">
        <f ca="1">IFERROR(__xludf.DUMMYFUNCTION("""COMPUTED_VALUE"""),0.2)</f>
        <v>0.2</v>
      </c>
      <c r="E928" s="17">
        <f ca="1">IFERROR(__xludf.DUMMYFUNCTION("""COMPUTED_VALUE"""),1.00283558638486)</f>
        <v>1.0028355863848599</v>
      </c>
      <c r="F928" s="17">
        <f ca="1">IFERROR(__xludf.DUMMYFUNCTION("""COMPUTED_VALUE"""),0.984795679261711)</f>
        <v>0.98479567926171097</v>
      </c>
      <c r="G928" s="17">
        <f ca="1">IFERROR(__xludf.DUMMYFUNCTION("""COMPUTED_VALUE"""),0.990053117146701)</f>
        <v>0.99005311714670097</v>
      </c>
      <c r="H928" s="17">
        <f ca="1">IFERROR(__xludf.DUMMYFUNCTION("""COMPUTED_VALUE"""),0.999265965021863)</f>
        <v>0.99926596502186305</v>
      </c>
      <c r="I928" s="17">
        <f ca="1">IFERROR(__xludf.DUMMYFUNCTION("""COMPUTED_VALUE"""),0.725545784318205)</f>
        <v>0.72554578431820504</v>
      </c>
      <c r="J928" s="17">
        <f ca="1">IFERROR(__xludf.DUMMYFUNCTION("""COMPUTED_VALUE"""),1.01151211447004)</f>
        <v>1.0115121144700401</v>
      </c>
      <c r="K928" s="17" t="str">
        <f ca="1">IFERROR(__xludf.DUMMYFUNCTION("""COMPUTED_VALUE"""),"nan")</f>
        <v>nan</v>
      </c>
      <c r="L928" s="17">
        <f ca="1">IFERROR(__xludf.DUMMYFUNCTION("""COMPUTED_VALUE"""),0.930843270516779)</f>
        <v>0.93084327051677895</v>
      </c>
      <c r="M928" s="17">
        <f ca="1">IFERROR(__xludf.DUMMYFUNCTION("""COMPUTED_VALUE"""),1.00213999192918)</f>
        <v>1.00213999192918</v>
      </c>
      <c r="N928" s="17">
        <f ca="1">IFERROR(__xludf.DUMMYFUNCTION("""COMPUTED_VALUE"""),0.853684833904143)</f>
        <v>0.85368483390414296</v>
      </c>
      <c r="O928" s="17">
        <f ca="1">IFERROR(__xludf.DUMMYFUNCTION("""COMPUTED_VALUE"""),0.953892846892372)</f>
        <v>0.95389284689237197</v>
      </c>
      <c r="P928" s="17">
        <f ca="1">IFERROR(__xludf.DUMMYFUNCTION("""COMPUTED_VALUE"""),0.935451170555626)</f>
        <v>0.93545117055562599</v>
      </c>
      <c r="Q928" s="17">
        <f ca="1">IFERROR(__xludf.DUMMYFUNCTION("""COMPUTED_VALUE"""),1.34734572423645)</f>
        <v>1.3473457242364499</v>
      </c>
      <c r="R928" s="17">
        <f ca="1">IFERROR(__xludf.DUMMYFUNCTION("""COMPUTED_VALUE"""),0.765810387329229)</f>
        <v>0.76581038732922901</v>
      </c>
      <c r="S928" s="17">
        <f ca="1">IFERROR(__xludf.DUMMYFUNCTION("""COMPUTED_VALUE"""),1.07068844485841)</f>
        <v>1.07068844485841</v>
      </c>
      <c r="T928" s="17">
        <f ca="1">IFERROR(__xludf.DUMMYFUNCTION("""COMPUTED_VALUE"""),0.859474854605904)</f>
        <v>0.859474854605904</v>
      </c>
      <c r="U928" s="17">
        <f ca="1">IFERROR(__xludf.DUMMYFUNCTION("""COMPUTED_VALUE"""),0.784185421558094)</f>
        <v>0.78418542155809401</v>
      </c>
      <c r="V928" s="17">
        <f ca="1">IFERROR(__xludf.DUMMYFUNCTION("""COMPUTED_VALUE"""),0.89519785687128)</f>
        <v>0.89519785687127995</v>
      </c>
      <c r="W928" s="17">
        <f ca="1">IFERROR(__xludf.DUMMYFUNCTION("""COMPUTED_VALUE"""),0.821993701694204)</f>
        <v>0.82199370169420405</v>
      </c>
      <c r="X928" s="17">
        <f ca="1">IFERROR(__xludf.DUMMYFUNCTION("""COMPUTED_VALUE"""),0.83714150505934)</f>
        <v>0.83714150505934004</v>
      </c>
      <c r="Y928" s="17">
        <f ca="1">IFERROR(__xludf.DUMMYFUNCTION("""COMPUTED_VALUE"""),0.917614920390085)</f>
        <v>0.91761492039008496</v>
      </c>
      <c r="Z928" s="17">
        <f ca="1">IFERROR(__xludf.DUMMYFUNCTION("""COMPUTED_VALUE"""),0.917782814659813)</f>
        <v>0.91778281465981304</v>
      </c>
      <c r="AA928" s="17">
        <f ca="1">IFERROR(__xludf.DUMMYFUNCTION("""COMPUTED_VALUE"""),0.827143314639069)</f>
        <v>0.82714331463906898</v>
      </c>
      <c r="AB928" s="17">
        <f ca="1">IFERROR(__xludf.DUMMYFUNCTION("""COMPUTED_VALUE"""),0.980992718629785)</f>
        <v>0.98099271862978499</v>
      </c>
      <c r="AC928" s="17">
        <f ca="1">IFERROR(__xludf.DUMMYFUNCTION("""COMPUTED_VALUE"""),0.845364067143651)</f>
        <v>0.84536406714365098</v>
      </c>
      <c r="AD928" s="17">
        <f ca="1">IFERROR(__xludf.DUMMYFUNCTION("""COMPUTED_VALUE"""),0.927424005076165)</f>
        <v>0.92742400507616496</v>
      </c>
      <c r="AE928" s="17">
        <f ca="1">IFERROR(__xludf.DUMMYFUNCTION("""COMPUTED_VALUE"""),0.986600663328422)</f>
        <v>0.986600663328422</v>
      </c>
      <c r="AF928" s="17">
        <f ca="1">IFERROR(__xludf.DUMMYFUNCTION("""COMPUTED_VALUE"""),1.00938456454495)</f>
        <v>1.00938456454495</v>
      </c>
      <c r="AG928" s="17">
        <f ca="1">IFERROR(__xludf.DUMMYFUNCTION("""COMPUTED_VALUE"""),1.19717730773765)</f>
        <v>1.19717730773765</v>
      </c>
      <c r="AH928" s="17">
        <f ca="1">IFERROR(__xludf.DUMMYFUNCTION("""COMPUTED_VALUE"""),1.15356952923701)</f>
        <v>1.1535695292370101</v>
      </c>
      <c r="AI928" s="17">
        <f ca="1">IFERROR(__xludf.DUMMYFUNCTION("""COMPUTED_VALUE"""),1.10051153313961)</f>
        <v>1.10051153313961</v>
      </c>
      <c r="AJ928" s="17">
        <f ca="1">IFERROR(__xludf.DUMMYFUNCTION("""COMPUTED_VALUE"""),0.994236843540889)</f>
        <v>0.99423684354088904</v>
      </c>
    </row>
    <row r="929" spans="2:36" ht="15.75" customHeight="1" x14ac:dyDescent="0.45">
      <c r="B929" s="10" t="str">
        <f ca="1">IFERROR(__xludf.DUMMYFUNCTION("""COMPUTED_VALUE"""),"TwoPatterns")</f>
        <v>TwoPatterns</v>
      </c>
      <c r="C929" s="10" t="str">
        <f ca="1">IFERROR(__xludf.DUMMYFUNCTION("""COMPUTED_VALUE"""),"mcar")</f>
        <v>mcar</v>
      </c>
      <c r="D929" s="10">
        <f ca="1">IFERROR(__xludf.DUMMYFUNCTION("""COMPUTED_VALUE"""),0.4)</f>
        <v>0.4</v>
      </c>
      <c r="E929" s="17">
        <f ca="1">IFERROR(__xludf.DUMMYFUNCTION("""COMPUTED_VALUE"""),1.012811978229)</f>
        <v>1.0128119782289999</v>
      </c>
      <c r="F929" s="17">
        <f ca="1">IFERROR(__xludf.DUMMYFUNCTION("""COMPUTED_VALUE"""),1.00103358245592)</f>
        <v>1.00103358245592</v>
      </c>
      <c r="G929" s="17">
        <f ca="1">IFERROR(__xludf.DUMMYFUNCTION("""COMPUTED_VALUE"""),1.01094472909403)</f>
        <v>1.0109447290940301</v>
      </c>
      <c r="H929" s="17">
        <f ca="1">IFERROR(__xludf.DUMMYFUNCTION("""COMPUTED_VALUE"""),0.993323279382568)</f>
        <v>0.99332327938256804</v>
      </c>
      <c r="I929" s="17">
        <f ca="1">IFERROR(__xludf.DUMMYFUNCTION("""COMPUTED_VALUE"""),0.823706785384837)</f>
        <v>0.82370678538483699</v>
      </c>
      <c r="J929" s="17">
        <f ca="1">IFERROR(__xludf.DUMMYFUNCTION("""COMPUTED_VALUE"""),1.01967887015851)</f>
        <v>1.01967887015851</v>
      </c>
      <c r="K929" s="17" t="str">
        <f ca="1">IFERROR(__xludf.DUMMYFUNCTION("""COMPUTED_VALUE"""),"nan")</f>
        <v>nan</v>
      </c>
      <c r="L929" s="17">
        <f ca="1">IFERROR(__xludf.DUMMYFUNCTION("""COMPUTED_VALUE"""),1.02969118242869)</f>
        <v>1.0296911824286901</v>
      </c>
      <c r="M929" s="17">
        <f ca="1">IFERROR(__xludf.DUMMYFUNCTION("""COMPUTED_VALUE"""),1.03090223976111)</f>
        <v>1.0309022397611101</v>
      </c>
      <c r="N929" s="17">
        <f ca="1">IFERROR(__xludf.DUMMYFUNCTION("""COMPUTED_VALUE"""),0.900177066842026)</f>
        <v>0.90017706684202603</v>
      </c>
      <c r="O929" s="17">
        <f ca="1">IFERROR(__xludf.DUMMYFUNCTION("""COMPUTED_VALUE"""),1.02055502916668)</f>
        <v>1.0205550291666801</v>
      </c>
      <c r="P929" s="17">
        <f ca="1">IFERROR(__xludf.DUMMYFUNCTION("""COMPUTED_VALUE"""),0.96155557496011)</f>
        <v>0.96155557496011002</v>
      </c>
      <c r="Q929" s="17">
        <f ca="1">IFERROR(__xludf.DUMMYFUNCTION("""COMPUTED_VALUE"""),1.37687984696344)</f>
        <v>1.37687984696344</v>
      </c>
      <c r="R929" s="17">
        <f ca="1">IFERROR(__xludf.DUMMYFUNCTION("""COMPUTED_VALUE"""),0.892909464519471)</f>
        <v>0.89290946451947095</v>
      </c>
      <c r="S929" s="17">
        <f ca="1">IFERROR(__xludf.DUMMYFUNCTION("""COMPUTED_VALUE"""),1.07630728425548)</f>
        <v>1.0763072842554799</v>
      </c>
      <c r="T929" s="17">
        <f ca="1">IFERROR(__xludf.DUMMYFUNCTION("""COMPUTED_VALUE"""),0.935702874259174)</f>
        <v>0.93570287425917398</v>
      </c>
      <c r="U929" s="17">
        <f ca="1">IFERROR(__xludf.DUMMYFUNCTION("""COMPUTED_VALUE"""),0.892522568662434)</f>
        <v>0.89252256866243396</v>
      </c>
      <c r="V929" s="17">
        <f ca="1">IFERROR(__xludf.DUMMYFUNCTION("""COMPUTED_VALUE"""),0.971308905817613)</f>
        <v>0.97130890581761298</v>
      </c>
      <c r="W929" s="17">
        <f ca="1">IFERROR(__xludf.DUMMYFUNCTION("""COMPUTED_VALUE"""),0.870778257183868)</f>
        <v>0.87077825718386803</v>
      </c>
      <c r="X929" s="17">
        <f ca="1">IFERROR(__xludf.DUMMYFUNCTION("""COMPUTED_VALUE"""),0.873882063847469)</f>
        <v>0.87388206384746903</v>
      </c>
      <c r="Y929" s="17">
        <f ca="1">IFERROR(__xludf.DUMMYFUNCTION("""COMPUTED_VALUE"""),0.983814561974666)</f>
        <v>0.98381456197466599</v>
      </c>
      <c r="Z929" s="17">
        <f ca="1">IFERROR(__xludf.DUMMYFUNCTION("""COMPUTED_VALUE"""),0.945679085458561)</f>
        <v>0.94567908545856105</v>
      </c>
      <c r="AA929" s="17">
        <f ca="1">IFERROR(__xludf.DUMMYFUNCTION("""COMPUTED_VALUE"""),1.19890010660149)</f>
        <v>1.1989001066014899</v>
      </c>
      <c r="AB929" s="17">
        <f ca="1">IFERROR(__xludf.DUMMYFUNCTION("""COMPUTED_VALUE"""),1.06027173373089)</f>
        <v>1.06027173373089</v>
      </c>
      <c r="AC929" s="17">
        <f ca="1">IFERROR(__xludf.DUMMYFUNCTION("""COMPUTED_VALUE"""),0.919425020589408)</f>
        <v>0.919425020589408</v>
      </c>
      <c r="AD929" s="17">
        <f ca="1">IFERROR(__xludf.DUMMYFUNCTION("""COMPUTED_VALUE"""),0.964952677962915)</f>
        <v>0.96495267796291495</v>
      </c>
      <c r="AE929" s="17">
        <f ca="1">IFERROR(__xludf.DUMMYFUNCTION("""COMPUTED_VALUE"""),1.07328369975976)</f>
        <v>1.0732836997597599</v>
      </c>
      <c r="AF929" s="17">
        <f ca="1">IFERROR(__xludf.DUMMYFUNCTION("""COMPUTED_VALUE"""),1.06455475708798)</f>
        <v>1.0645547570879801</v>
      </c>
      <c r="AG929" s="17">
        <f ca="1">IFERROR(__xludf.DUMMYFUNCTION("""COMPUTED_VALUE"""),1.16360351972187)</f>
        <v>1.1636035197218699</v>
      </c>
      <c r="AH929" s="17">
        <f ca="1">IFERROR(__xludf.DUMMYFUNCTION("""COMPUTED_VALUE"""),1.10572713294984)</f>
        <v>1.1057271329498399</v>
      </c>
      <c r="AI929" s="17" t="str">
        <f ca="1">IFERROR(__xludf.DUMMYFUNCTION("""COMPUTED_VALUE"""),"nan")</f>
        <v>nan</v>
      </c>
      <c r="AJ929" s="17">
        <f ca="1">IFERROR(__xludf.DUMMYFUNCTION("""COMPUTED_VALUE"""),1.06283078314622)</f>
        <v>1.06283078314622</v>
      </c>
    </row>
    <row r="930" spans="2:36" ht="15.75" customHeight="1" x14ac:dyDescent="0.45">
      <c r="B930" s="10" t="str">
        <f ca="1">IFERROR(__xludf.DUMMYFUNCTION("""COMPUTED_VALUE"""),"TwoPatterns")</f>
        <v>TwoPatterns</v>
      </c>
      <c r="C930" s="10" t="str">
        <f ca="1">IFERROR(__xludf.DUMMYFUNCTION("""COMPUTED_VALUE"""),"mcar")</f>
        <v>mcar</v>
      </c>
      <c r="D930" s="10">
        <f ca="1">IFERROR(__xludf.DUMMYFUNCTION("""COMPUTED_VALUE"""),0.6)</f>
        <v>0.6</v>
      </c>
      <c r="E930" s="17">
        <f ca="1">IFERROR(__xludf.DUMMYFUNCTION("""COMPUTED_VALUE"""),1.01769286547523)</f>
        <v>1.01769286547523</v>
      </c>
      <c r="F930" s="17">
        <f ca="1">IFERROR(__xludf.DUMMYFUNCTION("""COMPUTED_VALUE"""),1.04494931811536)</f>
        <v>1.04494931811536</v>
      </c>
      <c r="G930" s="17">
        <f ca="1">IFERROR(__xludf.DUMMYFUNCTION("""COMPUTED_VALUE"""),1.07811334306106)</f>
        <v>1.0781133430610601</v>
      </c>
      <c r="H930" s="17">
        <f ca="1">IFERROR(__xludf.DUMMYFUNCTION("""COMPUTED_VALUE"""),1.01629580554694)</f>
        <v>1.01629580554694</v>
      </c>
      <c r="I930" s="17">
        <f ca="1">IFERROR(__xludf.DUMMYFUNCTION("""COMPUTED_VALUE"""),0.883341331939141)</f>
        <v>0.88334133193914099</v>
      </c>
      <c r="J930" s="17">
        <f ca="1">IFERROR(__xludf.DUMMYFUNCTION("""COMPUTED_VALUE"""),1.01030077128317)</f>
        <v>1.01030077128317</v>
      </c>
      <c r="K930" s="17" t="str">
        <f ca="1">IFERROR(__xludf.DUMMYFUNCTION("""COMPUTED_VALUE"""),"nan")</f>
        <v>nan</v>
      </c>
      <c r="L930" s="17">
        <f ca="1">IFERROR(__xludf.DUMMYFUNCTION("""COMPUTED_VALUE"""),1.12626140176519)</f>
        <v>1.12626140176519</v>
      </c>
      <c r="M930" s="17">
        <f ca="1">IFERROR(__xludf.DUMMYFUNCTION("""COMPUTED_VALUE"""),1.07591729282912)</f>
        <v>1.0759172928291201</v>
      </c>
      <c r="N930" s="17">
        <f ca="1">IFERROR(__xludf.DUMMYFUNCTION("""COMPUTED_VALUE"""),0.945525795692047)</f>
        <v>0.94552579569204698</v>
      </c>
      <c r="O930" s="17">
        <f ca="1">IFERROR(__xludf.DUMMYFUNCTION("""COMPUTED_VALUE"""),1.18694860151907)</f>
        <v>1.18694860151907</v>
      </c>
      <c r="P930" s="17">
        <f ca="1">IFERROR(__xludf.DUMMYFUNCTION("""COMPUTED_VALUE"""),1.02684478199394)</f>
        <v>1.0268447819939399</v>
      </c>
      <c r="Q930" s="17">
        <f ca="1">IFERROR(__xludf.DUMMYFUNCTION("""COMPUTED_VALUE"""),1.36601746708947)</f>
        <v>1.36601746708947</v>
      </c>
      <c r="R930" s="17">
        <f ca="1">IFERROR(__xludf.DUMMYFUNCTION("""COMPUTED_VALUE"""),0.976794726294936)</f>
        <v>0.97679472629493602</v>
      </c>
      <c r="S930" s="17">
        <f ca="1">IFERROR(__xludf.DUMMYFUNCTION("""COMPUTED_VALUE"""),1.07347535753334)</f>
        <v>1.07347535753334</v>
      </c>
      <c r="T930" s="17">
        <f ca="1">IFERROR(__xludf.DUMMYFUNCTION("""COMPUTED_VALUE"""),0.987685992943749)</f>
        <v>0.98768599294374904</v>
      </c>
      <c r="U930" s="17">
        <f ca="1">IFERROR(__xludf.DUMMYFUNCTION("""COMPUTED_VALUE"""),0.946888989667128)</f>
        <v>0.94688898966712798</v>
      </c>
      <c r="V930" s="17">
        <f ca="1">IFERROR(__xludf.DUMMYFUNCTION("""COMPUTED_VALUE"""),1.02373473997158)</f>
        <v>1.0237347399715799</v>
      </c>
      <c r="W930" s="17">
        <f ca="1">IFERROR(__xludf.DUMMYFUNCTION("""COMPUTED_VALUE"""),0.924106161001469)</f>
        <v>0.92410616100146903</v>
      </c>
      <c r="X930" s="17">
        <f ca="1">IFERROR(__xludf.DUMMYFUNCTION("""COMPUTED_VALUE"""),0.914144211180459)</f>
        <v>0.91414421118045897</v>
      </c>
      <c r="Y930" s="17">
        <f ca="1">IFERROR(__xludf.DUMMYFUNCTION("""COMPUTED_VALUE"""),1.04923949269719)</f>
        <v>1.04923949269719</v>
      </c>
      <c r="Z930" s="17">
        <f ca="1">IFERROR(__xludf.DUMMYFUNCTION("""COMPUTED_VALUE"""),0.962405754395702)</f>
        <v>0.96240575439570197</v>
      </c>
      <c r="AA930" s="17">
        <f ca="1">IFERROR(__xludf.DUMMYFUNCTION("""COMPUTED_VALUE"""),1.18464931766842)</f>
        <v>1.1846493176684201</v>
      </c>
      <c r="AB930" s="17">
        <f ca="1">IFERROR(__xludf.DUMMYFUNCTION("""COMPUTED_VALUE"""),1.13137485155422)</f>
        <v>1.1313748515542199</v>
      </c>
      <c r="AC930" s="17">
        <f ca="1">IFERROR(__xludf.DUMMYFUNCTION("""COMPUTED_VALUE"""),0.975476675957115)</f>
        <v>0.97547667595711496</v>
      </c>
      <c r="AD930" s="17">
        <f ca="1">IFERROR(__xludf.DUMMYFUNCTION("""COMPUTED_VALUE"""),0.987200578495686)</f>
        <v>0.98720057849568599</v>
      </c>
      <c r="AE930" s="17">
        <f ca="1">IFERROR(__xludf.DUMMYFUNCTION("""COMPUTED_VALUE"""),1.2254294125369)</f>
        <v>1.2254294125369001</v>
      </c>
      <c r="AF930" s="17">
        <f ca="1">IFERROR(__xludf.DUMMYFUNCTION("""COMPUTED_VALUE"""),1.12235506512234)</f>
        <v>1.12235506512234</v>
      </c>
      <c r="AG930" s="17">
        <f ca="1">IFERROR(__xludf.DUMMYFUNCTION("""COMPUTED_VALUE"""),1.20740708949245)</f>
        <v>1.20740708949245</v>
      </c>
      <c r="AH930" s="17">
        <f ca="1">IFERROR(__xludf.DUMMYFUNCTION("""COMPUTED_VALUE"""),1.10464126866261)</f>
        <v>1.1046412686626099</v>
      </c>
      <c r="AI930" s="17" t="str">
        <f ca="1">IFERROR(__xludf.DUMMYFUNCTION("""COMPUTED_VALUE"""),"nan")</f>
        <v>nan</v>
      </c>
      <c r="AJ930" s="17">
        <f ca="1">IFERROR(__xludf.DUMMYFUNCTION("""COMPUTED_VALUE"""),1.2022767657332)</f>
        <v>1.2022767657332001</v>
      </c>
    </row>
    <row r="931" spans="2:36" ht="15.75" customHeight="1" x14ac:dyDescent="0.45">
      <c r="B931" s="10" t="str">
        <f ca="1">IFERROR(__xludf.DUMMYFUNCTION("""COMPUTED_VALUE"""),"TwoPatterns")</f>
        <v>TwoPatterns</v>
      </c>
      <c r="C931" s="10" t="str">
        <f ca="1">IFERROR(__xludf.DUMMYFUNCTION("""COMPUTED_VALUE"""),"mcar")</f>
        <v>mcar</v>
      </c>
      <c r="D931" s="10">
        <f ca="1">IFERROR(__xludf.DUMMYFUNCTION("""COMPUTED_VALUE"""),0.8)</f>
        <v>0.8</v>
      </c>
      <c r="E931" s="17">
        <f ca="1">IFERROR(__xludf.DUMMYFUNCTION("""COMPUTED_VALUE"""),1.01887346811701)</f>
        <v>1.01887346811701</v>
      </c>
      <c r="F931" s="17">
        <f ca="1">IFERROR(__xludf.DUMMYFUNCTION("""COMPUTED_VALUE"""),1.106871239639)</f>
        <v>1.1068712396389999</v>
      </c>
      <c r="G931" s="17">
        <f ca="1">IFERROR(__xludf.DUMMYFUNCTION("""COMPUTED_VALUE"""),1.27647405195472)</f>
        <v>1.27647405195472</v>
      </c>
      <c r="H931" s="17">
        <f ca="1">IFERROR(__xludf.DUMMYFUNCTION("""COMPUTED_VALUE"""),1.01592159148606)</f>
        <v>1.01592159148606</v>
      </c>
      <c r="I931" s="17">
        <f ca="1">IFERROR(__xludf.DUMMYFUNCTION("""COMPUTED_VALUE"""),0.947864900066564)</f>
        <v>0.94786490006656399</v>
      </c>
      <c r="J931" s="17">
        <f ca="1">IFERROR(__xludf.DUMMYFUNCTION("""COMPUTED_VALUE"""),1.05187612782118)</f>
        <v>1.0518761278211799</v>
      </c>
      <c r="K931" s="17" t="str">
        <f ca="1">IFERROR(__xludf.DUMMYFUNCTION("""COMPUTED_VALUE"""),"nan")</f>
        <v>nan</v>
      </c>
      <c r="L931" s="17">
        <f ca="1">IFERROR(__xludf.DUMMYFUNCTION("""COMPUTED_VALUE"""),1.13097663885178)</f>
        <v>1.1309766388517799</v>
      </c>
      <c r="M931" s="17">
        <f ca="1">IFERROR(__xludf.DUMMYFUNCTION("""COMPUTED_VALUE"""),1.42104002414586)</f>
        <v>1.4210400241458601</v>
      </c>
      <c r="N931" s="17">
        <f ca="1">IFERROR(__xludf.DUMMYFUNCTION("""COMPUTED_VALUE"""),1.09619258388293)</f>
        <v>1.0961925838829301</v>
      </c>
      <c r="O931" s="17">
        <f ca="1">IFERROR(__xludf.DUMMYFUNCTION("""COMPUTED_VALUE"""),1.27229974938104)</f>
        <v>1.27229974938104</v>
      </c>
      <c r="P931" s="17">
        <f ca="1">IFERROR(__xludf.DUMMYFUNCTION("""COMPUTED_VALUE"""),1.10094606106984)</f>
        <v>1.1009460610698401</v>
      </c>
      <c r="Q931" s="17">
        <f ca="1">IFERROR(__xludf.DUMMYFUNCTION("""COMPUTED_VALUE"""),1.36965354572557)</f>
        <v>1.3696535457255701</v>
      </c>
      <c r="R931" s="17">
        <f ca="1">IFERROR(__xludf.DUMMYFUNCTION("""COMPUTED_VALUE"""),1.00516115975391)</f>
        <v>1.0051611597539101</v>
      </c>
      <c r="S931" s="17">
        <f ca="1">IFERROR(__xludf.DUMMYFUNCTION("""COMPUTED_VALUE"""),1.07820189859684)</f>
        <v>1.07820189859684</v>
      </c>
      <c r="T931" s="17">
        <f ca="1">IFERROR(__xludf.DUMMYFUNCTION("""COMPUTED_VALUE"""),1.06528582641162)</f>
        <v>1.0652858264116201</v>
      </c>
      <c r="U931" s="17">
        <f ca="1">IFERROR(__xludf.DUMMYFUNCTION("""COMPUTED_VALUE"""),1.10222170132308)</f>
        <v>1.1022217013230799</v>
      </c>
      <c r="V931" s="17">
        <f ca="1">IFERROR(__xludf.DUMMYFUNCTION("""COMPUTED_VALUE"""),1.09047444992026)</f>
        <v>1.0904744499202601</v>
      </c>
      <c r="W931" s="17">
        <f ca="1">IFERROR(__xludf.DUMMYFUNCTION("""COMPUTED_VALUE"""),0.983250628783806)</f>
        <v>0.98325062878380598</v>
      </c>
      <c r="X931" s="17">
        <f ca="1">IFERROR(__xludf.DUMMYFUNCTION("""COMPUTED_VALUE"""),0.951301202212492)</f>
        <v>0.95130120221249204</v>
      </c>
      <c r="Y931" s="17">
        <f ca="1">IFERROR(__xludf.DUMMYFUNCTION("""COMPUTED_VALUE"""),1.11058196342937)</f>
        <v>1.1105819634293701</v>
      </c>
      <c r="Z931" s="17">
        <f ca="1">IFERROR(__xludf.DUMMYFUNCTION("""COMPUTED_VALUE"""),0.989309503162621)</f>
        <v>0.98930950316262101</v>
      </c>
      <c r="AA931" s="17">
        <f ca="1">IFERROR(__xludf.DUMMYFUNCTION("""COMPUTED_VALUE"""),1.0563030398595)</f>
        <v>1.0563030398594999</v>
      </c>
      <c r="AB931" s="17">
        <f ca="1">IFERROR(__xludf.DUMMYFUNCTION("""COMPUTED_VALUE"""),1.20436757531887)</f>
        <v>1.2043675753188701</v>
      </c>
      <c r="AC931" s="17">
        <f ca="1">IFERROR(__xludf.DUMMYFUNCTION("""COMPUTED_VALUE"""),1.02587123507613)</f>
        <v>1.0258712350761301</v>
      </c>
      <c r="AD931" s="17">
        <f ca="1">IFERROR(__xludf.DUMMYFUNCTION("""COMPUTED_VALUE"""),1.01692842523682)</f>
        <v>1.01692842523682</v>
      </c>
      <c r="AE931" s="17">
        <f ca="1">IFERROR(__xludf.DUMMYFUNCTION("""COMPUTED_VALUE"""),1.86356064349832)</f>
        <v>1.8635606434983201</v>
      </c>
      <c r="AF931" s="17">
        <f ca="1">IFERROR(__xludf.DUMMYFUNCTION("""COMPUTED_VALUE"""),1.1375728215142)</f>
        <v>1.1375728215142</v>
      </c>
      <c r="AG931" s="17">
        <f ca="1">IFERROR(__xludf.DUMMYFUNCTION("""COMPUTED_VALUE"""),1.19883384475454)</f>
        <v>1.1988338447545399</v>
      </c>
      <c r="AH931" s="17">
        <f ca="1">IFERROR(__xludf.DUMMYFUNCTION("""COMPUTED_VALUE"""),1.07532419442613)</f>
        <v>1.07532419442613</v>
      </c>
      <c r="AI931" s="17" t="str">
        <f ca="1">IFERROR(__xludf.DUMMYFUNCTION("""COMPUTED_VALUE"""),"nan")</f>
        <v>nan</v>
      </c>
      <c r="AJ931" s="17">
        <f ca="1">IFERROR(__xludf.DUMMYFUNCTION("""COMPUTED_VALUE"""),1.19765445581474)</f>
        <v>1.1976544558147399</v>
      </c>
    </row>
    <row r="932" spans="2:36" ht="15.75" customHeight="1" x14ac:dyDescent="0.45">
      <c r="B932" s="10" t="str">
        <f ca="1">IFERROR(__xludf.DUMMYFUNCTION("""COMPUTED_VALUE"""),"UMD")</f>
        <v>UMD</v>
      </c>
      <c r="C932" s="10" t="str">
        <f ca="1">IFERROR(__xludf.DUMMYFUNCTION("""COMPUTED_VALUE"""),"aligned_series")</f>
        <v>aligned_series</v>
      </c>
      <c r="D932" s="10">
        <f ca="1">IFERROR(__xludf.DUMMYFUNCTION("""COMPUTED_VALUE"""),0.1)</f>
        <v>0.1</v>
      </c>
      <c r="E932" s="17">
        <f ca="1">IFERROR(__xludf.DUMMYFUNCTION("""COMPUTED_VALUE"""),0.97435288255394)</f>
        <v>0.97435288255394004</v>
      </c>
      <c r="F932" s="17">
        <f ca="1">IFERROR(__xludf.DUMMYFUNCTION("""COMPUTED_VALUE"""),0.543842162251888)</f>
        <v>0.54384216225188797</v>
      </c>
      <c r="G932" s="17">
        <f ca="1">IFERROR(__xludf.DUMMYFUNCTION("""COMPUTED_VALUE"""),0.719070562042995)</f>
        <v>0.71907056204299502</v>
      </c>
      <c r="H932" s="17">
        <f ca="1">IFERROR(__xludf.DUMMYFUNCTION("""COMPUTED_VALUE"""),0.580417000880608)</f>
        <v>0.58041700088060799</v>
      </c>
      <c r="I932" s="17">
        <f ca="1">IFERROR(__xludf.DUMMYFUNCTION("""COMPUTED_VALUE"""),0.693559929748096)</f>
        <v>0.69355992974809599</v>
      </c>
      <c r="J932" s="17">
        <f ca="1">IFERROR(__xludf.DUMMYFUNCTION("""COMPUTED_VALUE"""),0.472146747508865)</f>
        <v>0.47214674750886498</v>
      </c>
      <c r="K932" s="17" t="str">
        <f ca="1">IFERROR(__xludf.DUMMYFUNCTION("""COMPUTED_VALUE"""),"nan")</f>
        <v>nan</v>
      </c>
      <c r="L932" s="17">
        <f ca="1">IFERROR(__xludf.DUMMYFUNCTION("""COMPUTED_VALUE"""),0.779719064831413)</f>
        <v>0.77971906483141296</v>
      </c>
      <c r="M932" s="17">
        <f ca="1">IFERROR(__xludf.DUMMYFUNCTION("""COMPUTED_VALUE"""),0.550971892999802)</f>
        <v>0.55097189299980198</v>
      </c>
      <c r="N932" s="17">
        <f ca="1">IFERROR(__xludf.DUMMYFUNCTION("""COMPUTED_VALUE"""),0.368713519460509)</f>
        <v>0.36871351946050901</v>
      </c>
      <c r="O932" s="17">
        <f ca="1">IFERROR(__xludf.DUMMYFUNCTION("""COMPUTED_VALUE"""),0.975792906935565)</f>
        <v>0.97579290693556497</v>
      </c>
      <c r="P932" s="17">
        <f ca="1">IFERROR(__xludf.DUMMYFUNCTION("""COMPUTED_VALUE"""),0.94372741042287)</f>
        <v>0.94372741042287001</v>
      </c>
      <c r="Q932" s="17">
        <f ca="1">IFERROR(__xludf.DUMMYFUNCTION("""COMPUTED_VALUE"""),0.533987380622714)</f>
        <v>0.533987380622714</v>
      </c>
      <c r="R932" s="17">
        <f ca="1">IFERROR(__xludf.DUMMYFUNCTION("""COMPUTED_VALUE"""),1.47195141431301)</f>
        <v>1.4719514143130099</v>
      </c>
      <c r="S932" s="17">
        <f ca="1">IFERROR(__xludf.DUMMYFUNCTION("""COMPUTED_VALUE"""),0.664899647876452)</f>
        <v>0.66489964787645195</v>
      </c>
      <c r="T932" s="17">
        <f ca="1">IFERROR(__xludf.DUMMYFUNCTION("""COMPUTED_VALUE"""),0.71299285903306)</f>
        <v>0.71299285903305998</v>
      </c>
      <c r="U932" s="17">
        <f ca="1">IFERROR(__xludf.DUMMYFUNCTION("""COMPUTED_VALUE"""),0.685252499768419)</f>
        <v>0.68525249976841895</v>
      </c>
      <c r="V932" s="17">
        <f ca="1">IFERROR(__xludf.DUMMYFUNCTION("""COMPUTED_VALUE"""),0.75510716524664)</f>
        <v>0.75510716524664001</v>
      </c>
      <c r="W932" s="17">
        <f ca="1">IFERROR(__xludf.DUMMYFUNCTION("""COMPUTED_VALUE"""),0.63806881965247)</f>
        <v>0.63806881965246998</v>
      </c>
      <c r="X932" s="17">
        <f ca="1">IFERROR(__xludf.DUMMYFUNCTION("""COMPUTED_VALUE"""),0.659524940108815)</f>
        <v>0.65952494010881502</v>
      </c>
      <c r="Y932" s="17">
        <f ca="1">IFERROR(__xludf.DUMMYFUNCTION("""COMPUTED_VALUE"""),0.552649262218326)</f>
        <v>0.552649262218326</v>
      </c>
      <c r="Z932" s="17">
        <f ca="1">IFERROR(__xludf.DUMMYFUNCTION("""COMPUTED_VALUE"""),0.638370626246688)</f>
        <v>0.63837062624668806</v>
      </c>
      <c r="AA932" s="17">
        <f ca="1">IFERROR(__xludf.DUMMYFUNCTION("""COMPUTED_VALUE"""),0.772186556133209)</f>
        <v>0.77218655613320897</v>
      </c>
      <c r="AB932" s="17">
        <f ca="1">IFERROR(__xludf.DUMMYFUNCTION("""COMPUTED_VALUE"""),0.898743721942448)</f>
        <v>0.898743721942448</v>
      </c>
      <c r="AC932" s="17">
        <f ca="1">IFERROR(__xludf.DUMMYFUNCTION("""COMPUTED_VALUE"""),0.79800067527591)</f>
        <v>0.79800067527591001</v>
      </c>
      <c r="AD932" s="17">
        <f ca="1">IFERROR(__xludf.DUMMYFUNCTION("""COMPUTED_VALUE"""),0.806394011740624)</f>
        <v>0.80639401174062397</v>
      </c>
      <c r="AE932" s="17">
        <f ca="1">IFERROR(__xludf.DUMMYFUNCTION("""COMPUTED_VALUE"""),0.884359703677115)</f>
        <v>0.88435970367711503</v>
      </c>
      <c r="AF932" s="17">
        <f ca="1">IFERROR(__xludf.DUMMYFUNCTION("""COMPUTED_VALUE"""),0.630455070291862)</f>
        <v>0.63045507029186199</v>
      </c>
      <c r="AG932" s="17">
        <f ca="1">IFERROR(__xludf.DUMMYFUNCTION("""COMPUTED_VALUE"""),1.18502606351838)</f>
        <v>1.18502606351838</v>
      </c>
      <c r="AH932" s="17">
        <f ca="1">IFERROR(__xludf.DUMMYFUNCTION("""COMPUTED_VALUE"""),0.663585525886986)</f>
        <v>0.66358552588698605</v>
      </c>
      <c r="AI932" s="17">
        <f ca="1">IFERROR(__xludf.DUMMYFUNCTION("""COMPUTED_VALUE"""),0.670069853153393)</f>
        <v>0.67006985315339296</v>
      </c>
      <c r="AJ932" s="17">
        <f ca="1">IFERROR(__xludf.DUMMYFUNCTION("""COMPUTED_VALUE"""),0.87688398366013)</f>
        <v>0.87688398366012998</v>
      </c>
    </row>
    <row r="933" spans="2:36" ht="15.75" customHeight="1" x14ac:dyDescent="0.45">
      <c r="B933" s="10" t="str">
        <f ca="1">IFERROR(__xludf.DUMMYFUNCTION("""COMPUTED_VALUE"""),"UMD")</f>
        <v>UMD</v>
      </c>
      <c r="C933" s="10" t="str">
        <f ca="1">IFERROR(__xludf.DUMMYFUNCTION("""COMPUTED_VALUE"""),"aligned_series")</f>
        <v>aligned_series</v>
      </c>
      <c r="D933" s="10">
        <f ca="1">IFERROR(__xludf.DUMMYFUNCTION("""COMPUTED_VALUE"""),0.2)</f>
        <v>0.2</v>
      </c>
      <c r="E933" s="17">
        <f ca="1">IFERROR(__xludf.DUMMYFUNCTION("""COMPUTED_VALUE"""),0.992668111508995)</f>
        <v>0.99266811150899503</v>
      </c>
      <c r="F933" s="17">
        <f ca="1">IFERROR(__xludf.DUMMYFUNCTION("""COMPUTED_VALUE"""),0.803400293414645)</f>
        <v>0.80340029341464503</v>
      </c>
      <c r="G933" s="17">
        <f ca="1">IFERROR(__xludf.DUMMYFUNCTION("""COMPUTED_VALUE"""),0.809181846090201)</f>
        <v>0.80918184609020105</v>
      </c>
      <c r="H933" s="17">
        <f ca="1">IFERROR(__xludf.DUMMYFUNCTION("""COMPUTED_VALUE"""),0.785920045284006)</f>
        <v>0.78592004528400605</v>
      </c>
      <c r="I933" s="17">
        <f ca="1">IFERROR(__xludf.DUMMYFUNCTION("""COMPUTED_VALUE"""),0.757554629189308)</f>
        <v>0.75755462918930805</v>
      </c>
      <c r="J933" s="17">
        <f ca="1">IFERROR(__xludf.DUMMYFUNCTION("""COMPUTED_VALUE"""),0.605107837961778)</f>
        <v>0.60510783796177803</v>
      </c>
      <c r="K933" s="17" t="str">
        <f ca="1">IFERROR(__xludf.DUMMYFUNCTION("""COMPUTED_VALUE"""),"nan")</f>
        <v>nan</v>
      </c>
      <c r="L933" s="17">
        <f ca="1">IFERROR(__xludf.DUMMYFUNCTION("""COMPUTED_VALUE"""),0.782664082916797)</f>
        <v>0.78266408291679701</v>
      </c>
      <c r="M933" s="17">
        <f ca="1">IFERROR(__xludf.DUMMYFUNCTION("""COMPUTED_VALUE"""),0.921241835295602)</f>
        <v>0.921241835295602</v>
      </c>
      <c r="N933" s="17">
        <f ca="1">IFERROR(__xludf.DUMMYFUNCTION("""COMPUTED_VALUE"""),0.635019438661899)</f>
        <v>0.63501943866189903</v>
      </c>
      <c r="O933" s="17">
        <f ca="1">IFERROR(__xludf.DUMMYFUNCTION("""COMPUTED_VALUE"""),0.894112847247079)</f>
        <v>0.89411284724707896</v>
      </c>
      <c r="P933" s="17">
        <f ca="1">IFERROR(__xludf.DUMMYFUNCTION("""COMPUTED_VALUE"""),0.952472263776683)</f>
        <v>0.95247226377668304</v>
      </c>
      <c r="Q933" s="17">
        <f ca="1">IFERROR(__xludf.DUMMYFUNCTION("""COMPUTED_VALUE"""),0.990763664004063)</f>
        <v>0.99076366400406302</v>
      </c>
      <c r="R933" s="17">
        <f ca="1">IFERROR(__xludf.DUMMYFUNCTION("""COMPUTED_VALUE"""),1.51263334700163)</f>
        <v>1.51263334700163</v>
      </c>
      <c r="S933" s="17">
        <f ca="1">IFERROR(__xludf.DUMMYFUNCTION("""COMPUTED_VALUE"""),0.702536186127302)</f>
        <v>0.70253618612730195</v>
      </c>
      <c r="T933" s="17">
        <f ca="1">IFERROR(__xludf.DUMMYFUNCTION("""COMPUTED_VALUE"""),0.788058996126563)</f>
        <v>0.78805899612656305</v>
      </c>
      <c r="U933" s="17">
        <f ca="1">IFERROR(__xludf.DUMMYFUNCTION("""COMPUTED_VALUE"""),0.74788501720262)</f>
        <v>0.74788501720262002</v>
      </c>
      <c r="V933" s="17">
        <f ca="1">IFERROR(__xludf.DUMMYFUNCTION("""COMPUTED_VALUE"""),0.842752999466243)</f>
        <v>0.84275299946624305</v>
      </c>
      <c r="W933" s="17">
        <f ca="1">IFERROR(__xludf.DUMMYFUNCTION("""COMPUTED_VALUE"""),0.65660950303535)</f>
        <v>0.65660950303535004</v>
      </c>
      <c r="X933" s="17">
        <f ca="1">IFERROR(__xludf.DUMMYFUNCTION("""COMPUTED_VALUE"""),0.743780430260374)</f>
        <v>0.74378043026037399</v>
      </c>
      <c r="Y933" s="17">
        <f ca="1">IFERROR(__xludf.DUMMYFUNCTION("""COMPUTED_VALUE"""),0.667856311863692)</f>
        <v>0.66785631186369199</v>
      </c>
      <c r="Z933" s="17">
        <f ca="1">IFERROR(__xludf.DUMMYFUNCTION("""COMPUTED_VALUE"""),0.743772967227249)</f>
        <v>0.74377296722724895</v>
      </c>
      <c r="AA933" s="17">
        <f ca="1">IFERROR(__xludf.DUMMYFUNCTION("""COMPUTED_VALUE"""),0.793497408285438)</f>
        <v>0.79349740828543802</v>
      </c>
      <c r="AB933" s="17">
        <f ca="1">IFERROR(__xludf.DUMMYFUNCTION("""COMPUTED_VALUE"""),0.803697113751617)</f>
        <v>0.80369711375161701</v>
      </c>
      <c r="AC933" s="17">
        <f ca="1">IFERROR(__xludf.DUMMYFUNCTION("""COMPUTED_VALUE"""),0.990891516925961)</f>
        <v>0.990891516925961</v>
      </c>
      <c r="AD933" s="17">
        <f ca="1">IFERROR(__xludf.DUMMYFUNCTION("""COMPUTED_VALUE"""),0.863086868553625)</f>
        <v>0.86308686855362504</v>
      </c>
      <c r="AE933" s="17">
        <f ca="1">IFERROR(__xludf.DUMMYFUNCTION("""COMPUTED_VALUE"""),0.912002198896865)</f>
        <v>0.91200219889686496</v>
      </c>
      <c r="AF933" s="17">
        <f ca="1">IFERROR(__xludf.DUMMYFUNCTION("""COMPUTED_VALUE"""),0.849549787126487)</f>
        <v>0.84954978712648699</v>
      </c>
      <c r="AG933" s="17">
        <f ca="1">IFERROR(__xludf.DUMMYFUNCTION("""COMPUTED_VALUE"""),1.38164874193312)</f>
        <v>1.38164874193312</v>
      </c>
      <c r="AH933" s="17">
        <f ca="1">IFERROR(__xludf.DUMMYFUNCTION("""COMPUTED_VALUE"""),0.67665086929978)</f>
        <v>0.67665086929978002</v>
      </c>
      <c r="AI933" s="17">
        <f ca="1">IFERROR(__xludf.DUMMYFUNCTION("""COMPUTED_VALUE"""),0.684464178342238)</f>
        <v>0.68446417834223805</v>
      </c>
      <c r="AJ933" s="17">
        <f ca="1">IFERROR(__xludf.DUMMYFUNCTION("""COMPUTED_VALUE"""),0.849700551084797)</f>
        <v>0.84970055108479703</v>
      </c>
    </row>
    <row r="934" spans="2:36" ht="15.75" customHeight="1" x14ac:dyDescent="0.45">
      <c r="B934" s="10" t="str">
        <f ca="1">IFERROR(__xludf.DUMMYFUNCTION("""COMPUTED_VALUE"""),"UMD")</f>
        <v>UMD</v>
      </c>
      <c r="C934" s="10" t="str">
        <f ca="1">IFERROR(__xludf.DUMMYFUNCTION("""COMPUTED_VALUE"""),"aligned_series")</f>
        <v>aligned_series</v>
      </c>
      <c r="D934" s="10">
        <f ca="1">IFERROR(__xludf.DUMMYFUNCTION("""COMPUTED_VALUE"""),0.4)</f>
        <v>0.4</v>
      </c>
      <c r="E934" s="17">
        <f ca="1">IFERROR(__xludf.DUMMYFUNCTION("""COMPUTED_VALUE"""),0.909096819880244)</f>
        <v>0.90909681988024404</v>
      </c>
      <c r="F934" s="17">
        <f ca="1">IFERROR(__xludf.DUMMYFUNCTION("""COMPUTED_VALUE"""),0.761273045151214)</f>
        <v>0.76127304515121397</v>
      </c>
      <c r="G934" s="17">
        <f ca="1">IFERROR(__xludf.DUMMYFUNCTION("""COMPUTED_VALUE"""),0.906785622574652)</f>
        <v>0.90678562257465201</v>
      </c>
      <c r="H934" s="17">
        <f ca="1">IFERROR(__xludf.DUMMYFUNCTION("""COMPUTED_VALUE"""),0.680079299682003)</f>
        <v>0.68007929968200298</v>
      </c>
      <c r="I934" s="17">
        <f ca="1">IFERROR(__xludf.DUMMYFUNCTION("""COMPUTED_VALUE"""),0.640235235930226)</f>
        <v>0.64023523593022602</v>
      </c>
      <c r="J934" s="17">
        <f ca="1">IFERROR(__xludf.DUMMYFUNCTION("""COMPUTED_VALUE"""),0.586668617091545)</f>
        <v>0.58666861709154505</v>
      </c>
      <c r="K934" s="17" t="str">
        <f ca="1">IFERROR(__xludf.DUMMYFUNCTION("""COMPUTED_VALUE"""),"nan")</f>
        <v>nan</v>
      </c>
      <c r="L934" s="17">
        <f ca="1">IFERROR(__xludf.DUMMYFUNCTION("""COMPUTED_VALUE"""),0.711386255123986)</f>
        <v>0.71138625512398601</v>
      </c>
      <c r="M934" s="17">
        <f ca="1">IFERROR(__xludf.DUMMYFUNCTION("""COMPUTED_VALUE"""),0.785878624705095)</f>
        <v>0.78587862470509495</v>
      </c>
      <c r="N934" s="17">
        <f ca="1">IFERROR(__xludf.DUMMYFUNCTION("""COMPUTED_VALUE"""),0.678193902956766)</f>
        <v>0.67819390295676596</v>
      </c>
      <c r="O934" s="17">
        <f ca="1">IFERROR(__xludf.DUMMYFUNCTION("""COMPUTED_VALUE"""),0.972485361894912)</f>
        <v>0.97248536189491197</v>
      </c>
      <c r="P934" s="17">
        <f ca="1">IFERROR(__xludf.DUMMYFUNCTION("""COMPUTED_VALUE"""),0.789391478401009)</f>
        <v>0.78939147840100898</v>
      </c>
      <c r="Q934" s="17">
        <f ca="1">IFERROR(__xludf.DUMMYFUNCTION("""COMPUTED_VALUE"""),1.16514764976351)</f>
        <v>1.16514764976351</v>
      </c>
      <c r="R934" s="17">
        <f ca="1">IFERROR(__xludf.DUMMYFUNCTION("""COMPUTED_VALUE"""),1.5128042768733)</f>
        <v>1.5128042768733001</v>
      </c>
      <c r="S934" s="17">
        <f ca="1">IFERROR(__xludf.DUMMYFUNCTION("""COMPUTED_VALUE"""),0.586355722368217)</f>
        <v>0.58635572236821698</v>
      </c>
      <c r="T934" s="17">
        <f ca="1">IFERROR(__xludf.DUMMYFUNCTION("""COMPUTED_VALUE"""),0.759440785175845)</f>
        <v>0.75944078517584501</v>
      </c>
      <c r="U934" s="17">
        <f ca="1">IFERROR(__xludf.DUMMYFUNCTION("""COMPUTED_VALUE"""),0.56693327184977)</f>
        <v>0.56693327184977005</v>
      </c>
      <c r="V934" s="17">
        <f ca="1">IFERROR(__xludf.DUMMYFUNCTION("""COMPUTED_VALUE"""),0.654732823008935)</f>
        <v>0.65473282300893498</v>
      </c>
      <c r="W934" s="17">
        <f ca="1">IFERROR(__xludf.DUMMYFUNCTION("""COMPUTED_VALUE"""),0.601416353163861)</f>
        <v>0.60141635316386099</v>
      </c>
      <c r="X934" s="17">
        <f ca="1">IFERROR(__xludf.DUMMYFUNCTION("""COMPUTED_VALUE"""),0.596127849962798)</f>
        <v>0.596127849962798</v>
      </c>
      <c r="Y934" s="17">
        <f ca="1">IFERROR(__xludf.DUMMYFUNCTION("""COMPUTED_VALUE"""),0.534205723377222)</f>
        <v>0.53420572337722205</v>
      </c>
      <c r="Z934" s="17">
        <f ca="1">IFERROR(__xludf.DUMMYFUNCTION("""COMPUTED_VALUE"""),0.56875018319952)</f>
        <v>0.56875018319951998</v>
      </c>
      <c r="AA934" s="17">
        <f ca="1">IFERROR(__xludf.DUMMYFUNCTION("""COMPUTED_VALUE"""),0.741824186508684)</f>
        <v>0.74182418650868398</v>
      </c>
      <c r="AB934" s="17">
        <f ca="1">IFERROR(__xludf.DUMMYFUNCTION("""COMPUTED_VALUE"""),0.794983573913694)</f>
        <v>0.79498357391369401</v>
      </c>
      <c r="AC934" s="17">
        <f ca="1">IFERROR(__xludf.DUMMYFUNCTION("""COMPUTED_VALUE"""),0.745510451014495)</f>
        <v>0.74551045101449498</v>
      </c>
      <c r="AD934" s="17">
        <f ca="1">IFERROR(__xludf.DUMMYFUNCTION("""COMPUTED_VALUE"""),0.625325199325373)</f>
        <v>0.625325199325373</v>
      </c>
      <c r="AE934" s="17">
        <f ca="1">IFERROR(__xludf.DUMMYFUNCTION("""COMPUTED_VALUE"""),0.785061965858725)</f>
        <v>0.78506196585872501</v>
      </c>
      <c r="AF934" s="17">
        <f ca="1">IFERROR(__xludf.DUMMYFUNCTION("""COMPUTED_VALUE"""),1.06378496628883)</f>
        <v>1.0637849662888299</v>
      </c>
      <c r="AG934" s="17">
        <f ca="1">IFERROR(__xludf.DUMMYFUNCTION("""COMPUTED_VALUE"""),1.25542213527523)</f>
        <v>1.2554221352752299</v>
      </c>
      <c r="AH934" s="17">
        <f ca="1">IFERROR(__xludf.DUMMYFUNCTION("""COMPUTED_VALUE"""),0.536261798622929)</f>
        <v>0.536261798622929</v>
      </c>
      <c r="AI934" s="17">
        <f ca="1">IFERROR(__xludf.DUMMYFUNCTION("""COMPUTED_VALUE"""),0.545353061237936)</f>
        <v>0.54535306123793603</v>
      </c>
      <c r="AJ934" s="17">
        <f ca="1">IFERROR(__xludf.DUMMYFUNCTION("""COMPUTED_VALUE"""),0.725588114056781)</f>
        <v>0.72558811405678103</v>
      </c>
    </row>
    <row r="935" spans="2:36" ht="15.75" customHeight="1" x14ac:dyDescent="0.45">
      <c r="B935" s="10" t="str">
        <f ca="1">IFERROR(__xludf.DUMMYFUNCTION("""COMPUTED_VALUE"""),"UMD")</f>
        <v>UMD</v>
      </c>
      <c r="C935" s="10" t="str">
        <f ca="1">IFERROR(__xludf.DUMMYFUNCTION("""COMPUTED_VALUE"""),"aligned_series")</f>
        <v>aligned_series</v>
      </c>
      <c r="D935" s="10">
        <f ca="1">IFERROR(__xludf.DUMMYFUNCTION("""COMPUTED_VALUE"""),0.6)</f>
        <v>0.6</v>
      </c>
      <c r="E935" s="17">
        <f ca="1">IFERROR(__xludf.DUMMYFUNCTION("""COMPUTED_VALUE"""),0.954621498070859)</f>
        <v>0.95462149807085905</v>
      </c>
      <c r="F935" s="17">
        <f ca="1">IFERROR(__xludf.DUMMYFUNCTION("""COMPUTED_VALUE"""),0.613058038043283)</f>
        <v>0.61305803804328296</v>
      </c>
      <c r="G935" s="17">
        <f ca="1">IFERROR(__xludf.DUMMYFUNCTION("""COMPUTED_VALUE"""),0.614293432718727)</f>
        <v>0.61429343271872705</v>
      </c>
      <c r="H935" s="17">
        <f ca="1">IFERROR(__xludf.DUMMYFUNCTION("""COMPUTED_VALUE"""),1.07535538292204)</f>
        <v>1.0753553829220399</v>
      </c>
      <c r="I935" s="17">
        <f ca="1">IFERROR(__xludf.DUMMYFUNCTION("""COMPUTED_VALUE"""),0.676980331848408)</f>
        <v>0.676980331848408</v>
      </c>
      <c r="J935" s="17">
        <f ca="1">IFERROR(__xludf.DUMMYFUNCTION("""COMPUTED_VALUE"""),0.576799245697112)</f>
        <v>0.57679924569711205</v>
      </c>
      <c r="K935" s="17" t="str">
        <f ca="1">IFERROR(__xludf.DUMMYFUNCTION("""COMPUTED_VALUE"""),"nan")</f>
        <v>nan</v>
      </c>
      <c r="L935" s="17">
        <f ca="1">IFERROR(__xludf.DUMMYFUNCTION("""COMPUTED_VALUE"""),0.667151342527445)</f>
        <v>0.66715134252744501</v>
      </c>
      <c r="M935" s="17">
        <f ca="1">IFERROR(__xludf.DUMMYFUNCTION("""COMPUTED_VALUE"""),0.632013263099758)</f>
        <v>0.63201326309975803</v>
      </c>
      <c r="N935" s="17">
        <f ca="1">IFERROR(__xludf.DUMMYFUNCTION("""COMPUTED_VALUE"""),0.898470183768947)</f>
        <v>0.89847018376894705</v>
      </c>
      <c r="O935" s="17">
        <f ca="1">IFERROR(__xludf.DUMMYFUNCTION("""COMPUTED_VALUE"""),0.720866505721423)</f>
        <v>0.72086650572142297</v>
      </c>
      <c r="P935" s="17">
        <f ca="1">IFERROR(__xludf.DUMMYFUNCTION("""COMPUTED_VALUE"""),1.15602842282614)</f>
        <v>1.1560284228261399</v>
      </c>
      <c r="Q935" s="17">
        <f ca="1">IFERROR(__xludf.DUMMYFUNCTION("""COMPUTED_VALUE"""),1.13615978442899)</f>
        <v>1.1361597844289899</v>
      </c>
      <c r="R935" s="17">
        <f ca="1">IFERROR(__xludf.DUMMYFUNCTION("""COMPUTED_VALUE"""),1.05728499277031)</f>
        <v>1.0572849927703101</v>
      </c>
      <c r="S935" s="17">
        <f ca="1">IFERROR(__xludf.DUMMYFUNCTION("""COMPUTED_VALUE"""),0.663614614684008)</f>
        <v>0.66361461468400795</v>
      </c>
      <c r="T935" s="17">
        <f ca="1">IFERROR(__xludf.DUMMYFUNCTION("""COMPUTED_VALUE"""),0.625862224556598)</f>
        <v>0.62586222455659801</v>
      </c>
      <c r="U935" s="17">
        <f ca="1">IFERROR(__xludf.DUMMYFUNCTION("""COMPUTED_VALUE"""),0.62449639867446)</f>
        <v>0.62449639867446005</v>
      </c>
      <c r="V935" s="17">
        <f ca="1">IFERROR(__xludf.DUMMYFUNCTION("""COMPUTED_VALUE"""),0.657319159193184)</f>
        <v>0.65731915919318396</v>
      </c>
      <c r="W935" s="17">
        <f ca="1">IFERROR(__xludf.DUMMYFUNCTION("""COMPUTED_VALUE"""),0.763375292464457)</f>
        <v>0.76337529246445701</v>
      </c>
      <c r="X935" s="17">
        <f ca="1">IFERROR(__xludf.DUMMYFUNCTION("""COMPUTED_VALUE"""),0.631523179667693)</f>
        <v>0.631523179667693</v>
      </c>
      <c r="Y935" s="17">
        <f ca="1">IFERROR(__xludf.DUMMYFUNCTION("""COMPUTED_VALUE"""),0.577944997789931)</f>
        <v>0.57794499778993103</v>
      </c>
      <c r="Z935" s="17">
        <f ca="1">IFERROR(__xludf.DUMMYFUNCTION("""COMPUTED_VALUE"""),0.653761036836488)</f>
        <v>0.65376103683648801</v>
      </c>
      <c r="AA935" s="17">
        <f ca="1">IFERROR(__xludf.DUMMYFUNCTION("""COMPUTED_VALUE"""),1.11004073918053)</f>
        <v>1.11004073918053</v>
      </c>
      <c r="AB935" s="17">
        <f ca="1">IFERROR(__xludf.DUMMYFUNCTION("""COMPUTED_VALUE"""),0.970650239466347)</f>
        <v>0.97065023946634699</v>
      </c>
      <c r="AC935" s="17">
        <f ca="1">IFERROR(__xludf.DUMMYFUNCTION("""COMPUTED_VALUE"""),0.836563975991678)</f>
        <v>0.83656397599167798</v>
      </c>
      <c r="AD935" s="17">
        <f ca="1">IFERROR(__xludf.DUMMYFUNCTION("""COMPUTED_VALUE"""),0.749811228006166)</f>
        <v>0.74981122800616595</v>
      </c>
      <c r="AE935" s="17">
        <f ca="1">IFERROR(__xludf.DUMMYFUNCTION("""COMPUTED_VALUE"""),0.912447966739444)</f>
        <v>0.91244796673944395</v>
      </c>
      <c r="AF935" s="17">
        <f ca="1">IFERROR(__xludf.DUMMYFUNCTION("""COMPUTED_VALUE"""),1.04402131782129)</f>
        <v>1.04402131782129</v>
      </c>
      <c r="AG935" s="17">
        <f ca="1">IFERROR(__xludf.DUMMYFUNCTION("""COMPUTED_VALUE"""),1.13122809048013)</f>
        <v>1.13122809048013</v>
      </c>
      <c r="AH935" s="17">
        <f ca="1">IFERROR(__xludf.DUMMYFUNCTION("""COMPUTED_VALUE"""),0.604914408294789)</f>
        <v>0.60491440829478904</v>
      </c>
      <c r="AI935" s="17">
        <f ca="1">IFERROR(__xludf.DUMMYFUNCTION("""COMPUTED_VALUE"""),0.615050267655704)</f>
        <v>0.61505026765570403</v>
      </c>
      <c r="AJ935" s="17">
        <f ca="1">IFERROR(__xludf.DUMMYFUNCTION("""COMPUTED_VALUE"""),0.983056670421004)</f>
        <v>0.98305667042100398</v>
      </c>
    </row>
    <row r="936" spans="2:36" ht="15.75" customHeight="1" x14ac:dyDescent="0.45">
      <c r="B936" s="10" t="str">
        <f ca="1">IFERROR(__xludf.DUMMYFUNCTION("""COMPUTED_VALUE"""),"UMD")</f>
        <v>UMD</v>
      </c>
      <c r="C936" s="10" t="str">
        <f ca="1">IFERROR(__xludf.DUMMYFUNCTION("""COMPUTED_VALUE"""),"aligned_series")</f>
        <v>aligned_series</v>
      </c>
      <c r="D936" s="10">
        <f ca="1">IFERROR(__xludf.DUMMYFUNCTION("""COMPUTED_VALUE"""),0.8)</f>
        <v>0.8</v>
      </c>
      <c r="E936" s="17">
        <f ca="1">IFERROR(__xludf.DUMMYFUNCTION("""COMPUTED_VALUE"""),0.947124456168798)</f>
        <v>0.94712445616879803</v>
      </c>
      <c r="F936" s="17">
        <f ca="1">IFERROR(__xludf.DUMMYFUNCTION("""COMPUTED_VALUE"""),0.639839860959168)</f>
        <v>0.63983986095916801</v>
      </c>
      <c r="G936" s="17">
        <f ca="1">IFERROR(__xludf.DUMMYFUNCTION("""COMPUTED_VALUE"""),0.652138483486012)</f>
        <v>0.652138483486012</v>
      </c>
      <c r="H936" s="17">
        <f ca="1">IFERROR(__xludf.DUMMYFUNCTION("""COMPUTED_VALUE"""),0.692604307483194)</f>
        <v>0.69260430748319401</v>
      </c>
      <c r="I936" s="17">
        <f ca="1">IFERROR(__xludf.DUMMYFUNCTION("""COMPUTED_VALUE"""),0.736558022444805)</f>
        <v>0.73655802244480495</v>
      </c>
      <c r="J936" s="17">
        <f ca="1">IFERROR(__xludf.DUMMYFUNCTION("""COMPUTED_VALUE"""),0.590258084299195)</f>
        <v>0.59025808429919502</v>
      </c>
      <c r="K936" s="17" t="str">
        <f ca="1">IFERROR(__xludf.DUMMYFUNCTION("""COMPUTED_VALUE"""),"nan")</f>
        <v>nan</v>
      </c>
      <c r="L936" s="17">
        <f ca="1">IFERROR(__xludf.DUMMYFUNCTION("""COMPUTED_VALUE"""),0.652106674909787)</f>
        <v>0.65210667490978702</v>
      </c>
      <c r="M936" s="17">
        <f ca="1">IFERROR(__xludf.DUMMYFUNCTION("""COMPUTED_VALUE"""),0.572594999179666)</f>
        <v>0.57259499917966605</v>
      </c>
      <c r="N936" s="17">
        <f ca="1">IFERROR(__xludf.DUMMYFUNCTION("""COMPUTED_VALUE"""),0.767020732073178)</f>
        <v>0.767020732073178</v>
      </c>
      <c r="O936" s="17">
        <f ca="1">IFERROR(__xludf.DUMMYFUNCTION("""COMPUTED_VALUE"""),0.562846237348715)</f>
        <v>0.56284623734871497</v>
      </c>
      <c r="P936" s="17">
        <f ca="1">IFERROR(__xludf.DUMMYFUNCTION("""COMPUTED_VALUE"""),1.24055680064546)</f>
        <v>1.2405568006454599</v>
      </c>
      <c r="Q936" s="17">
        <f ca="1">IFERROR(__xludf.DUMMYFUNCTION("""COMPUTED_VALUE"""),0.986258928893654)</f>
        <v>0.98625892889365396</v>
      </c>
      <c r="R936" s="17">
        <f ca="1">IFERROR(__xludf.DUMMYFUNCTION("""COMPUTED_VALUE"""),1.03923717027416)</f>
        <v>1.0392371702741601</v>
      </c>
      <c r="S936" s="17">
        <f ca="1">IFERROR(__xludf.DUMMYFUNCTION("""COMPUTED_VALUE"""),0.635490578904437)</f>
        <v>0.63549057890443705</v>
      </c>
      <c r="T936" s="17">
        <f ca="1">IFERROR(__xludf.DUMMYFUNCTION("""COMPUTED_VALUE"""),0.69167191256035)</f>
        <v>0.69167191256034999</v>
      </c>
      <c r="U936" s="17">
        <f ca="1">IFERROR(__xludf.DUMMYFUNCTION("""COMPUTED_VALUE"""),0.616485009987661)</f>
        <v>0.61648500998766098</v>
      </c>
      <c r="V936" s="17">
        <f ca="1">IFERROR(__xludf.DUMMYFUNCTION("""COMPUTED_VALUE"""),0.655508484479233)</f>
        <v>0.65550848447923304</v>
      </c>
      <c r="W936" s="17">
        <f ca="1">IFERROR(__xludf.DUMMYFUNCTION("""COMPUTED_VALUE"""),0.680159688017598)</f>
        <v>0.68015968801759796</v>
      </c>
      <c r="X936" s="17">
        <f ca="1">IFERROR(__xludf.DUMMYFUNCTION("""COMPUTED_VALUE"""),0.622418724486278)</f>
        <v>0.622418724486278</v>
      </c>
      <c r="Y936" s="17">
        <f ca="1">IFERROR(__xludf.DUMMYFUNCTION("""COMPUTED_VALUE"""),0.582259238317714)</f>
        <v>0.58225923831771398</v>
      </c>
      <c r="Z936" s="17">
        <f ca="1">IFERROR(__xludf.DUMMYFUNCTION("""COMPUTED_VALUE"""),0.631159980731439)</f>
        <v>0.63115998073143897</v>
      </c>
      <c r="AA936" s="17">
        <f ca="1">IFERROR(__xludf.DUMMYFUNCTION("""COMPUTED_VALUE"""),0.584572746631135)</f>
        <v>0.58457274663113501</v>
      </c>
      <c r="AB936" s="17">
        <f ca="1">IFERROR(__xludf.DUMMYFUNCTION("""COMPUTED_VALUE"""),1.39009849270821)</f>
        <v>1.3900984927082101</v>
      </c>
      <c r="AC936" s="17">
        <f ca="1">IFERROR(__xludf.DUMMYFUNCTION("""COMPUTED_VALUE"""),0.795553747380394)</f>
        <v>0.79555374738039397</v>
      </c>
      <c r="AD936" s="17">
        <f ca="1">IFERROR(__xludf.DUMMYFUNCTION("""COMPUTED_VALUE"""),0.719635394640678)</f>
        <v>0.71963539464067805</v>
      </c>
      <c r="AE936" s="17">
        <f ca="1">IFERROR(__xludf.DUMMYFUNCTION("""COMPUTED_VALUE"""),0.940282680898953)</f>
        <v>0.94028268089895295</v>
      </c>
      <c r="AF936" s="17">
        <f ca="1">IFERROR(__xludf.DUMMYFUNCTION("""COMPUTED_VALUE"""),0.931090092972822)</f>
        <v>0.93109009297282197</v>
      </c>
      <c r="AG936" s="17">
        <f ca="1">IFERROR(__xludf.DUMMYFUNCTION("""COMPUTED_VALUE"""),1.39268505358377)</f>
        <v>1.39268505358377</v>
      </c>
      <c r="AH936" s="17">
        <f ca="1">IFERROR(__xludf.DUMMYFUNCTION("""COMPUTED_VALUE"""),0.586364262288205)</f>
        <v>0.58636426228820504</v>
      </c>
      <c r="AI936" s="17">
        <f ca="1">IFERROR(__xludf.DUMMYFUNCTION("""COMPUTED_VALUE"""),0.596312076652258)</f>
        <v>0.59631207665225805</v>
      </c>
      <c r="AJ936" s="17">
        <f ca="1">IFERROR(__xludf.DUMMYFUNCTION("""COMPUTED_VALUE"""),1.02860228336109)</f>
        <v>1.0286022833610899</v>
      </c>
    </row>
    <row r="937" spans="2:36" ht="15.75" customHeight="1" x14ac:dyDescent="0.45">
      <c r="B937" s="10" t="str">
        <f ca="1">IFERROR(__xludf.DUMMYFUNCTION("""COMPUTED_VALUE"""),"UMD")</f>
        <v>UMD</v>
      </c>
      <c r="C937" s="10" t="str">
        <f ca="1">IFERROR(__xludf.DUMMYFUNCTION("""COMPUTED_VALUE"""),"aligned_timestamps")</f>
        <v>aligned_timestamps</v>
      </c>
      <c r="D937" s="10">
        <f ca="1">IFERROR(__xludf.DUMMYFUNCTION("""COMPUTED_VALUE"""),0.1)</f>
        <v>0.1</v>
      </c>
      <c r="E937" s="17">
        <f ca="1">IFERROR(__xludf.DUMMYFUNCTION("""COMPUTED_VALUE"""),0.957262027593958)</f>
        <v>0.95726202759395795</v>
      </c>
      <c r="F937" s="17">
        <f ca="1">IFERROR(__xludf.DUMMYFUNCTION("""COMPUTED_VALUE"""),0.683303212609601)</f>
        <v>0.68330321260960103</v>
      </c>
      <c r="G937" s="17">
        <f ca="1">IFERROR(__xludf.DUMMYFUNCTION("""COMPUTED_VALUE"""),0.67170396869231)</f>
        <v>0.67170396869230997</v>
      </c>
      <c r="H937" s="17">
        <f ca="1">IFERROR(__xludf.DUMMYFUNCTION("""COMPUTED_VALUE"""),0.725573467915932)</f>
        <v>0.72557346791593202</v>
      </c>
      <c r="I937" s="17">
        <f ca="1">IFERROR(__xludf.DUMMYFUNCTION("""COMPUTED_VALUE"""),0.628397671322502)</f>
        <v>0.62839767132250202</v>
      </c>
      <c r="J937" s="17">
        <f ca="1">IFERROR(__xludf.DUMMYFUNCTION("""COMPUTED_VALUE"""),0.469820890510401)</f>
        <v>0.46982089051040099</v>
      </c>
      <c r="K937" s="17" t="str">
        <f ca="1">IFERROR(__xludf.DUMMYFUNCTION("""COMPUTED_VALUE"""),"nan")</f>
        <v>nan</v>
      </c>
      <c r="L937" s="17">
        <f ca="1">IFERROR(__xludf.DUMMYFUNCTION("""COMPUTED_VALUE"""),0.80354798552564)</f>
        <v>0.80354798552564</v>
      </c>
      <c r="M937" s="17">
        <f ca="1">IFERROR(__xludf.DUMMYFUNCTION("""COMPUTED_VALUE"""),0.659484708160426)</f>
        <v>0.65948470816042604</v>
      </c>
      <c r="N937" s="17">
        <f ca="1">IFERROR(__xludf.DUMMYFUNCTION("""COMPUTED_VALUE"""),0.321087101219698)</f>
        <v>0.32108710121969802</v>
      </c>
      <c r="O937" s="17">
        <f ca="1">IFERROR(__xludf.DUMMYFUNCTION("""COMPUTED_VALUE"""),0.588747176219608)</f>
        <v>0.58874717621960804</v>
      </c>
      <c r="P937" s="17">
        <f ca="1">IFERROR(__xludf.DUMMYFUNCTION("""COMPUTED_VALUE"""),0.714536239435819)</f>
        <v>0.71453623943581901</v>
      </c>
      <c r="Q937" s="17">
        <f ca="1">IFERROR(__xludf.DUMMYFUNCTION("""COMPUTED_VALUE"""),1.10987465844755)</f>
        <v>1.1098746584475501</v>
      </c>
      <c r="R937" s="17">
        <f ca="1">IFERROR(__xludf.DUMMYFUNCTION("""COMPUTED_VALUE"""),0.607233530208209)</f>
        <v>0.60723353020820903</v>
      </c>
      <c r="S937" s="17">
        <f ca="1">IFERROR(__xludf.DUMMYFUNCTION("""COMPUTED_VALUE"""),0.615100447586958)</f>
        <v>0.61510044758695803</v>
      </c>
      <c r="T937" s="17">
        <f ca="1">IFERROR(__xludf.DUMMYFUNCTION("""COMPUTED_VALUE"""),0.591899201974164)</f>
        <v>0.59189920197416401</v>
      </c>
      <c r="U937" s="17">
        <f ca="1">IFERROR(__xludf.DUMMYFUNCTION("""COMPUTED_VALUE"""),0.633175346887475)</f>
        <v>0.63317534688747501</v>
      </c>
      <c r="V937" s="17">
        <f ca="1">IFERROR(__xludf.DUMMYFUNCTION("""COMPUTED_VALUE"""),0.368227675753461)</f>
        <v>0.36822767575346099</v>
      </c>
      <c r="W937" s="17">
        <f ca="1">IFERROR(__xludf.DUMMYFUNCTION("""COMPUTED_VALUE"""),0.510745011766441)</f>
        <v>0.51074501176644105</v>
      </c>
      <c r="X937" s="17">
        <f ca="1">IFERROR(__xludf.DUMMYFUNCTION("""COMPUTED_VALUE"""),0.71389395313142)</f>
        <v>0.71389395313142001</v>
      </c>
      <c r="Y937" s="17">
        <f ca="1">IFERROR(__xludf.DUMMYFUNCTION("""COMPUTED_VALUE"""),0.527001960624444)</f>
        <v>0.52700196062444404</v>
      </c>
      <c r="Z937" s="17">
        <f ca="1">IFERROR(__xludf.DUMMYFUNCTION("""COMPUTED_VALUE"""),0.680318661893194)</f>
        <v>0.68031866189319401</v>
      </c>
      <c r="AA937" s="17">
        <f ca="1">IFERROR(__xludf.DUMMYFUNCTION("""COMPUTED_VALUE"""),0.322679508592399)</f>
        <v>0.32267950859239902</v>
      </c>
      <c r="AB937" s="17">
        <f ca="1">IFERROR(__xludf.DUMMYFUNCTION("""COMPUTED_VALUE"""),0.85966289122566)</f>
        <v>0.85966289122565998</v>
      </c>
      <c r="AC937" s="17">
        <f ca="1">IFERROR(__xludf.DUMMYFUNCTION("""COMPUTED_VALUE"""),0.626923956103768)</f>
        <v>0.62692395610376805</v>
      </c>
      <c r="AD937" s="17">
        <f ca="1">IFERROR(__xludf.DUMMYFUNCTION("""COMPUTED_VALUE"""),0.562171371481647)</f>
        <v>0.56217137148164698</v>
      </c>
      <c r="AE937" s="17">
        <f ca="1">IFERROR(__xludf.DUMMYFUNCTION("""COMPUTED_VALUE"""),0.77142064389132)</f>
        <v>0.77142064389132003</v>
      </c>
      <c r="AF937" s="17">
        <f ca="1">IFERROR(__xludf.DUMMYFUNCTION("""COMPUTED_VALUE"""),0.708838542092922)</f>
        <v>0.70883854209292196</v>
      </c>
      <c r="AG937" s="17">
        <f ca="1">IFERROR(__xludf.DUMMYFUNCTION("""COMPUTED_VALUE"""),0.805882719980135)</f>
        <v>0.80588271998013505</v>
      </c>
      <c r="AH937" s="17">
        <f ca="1">IFERROR(__xludf.DUMMYFUNCTION("""COMPUTED_VALUE"""),0.694833885922544)</f>
        <v>0.69483388592254403</v>
      </c>
      <c r="AI937" s="17">
        <f ca="1">IFERROR(__xludf.DUMMYFUNCTION("""COMPUTED_VALUE"""),0.620198662855741)</f>
        <v>0.62019866285574099</v>
      </c>
      <c r="AJ937" s="17">
        <f ca="1">IFERROR(__xludf.DUMMYFUNCTION("""COMPUTED_VALUE"""),0.623033015480998)</f>
        <v>0.62303301548099799</v>
      </c>
    </row>
    <row r="938" spans="2:36" ht="15.75" customHeight="1" x14ac:dyDescent="0.45">
      <c r="B938" s="10" t="str">
        <f ca="1">IFERROR(__xludf.DUMMYFUNCTION("""COMPUTED_VALUE"""),"UMD")</f>
        <v>UMD</v>
      </c>
      <c r="C938" s="10" t="str">
        <f ca="1">IFERROR(__xludf.DUMMYFUNCTION("""COMPUTED_VALUE"""),"aligned_timestamps")</f>
        <v>aligned_timestamps</v>
      </c>
      <c r="D938" s="10">
        <f ca="1">IFERROR(__xludf.DUMMYFUNCTION("""COMPUTED_VALUE"""),0.2)</f>
        <v>0.2</v>
      </c>
      <c r="E938" s="17">
        <f ca="1">IFERROR(__xludf.DUMMYFUNCTION("""COMPUTED_VALUE"""),0.992668111508995)</f>
        <v>0.99266811150899503</v>
      </c>
      <c r="F938" s="17">
        <f ca="1">IFERROR(__xludf.DUMMYFUNCTION("""COMPUTED_VALUE"""),0.803400293414645)</f>
        <v>0.80340029341464503</v>
      </c>
      <c r="G938" s="17">
        <f ca="1">IFERROR(__xludf.DUMMYFUNCTION("""COMPUTED_VALUE"""),0.809181846090201)</f>
        <v>0.80918184609020105</v>
      </c>
      <c r="H938" s="17">
        <f ca="1">IFERROR(__xludf.DUMMYFUNCTION("""COMPUTED_VALUE"""),0.785920045284006)</f>
        <v>0.78592004528400605</v>
      </c>
      <c r="I938" s="17">
        <f ca="1">IFERROR(__xludf.DUMMYFUNCTION("""COMPUTED_VALUE"""),0.757554629189308)</f>
        <v>0.75755462918930805</v>
      </c>
      <c r="J938" s="17">
        <f ca="1">IFERROR(__xludf.DUMMYFUNCTION("""COMPUTED_VALUE"""),0.605107837961778)</f>
        <v>0.60510783796177803</v>
      </c>
      <c r="K938" s="17" t="str">
        <f ca="1">IFERROR(__xludf.DUMMYFUNCTION("""COMPUTED_VALUE"""),"nan")</f>
        <v>nan</v>
      </c>
      <c r="L938" s="17">
        <f ca="1">IFERROR(__xludf.DUMMYFUNCTION("""COMPUTED_VALUE"""),0.782664082916797)</f>
        <v>0.78266408291679701</v>
      </c>
      <c r="M938" s="17">
        <f ca="1">IFERROR(__xludf.DUMMYFUNCTION("""COMPUTED_VALUE"""),0.921241835295602)</f>
        <v>0.921241835295602</v>
      </c>
      <c r="N938" s="17">
        <f ca="1">IFERROR(__xludf.DUMMYFUNCTION("""COMPUTED_VALUE"""),0.635019438661899)</f>
        <v>0.63501943866189903</v>
      </c>
      <c r="O938" s="17">
        <f ca="1">IFERROR(__xludf.DUMMYFUNCTION("""COMPUTED_VALUE"""),0.894112847247079)</f>
        <v>0.89411284724707896</v>
      </c>
      <c r="P938" s="17">
        <f ca="1">IFERROR(__xludf.DUMMYFUNCTION("""COMPUTED_VALUE"""),0.952472263776683)</f>
        <v>0.95247226377668304</v>
      </c>
      <c r="Q938" s="17">
        <f ca="1">IFERROR(__xludf.DUMMYFUNCTION("""COMPUTED_VALUE"""),0.990763664004063)</f>
        <v>0.99076366400406302</v>
      </c>
      <c r="R938" s="17">
        <f ca="1">IFERROR(__xludf.DUMMYFUNCTION("""COMPUTED_VALUE"""),1.51263334700163)</f>
        <v>1.51263334700163</v>
      </c>
      <c r="S938" s="17">
        <f ca="1">IFERROR(__xludf.DUMMYFUNCTION("""COMPUTED_VALUE"""),0.702536186127302)</f>
        <v>0.70253618612730195</v>
      </c>
      <c r="T938" s="17">
        <f ca="1">IFERROR(__xludf.DUMMYFUNCTION("""COMPUTED_VALUE"""),0.788058996126563)</f>
        <v>0.78805899612656305</v>
      </c>
      <c r="U938" s="17">
        <f ca="1">IFERROR(__xludf.DUMMYFUNCTION("""COMPUTED_VALUE"""),0.74788501720262)</f>
        <v>0.74788501720262002</v>
      </c>
      <c r="V938" s="17">
        <f ca="1">IFERROR(__xludf.DUMMYFUNCTION("""COMPUTED_VALUE"""),0.842752999466243)</f>
        <v>0.84275299946624305</v>
      </c>
      <c r="W938" s="17">
        <f ca="1">IFERROR(__xludf.DUMMYFUNCTION("""COMPUTED_VALUE"""),0.638947976299379)</f>
        <v>0.63894797629937905</v>
      </c>
      <c r="X938" s="17">
        <f ca="1">IFERROR(__xludf.DUMMYFUNCTION("""COMPUTED_VALUE"""),0.772987357252778)</f>
        <v>0.77298735725277801</v>
      </c>
      <c r="Y938" s="17">
        <f ca="1">IFERROR(__xludf.DUMMYFUNCTION("""COMPUTED_VALUE"""),0.667856311863692)</f>
        <v>0.66785631186369199</v>
      </c>
      <c r="Z938" s="17">
        <f ca="1">IFERROR(__xludf.DUMMYFUNCTION("""COMPUTED_VALUE"""),0.743772967227249)</f>
        <v>0.74377296722724895</v>
      </c>
      <c r="AA938" s="17">
        <f ca="1">IFERROR(__xludf.DUMMYFUNCTION("""COMPUTED_VALUE"""),0.793497408285438)</f>
        <v>0.79349740828543802</v>
      </c>
      <c r="AB938" s="17">
        <f ca="1">IFERROR(__xludf.DUMMYFUNCTION("""COMPUTED_VALUE"""),0.874099619185869)</f>
        <v>0.87409961918586898</v>
      </c>
      <c r="AC938" s="17">
        <f ca="1">IFERROR(__xludf.DUMMYFUNCTION("""COMPUTED_VALUE"""),0.990891516925961)</f>
        <v>0.990891516925961</v>
      </c>
      <c r="AD938" s="17">
        <f ca="1">IFERROR(__xludf.DUMMYFUNCTION("""COMPUTED_VALUE"""),0.80382399387187)</f>
        <v>0.80382399387186998</v>
      </c>
      <c r="AE938" s="17">
        <f ca="1">IFERROR(__xludf.DUMMYFUNCTION("""COMPUTED_VALUE"""),0.899820237726038)</f>
        <v>0.89982023772603803</v>
      </c>
      <c r="AF938" s="17">
        <f ca="1">IFERROR(__xludf.DUMMYFUNCTION("""COMPUTED_VALUE"""),0.849549787126487)</f>
        <v>0.84954978712648699</v>
      </c>
      <c r="AG938" s="17">
        <f ca="1">IFERROR(__xludf.DUMMYFUNCTION("""COMPUTED_VALUE"""),1.24502566744394)</f>
        <v>1.2450256674439399</v>
      </c>
      <c r="AH938" s="17">
        <f ca="1">IFERROR(__xludf.DUMMYFUNCTION("""COMPUTED_VALUE"""),0.672485401973006)</f>
        <v>0.67248540197300599</v>
      </c>
      <c r="AI938" s="17">
        <f ca="1">IFERROR(__xludf.DUMMYFUNCTION("""COMPUTED_VALUE"""),0.684464178342238)</f>
        <v>0.68446417834223805</v>
      </c>
      <c r="AJ938" s="17">
        <f ca="1">IFERROR(__xludf.DUMMYFUNCTION("""COMPUTED_VALUE"""),0.812887679333776)</f>
        <v>0.81288767933377604</v>
      </c>
    </row>
    <row r="939" spans="2:36" ht="15.75" customHeight="1" x14ac:dyDescent="0.45">
      <c r="B939" s="10" t="str">
        <f ca="1">IFERROR(__xludf.DUMMYFUNCTION("""COMPUTED_VALUE"""),"UMD")</f>
        <v>UMD</v>
      </c>
      <c r="C939" s="10" t="str">
        <f ca="1">IFERROR(__xludf.DUMMYFUNCTION("""COMPUTED_VALUE"""),"aligned_timestamps")</f>
        <v>aligned_timestamps</v>
      </c>
      <c r="D939" s="10">
        <f ca="1">IFERROR(__xludf.DUMMYFUNCTION("""COMPUTED_VALUE"""),0.4)</f>
        <v>0.4</v>
      </c>
      <c r="E939" s="17">
        <f ca="1">IFERROR(__xludf.DUMMYFUNCTION("""COMPUTED_VALUE"""),1.03084542230816)</f>
        <v>1.03084542230816</v>
      </c>
      <c r="F939" s="17">
        <f ca="1">IFERROR(__xludf.DUMMYFUNCTION("""COMPUTED_VALUE"""),0.641725462757152)</f>
        <v>0.64172546275715203</v>
      </c>
      <c r="G939" s="17">
        <f ca="1">IFERROR(__xludf.DUMMYFUNCTION("""COMPUTED_VALUE"""),0.646706397463037)</f>
        <v>0.64670639746303704</v>
      </c>
      <c r="H939" s="17">
        <f ca="1">IFERROR(__xludf.DUMMYFUNCTION("""COMPUTED_VALUE"""),0.690820688801952)</f>
        <v>0.69082068880195202</v>
      </c>
      <c r="I939" s="17">
        <f ca="1">IFERROR(__xludf.DUMMYFUNCTION("""COMPUTED_VALUE"""),0.630697468785662)</f>
        <v>0.63069746878566202</v>
      </c>
      <c r="J939" s="17">
        <f ca="1">IFERROR(__xludf.DUMMYFUNCTION("""COMPUTED_VALUE"""),0.710285948894486)</f>
        <v>0.71028594889448604</v>
      </c>
      <c r="K939" s="17" t="str">
        <f ca="1">IFERROR(__xludf.DUMMYFUNCTION("""COMPUTED_VALUE"""),"nan")</f>
        <v>nan</v>
      </c>
      <c r="L939" s="17">
        <f ca="1">IFERROR(__xludf.DUMMYFUNCTION("""COMPUTED_VALUE"""),0.678840517187036)</f>
        <v>0.67884051718703597</v>
      </c>
      <c r="M939" s="17">
        <f ca="1">IFERROR(__xludf.DUMMYFUNCTION("""COMPUTED_VALUE"""),0.646133962289572)</f>
        <v>0.64613396228957198</v>
      </c>
      <c r="N939" s="17">
        <f ca="1">IFERROR(__xludf.DUMMYFUNCTION("""COMPUTED_VALUE"""),0.597066791133596)</f>
        <v>0.59706679113359595</v>
      </c>
      <c r="O939" s="17">
        <f ca="1">IFERROR(__xludf.DUMMYFUNCTION("""COMPUTED_VALUE"""),0.677119037966058)</f>
        <v>0.67711903796605799</v>
      </c>
      <c r="P939" s="17">
        <f ca="1">IFERROR(__xludf.DUMMYFUNCTION("""COMPUTED_VALUE"""),0.912580501305936)</f>
        <v>0.91258050130593604</v>
      </c>
      <c r="Q939" s="17">
        <f ca="1">IFERROR(__xludf.DUMMYFUNCTION("""COMPUTED_VALUE"""),1.04334098750666)</f>
        <v>1.0433409875066599</v>
      </c>
      <c r="R939" s="17">
        <f ca="1">IFERROR(__xludf.DUMMYFUNCTION("""COMPUTED_VALUE"""),1.11124865101664)</f>
        <v>1.1112486510166399</v>
      </c>
      <c r="S939" s="17">
        <f ca="1">IFERROR(__xludf.DUMMYFUNCTION("""COMPUTED_VALUE"""),0.628413561256827)</f>
        <v>0.62841356125682701</v>
      </c>
      <c r="T939" s="17">
        <f ca="1">IFERROR(__xludf.DUMMYFUNCTION("""COMPUTED_VALUE"""),0.747175354158669)</f>
        <v>0.74717535415866898</v>
      </c>
      <c r="U939" s="17">
        <f ca="1">IFERROR(__xludf.DUMMYFUNCTION("""COMPUTED_VALUE"""),0.611793935655729)</f>
        <v>0.61179393565572904</v>
      </c>
      <c r="V939" s="17">
        <f ca="1">IFERROR(__xludf.DUMMYFUNCTION("""COMPUTED_VALUE"""),0.609296027457742)</f>
        <v>0.60929602745774203</v>
      </c>
      <c r="W939" s="17">
        <f ca="1">IFERROR(__xludf.DUMMYFUNCTION("""COMPUTED_VALUE"""),0.639243625711507)</f>
        <v>0.63924362571150695</v>
      </c>
      <c r="X939" s="17">
        <f ca="1">IFERROR(__xludf.DUMMYFUNCTION("""COMPUTED_VALUE"""),0.629257961431338)</f>
        <v>0.62925796143133805</v>
      </c>
      <c r="Y939" s="17">
        <f ca="1">IFERROR(__xludf.DUMMYFUNCTION("""COMPUTED_VALUE"""),0.5655752789849)</f>
        <v>0.56557527898490001</v>
      </c>
      <c r="Z939" s="17">
        <f ca="1">IFERROR(__xludf.DUMMYFUNCTION("""COMPUTED_VALUE"""),0.715234207150883)</f>
        <v>0.71523420715088304</v>
      </c>
      <c r="AA939" s="17">
        <f ca="1">IFERROR(__xludf.DUMMYFUNCTION("""COMPUTED_VALUE"""),0.670451393957256)</f>
        <v>0.67045139395725595</v>
      </c>
      <c r="AB939" s="17">
        <f ca="1">IFERROR(__xludf.DUMMYFUNCTION("""COMPUTED_VALUE"""),0.755617494289915)</f>
        <v>0.75561749428991498</v>
      </c>
      <c r="AC939" s="17">
        <f ca="1">IFERROR(__xludf.DUMMYFUNCTION("""COMPUTED_VALUE"""),0.856584752027034)</f>
        <v>0.85658475202703399</v>
      </c>
      <c r="AD939" s="17">
        <f ca="1">IFERROR(__xludf.DUMMYFUNCTION("""COMPUTED_VALUE"""),0.8741594415399)</f>
        <v>0.8741594415399</v>
      </c>
      <c r="AE939" s="17">
        <f ca="1">IFERROR(__xludf.DUMMYFUNCTION("""COMPUTED_VALUE"""),1.02692715692101)</f>
        <v>1.0269271569210101</v>
      </c>
      <c r="AF939" s="17">
        <f ca="1">IFERROR(__xludf.DUMMYFUNCTION("""COMPUTED_VALUE"""),0.837014152491656)</f>
        <v>0.837014152491656</v>
      </c>
      <c r="AG939" s="17">
        <f ca="1">IFERROR(__xludf.DUMMYFUNCTION("""COMPUTED_VALUE"""),1.48926516396102)</f>
        <v>1.4892651639610199</v>
      </c>
      <c r="AH939" s="17">
        <f ca="1">IFERROR(__xludf.DUMMYFUNCTION("""COMPUTED_VALUE"""),1.32741979597127)</f>
        <v>1.3274197959712699</v>
      </c>
      <c r="AI939" s="17">
        <f ca="1">IFERROR(__xludf.DUMMYFUNCTION("""COMPUTED_VALUE"""),1.49465745682469)</f>
        <v>1.49465745682469</v>
      </c>
      <c r="AJ939" s="17">
        <f ca="1">IFERROR(__xludf.DUMMYFUNCTION("""COMPUTED_VALUE"""),1.63232654732406)</f>
        <v>1.63232654732406</v>
      </c>
    </row>
    <row r="940" spans="2:36" ht="15.75" customHeight="1" x14ac:dyDescent="0.45">
      <c r="B940" s="10" t="str">
        <f ca="1">IFERROR(__xludf.DUMMYFUNCTION("""COMPUTED_VALUE"""),"UMD")</f>
        <v>UMD</v>
      </c>
      <c r="C940" s="10" t="str">
        <f ca="1">IFERROR(__xludf.DUMMYFUNCTION("""COMPUTED_VALUE"""),"aligned_timestamps")</f>
        <v>aligned_timestamps</v>
      </c>
      <c r="D940" s="10">
        <f ca="1">IFERROR(__xludf.DUMMYFUNCTION("""COMPUTED_VALUE"""),0.6)</f>
        <v>0.6</v>
      </c>
      <c r="E940" s="17">
        <f ca="1">IFERROR(__xludf.DUMMYFUNCTION("""COMPUTED_VALUE"""),1.16646278270369)</f>
        <v>1.16646278270369</v>
      </c>
      <c r="F940" s="17">
        <f ca="1">IFERROR(__xludf.DUMMYFUNCTION("""COMPUTED_VALUE"""),0.633290282496515)</f>
        <v>0.63329028249651498</v>
      </c>
      <c r="G940" s="17">
        <f ca="1">IFERROR(__xludf.DUMMYFUNCTION("""COMPUTED_VALUE"""),0.671537900444617)</f>
        <v>0.67153790044461703</v>
      </c>
      <c r="H940" s="17">
        <f ca="1">IFERROR(__xludf.DUMMYFUNCTION("""COMPUTED_VALUE"""),0.674140876133568)</f>
        <v>0.67414087613356799</v>
      </c>
      <c r="I940" s="17">
        <f ca="1">IFERROR(__xludf.DUMMYFUNCTION("""COMPUTED_VALUE"""),0.816307550220402)</f>
        <v>0.81630755022040202</v>
      </c>
      <c r="J940" s="17">
        <f ca="1">IFERROR(__xludf.DUMMYFUNCTION("""COMPUTED_VALUE"""),1.46522721636332)</f>
        <v>1.46522721636332</v>
      </c>
      <c r="K940" s="17" t="str">
        <f ca="1">IFERROR(__xludf.DUMMYFUNCTION("""COMPUTED_VALUE"""),"nan")</f>
        <v>nan</v>
      </c>
      <c r="L940" s="17">
        <f ca="1">IFERROR(__xludf.DUMMYFUNCTION("""COMPUTED_VALUE"""),0.643074683428275)</f>
        <v>0.64307468342827501</v>
      </c>
      <c r="M940" s="17">
        <f ca="1">IFERROR(__xludf.DUMMYFUNCTION("""COMPUTED_VALUE"""),0.744264594801435)</f>
        <v>0.74426459480143503</v>
      </c>
      <c r="N940" s="17">
        <f ca="1">IFERROR(__xludf.DUMMYFUNCTION("""COMPUTED_VALUE"""),0.76146880570494)</f>
        <v>0.76146880570494002</v>
      </c>
      <c r="O940" s="17">
        <f ca="1">IFERROR(__xludf.DUMMYFUNCTION("""COMPUTED_VALUE"""),0.67561987880176)</f>
        <v>0.67561987880176</v>
      </c>
      <c r="P940" s="17">
        <f ca="1">IFERROR(__xludf.DUMMYFUNCTION("""COMPUTED_VALUE"""),1.29460572822358)</f>
        <v>1.2946057282235801</v>
      </c>
      <c r="Q940" s="17">
        <f ca="1">IFERROR(__xludf.DUMMYFUNCTION("""COMPUTED_VALUE"""),1.10974563528723)</f>
        <v>1.1097456352872299</v>
      </c>
      <c r="R940" s="17">
        <f ca="1">IFERROR(__xludf.DUMMYFUNCTION("""COMPUTED_VALUE"""),1.38093669647573)</f>
        <v>1.3809366964757299</v>
      </c>
      <c r="S940" s="17">
        <f ca="1">IFERROR(__xludf.DUMMYFUNCTION("""COMPUTED_VALUE"""),0.928889936495128)</f>
        <v>0.92888993649512797</v>
      </c>
      <c r="T940" s="17">
        <f ca="1">IFERROR(__xludf.DUMMYFUNCTION("""COMPUTED_VALUE"""),1.1059131506988)</f>
        <v>1.1059131506988</v>
      </c>
      <c r="U940" s="17">
        <f ca="1">IFERROR(__xludf.DUMMYFUNCTION("""COMPUTED_VALUE"""),1.11039209772758)</f>
        <v>1.1103920977275801</v>
      </c>
      <c r="V940" s="17">
        <f ca="1">IFERROR(__xludf.DUMMYFUNCTION("""COMPUTED_VALUE"""),1.00339335305007)</f>
        <v>1.00339335305007</v>
      </c>
      <c r="W940" s="17">
        <f ca="1">IFERROR(__xludf.DUMMYFUNCTION("""COMPUTED_VALUE"""),0.864301307720964)</f>
        <v>0.86430130772096403</v>
      </c>
      <c r="X940" s="17">
        <f ca="1">IFERROR(__xludf.DUMMYFUNCTION("""COMPUTED_VALUE"""),0.655552305934873)</f>
        <v>0.65555230593487301</v>
      </c>
      <c r="Y940" s="17">
        <f ca="1">IFERROR(__xludf.DUMMYFUNCTION("""COMPUTED_VALUE"""),1.20629456523588)</f>
        <v>1.2062945652358801</v>
      </c>
      <c r="Z940" s="17">
        <f ca="1">IFERROR(__xludf.DUMMYFUNCTION("""COMPUTED_VALUE"""),1.11107909112405)</f>
        <v>1.11107909112405</v>
      </c>
      <c r="AA940" s="17">
        <f ca="1">IFERROR(__xludf.DUMMYFUNCTION("""COMPUTED_VALUE"""),0.918675528460853)</f>
        <v>0.91867552846085299</v>
      </c>
      <c r="AB940" s="17">
        <f ca="1">IFERROR(__xludf.DUMMYFUNCTION("""COMPUTED_VALUE"""),1.15773067446937)</f>
        <v>1.1577306744693701</v>
      </c>
      <c r="AC940" s="17">
        <f ca="1">IFERROR(__xludf.DUMMYFUNCTION("""COMPUTED_VALUE"""),1.17709998232676)</f>
        <v>1.1770999823267601</v>
      </c>
      <c r="AD940" s="17">
        <f ca="1">IFERROR(__xludf.DUMMYFUNCTION("""COMPUTED_VALUE"""),1.17007474592459)</f>
        <v>1.1700747459245899</v>
      </c>
      <c r="AE940" s="17">
        <f ca="1">IFERROR(__xludf.DUMMYFUNCTION("""COMPUTED_VALUE"""),1.49549278679412)</f>
        <v>1.4954927867941199</v>
      </c>
      <c r="AF940" s="17">
        <f ca="1">IFERROR(__xludf.DUMMYFUNCTION("""COMPUTED_VALUE"""),1.27714121183527)</f>
        <v>1.2771412118352701</v>
      </c>
      <c r="AG940" s="17">
        <f ca="1">IFERROR(__xludf.DUMMYFUNCTION("""COMPUTED_VALUE"""),1.24494130166172)</f>
        <v>1.2449413016617199</v>
      </c>
      <c r="AH940" s="17">
        <f ca="1">IFERROR(__xludf.DUMMYFUNCTION("""COMPUTED_VALUE"""),1.28139915726171)</f>
        <v>1.2813991572617101</v>
      </c>
      <c r="AI940" s="17">
        <f ca="1">IFERROR(__xludf.DUMMYFUNCTION("""COMPUTED_VALUE"""),1.25430459242822)</f>
        <v>1.2543045924282199</v>
      </c>
      <c r="AJ940" s="17">
        <f ca="1">IFERROR(__xludf.DUMMYFUNCTION("""COMPUTED_VALUE"""),1.31287819466186)</f>
        <v>1.31287819466186</v>
      </c>
    </row>
    <row r="941" spans="2:36" ht="15.75" customHeight="1" x14ac:dyDescent="0.45">
      <c r="B941" s="10" t="str">
        <f ca="1">IFERROR(__xludf.DUMMYFUNCTION("""COMPUTED_VALUE"""),"UMD")</f>
        <v>UMD</v>
      </c>
      <c r="C941" s="10" t="str">
        <f ca="1">IFERROR(__xludf.DUMMYFUNCTION("""COMPUTED_VALUE"""),"aligned_timestamps")</f>
        <v>aligned_timestamps</v>
      </c>
      <c r="D941" s="10">
        <f ca="1">IFERROR(__xludf.DUMMYFUNCTION("""COMPUTED_VALUE"""),0.8)</f>
        <v>0.8</v>
      </c>
      <c r="E941" s="17">
        <f ca="1">IFERROR(__xludf.DUMMYFUNCTION("""COMPUTED_VALUE"""),1.06842022859179)</f>
        <v>1.0684202285917901</v>
      </c>
      <c r="F941" s="17">
        <f ca="1">IFERROR(__xludf.DUMMYFUNCTION("""COMPUTED_VALUE"""),0.615439710572024)</f>
        <v>0.61543971057202396</v>
      </c>
      <c r="G941" s="17">
        <f ca="1">IFERROR(__xludf.DUMMYFUNCTION("""COMPUTED_VALUE"""),0.653908215357733)</f>
        <v>0.65390821535773302</v>
      </c>
      <c r="H941" s="17">
        <f ca="1">IFERROR(__xludf.DUMMYFUNCTION("""COMPUTED_VALUE"""),0.670728993740119)</f>
        <v>0.67072899374011896</v>
      </c>
      <c r="I941" s="17">
        <f ca="1">IFERROR(__xludf.DUMMYFUNCTION("""COMPUTED_VALUE"""),0.811406164741324)</f>
        <v>0.81140616474132399</v>
      </c>
      <c r="J941" s="17">
        <f ca="1">IFERROR(__xludf.DUMMYFUNCTION("""COMPUTED_VALUE"""),1.30922555166477)</f>
        <v>1.3092255516647699</v>
      </c>
      <c r="K941" s="17" t="str">
        <f ca="1">IFERROR(__xludf.DUMMYFUNCTION("""COMPUTED_VALUE"""),"nan")</f>
        <v>nan</v>
      </c>
      <c r="L941" s="17">
        <f ca="1">IFERROR(__xludf.DUMMYFUNCTION("""COMPUTED_VALUE"""),0.590019072521439)</f>
        <v>0.59001907252143904</v>
      </c>
      <c r="M941" s="17">
        <f ca="1">IFERROR(__xludf.DUMMYFUNCTION("""COMPUTED_VALUE"""),1.37322360698605)</f>
        <v>1.3732236069860499</v>
      </c>
      <c r="N941" s="17">
        <f ca="1">IFERROR(__xludf.DUMMYFUNCTION("""COMPUTED_VALUE"""),1.57560551218601)</f>
        <v>1.57560551218601</v>
      </c>
      <c r="O941" s="17">
        <f ca="1">IFERROR(__xludf.DUMMYFUNCTION("""COMPUTED_VALUE"""),0.597176369461483)</f>
        <v>0.597176369461483</v>
      </c>
      <c r="P941" s="17">
        <f ca="1">IFERROR(__xludf.DUMMYFUNCTION("""COMPUTED_VALUE"""),1.37082300234764)</f>
        <v>1.37082300234764</v>
      </c>
      <c r="Q941" s="17">
        <f ca="1">IFERROR(__xludf.DUMMYFUNCTION("""COMPUTED_VALUE"""),1.09838418795576)</f>
        <v>1.0983841879557601</v>
      </c>
      <c r="R941" s="17">
        <f ca="1">IFERROR(__xludf.DUMMYFUNCTION("""COMPUTED_VALUE"""),1.3979351203893)</f>
        <v>1.3979351203893</v>
      </c>
      <c r="S941" s="17">
        <f ca="1">IFERROR(__xludf.DUMMYFUNCTION("""COMPUTED_VALUE"""),1.3700470094073)</f>
        <v>1.3700470094073001</v>
      </c>
      <c r="T941" s="17">
        <f ca="1">IFERROR(__xludf.DUMMYFUNCTION("""COMPUTED_VALUE"""),1.24559168150975)</f>
        <v>1.2455916815097501</v>
      </c>
      <c r="U941" s="17">
        <f ca="1">IFERROR(__xludf.DUMMYFUNCTION("""COMPUTED_VALUE"""),0.900820410771012)</f>
        <v>0.90082041077101205</v>
      </c>
      <c r="V941" s="17">
        <f ca="1">IFERROR(__xludf.DUMMYFUNCTION("""COMPUTED_VALUE"""),1.39830066424431)</f>
        <v>1.3983006642443101</v>
      </c>
      <c r="W941" s="17">
        <f ca="1">IFERROR(__xludf.DUMMYFUNCTION("""COMPUTED_VALUE"""),0.959530070858076)</f>
        <v>0.95953007085807596</v>
      </c>
      <c r="X941" s="17">
        <f ca="1">IFERROR(__xludf.DUMMYFUNCTION("""COMPUTED_VALUE"""),0.639119824355201)</f>
        <v>0.63911982435520098</v>
      </c>
      <c r="Y941" s="17">
        <f ca="1">IFERROR(__xludf.DUMMYFUNCTION("""COMPUTED_VALUE"""),1.27145234299311)</f>
        <v>1.2714523429931099</v>
      </c>
      <c r="Z941" s="17">
        <f ca="1">IFERROR(__xludf.DUMMYFUNCTION("""COMPUTED_VALUE"""),1.03419509430893)</f>
        <v>1.03419509430893</v>
      </c>
      <c r="AA941" s="17">
        <f ca="1">IFERROR(__xludf.DUMMYFUNCTION("""COMPUTED_VALUE"""),0.772020439357954)</f>
        <v>0.77202043935795395</v>
      </c>
      <c r="AB941" s="17">
        <f ca="1">IFERROR(__xludf.DUMMYFUNCTION("""COMPUTED_VALUE"""),1.36367459832817)</f>
        <v>1.36367459832817</v>
      </c>
      <c r="AC941" s="17">
        <f ca="1">IFERROR(__xludf.DUMMYFUNCTION("""COMPUTED_VALUE"""),1.24271931167717)</f>
        <v>1.24271931167717</v>
      </c>
      <c r="AD941" s="17">
        <f ca="1">IFERROR(__xludf.DUMMYFUNCTION("""COMPUTED_VALUE"""),1.17455822379098)</f>
        <v>1.17455822379098</v>
      </c>
      <c r="AE941" s="17">
        <f ca="1">IFERROR(__xludf.DUMMYFUNCTION("""COMPUTED_VALUE"""),2.21565137321728)</f>
        <v>2.21565137321728</v>
      </c>
      <c r="AF941" s="17">
        <f ca="1">IFERROR(__xludf.DUMMYFUNCTION("""COMPUTED_VALUE"""),1.36816459908229)</f>
        <v>1.3681645990822899</v>
      </c>
      <c r="AG941" s="17">
        <f ca="1">IFERROR(__xludf.DUMMYFUNCTION("""COMPUTED_VALUE"""),1.12322388218085)</f>
        <v>1.12322388218085</v>
      </c>
      <c r="AH941" s="17">
        <f ca="1">IFERROR(__xludf.DUMMYFUNCTION("""COMPUTED_VALUE"""),1.08185569452522)</f>
        <v>1.08185569452522</v>
      </c>
      <c r="AI941" s="17">
        <f ca="1">IFERROR(__xludf.DUMMYFUNCTION("""COMPUTED_VALUE"""),1.08614078538889)</f>
        <v>1.08614078538889</v>
      </c>
      <c r="AJ941" s="17">
        <f ca="1">IFERROR(__xludf.DUMMYFUNCTION("""COMPUTED_VALUE"""),1.2157245864399)</f>
        <v>1.2157245864399</v>
      </c>
    </row>
    <row r="942" spans="2:36" ht="15.75" customHeight="1" x14ac:dyDescent="0.45">
      <c r="B942" s="10" t="str">
        <f ca="1">IFERROR(__xludf.DUMMYFUNCTION("""COMPUTED_VALUE"""),"UMD")</f>
        <v>UMD</v>
      </c>
      <c r="C942" s="10" t="str">
        <f ca="1">IFERROR(__xludf.DUMMYFUNCTION("""COMPUTED_VALUE"""),"mcar")</f>
        <v>mcar</v>
      </c>
      <c r="D942" s="10">
        <f ca="1">IFERROR(__xludf.DUMMYFUNCTION("""COMPUTED_VALUE"""),0.1)</f>
        <v>0.1</v>
      </c>
      <c r="E942" s="17">
        <f ca="1">IFERROR(__xludf.DUMMYFUNCTION("""COMPUTED_VALUE"""),0.831996428950533)</f>
        <v>0.83199642895053305</v>
      </c>
      <c r="F942" s="17">
        <f ca="1">IFERROR(__xludf.DUMMYFUNCTION("""COMPUTED_VALUE"""),0.760769144682731)</f>
        <v>0.76076914468273105</v>
      </c>
      <c r="G942" s="17">
        <f ca="1">IFERROR(__xludf.DUMMYFUNCTION("""COMPUTED_VALUE"""),0.818172592160336)</f>
        <v>0.818172592160336</v>
      </c>
      <c r="H942" s="17">
        <f ca="1">IFERROR(__xludf.DUMMYFUNCTION("""COMPUTED_VALUE"""),0.333199680528592)</f>
        <v>0.333199680528592</v>
      </c>
      <c r="I942" s="17">
        <f ca="1">IFERROR(__xludf.DUMMYFUNCTION("""COMPUTED_VALUE"""),0.517540320959087)</f>
        <v>0.51754032095908697</v>
      </c>
      <c r="J942" s="17">
        <f ca="1">IFERROR(__xludf.DUMMYFUNCTION("""COMPUTED_VALUE"""),0.735804626198978)</f>
        <v>0.73580462619897802</v>
      </c>
      <c r="K942" s="17" t="str">
        <f ca="1">IFERROR(__xludf.DUMMYFUNCTION("""COMPUTED_VALUE"""),"nan")</f>
        <v>nan</v>
      </c>
      <c r="L942" s="17">
        <f ca="1">IFERROR(__xludf.DUMMYFUNCTION("""COMPUTED_VALUE"""),0.609979813193049)</f>
        <v>0.60997981319304895</v>
      </c>
      <c r="M942" s="17">
        <f ca="1">IFERROR(__xludf.DUMMYFUNCTION("""COMPUTED_VALUE"""),0.691324216014219)</f>
        <v>0.69132421601421901</v>
      </c>
      <c r="N942" s="17">
        <f ca="1">IFERROR(__xludf.DUMMYFUNCTION("""COMPUTED_VALUE"""),0.375412283208796)</f>
        <v>0.37541228320879599</v>
      </c>
      <c r="O942" s="17">
        <f ca="1">IFERROR(__xludf.DUMMYFUNCTION("""COMPUTED_VALUE"""),0.702750295013242)</f>
        <v>0.70275029501324204</v>
      </c>
      <c r="P942" s="17">
        <f ca="1">IFERROR(__xludf.DUMMYFUNCTION("""COMPUTED_VALUE"""),0.512456781835633)</f>
        <v>0.51245678183563304</v>
      </c>
      <c r="Q942" s="17">
        <f ca="1">IFERROR(__xludf.DUMMYFUNCTION("""COMPUTED_VALUE"""),0.776615922001445)</f>
        <v>0.77661592200144502</v>
      </c>
      <c r="R942" s="17">
        <f ca="1">IFERROR(__xludf.DUMMYFUNCTION("""COMPUTED_VALUE"""),0.860948885583521)</f>
        <v>0.86094888558352101</v>
      </c>
      <c r="S942" s="17">
        <f ca="1">IFERROR(__xludf.DUMMYFUNCTION("""COMPUTED_VALUE"""),0.42901530651247)</f>
        <v>0.42901530651247</v>
      </c>
      <c r="T942" s="17">
        <f ca="1">IFERROR(__xludf.DUMMYFUNCTION("""COMPUTED_VALUE"""),0.455304473616973)</f>
        <v>0.45530447361697302</v>
      </c>
      <c r="U942" s="17">
        <f ca="1">IFERROR(__xludf.DUMMYFUNCTION("""COMPUTED_VALUE"""),0.503778418018688)</f>
        <v>0.50377841801868795</v>
      </c>
      <c r="V942" s="17">
        <f ca="1">IFERROR(__xludf.DUMMYFUNCTION("""COMPUTED_VALUE"""),0.377250203774521)</f>
        <v>0.37725020377452101</v>
      </c>
      <c r="W942" s="17">
        <f ca="1">IFERROR(__xludf.DUMMYFUNCTION("""COMPUTED_VALUE"""),0.386432453923989)</f>
        <v>0.38643245392398901</v>
      </c>
      <c r="X942" s="17">
        <f ca="1">IFERROR(__xludf.DUMMYFUNCTION("""COMPUTED_VALUE"""),0.471394808015477)</f>
        <v>0.47139480801547701</v>
      </c>
      <c r="Y942" s="17">
        <f ca="1">IFERROR(__xludf.DUMMYFUNCTION("""COMPUTED_VALUE"""),0.467066958479066)</f>
        <v>0.46706695847906599</v>
      </c>
      <c r="Z942" s="17">
        <f ca="1">IFERROR(__xludf.DUMMYFUNCTION("""COMPUTED_VALUE"""),0.705941339570584)</f>
        <v>0.70594133957058403</v>
      </c>
      <c r="AA942" s="17">
        <f ca="1">IFERROR(__xludf.DUMMYFUNCTION("""COMPUTED_VALUE"""),0.676735641429787)</f>
        <v>0.67673564142978704</v>
      </c>
      <c r="AB942" s="17">
        <f ca="1">IFERROR(__xludf.DUMMYFUNCTION("""COMPUTED_VALUE"""),0.739080409300602)</f>
        <v>0.73908040930060204</v>
      </c>
      <c r="AC942" s="17">
        <f ca="1">IFERROR(__xludf.DUMMYFUNCTION("""COMPUTED_VALUE"""),0.305198319429615)</f>
        <v>0.30519831942961501</v>
      </c>
      <c r="AD942" s="17">
        <f ca="1">IFERROR(__xludf.DUMMYFUNCTION("""COMPUTED_VALUE"""),0.397540361610334)</f>
        <v>0.39754036161033401</v>
      </c>
      <c r="AE942" s="17">
        <f ca="1">IFERROR(__xludf.DUMMYFUNCTION("""COMPUTED_VALUE"""),0.483248036683453)</f>
        <v>0.48324803668345301</v>
      </c>
      <c r="AF942" s="17">
        <f ca="1">IFERROR(__xludf.DUMMYFUNCTION("""COMPUTED_VALUE"""),0.225925938291276)</f>
        <v>0.225925938291276</v>
      </c>
      <c r="AG942" s="17">
        <f ca="1">IFERROR(__xludf.DUMMYFUNCTION("""COMPUTED_VALUE"""),0.751999564175589)</f>
        <v>0.751999564175589</v>
      </c>
      <c r="AH942" s="17">
        <f ca="1">IFERROR(__xludf.DUMMYFUNCTION("""COMPUTED_VALUE"""),0.386425373271823)</f>
        <v>0.38642537327182302</v>
      </c>
      <c r="AI942" s="17">
        <f ca="1">IFERROR(__xludf.DUMMYFUNCTION("""COMPUTED_VALUE"""),0.355648662571848)</f>
        <v>0.35564866257184802</v>
      </c>
      <c r="AJ942" s="17">
        <f ca="1">IFERROR(__xludf.DUMMYFUNCTION("""COMPUTED_VALUE"""),0.496876513404296)</f>
        <v>0.49687651340429601</v>
      </c>
    </row>
    <row r="943" spans="2:36" ht="15.75" customHeight="1" x14ac:dyDescent="0.45">
      <c r="B943" s="10" t="str">
        <f ca="1">IFERROR(__xludf.DUMMYFUNCTION("""COMPUTED_VALUE"""),"UMD")</f>
        <v>UMD</v>
      </c>
      <c r="C943" s="10" t="str">
        <f ca="1">IFERROR(__xludf.DUMMYFUNCTION("""COMPUTED_VALUE"""),"mcar")</f>
        <v>mcar</v>
      </c>
      <c r="D943" s="10">
        <f ca="1">IFERROR(__xludf.DUMMYFUNCTION("""COMPUTED_VALUE"""),0.2)</f>
        <v>0.2</v>
      </c>
      <c r="E943" s="17">
        <f ca="1">IFERROR(__xludf.DUMMYFUNCTION("""COMPUTED_VALUE"""),0.959435680692637)</f>
        <v>0.95943568069263696</v>
      </c>
      <c r="F943" s="17">
        <f ca="1">IFERROR(__xludf.DUMMYFUNCTION("""COMPUTED_VALUE"""),0.531983279965394)</f>
        <v>0.53198327996539396</v>
      </c>
      <c r="G943" s="17">
        <f ca="1">IFERROR(__xludf.DUMMYFUNCTION("""COMPUTED_VALUE"""),0.555359857144224)</f>
        <v>0.55535985714422398</v>
      </c>
      <c r="H943" s="17">
        <f ca="1">IFERROR(__xludf.DUMMYFUNCTION("""COMPUTED_VALUE"""),0.505805151898885)</f>
        <v>0.50580515189888497</v>
      </c>
      <c r="I943" s="17">
        <f ca="1">IFERROR(__xludf.DUMMYFUNCTION("""COMPUTED_VALUE"""),0.45902062365981)</f>
        <v>0.45902062365981</v>
      </c>
      <c r="J943" s="17">
        <f ca="1">IFERROR(__xludf.DUMMYFUNCTION("""COMPUTED_VALUE"""),0.606934327932245)</f>
        <v>0.606934327932245</v>
      </c>
      <c r="K943" s="17" t="str">
        <f ca="1">IFERROR(__xludf.DUMMYFUNCTION("""COMPUTED_VALUE"""),"nan")</f>
        <v>nan</v>
      </c>
      <c r="L943" s="17">
        <f ca="1">IFERROR(__xludf.DUMMYFUNCTION("""COMPUTED_VALUE"""),0.500648499083077)</f>
        <v>0.50064849908307696</v>
      </c>
      <c r="M943" s="17">
        <f ca="1">IFERROR(__xludf.DUMMYFUNCTION("""COMPUTED_VALUE"""),0.500682855239699)</f>
        <v>0.50068285523969902</v>
      </c>
      <c r="N943" s="17">
        <f ca="1">IFERROR(__xludf.DUMMYFUNCTION("""COMPUTED_VALUE"""),0.416665464665389)</f>
        <v>0.41666546466538901</v>
      </c>
      <c r="O943" s="17">
        <f ca="1">IFERROR(__xludf.DUMMYFUNCTION("""COMPUTED_VALUE"""),0.494839983871969)</f>
        <v>0.49483998387196898</v>
      </c>
      <c r="P943" s="17">
        <f ca="1">IFERROR(__xludf.DUMMYFUNCTION("""COMPUTED_VALUE"""),0.689486755637895)</f>
        <v>0.68948675563789497</v>
      </c>
      <c r="Q943" s="17">
        <f ca="1">IFERROR(__xludf.DUMMYFUNCTION("""COMPUTED_VALUE"""),1.11379698165104)</f>
        <v>1.11379698165104</v>
      </c>
      <c r="R943" s="17">
        <f ca="1">IFERROR(__xludf.DUMMYFUNCTION("""COMPUTED_VALUE"""),0.559384964341847)</f>
        <v>0.55938496434184704</v>
      </c>
      <c r="S943" s="17">
        <f ca="1">IFERROR(__xludf.DUMMYFUNCTION("""COMPUTED_VALUE"""),0.694500236131269)</f>
        <v>0.69450023613126899</v>
      </c>
      <c r="T943" s="17">
        <f ca="1">IFERROR(__xludf.DUMMYFUNCTION("""COMPUTED_VALUE"""),0.546659643099585)</f>
        <v>0.54665964309958504</v>
      </c>
      <c r="U943" s="17">
        <f ca="1">IFERROR(__xludf.DUMMYFUNCTION("""COMPUTED_VALUE"""),0.517391393359963)</f>
        <v>0.51739139335996298</v>
      </c>
      <c r="V943" s="17">
        <f ca="1">IFERROR(__xludf.DUMMYFUNCTION("""COMPUTED_VALUE"""),0.480668892323746)</f>
        <v>0.48066889232374599</v>
      </c>
      <c r="W943" s="17">
        <f ca="1">IFERROR(__xludf.DUMMYFUNCTION("""COMPUTED_VALUE"""),0.515836729224275)</f>
        <v>0.51583672922427504</v>
      </c>
      <c r="X943" s="17">
        <f ca="1">IFERROR(__xludf.DUMMYFUNCTION("""COMPUTED_VALUE"""),0.483852093045412)</f>
        <v>0.48385209304541199</v>
      </c>
      <c r="Y943" s="17">
        <f ca="1">IFERROR(__xludf.DUMMYFUNCTION("""COMPUTED_VALUE"""),0.545194456517011)</f>
        <v>0.54519445651701104</v>
      </c>
      <c r="Z943" s="17">
        <f ca="1">IFERROR(__xludf.DUMMYFUNCTION("""COMPUTED_VALUE"""),0.633086900331876)</f>
        <v>0.63308690033187598</v>
      </c>
      <c r="AA943" s="17">
        <f ca="1">IFERROR(__xludf.DUMMYFUNCTION("""COMPUTED_VALUE"""),0.429451260820292)</f>
        <v>0.429451260820292</v>
      </c>
      <c r="AB943" s="17">
        <f ca="1">IFERROR(__xludf.DUMMYFUNCTION("""COMPUTED_VALUE"""),0.659957110493941)</f>
        <v>0.65995711049394101</v>
      </c>
      <c r="AC943" s="17">
        <f ca="1">IFERROR(__xludf.DUMMYFUNCTION("""COMPUTED_VALUE"""),0.415073276086637)</f>
        <v>0.41507327608663702</v>
      </c>
      <c r="AD943" s="17">
        <f ca="1">IFERROR(__xludf.DUMMYFUNCTION("""COMPUTED_VALUE"""),0.587766231793203)</f>
        <v>0.58776623179320298</v>
      </c>
      <c r="AE943" s="17">
        <f ca="1">IFERROR(__xludf.DUMMYFUNCTION("""COMPUTED_VALUE"""),0.6815128518253)</f>
        <v>0.68151285182529997</v>
      </c>
      <c r="AF943" s="17">
        <f ca="1">IFERROR(__xludf.DUMMYFUNCTION("""COMPUTED_VALUE"""),0.590566059743446)</f>
        <v>0.590566059743446</v>
      </c>
      <c r="AG943" s="17">
        <f ca="1">IFERROR(__xludf.DUMMYFUNCTION("""COMPUTED_VALUE"""),0.754823925258991)</f>
        <v>0.754823925258991</v>
      </c>
      <c r="AH943" s="17">
        <f ca="1">IFERROR(__xludf.DUMMYFUNCTION("""COMPUTED_VALUE"""),0.529260528380686)</f>
        <v>0.52926052838068605</v>
      </c>
      <c r="AI943" s="17">
        <f ca="1">IFERROR(__xludf.DUMMYFUNCTION("""COMPUTED_VALUE"""),0.551738272495302)</f>
        <v>0.55173827249530205</v>
      </c>
      <c r="AJ943" s="17">
        <f ca="1">IFERROR(__xludf.DUMMYFUNCTION("""COMPUTED_VALUE"""),0.51421265714488)</f>
        <v>0.51421265714487996</v>
      </c>
    </row>
    <row r="944" spans="2:36" ht="15.75" customHeight="1" x14ac:dyDescent="0.45">
      <c r="B944" s="10" t="str">
        <f ca="1">IFERROR(__xludf.DUMMYFUNCTION("""COMPUTED_VALUE"""),"UMD")</f>
        <v>UMD</v>
      </c>
      <c r="C944" s="10" t="str">
        <f ca="1">IFERROR(__xludf.DUMMYFUNCTION("""COMPUTED_VALUE"""),"mcar")</f>
        <v>mcar</v>
      </c>
      <c r="D944" s="10">
        <f ca="1">IFERROR(__xludf.DUMMYFUNCTION("""COMPUTED_VALUE"""),0.4)</f>
        <v>0.4</v>
      </c>
      <c r="E944" s="17">
        <f ca="1">IFERROR(__xludf.DUMMYFUNCTION("""COMPUTED_VALUE"""),1.1065782331137)</f>
        <v>1.1065782331137</v>
      </c>
      <c r="F944" s="17">
        <f ca="1">IFERROR(__xludf.DUMMYFUNCTION("""COMPUTED_VALUE"""),0.497811256088412)</f>
        <v>0.49781125608841198</v>
      </c>
      <c r="G944" s="17">
        <f ca="1">IFERROR(__xludf.DUMMYFUNCTION("""COMPUTED_VALUE"""),0.497400580000166)</f>
        <v>0.49740058000016601</v>
      </c>
      <c r="H944" s="17">
        <f ca="1">IFERROR(__xludf.DUMMYFUNCTION("""COMPUTED_VALUE"""),0.577756013401589)</f>
        <v>0.577756013401589</v>
      </c>
      <c r="I944" s="17">
        <f ca="1">IFERROR(__xludf.DUMMYFUNCTION("""COMPUTED_VALUE"""),0.549996510361765)</f>
        <v>0.549996510361765</v>
      </c>
      <c r="J944" s="17">
        <f ca="1">IFERROR(__xludf.DUMMYFUNCTION("""COMPUTED_VALUE"""),0.514644291936206)</f>
        <v>0.51464429193620598</v>
      </c>
      <c r="K944" s="17" t="str">
        <f ca="1">IFERROR(__xludf.DUMMYFUNCTION("""COMPUTED_VALUE"""),"nan")</f>
        <v>nan</v>
      </c>
      <c r="L944" s="17">
        <f ca="1">IFERROR(__xludf.DUMMYFUNCTION("""COMPUTED_VALUE"""),0.514269568316275)</f>
        <v>0.51426956831627502</v>
      </c>
      <c r="M944" s="17">
        <f ca="1">IFERROR(__xludf.DUMMYFUNCTION("""COMPUTED_VALUE"""),0.520919926724597)</f>
        <v>0.52091992672459697</v>
      </c>
      <c r="N944" s="17">
        <f ca="1">IFERROR(__xludf.DUMMYFUNCTION("""COMPUTED_VALUE"""),0.541194094701106)</f>
        <v>0.54119409470110602</v>
      </c>
      <c r="O944" s="17">
        <f ca="1">IFERROR(__xludf.DUMMYFUNCTION("""COMPUTED_VALUE"""),0.503231448785291)</f>
        <v>0.50323144878529102</v>
      </c>
      <c r="P944" s="17">
        <f ca="1">IFERROR(__xludf.DUMMYFUNCTION("""COMPUTED_VALUE"""),0.79929011960376)</f>
        <v>0.79929011960375995</v>
      </c>
      <c r="Q944" s="17">
        <f ca="1">IFERROR(__xludf.DUMMYFUNCTION("""COMPUTED_VALUE"""),1.1542261765243)</f>
        <v>1.1542261765243</v>
      </c>
      <c r="R944" s="17">
        <f ca="1">IFERROR(__xludf.DUMMYFUNCTION("""COMPUTED_VALUE"""),0.488928869797496)</f>
        <v>0.488928869797496</v>
      </c>
      <c r="S944" s="17">
        <f ca="1">IFERROR(__xludf.DUMMYFUNCTION("""COMPUTED_VALUE"""),0.63725519433148)</f>
        <v>0.63725519433148003</v>
      </c>
      <c r="T944" s="17">
        <f ca="1">IFERROR(__xludf.DUMMYFUNCTION("""COMPUTED_VALUE"""),0.579976037996502)</f>
        <v>0.57997603799650199</v>
      </c>
      <c r="U944" s="17">
        <f ca="1">IFERROR(__xludf.DUMMYFUNCTION("""COMPUTED_VALUE"""),0.567172179100443)</f>
        <v>0.56717217910044304</v>
      </c>
      <c r="V944" s="17">
        <f ca="1">IFERROR(__xludf.DUMMYFUNCTION("""COMPUTED_VALUE"""),0.527272284385261)</f>
        <v>0.52727228438526097</v>
      </c>
      <c r="W944" s="17">
        <f ca="1">IFERROR(__xludf.DUMMYFUNCTION("""COMPUTED_VALUE"""),0.664122414591373)</f>
        <v>0.664122414591373</v>
      </c>
      <c r="X944" s="17">
        <f ca="1">IFERROR(__xludf.DUMMYFUNCTION("""COMPUTED_VALUE"""),0.513908143267835)</f>
        <v>0.51390814326783496</v>
      </c>
      <c r="Y944" s="17">
        <f ca="1">IFERROR(__xludf.DUMMYFUNCTION("""COMPUTED_VALUE"""),0.518578522569908)</f>
        <v>0.518578522569908</v>
      </c>
      <c r="Z944" s="17">
        <f ca="1">IFERROR(__xludf.DUMMYFUNCTION("""COMPUTED_VALUE"""),0.692772314881217)</f>
        <v>0.69277231488121704</v>
      </c>
      <c r="AA944" s="17">
        <f ca="1">IFERROR(__xludf.DUMMYFUNCTION("""COMPUTED_VALUE"""),0.391413676055415)</f>
        <v>0.39141367605541499</v>
      </c>
      <c r="AB944" s="17">
        <f ca="1">IFERROR(__xludf.DUMMYFUNCTION("""COMPUTED_VALUE"""),0.71684001941509)</f>
        <v>0.71684001941509001</v>
      </c>
      <c r="AC944" s="17">
        <f ca="1">IFERROR(__xludf.DUMMYFUNCTION("""COMPUTED_VALUE"""),0.703982058372831)</f>
        <v>0.70398205837283101</v>
      </c>
      <c r="AD944" s="17">
        <f ca="1">IFERROR(__xludf.DUMMYFUNCTION("""COMPUTED_VALUE"""),0.740409547077902)</f>
        <v>0.74040954707790196</v>
      </c>
      <c r="AE944" s="17">
        <f ca="1">IFERROR(__xludf.DUMMYFUNCTION("""COMPUTED_VALUE"""),1.12076005397987)</f>
        <v>1.1207600539798701</v>
      </c>
      <c r="AF944" s="17">
        <f ca="1">IFERROR(__xludf.DUMMYFUNCTION("""COMPUTED_VALUE"""),0.683009677266346)</f>
        <v>0.68300967726634598</v>
      </c>
      <c r="AG944" s="17">
        <f ca="1">IFERROR(__xludf.DUMMYFUNCTION("""COMPUTED_VALUE"""),1.1695175422177)</f>
        <v>1.1695175422177</v>
      </c>
      <c r="AH944" s="17">
        <f ca="1">IFERROR(__xludf.DUMMYFUNCTION("""COMPUTED_VALUE"""),0.869180253806049)</f>
        <v>0.86918025380604902</v>
      </c>
      <c r="AI944" s="17">
        <f ca="1">IFERROR(__xludf.DUMMYFUNCTION("""COMPUTED_VALUE"""),1.13599386937943)</f>
        <v>1.13599386937943</v>
      </c>
      <c r="AJ944" s="17">
        <f ca="1">IFERROR(__xludf.DUMMYFUNCTION("""COMPUTED_VALUE"""),1.03940557702236)</f>
        <v>1.03940557702236</v>
      </c>
    </row>
    <row r="945" spans="2:36" ht="15.75" customHeight="1" x14ac:dyDescent="0.45">
      <c r="B945" s="10" t="str">
        <f ca="1">IFERROR(__xludf.DUMMYFUNCTION("""COMPUTED_VALUE"""),"UMD")</f>
        <v>UMD</v>
      </c>
      <c r="C945" s="10" t="str">
        <f ca="1">IFERROR(__xludf.DUMMYFUNCTION("""COMPUTED_VALUE"""),"mcar")</f>
        <v>mcar</v>
      </c>
      <c r="D945" s="10">
        <f ca="1">IFERROR(__xludf.DUMMYFUNCTION("""COMPUTED_VALUE"""),0.6)</f>
        <v>0.6</v>
      </c>
      <c r="E945" s="17">
        <f ca="1">IFERROR(__xludf.DUMMYFUNCTION("""COMPUTED_VALUE"""),1.03431157116744)</f>
        <v>1.03431157116744</v>
      </c>
      <c r="F945" s="17">
        <f ca="1">IFERROR(__xludf.DUMMYFUNCTION("""COMPUTED_VALUE"""),0.564058666359084)</f>
        <v>0.56405866635908397</v>
      </c>
      <c r="G945" s="17">
        <f ca="1">IFERROR(__xludf.DUMMYFUNCTION("""COMPUTED_VALUE"""),0.599504973490009)</f>
        <v>0.59950497349000897</v>
      </c>
      <c r="H945" s="17">
        <f ca="1">IFERROR(__xludf.DUMMYFUNCTION("""COMPUTED_VALUE"""),0.595398252731721)</f>
        <v>0.59539825273172098</v>
      </c>
      <c r="I945" s="17">
        <f ca="1">IFERROR(__xludf.DUMMYFUNCTION("""COMPUTED_VALUE"""),0.574043181495308)</f>
        <v>0.57404318149530797</v>
      </c>
      <c r="J945" s="17">
        <f ca="1">IFERROR(__xludf.DUMMYFUNCTION("""COMPUTED_VALUE"""),0.652276856801816)</f>
        <v>0.65227685680181602</v>
      </c>
      <c r="K945" s="17" t="str">
        <f ca="1">IFERROR(__xludf.DUMMYFUNCTION("""COMPUTED_VALUE"""),"nan")</f>
        <v>nan</v>
      </c>
      <c r="L945" s="17">
        <f ca="1">IFERROR(__xludf.DUMMYFUNCTION("""COMPUTED_VALUE"""),0.579476131217233)</f>
        <v>0.57947613121723296</v>
      </c>
      <c r="M945" s="17">
        <f ca="1">IFERROR(__xludf.DUMMYFUNCTION("""COMPUTED_VALUE"""),0.495040309496322)</f>
        <v>0.495040309496322</v>
      </c>
      <c r="N945" s="17">
        <f ca="1">IFERROR(__xludf.DUMMYFUNCTION("""COMPUTED_VALUE"""),0.601565373892094)</f>
        <v>0.60156537389209397</v>
      </c>
      <c r="O945" s="17">
        <f ca="1">IFERROR(__xludf.DUMMYFUNCTION("""COMPUTED_VALUE"""),0.572018959016041)</f>
        <v>0.57201895901604105</v>
      </c>
      <c r="P945" s="17">
        <f ca="1">IFERROR(__xludf.DUMMYFUNCTION("""COMPUTED_VALUE"""),0.780838778763326)</f>
        <v>0.78083877876332597</v>
      </c>
      <c r="Q945" s="17">
        <f ca="1">IFERROR(__xludf.DUMMYFUNCTION("""COMPUTED_VALUE"""),1.14042553886052)</f>
        <v>1.14042553886052</v>
      </c>
      <c r="R945" s="17">
        <f ca="1">IFERROR(__xludf.DUMMYFUNCTION("""COMPUTED_VALUE"""),0.61397594033073)</f>
        <v>0.61397594033073</v>
      </c>
      <c r="S945" s="17">
        <f ca="1">IFERROR(__xludf.DUMMYFUNCTION("""COMPUTED_VALUE"""),0.694393116327522)</f>
        <v>0.69439311632752199</v>
      </c>
      <c r="T945" s="17">
        <f ca="1">IFERROR(__xludf.DUMMYFUNCTION("""COMPUTED_VALUE"""),0.604207896066518)</f>
        <v>0.60420789606651804</v>
      </c>
      <c r="U945" s="17">
        <f ca="1">IFERROR(__xludf.DUMMYFUNCTION("""COMPUTED_VALUE"""),0.67092157190036)</f>
        <v>0.67092157190035995</v>
      </c>
      <c r="V945" s="17">
        <f ca="1">IFERROR(__xludf.DUMMYFUNCTION("""COMPUTED_VALUE"""),0.581427628434232)</f>
        <v>0.58142762843423201</v>
      </c>
      <c r="W945" s="17">
        <f ca="1">IFERROR(__xludf.DUMMYFUNCTION("""COMPUTED_VALUE"""),0.661388512588299)</f>
        <v>0.661388512588299</v>
      </c>
      <c r="X945" s="17">
        <f ca="1">IFERROR(__xludf.DUMMYFUNCTION("""COMPUTED_VALUE"""),0.570845256034576)</f>
        <v>0.57084525603457603</v>
      </c>
      <c r="Y945" s="17">
        <f ca="1">IFERROR(__xludf.DUMMYFUNCTION("""COMPUTED_VALUE"""),0.567751548730363)</f>
        <v>0.56775154873036304</v>
      </c>
      <c r="Z945" s="17">
        <f ca="1">IFERROR(__xludf.DUMMYFUNCTION("""COMPUTED_VALUE"""),0.740651462392603)</f>
        <v>0.74065146239260304</v>
      </c>
      <c r="AA945" s="17">
        <f ca="1">IFERROR(__xludf.DUMMYFUNCTION("""COMPUTED_VALUE"""),0.512445073549919)</f>
        <v>0.51244507354991897</v>
      </c>
      <c r="AB945" s="17">
        <f ca="1">IFERROR(__xludf.DUMMYFUNCTION("""COMPUTED_VALUE"""),0.888828857806901)</f>
        <v>0.88882885780690102</v>
      </c>
      <c r="AC945" s="17">
        <f ca="1">IFERROR(__xludf.DUMMYFUNCTION("""COMPUTED_VALUE"""),0.833922034976398)</f>
        <v>0.83392203497639805</v>
      </c>
      <c r="AD945" s="17">
        <f ca="1">IFERROR(__xludf.DUMMYFUNCTION("""COMPUTED_VALUE"""),0.714913614363778)</f>
        <v>0.71491361436377798</v>
      </c>
      <c r="AE945" s="17">
        <f ca="1">IFERROR(__xludf.DUMMYFUNCTION("""COMPUTED_VALUE"""),1.06821711051241)</f>
        <v>1.0682171105124101</v>
      </c>
      <c r="AF945" s="17">
        <f ca="1">IFERROR(__xludf.DUMMYFUNCTION("""COMPUTED_VALUE"""),0.731469776145602)</f>
        <v>0.73146977614560205</v>
      </c>
      <c r="AG945" s="17">
        <f ca="1">IFERROR(__xludf.DUMMYFUNCTION("""COMPUTED_VALUE"""),1.31418537341134)</f>
        <v>1.31418537341134</v>
      </c>
      <c r="AH945" s="17">
        <f ca="1">IFERROR(__xludf.DUMMYFUNCTION("""COMPUTED_VALUE"""),0.844030741230236)</f>
        <v>0.84403074123023603</v>
      </c>
      <c r="AI945" s="17">
        <f ca="1">IFERROR(__xludf.DUMMYFUNCTION("""COMPUTED_VALUE"""),1.13327623056147)</f>
        <v>1.1332762305614701</v>
      </c>
      <c r="AJ945" s="17">
        <f ca="1">IFERROR(__xludf.DUMMYFUNCTION("""COMPUTED_VALUE"""),1.19268265228491)</f>
        <v>1.1926826522849101</v>
      </c>
    </row>
    <row r="946" spans="2:36" ht="15.75" customHeight="1" x14ac:dyDescent="0.45">
      <c r="B946" s="10" t="str">
        <f ca="1">IFERROR(__xludf.DUMMYFUNCTION("""COMPUTED_VALUE"""),"UMD")</f>
        <v>UMD</v>
      </c>
      <c r="C946" s="10" t="str">
        <f ca="1">IFERROR(__xludf.DUMMYFUNCTION("""COMPUTED_VALUE"""),"mcar")</f>
        <v>mcar</v>
      </c>
      <c r="D946" s="10">
        <f ca="1">IFERROR(__xludf.DUMMYFUNCTION("""COMPUTED_VALUE"""),0.8)</f>
        <v>0.8</v>
      </c>
      <c r="E946" s="17">
        <f ca="1">IFERROR(__xludf.DUMMYFUNCTION("""COMPUTED_VALUE"""),1.02143841666899)</f>
        <v>1.02143841666899</v>
      </c>
      <c r="F946" s="17">
        <f ca="1">IFERROR(__xludf.DUMMYFUNCTION("""COMPUTED_VALUE"""),0.532922857326288)</f>
        <v>0.53292285732628797</v>
      </c>
      <c r="G946" s="17">
        <f ca="1">IFERROR(__xludf.DUMMYFUNCTION("""COMPUTED_VALUE"""),0.529941737999479)</f>
        <v>0.52994173799947897</v>
      </c>
      <c r="H946" s="17">
        <f ca="1">IFERROR(__xludf.DUMMYFUNCTION("""COMPUTED_VALUE"""),0.581539919686299)</f>
        <v>0.58153991968629903</v>
      </c>
      <c r="I946" s="17">
        <f ca="1">IFERROR(__xludf.DUMMYFUNCTION("""COMPUTED_VALUE"""),0.61399052403985)</f>
        <v>0.61399052403984999</v>
      </c>
      <c r="J946" s="17">
        <f ca="1">IFERROR(__xludf.DUMMYFUNCTION("""COMPUTED_VALUE"""),1.19326307606875)</f>
        <v>1.1932630760687499</v>
      </c>
      <c r="K946" s="17" t="str">
        <f ca="1">IFERROR(__xludf.DUMMYFUNCTION("""COMPUTED_VALUE"""),"nan")</f>
        <v>nan</v>
      </c>
      <c r="L946" s="17">
        <f ca="1">IFERROR(__xludf.DUMMYFUNCTION("""COMPUTED_VALUE"""),0.556059091620004)</f>
        <v>0.556059091620004</v>
      </c>
      <c r="M946" s="17">
        <f ca="1">IFERROR(__xludf.DUMMYFUNCTION("""COMPUTED_VALUE"""),1.09936981604497)</f>
        <v>1.0993698160449701</v>
      </c>
      <c r="N946" s="17">
        <f ca="1">IFERROR(__xludf.DUMMYFUNCTION("""COMPUTED_VALUE"""),0.640765028841106)</f>
        <v>0.64076502884110598</v>
      </c>
      <c r="O946" s="17">
        <f ca="1">IFERROR(__xludf.DUMMYFUNCTION("""COMPUTED_VALUE"""),0.494428446770446)</f>
        <v>0.49442844677044601</v>
      </c>
      <c r="P946" s="17">
        <f ca="1">IFERROR(__xludf.DUMMYFUNCTION("""COMPUTED_VALUE"""),0.78031843904057)</f>
        <v>0.78031843904056997</v>
      </c>
      <c r="Q946" s="17">
        <f ca="1">IFERROR(__xludf.DUMMYFUNCTION("""COMPUTED_VALUE"""),1.08691050643675)</f>
        <v>1.0869105064367499</v>
      </c>
      <c r="R946" s="17">
        <f ca="1">IFERROR(__xludf.DUMMYFUNCTION("""COMPUTED_VALUE"""),0.679989512826002)</f>
        <v>0.67998951282600195</v>
      </c>
      <c r="S946" s="17">
        <f ca="1">IFERROR(__xludf.DUMMYFUNCTION("""COMPUTED_VALUE"""),1.27821416627356)</f>
        <v>1.27821416627356</v>
      </c>
      <c r="T946" s="17">
        <f ca="1">IFERROR(__xludf.DUMMYFUNCTION("""COMPUTED_VALUE"""),0.668870463864066)</f>
        <v>0.66887046386406601</v>
      </c>
      <c r="U946" s="17">
        <f ca="1">IFERROR(__xludf.DUMMYFUNCTION("""COMPUTED_VALUE"""),0.711816851485658)</f>
        <v>0.71181685148565799</v>
      </c>
      <c r="V946" s="17">
        <f ca="1">IFERROR(__xludf.DUMMYFUNCTION("""COMPUTED_VALUE"""),0.562825488979571)</f>
        <v>0.56282548897957096</v>
      </c>
      <c r="W946" s="17">
        <f ca="1">IFERROR(__xludf.DUMMYFUNCTION("""COMPUTED_VALUE"""),0.948709091662839)</f>
        <v>0.94870909166283901</v>
      </c>
      <c r="X946" s="17">
        <f ca="1">IFERROR(__xludf.DUMMYFUNCTION("""COMPUTED_VALUE"""),0.542036530123857)</f>
        <v>0.542036530123857</v>
      </c>
      <c r="Y946" s="17">
        <f ca="1">IFERROR(__xludf.DUMMYFUNCTION("""COMPUTED_VALUE"""),1.05065331277371)</f>
        <v>1.0506533127737101</v>
      </c>
      <c r="Z946" s="17">
        <f ca="1">IFERROR(__xludf.DUMMYFUNCTION("""COMPUTED_VALUE"""),0.845041059882356)</f>
        <v>0.845041059882356</v>
      </c>
      <c r="AA946" s="17">
        <f ca="1">IFERROR(__xludf.DUMMYFUNCTION("""COMPUTED_VALUE"""),0.541574538663063)</f>
        <v>0.54157453866306304</v>
      </c>
      <c r="AB946" s="17">
        <f ca="1">IFERROR(__xludf.DUMMYFUNCTION("""COMPUTED_VALUE"""),0.671787478042871)</f>
        <v>0.67178747804287098</v>
      </c>
      <c r="AC946" s="17">
        <f ca="1">IFERROR(__xludf.DUMMYFUNCTION("""COMPUTED_VALUE"""),0.920378628928405)</f>
        <v>0.92037862892840505</v>
      </c>
      <c r="AD946" s="17">
        <f ca="1">IFERROR(__xludf.DUMMYFUNCTION("""COMPUTED_VALUE"""),0.802495531599511)</f>
        <v>0.80249553159951104</v>
      </c>
      <c r="AE946" s="17">
        <f ca="1">IFERROR(__xludf.DUMMYFUNCTION("""COMPUTED_VALUE"""),1.62450524199282)</f>
        <v>1.6245052419928201</v>
      </c>
      <c r="AF946" s="17">
        <f ca="1">IFERROR(__xludf.DUMMYFUNCTION("""COMPUTED_VALUE"""),0.751503425803)</f>
        <v>0.751503425803</v>
      </c>
      <c r="AG946" s="17">
        <f ca="1">IFERROR(__xludf.DUMMYFUNCTION("""COMPUTED_VALUE"""),1.50588164271991)</f>
        <v>1.50588164271991</v>
      </c>
      <c r="AH946" s="17">
        <f ca="1">IFERROR(__xludf.DUMMYFUNCTION("""COMPUTED_VALUE"""),1.57739517484612)</f>
        <v>1.5773951748461199</v>
      </c>
      <c r="AI946" s="17">
        <f ca="1">IFERROR(__xludf.DUMMYFUNCTION("""COMPUTED_VALUE"""),1.07098019749332)</f>
        <v>1.07098019749332</v>
      </c>
      <c r="AJ946" s="17">
        <f ca="1">IFERROR(__xludf.DUMMYFUNCTION("""COMPUTED_VALUE"""),1.11480596320849)</f>
        <v>1.1148059632084899</v>
      </c>
    </row>
    <row r="947" spans="2:36" ht="15.75" customHeight="1" x14ac:dyDescent="0.45">
      <c r="B947" s="10" t="str">
        <f ca="1">IFERROR(__xludf.DUMMYFUNCTION("""COMPUTED_VALUE"""),"Wafer")</f>
        <v>Wafer</v>
      </c>
      <c r="C947" s="10" t="str">
        <f ca="1">IFERROR(__xludf.DUMMYFUNCTION("""COMPUTED_VALUE"""),"aligned_series")</f>
        <v>aligned_series</v>
      </c>
      <c r="D947" s="10">
        <f ca="1">IFERROR(__xludf.DUMMYFUNCTION("""COMPUTED_VALUE"""),0.1)</f>
        <v>0.1</v>
      </c>
      <c r="E947" s="17">
        <f ca="1">IFERROR(__xludf.DUMMYFUNCTION("""COMPUTED_VALUE"""),1.24491448480619)</f>
        <v>1.2449144848061899</v>
      </c>
      <c r="F947" s="17">
        <f ca="1">IFERROR(__xludf.DUMMYFUNCTION("""COMPUTED_VALUE"""),0.911155766346424)</f>
        <v>0.91115576634642403</v>
      </c>
      <c r="G947" s="17">
        <f ca="1">IFERROR(__xludf.DUMMYFUNCTION("""COMPUTED_VALUE"""),0.935972011857612)</f>
        <v>0.93597201185761203</v>
      </c>
      <c r="H947" s="17">
        <f ca="1">IFERROR(__xludf.DUMMYFUNCTION("""COMPUTED_VALUE"""),1.01771552922731)</f>
        <v>1.0177155292273099</v>
      </c>
      <c r="I947" s="17">
        <f ca="1">IFERROR(__xludf.DUMMYFUNCTION("""COMPUTED_VALUE"""),0.647173564214854)</f>
        <v>0.64717356421485395</v>
      </c>
      <c r="J947" s="17">
        <f ca="1">IFERROR(__xludf.DUMMYFUNCTION("""COMPUTED_VALUE"""),0.868593111077795)</f>
        <v>0.86859311107779502</v>
      </c>
      <c r="K947" s="17" t="str">
        <f ca="1">IFERROR(__xludf.DUMMYFUNCTION("""COMPUTED_VALUE"""),"nan")</f>
        <v>nan</v>
      </c>
      <c r="L947" s="17">
        <f ca="1">IFERROR(__xludf.DUMMYFUNCTION("""COMPUTED_VALUE"""),0.762328007192261)</f>
        <v>0.76232800719226101</v>
      </c>
      <c r="M947" s="17">
        <f ca="1">IFERROR(__xludf.DUMMYFUNCTION("""COMPUTED_VALUE"""),0.796346177158773)</f>
        <v>0.79634617715877298</v>
      </c>
      <c r="N947" s="17">
        <f ca="1">IFERROR(__xludf.DUMMYFUNCTION("""COMPUTED_VALUE"""),1.04385032135316)</f>
        <v>1.04385032135316</v>
      </c>
      <c r="O947" s="17">
        <f ca="1">IFERROR(__xludf.DUMMYFUNCTION("""COMPUTED_VALUE"""),0.732264107032745)</f>
        <v>0.73226410703274503</v>
      </c>
      <c r="P947" s="17">
        <f ca="1">IFERROR(__xludf.DUMMYFUNCTION("""COMPUTED_VALUE"""),1.29880336131431)</f>
        <v>1.29880336131431</v>
      </c>
      <c r="Q947" s="17">
        <f ca="1">IFERROR(__xludf.DUMMYFUNCTION("""COMPUTED_VALUE"""),1.55266915130258)</f>
        <v>1.5526691513025801</v>
      </c>
      <c r="R947" s="17">
        <f ca="1">IFERROR(__xludf.DUMMYFUNCTION("""COMPUTED_VALUE"""),0.770327375424863)</f>
        <v>0.77032737542486296</v>
      </c>
      <c r="S947" s="17">
        <f ca="1">IFERROR(__xludf.DUMMYFUNCTION("""COMPUTED_VALUE"""),0.968387561797456)</f>
        <v>0.968387561797456</v>
      </c>
      <c r="T947" s="17">
        <f ca="1">IFERROR(__xludf.DUMMYFUNCTION("""COMPUTED_VALUE"""),1.0213774755349)</f>
        <v>1.0213774755349001</v>
      </c>
      <c r="U947" s="17">
        <f ca="1">IFERROR(__xludf.DUMMYFUNCTION("""COMPUTED_VALUE"""),0.75137364023333)</f>
        <v>0.75137364023332998</v>
      </c>
      <c r="V947" s="17">
        <f ca="1">IFERROR(__xludf.DUMMYFUNCTION("""COMPUTED_VALUE"""),1.02192731311987)</f>
        <v>1.0219273131198701</v>
      </c>
      <c r="W947" s="17">
        <f ca="1">IFERROR(__xludf.DUMMYFUNCTION("""COMPUTED_VALUE"""),1.0548460947198)</f>
        <v>1.0548460947198</v>
      </c>
      <c r="X947" s="17">
        <f ca="1">IFERROR(__xludf.DUMMYFUNCTION("""COMPUTED_VALUE"""),69.6277278209809)</f>
        <v>69.627727820980894</v>
      </c>
      <c r="Y947" s="17">
        <f ca="1">IFERROR(__xludf.DUMMYFUNCTION("""COMPUTED_VALUE"""),0.987893455704744)</f>
        <v>0.98789345570474396</v>
      </c>
      <c r="Z947" s="17">
        <f ca="1">IFERROR(__xludf.DUMMYFUNCTION("""COMPUTED_VALUE"""),0.994435758391463)</f>
        <v>0.99443575839146303</v>
      </c>
      <c r="AA947" s="17">
        <f ca="1">IFERROR(__xludf.DUMMYFUNCTION("""COMPUTED_VALUE"""),0.735083928905251)</f>
        <v>0.73508392890525098</v>
      </c>
      <c r="AB947" s="17">
        <f ca="1">IFERROR(__xludf.DUMMYFUNCTION("""COMPUTED_VALUE"""),1.16679996989701)</f>
        <v>1.16679996989701</v>
      </c>
      <c r="AC947" s="17">
        <f ca="1">IFERROR(__xludf.DUMMYFUNCTION("""COMPUTED_VALUE"""),1.29038366844687)</f>
        <v>1.2903836684468699</v>
      </c>
      <c r="AD947" s="17">
        <f ca="1">IFERROR(__xludf.DUMMYFUNCTION("""COMPUTED_VALUE"""),1.24351271314502)</f>
        <v>1.2435127131450201</v>
      </c>
      <c r="AE947" s="17">
        <f ca="1">IFERROR(__xludf.DUMMYFUNCTION("""COMPUTED_VALUE"""),1.29620490273605)</f>
        <v>1.29620490273605</v>
      </c>
      <c r="AF947" s="17">
        <f ca="1">IFERROR(__xludf.DUMMYFUNCTION("""COMPUTED_VALUE"""),0.972869052101011)</f>
        <v>0.97286905210101104</v>
      </c>
      <c r="AG947" s="17">
        <f ca="1">IFERROR(__xludf.DUMMYFUNCTION("""COMPUTED_VALUE"""),1.51847055177088)</f>
        <v>1.5184705517708801</v>
      </c>
      <c r="AH947" s="17">
        <f ca="1">IFERROR(__xludf.DUMMYFUNCTION("""COMPUTED_VALUE"""),1.67378864098632)</f>
        <v>1.6737886409863201</v>
      </c>
      <c r="AI947" s="17" t="str">
        <f ca="1">IFERROR(__xludf.DUMMYFUNCTION("""COMPUTED_VALUE"""),"nan")</f>
        <v>nan</v>
      </c>
      <c r="AJ947" s="17">
        <f ca="1">IFERROR(__xludf.DUMMYFUNCTION("""COMPUTED_VALUE"""),1.35183192236066)</f>
        <v>1.3518319223606601</v>
      </c>
    </row>
    <row r="948" spans="2:36" ht="15.75" customHeight="1" x14ac:dyDescent="0.45">
      <c r="B948" s="10" t="str">
        <f ca="1">IFERROR(__xludf.DUMMYFUNCTION("""COMPUTED_VALUE"""),"Wafer")</f>
        <v>Wafer</v>
      </c>
      <c r="C948" s="10" t="str">
        <f ca="1">IFERROR(__xludf.DUMMYFUNCTION("""COMPUTED_VALUE"""),"aligned_series")</f>
        <v>aligned_series</v>
      </c>
      <c r="D948" s="10">
        <f ca="1">IFERROR(__xludf.DUMMYFUNCTION("""COMPUTED_VALUE"""),0.2)</f>
        <v>0.2</v>
      </c>
      <c r="E948" s="17">
        <f ca="1">IFERROR(__xludf.DUMMYFUNCTION("""COMPUTED_VALUE"""),1.2360440335601)</f>
        <v>1.2360440335601</v>
      </c>
      <c r="F948" s="17">
        <f ca="1">IFERROR(__xludf.DUMMYFUNCTION("""COMPUTED_VALUE"""),0.920379873014437)</f>
        <v>0.92037987301443702</v>
      </c>
      <c r="G948" s="17">
        <f ca="1">IFERROR(__xludf.DUMMYFUNCTION("""COMPUTED_VALUE"""),0.964668558328981)</f>
        <v>0.96466855832898102</v>
      </c>
      <c r="H948" s="17">
        <f ca="1">IFERROR(__xludf.DUMMYFUNCTION("""COMPUTED_VALUE"""),0.984176131992535)</f>
        <v>0.98417613199253495</v>
      </c>
      <c r="I948" s="17">
        <f ca="1">IFERROR(__xludf.DUMMYFUNCTION("""COMPUTED_VALUE"""),0.70325308079191)</f>
        <v>0.70325308079190996</v>
      </c>
      <c r="J948" s="17">
        <f ca="1">IFERROR(__xludf.DUMMYFUNCTION("""COMPUTED_VALUE"""),1.01254775696025)</f>
        <v>1.0125477569602499</v>
      </c>
      <c r="K948" s="17" t="str">
        <f ca="1">IFERROR(__xludf.DUMMYFUNCTION("""COMPUTED_VALUE"""),"nan")</f>
        <v>nan</v>
      </c>
      <c r="L948" s="17">
        <f ca="1">IFERROR(__xludf.DUMMYFUNCTION("""COMPUTED_VALUE"""),0.804436373833906)</f>
        <v>0.80443637383390598</v>
      </c>
      <c r="M948" s="17">
        <f ca="1">IFERROR(__xludf.DUMMYFUNCTION("""COMPUTED_VALUE"""),0.808277210132952)</f>
        <v>0.80827721013295195</v>
      </c>
      <c r="N948" s="17">
        <f ca="1">IFERROR(__xludf.DUMMYFUNCTION("""COMPUTED_VALUE"""),1.08572413994011)</f>
        <v>1.0857241399401101</v>
      </c>
      <c r="O948" s="17">
        <f ca="1">IFERROR(__xludf.DUMMYFUNCTION("""COMPUTED_VALUE"""),0.754430932587123)</f>
        <v>0.75443093258712302</v>
      </c>
      <c r="P948" s="17">
        <f ca="1">IFERROR(__xludf.DUMMYFUNCTION("""COMPUTED_VALUE"""),1.30852428791452)</f>
        <v>1.30852428791452</v>
      </c>
      <c r="Q948" s="17">
        <f ca="1">IFERROR(__xludf.DUMMYFUNCTION("""COMPUTED_VALUE"""),1.57913567538514)</f>
        <v>1.57913567538514</v>
      </c>
      <c r="R948" s="17">
        <f ca="1">IFERROR(__xludf.DUMMYFUNCTION("""COMPUTED_VALUE"""),0.861043399610268)</f>
        <v>0.86104339961026799</v>
      </c>
      <c r="S948" s="17">
        <f ca="1">IFERROR(__xludf.DUMMYFUNCTION("""COMPUTED_VALUE"""),0.967513758885231)</f>
        <v>0.96751375888523095</v>
      </c>
      <c r="T948" s="17">
        <f ca="1">IFERROR(__xludf.DUMMYFUNCTION("""COMPUTED_VALUE"""),1.02618100479063)</f>
        <v>1.0261810047906299</v>
      </c>
      <c r="U948" s="17">
        <f ca="1">IFERROR(__xludf.DUMMYFUNCTION("""COMPUTED_VALUE"""),0.78596644782663)</f>
        <v>0.78596644782663005</v>
      </c>
      <c r="V948" s="17">
        <f ca="1">IFERROR(__xludf.DUMMYFUNCTION("""COMPUTED_VALUE"""),0.984387571424613)</f>
        <v>0.98438757142461297</v>
      </c>
      <c r="W948" s="17">
        <f ca="1">IFERROR(__xludf.DUMMYFUNCTION("""COMPUTED_VALUE"""),1.07117780768925)</f>
        <v>1.07117780768925</v>
      </c>
      <c r="X948" s="17">
        <f ca="1">IFERROR(__xludf.DUMMYFUNCTION("""COMPUTED_VALUE"""),0.823620518416802)</f>
        <v>0.82362051841680195</v>
      </c>
      <c r="Y948" s="17">
        <f ca="1">IFERROR(__xludf.DUMMYFUNCTION("""COMPUTED_VALUE"""),0.938308619763659)</f>
        <v>0.93830861976365898</v>
      </c>
      <c r="Z948" s="17">
        <f ca="1">IFERROR(__xludf.DUMMYFUNCTION("""COMPUTED_VALUE"""),0.986556460258146)</f>
        <v>0.98655646025814603</v>
      </c>
      <c r="AA948" s="17">
        <f ca="1">IFERROR(__xludf.DUMMYFUNCTION("""COMPUTED_VALUE"""),0.877615824125606)</f>
        <v>0.87761582412560601</v>
      </c>
      <c r="AB948" s="17">
        <f ca="1">IFERROR(__xludf.DUMMYFUNCTION("""COMPUTED_VALUE"""),1.4146286293477)</f>
        <v>1.4146286293477</v>
      </c>
      <c r="AC948" s="17">
        <f ca="1">IFERROR(__xludf.DUMMYFUNCTION("""COMPUTED_VALUE"""),1.25318923530765)</f>
        <v>1.2531892353076499</v>
      </c>
      <c r="AD948" s="17">
        <f ca="1">IFERROR(__xludf.DUMMYFUNCTION("""COMPUTED_VALUE"""),1.12624982171168)</f>
        <v>1.1262498217116801</v>
      </c>
      <c r="AE948" s="17">
        <f ca="1">IFERROR(__xludf.DUMMYFUNCTION("""COMPUTED_VALUE"""),1.28314528934968)</f>
        <v>1.28314528934968</v>
      </c>
      <c r="AF948" s="17">
        <f ca="1">IFERROR(__xludf.DUMMYFUNCTION("""COMPUTED_VALUE"""),0.942258404471084)</f>
        <v>0.942258404471084</v>
      </c>
      <c r="AG948" s="17">
        <f ca="1">IFERROR(__xludf.DUMMYFUNCTION("""COMPUTED_VALUE"""),1.48193514434147)</f>
        <v>1.4819351443414699</v>
      </c>
      <c r="AH948" s="17">
        <f ca="1">IFERROR(__xludf.DUMMYFUNCTION("""COMPUTED_VALUE"""),1.63026106070487)</f>
        <v>1.63026106070487</v>
      </c>
      <c r="AI948" s="17" t="str">
        <f ca="1">IFERROR(__xludf.DUMMYFUNCTION("""COMPUTED_VALUE"""),"nan")</f>
        <v>nan</v>
      </c>
      <c r="AJ948" s="17">
        <f ca="1">IFERROR(__xludf.DUMMYFUNCTION("""COMPUTED_VALUE"""),1.33721554568735)</f>
        <v>1.33721554568735</v>
      </c>
    </row>
    <row r="949" spans="2:36" ht="15.75" customHeight="1" x14ac:dyDescent="0.45">
      <c r="B949" s="10" t="str">
        <f ca="1">IFERROR(__xludf.DUMMYFUNCTION("""COMPUTED_VALUE"""),"Wafer")</f>
        <v>Wafer</v>
      </c>
      <c r="C949" s="10" t="str">
        <f ca="1">IFERROR(__xludf.DUMMYFUNCTION("""COMPUTED_VALUE"""),"aligned_series")</f>
        <v>aligned_series</v>
      </c>
      <c r="D949" s="10">
        <f ca="1">IFERROR(__xludf.DUMMYFUNCTION("""COMPUTED_VALUE"""),0.4)</f>
        <v>0.4</v>
      </c>
      <c r="E949" s="17">
        <f ca="1">IFERROR(__xludf.DUMMYFUNCTION("""COMPUTED_VALUE"""),1.26571885187422)</f>
        <v>1.26571885187422</v>
      </c>
      <c r="F949" s="17">
        <f ca="1">IFERROR(__xludf.DUMMYFUNCTION("""COMPUTED_VALUE"""),0.962166649047617)</f>
        <v>0.96216664904761695</v>
      </c>
      <c r="G949" s="17">
        <f ca="1">IFERROR(__xludf.DUMMYFUNCTION("""COMPUTED_VALUE"""),0.998762507521644)</f>
        <v>0.99876250752164397</v>
      </c>
      <c r="H949" s="17">
        <f ca="1">IFERROR(__xludf.DUMMYFUNCTION("""COMPUTED_VALUE"""),1.00885396985462)</f>
        <v>1.0088539698546199</v>
      </c>
      <c r="I949" s="17">
        <f ca="1">IFERROR(__xludf.DUMMYFUNCTION("""COMPUTED_VALUE"""),0.819528724401547)</f>
        <v>0.819528724401547</v>
      </c>
      <c r="J949" s="17">
        <f ca="1">IFERROR(__xludf.DUMMYFUNCTION("""COMPUTED_VALUE"""),1.58236276396807)</f>
        <v>1.58236276396807</v>
      </c>
      <c r="K949" s="17" t="str">
        <f ca="1">IFERROR(__xludf.DUMMYFUNCTION("""COMPUTED_VALUE"""),"nan")</f>
        <v>nan</v>
      </c>
      <c r="L949" s="17">
        <f ca="1">IFERROR(__xludf.DUMMYFUNCTION("""COMPUTED_VALUE"""),0.83211071546251)</f>
        <v>0.83211071546251003</v>
      </c>
      <c r="M949" s="17">
        <f ca="1">IFERROR(__xludf.DUMMYFUNCTION("""COMPUTED_VALUE"""),0.838910107424011)</f>
        <v>0.83891010742401095</v>
      </c>
      <c r="N949" s="17">
        <f ca="1">IFERROR(__xludf.DUMMYFUNCTION("""COMPUTED_VALUE"""),1.10040839861157)</f>
        <v>1.10040839861157</v>
      </c>
      <c r="O949" s="17">
        <f ca="1">IFERROR(__xludf.DUMMYFUNCTION("""COMPUTED_VALUE"""),0.797055447962746)</f>
        <v>0.79705544796274597</v>
      </c>
      <c r="P949" s="17">
        <f ca="1">IFERROR(__xludf.DUMMYFUNCTION("""COMPUTED_VALUE"""),1.33472353507843)</f>
        <v>1.3347235350784299</v>
      </c>
      <c r="Q949" s="17">
        <f ca="1">IFERROR(__xludf.DUMMYFUNCTION("""COMPUTED_VALUE"""),1.58313126120271)</f>
        <v>1.58313126120271</v>
      </c>
      <c r="R949" s="17">
        <f ca="1">IFERROR(__xludf.DUMMYFUNCTION("""COMPUTED_VALUE"""),0.914018382580482)</f>
        <v>0.91401838258048196</v>
      </c>
      <c r="S949" s="17">
        <f ca="1">IFERROR(__xludf.DUMMYFUNCTION("""COMPUTED_VALUE"""),1.01324168696175)</f>
        <v>1.01324168696175</v>
      </c>
      <c r="T949" s="17">
        <f ca="1">IFERROR(__xludf.DUMMYFUNCTION("""COMPUTED_VALUE"""),1.07792336522756)</f>
        <v>1.0779233652275599</v>
      </c>
      <c r="U949" s="17">
        <f ca="1">IFERROR(__xludf.DUMMYFUNCTION("""COMPUTED_VALUE"""),0.894573700815939)</f>
        <v>0.89457370081593901</v>
      </c>
      <c r="V949" s="17">
        <f ca="1">IFERROR(__xludf.DUMMYFUNCTION("""COMPUTED_VALUE"""),1.00536601394998)</f>
        <v>1.00536601394998</v>
      </c>
      <c r="W949" s="17">
        <f ca="1">IFERROR(__xludf.DUMMYFUNCTION("""COMPUTED_VALUE"""),1.10059049620672)</f>
        <v>1.1005904962067199</v>
      </c>
      <c r="X949" s="17">
        <f ca="1">IFERROR(__xludf.DUMMYFUNCTION("""COMPUTED_VALUE"""),0.865429829475895)</f>
        <v>0.86542982947589497</v>
      </c>
      <c r="Y949" s="17">
        <f ca="1">IFERROR(__xludf.DUMMYFUNCTION("""COMPUTED_VALUE"""),0.966319493255842)</f>
        <v>0.96631949325584199</v>
      </c>
      <c r="Z949" s="17">
        <f ca="1">IFERROR(__xludf.DUMMYFUNCTION("""COMPUTED_VALUE"""),1.01820322159506)</f>
        <v>1.01820322159506</v>
      </c>
      <c r="AA949" s="17">
        <f ca="1">IFERROR(__xludf.DUMMYFUNCTION("""COMPUTED_VALUE"""),1.33006597738137)</f>
        <v>1.3300659773813699</v>
      </c>
      <c r="AB949" s="17">
        <f ca="1">IFERROR(__xludf.DUMMYFUNCTION("""COMPUTED_VALUE"""),1.61922282669677)</f>
        <v>1.6192228266967701</v>
      </c>
      <c r="AC949" s="17">
        <f ca="1">IFERROR(__xludf.DUMMYFUNCTION("""COMPUTED_VALUE"""),1.25423511328833)</f>
        <v>1.25423511328833</v>
      </c>
      <c r="AD949" s="17">
        <f ca="1">IFERROR(__xludf.DUMMYFUNCTION("""COMPUTED_VALUE"""),1.15721853333636)</f>
        <v>1.15721853333636</v>
      </c>
      <c r="AE949" s="17">
        <f ca="1">IFERROR(__xludf.DUMMYFUNCTION("""COMPUTED_VALUE"""),1.31528451379278)</f>
        <v>1.31528451379278</v>
      </c>
      <c r="AF949" s="17">
        <f ca="1">IFERROR(__xludf.DUMMYFUNCTION("""COMPUTED_VALUE"""),0.992324715856447)</f>
        <v>0.99232471585644699</v>
      </c>
      <c r="AG949" s="17">
        <f ca="1">IFERROR(__xludf.DUMMYFUNCTION("""COMPUTED_VALUE"""),1.52606994302754)</f>
        <v>1.52606994302754</v>
      </c>
      <c r="AH949" s="17">
        <f ca="1">IFERROR(__xludf.DUMMYFUNCTION("""COMPUTED_VALUE"""),1.65228744048493)</f>
        <v>1.6522874404849299</v>
      </c>
      <c r="AI949" s="17" t="str">
        <f ca="1">IFERROR(__xludf.DUMMYFUNCTION("""COMPUTED_VALUE"""),"nan")</f>
        <v>nan</v>
      </c>
      <c r="AJ949" s="17">
        <f ca="1">IFERROR(__xludf.DUMMYFUNCTION("""COMPUTED_VALUE"""),1.37851241979633)</f>
        <v>1.3785124197963301</v>
      </c>
    </row>
    <row r="950" spans="2:36" ht="15.75" customHeight="1" x14ac:dyDescent="0.45">
      <c r="B950" s="10" t="str">
        <f ca="1">IFERROR(__xludf.DUMMYFUNCTION("""COMPUTED_VALUE"""),"Wafer")</f>
        <v>Wafer</v>
      </c>
      <c r="C950" s="10" t="str">
        <f ca="1">IFERROR(__xludf.DUMMYFUNCTION("""COMPUTED_VALUE"""),"aligned_series")</f>
        <v>aligned_series</v>
      </c>
      <c r="D950" s="10">
        <f ca="1">IFERROR(__xludf.DUMMYFUNCTION("""COMPUTED_VALUE"""),0.6)</f>
        <v>0.6</v>
      </c>
      <c r="E950" s="17">
        <f ca="1">IFERROR(__xludf.DUMMYFUNCTION("""COMPUTED_VALUE"""),1.27345385331072)</f>
        <v>1.27345385331072</v>
      </c>
      <c r="F950" s="17">
        <f ca="1">IFERROR(__xludf.DUMMYFUNCTION("""COMPUTED_VALUE"""),0.965706660746015)</f>
        <v>0.96570666074601497</v>
      </c>
      <c r="G950" s="17">
        <f ca="1">IFERROR(__xludf.DUMMYFUNCTION("""COMPUTED_VALUE"""),1.01476200138437)</f>
        <v>1.0147620013843699</v>
      </c>
      <c r="H950" s="17">
        <f ca="1">IFERROR(__xludf.DUMMYFUNCTION("""COMPUTED_VALUE"""),1.00031976671657)</f>
        <v>1.00031976671657</v>
      </c>
      <c r="I950" s="17">
        <f ca="1">IFERROR(__xludf.DUMMYFUNCTION("""COMPUTED_VALUE"""),0.890119598384725)</f>
        <v>0.89011959838472499</v>
      </c>
      <c r="J950" s="17">
        <f ca="1">IFERROR(__xludf.DUMMYFUNCTION("""COMPUTED_VALUE"""),1.61762166431268)</f>
        <v>1.61762166431268</v>
      </c>
      <c r="K950" s="17" t="str">
        <f ca="1">IFERROR(__xludf.DUMMYFUNCTION("""COMPUTED_VALUE"""),"nan")</f>
        <v>nan</v>
      </c>
      <c r="L950" s="17">
        <f ca="1">IFERROR(__xludf.DUMMYFUNCTION("""COMPUTED_VALUE"""),0.846546433929269)</f>
        <v>0.84654643392926898</v>
      </c>
      <c r="M950" s="17">
        <f ca="1">IFERROR(__xludf.DUMMYFUNCTION("""COMPUTED_VALUE"""),0.99419071992668)</f>
        <v>0.99419071992667996</v>
      </c>
      <c r="N950" s="17">
        <f ca="1">IFERROR(__xludf.DUMMYFUNCTION("""COMPUTED_VALUE"""),1.10691302430386)</f>
        <v>1.1069130243038601</v>
      </c>
      <c r="O950" s="17">
        <f ca="1">IFERROR(__xludf.DUMMYFUNCTION("""COMPUTED_VALUE"""),0.82043967213567)</f>
        <v>0.82043967213567004</v>
      </c>
      <c r="P950" s="17">
        <f ca="1">IFERROR(__xludf.DUMMYFUNCTION("""COMPUTED_VALUE"""),1.3403324229331)</f>
        <v>1.3403324229331</v>
      </c>
      <c r="Q950" s="17">
        <f ca="1">IFERROR(__xludf.DUMMYFUNCTION("""COMPUTED_VALUE"""),1.53055706167813)</f>
        <v>1.5305570616781301</v>
      </c>
      <c r="R950" s="17">
        <f ca="1">IFERROR(__xludf.DUMMYFUNCTION("""COMPUTED_VALUE"""),1.00715472420645)</f>
        <v>1.00715472420645</v>
      </c>
      <c r="S950" s="17">
        <f ca="1">IFERROR(__xludf.DUMMYFUNCTION("""COMPUTED_VALUE"""),1.04602466232812)</f>
        <v>1.04602466232812</v>
      </c>
      <c r="T950" s="17">
        <f ca="1">IFERROR(__xludf.DUMMYFUNCTION("""COMPUTED_VALUE"""),1.11033282098346)</f>
        <v>1.11033282098346</v>
      </c>
      <c r="U950" s="17">
        <f ca="1">IFERROR(__xludf.DUMMYFUNCTION("""COMPUTED_VALUE"""),0.986938012295278)</f>
        <v>0.986938012295278</v>
      </c>
      <c r="V950" s="17">
        <f ca="1">IFERROR(__xludf.DUMMYFUNCTION("""COMPUTED_VALUE"""),0.999167474268511)</f>
        <v>0.99916747426851105</v>
      </c>
      <c r="W950" s="17">
        <f ca="1">IFERROR(__xludf.DUMMYFUNCTION("""COMPUTED_VALUE"""),1.1076619351336)</f>
        <v>1.1076619351335999</v>
      </c>
      <c r="X950" s="17">
        <f ca="1">IFERROR(__xludf.DUMMYFUNCTION("""COMPUTED_VALUE"""),0.889851942764099)</f>
        <v>0.88985194276409896</v>
      </c>
      <c r="Y950" s="17">
        <f ca="1">IFERROR(__xludf.DUMMYFUNCTION("""COMPUTED_VALUE"""),0.99426545712461)</f>
        <v>0.99426545712461001</v>
      </c>
      <c r="Z950" s="17">
        <f ca="1">IFERROR(__xludf.DUMMYFUNCTION("""COMPUTED_VALUE"""),1.05011707974586)</f>
        <v>1.0501170797458601</v>
      </c>
      <c r="AA950" s="17">
        <f ca="1">IFERROR(__xludf.DUMMYFUNCTION("""COMPUTED_VALUE"""),1.53317561792706)</f>
        <v>1.5331756179270599</v>
      </c>
      <c r="AB950" s="17">
        <f ca="1">IFERROR(__xludf.DUMMYFUNCTION("""COMPUTED_VALUE"""),1.82152114492629)</f>
        <v>1.82152114492629</v>
      </c>
      <c r="AC950" s="17">
        <f ca="1">IFERROR(__xludf.DUMMYFUNCTION("""COMPUTED_VALUE"""),1.3397006490191)</f>
        <v>1.3397006490190999</v>
      </c>
      <c r="AD950" s="17">
        <f ca="1">IFERROR(__xludf.DUMMYFUNCTION("""COMPUTED_VALUE"""),1.17196771445046)</f>
        <v>1.1719677144504601</v>
      </c>
      <c r="AE950" s="17">
        <f ca="1">IFERROR(__xludf.DUMMYFUNCTION("""COMPUTED_VALUE"""),1.3187489335324)</f>
        <v>1.3187489335324001</v>
      </c>
      <c r="AF950" s="17">
        <f ca="1">IFERROR(__xludf.DUMMYFUNCTION("""COMPUTED_VALUE"""),1.0767330359747)</f>
        <v>1.0767330359747</v>
      </c>
      <c r="AG950" s="17">
        <f ca="1">IFERROR(__xludf.DUMMYFUNCTION("""COMPUTED_VALUE"""),1.52247988061354)</f>
        <v>1.52247988061354</v>
      </c>
      <c r="AH950" s="17">
        <f ca="1">IFERROR(__xludf.DUMMYFUNCTION("""COMPUTED_VALUE"""),1.6575863362391)</f>
        <v>1.6575863362390999</v>
      </c>
      <c r="AI950" s="17" t="str">
        <f ca="1">IFERROR(__xludf.DUMMYFUNCTION("""COMPUTED_VALUE"""),"nan")</f>
        <v>nan</v>
      </c>
      <c r="AJ950" s="17">
        <f ca="1">IFERROR(__xludf.DUMMYFUNCTION("""COMPUTED_VALUE"""),1.37415058017386)</f>
        <v>1.37415058017386</v>
      </c>
    </row>
    <row r="951" spans="2:36" ht="15.75" customHeight="1" x14ac:dyDescent="0.45">
      <c r="B951" s="10" t="str">
        <f ca="1">IFERROR(__xludf.DUMMYFUNCTION("""COMPUTED_VALUE"""),"Wafer")</f>
        <v>Wafer</v>
      </c>
      <c r="C951" s="10" t="str">
        <f ca="1">IFERROR(__xludf.DUMMYFUNCTION("""COMPUTED_VALUE"""),"aligned_series")</f>
        <v>aligned_series</v>
      </c>
      <c r="D951" s="10">
        <f ca="1">IFERROR(__xludf.DUMMYFUNCTION("""COMPUTED_VALUE"""),0.8)</f>
        <v>0.8</v>
      </c>
      <c r="E951" s="17">
        <f ca="1">IFERROR(__xludf.DUMMYFUNCTION("""COMPUTED_VALUE"""),1.26441369582915)</f>
        <v>1.2644136958291501</v>
      </c>
      <c r="F951" s="17">
        <f ca="1">IFERROR(__xludf.DUMMYFUNCTION("""COMPUTED_VALUE"""),0.96509121617866)</f>
        <v>0.96509121617866001</v>
      </c>
      <c r="G951" s="17">
        <f ca="1">IFERROR(__xludf.DUMMYFUNCTION("""COMPUTED_VALUE"""),1.04412314122542)</f>
        <v>1.0441231412254199</v>
      </c>
      <c r="H951" s="17">
        <f ca="1">IFERROR(__xludf.DUMMYFUNCTION("""COMPUTED_VALUE"""),0.994197936165118)</f>
        <v>0.99419793616511798</v>
      </c>
      <c r="I951" s="17">
        <f ca="1">IFERROR(__xludf.DUMMYFUNCTION("""COMPUTED_VALUE"""),0.959579904748596)</f>
        <v>0.959579904748596</v>
      </c>
      <c r="J951" s="17">
        <f ca="1">IFERROR(__xludf.DUMMYFUNCTION("""COMPUTED_VALUE"""),1.71228406171482)</f>
        <v>1.7122840617148201</v>
      </c>
      <c r="K951" s="17" t="str">
        <f ca="1">IFERROR(__xludf.DUMMYFUNCTION("""COMPUTED_VALUE"""),"nan")</f>
        <v>nan</v>
      </c>
      <c r="L951" s="17">
        <f ca="1">IFERROR(__xludf.DUMMYFUNCTION("""COMPUTED_VALUE"""),0.887161824683114)</f>
        <v>0.887161824683114</v>
      </c>
      <c r="M951" s="17">
        <f ca="1">IFERROR(__xludf.DUMMYFUNCTION("""COMPUTED_VALUE"""),1.04037537054023)</f>
        <v>1.0403753705402301</v>
      </c>
      <c r="N951" s="17">
        <f ca="1">IFERROR(__xludf.DUMMYFUNCTION("""COMPUTED_VALUE"""),1.12407117758362)</f>
        <v>1.1240711775836201</v>
      </c>
      <c r="O951" s="17">
        <f ca="1">IFERROR(__xludf.DUMMYFUNCTION("""COMPUTED_VALUE"""),2.16562021974496)</f>
        <v>2.1656202197449601</v>
      </c>
      <c r="P951" s="17">
        <f ca="1">IFERROR(__xludf.DUMMYFUNCTION("""COMPUTED_VALUE"""),1.32592111112687)</f>
        <v>1.3259211111268701</v>
      </c>
      <c r="Q951" s="17">
        <f ca="1">IFERROR(__xludf.DUMMYFUNCTION("""COMPUTED_VALUE"""),1.48287205572333)</f>
        <v>1.4828720557233299</v>
      </c>
      <c r="R951" s="17">
        <f ca="1">IFERROR(__xludf.DUMMYFUNCTION("""COMPUTED_VALUE"""),1.13731583155638)</f>
        <v>1.1373158315563801</v>
      </c>
      <c r="S951" s="17">
        <f ca="1">IFERROR(__xludf.DUMMYFUNCTION("""COMPUTED_VALUE"""),1.23566974291155)</f>
        <v>1.23566974291155</v>
      </c>
      <c r="T951" s="17">
        <f ca="1">IFERROR(__xludf.DUMMYFUNCTION("""COMPUTED_VALUE"""),1.18849499384801)</f>
        <v>1.1884949938480101</v>
      </c>
      <c r="U951" s="17">
        <f ca="1">IFERROR(__xludf.DUMMYFUNCTION("""COMPUTED_VALUE"""),1.0728498120807)</f>
        <v>1.0728498120807</v>
      </c>
      <c r="V951" s="17">
        <f ca="1">IFERROR(__xludf.DUMMYFUNCTION("""COMPUTED_VALUE"""),1.01500767446055)</f>
        <v>1.0150076744605501</v>
      </c>
      <c r="W951" s="17">
        <f ca="1">IFERROR(__xludf.DUMMYFUNCTION("""COMPUTED_VALUE"""),1.13516991122004)</f>
        <v>1.13516991122004</v>
      </c>
      <c r="X951" s="17">
        <f ca="1">IFERROR(__xludf.DUMMYFUNCTION("""COMPUTED_VALUE"""),0.880173508502362)</f>
        <v>0.88017350850236198</v>
      </c>
      <c r="Y951" s="17">
        <f ca="1">IFERROR(__xludf.DUMMYFUNCTION("""COMPUTED_VALUE"""),1.00151894673771)</f>
        <v>1.0015189467377099</v>
      </c>
      <c r="Z951" s="17">
        <f ca="1">IFERROR(__xludf.DUMMYFUNCTION("""COMPUTED_VALUE"""),1.07495515893737)</f>
        <v>1.07495515893737</v>
      </c>
      <c r="AA951" s="17">
        <f ca="1">IFERROR(__xludf.DUMMYFUNCTION("""COMPUTED_VALUE"""),1.60258059681538)</f>
        <v>1.6025805968153799</v>
      </c>
      <c r="AB951" s="17">
        <f ca="1">IFERROR(__xludf.DUMMYFUNCTION("""COMPUTED_VALUE"""),1.89402951046302)</f>
        <v>1.89402951046302</v>
      </c>
      <c r="AC951" s="17">
        <f ca="1">IFERROR(__xludf.DUMMYFUNCTION("""COMPUTED_VALUE"""),1.4654320993177)</f>
        <v>1.4654320993176999</v>
      </c>
      <c r="AD951" s="17">
        <f ca="1">IFERROR(__xludf.DUMMYFUNCTION("""COMPUTED_VALUE"""),1.20573480935943)</f>
        <v>1.20573480935943</v>
      </c>
      <c r="AE951" s="17">
        <f ca="1">IFERROR(__xludf.DUMMYFUNCTION("""COMPUTED_VALUE"""),1.30859198884762)</f>
        <v>1.3085919888476201</v>
      </c>
      <c r="AF951" s="17">
        <f ca="1">IFERROR(__xludf.DUMMYFUNCTION("""COMPUTED_VALUE"""),1.17637948269107)</f>
        <v>1.1763794826910701</v>
      </c>
      <c r="AG951" s="17">
        <f ca="1">IFERROR(__xludf.DUMMYFUNCTION("""COMPUTED_VALUE"""),1.50794740621075)</f>
        <v>1.5079474062107501</v>
      </c>
      <c r="AH951" s="17">
        <f ca="1">IFERROR(__xludf.DUMMYFUNCTION("""COMPUTED_VALUE"""),1.64135629882661)</f>
        <v>1.6413562988266099</v>
      </c>
      <c r="AI951" s="17" t="str">
        <f ca="1">IFERROR(__xludf.DUMMYFUNCTION("""COMPUTED_VALUE"""),"nan")</f>
        <v>nan</v>
      </c>
      <c r="AJ951" s="17">
        <f ca="1">IFERROR(__xludf.DUMMYFUNCTION("""COMPUTED_VALUE"""),1.34923626947998)</f>
        <v>1.34923626947998</v>
      </c>
    </row>
    <row r="952" spans="2:36" ht="15.75" customHeight="1" x14ac:dyDescent="0.45">
      <c r="B952" s="10" t="str">
        <f ca="1">IFERROR(__xludf.DUMMYFUNCTION("""COMPUTED_VALUE"""),"Wafer")</f>
        <v>Wafer</v>
      </c>
      <c r="C952" s="10" t="str">
        <f ca="1">IFERROR(__xludf.DUMMYFUNCTION("""COMPUTED_VALUE"""),"aligned_timestamps")</f>
        <v>aligned_timestamps</v>
      </c>
      <c r="D952" s="10">
        <f ca="1">IFERROR(__xludf.DUMMYFUNCTION("""COMPUTED_VALUE"""),0.1)</f>
        <v>0.1</v>
      </c>
      <c r="E952" s="17">
        <f ca="1">IFERROR(__xludf.DUMMYFUNCTION("""COMPUTED_VALUE"""),1.27983500515634)</f>
        <v>1.2798350051563401</v>
      </c>
      <c r="F952" s="17">
        <f ca="1">IFERROR(__xludf.DUMMYFUNCTION("""COMPUTED_VALUE"""),0.81865232159271)</f>
        <v>0.81865232159270995</v>
      </c>
      <c r="G952" s="17">
        <f ca="1">IFERROR(__xludf.DUMMYFUNCTION("""COMPUTED_VALUE"""),0.832986168511009)</f>
        <v>0.83298616851100904</v>
      </c>
      <c r="H952" s="17">
        <f ca="1">IFERROR(__xludf.DUMMYFUNCTION("""COMPUTED_VALUE"""),0.941036477646248)</f>
        <v>0.94103647764624798</v>
      </c>
      <c r="I952" s="17">
        <f ca="1">IFERROR(__xludf.DUMMYFUNCTION("""COMPUTED_VALUE"""),0.64038899858319)</f>
        <v>0.64038899858318998</v>
      </c>
      <c r="J952" s="17">
        <f ca="1">IFERROR(__xludf.DUMMYFUNCTION("""COMPUTED_VALUE"""),0.871114106455271)</f>
        <v>0.87111410645527099</v>
      </c>
      <c r="K952" s="17" t="str">
        <f ca="1">IFERROR(__xludf.DUMMYFUNCTION("""COMPUTED_VALUE"""),"nan")</f>
        <v>nan</v>
      </c>
      <c r="L952" s="17">
        <f ca="1">IFERROR(__xludf.DUMMYFUNCTION("""COMPUTED_VALUE"""),0.856029220727628)</f>
        <v>0.85602922072762799</v>
      </c>
      <c r="M952" s="17">
        <f ca="1">IFERROR(__xludf.DUMMYFUNCTION("""COMPUTED_VALUE"""),0.774892669058468)</f>
        <v>0.77489266905846799</v>
      </c>
      <c r="N952" s="17">
        <f ca="1">IFERROR(__xludf.DUMMYFUNCTION("""COMPUTED_VALUE"""),1.0947269373372)</f>
        <v>1.0947269373371999</v>
      </c>
      <c r="O952" s="17">
        <f ca="1">IFERROR(__xludf.DUMMYFUNCTION("""COMPUTED_VALUE"""),0.809417376493004)</f>
        <v>0.80941737649300405</v>
      </c>
      <c r="P952" s="17">
        <f ca="1">IFERROR(__xludf.DUMMYFUNCTION("""COMPUTED_VALUE"""),1.23890451774351)</f>
        <v>1.2389045177435101</v>
      </c>
      <c r="Q952" s="17">
        <f ca="1">IFERROR(__xludf.DUMMYFUNCTION("""COMPUTED_VALUE"""),1.70932596145739)</f>
        <v>1.7093259614573899</v>
      </c>
      <c r="R952" s="17">
        <f ca="1">IFERROR(__xludf.DUMMYFUNCTION("""COMPUTED_VALUE"""),0.82570811915873)</f>
        <v>0.82570811915872999</v>
      </c>
      <c r="S952" s="17">
        <f ca="1">IFERROR(__xludf.DUMMYFUNCTION("""COMPUTED_VALUE"""),0.890862238864426)</f>
        <v>0.89086223886442595</v>
      </c>
      <c r="T952" s="17">
        <f ca="1">IFERROR(__xludf.DUMMYFUNCTION("""COMPUTED_VALUE"""),0.962648207838382)</f>
        <v>0.96264820783838201</v>
      </c>
      <c r="U952" s="17">
        <f ca="1">IFERROR(__xludf.DUMMYFUNCTION("""COMPUTED_VALUE"""),0.704871433453513)</f>
        <v>0.704871433453513</v>
      </c>
      <c r="V952" s="17">
        <f ca="1">IFERROR(__xludf.DUMMYFUNCTION("""COMPUTED_VALUE"""),0.674932818549923)</f>
        <v>0.67493281854992304</v>
      </c>
      <c r="W952" s="17">
        <f ca="1">IFERROR(__xludf.DUMMYFUNCTION("""COMPUTED_VALUE"""),1.02355820157748)</f>
        <v>1.02355820157748</v>
      </c>
      <c r="X952" s="17">
        <f ca="1">IFERROR(__xludf.DUMMYFUNCTION("""COMPUTED_VALUE"""),0.906180346996401)</f>
        <v>0.90618034699640104</v>
      </c>
      <c r="Y952" s="17">
        <f ca="1">IFERROR(__xludf.DUMMYFUNCTION("""COMPUTED_VALUE"""),0.945954689341858)</f>
        <v>0.945954689341858</v>
      </c>
      <c r="Z952" s="17">
        <f ca="1">IFERROR(__xludf.DUMMYFUNCTION("""COMPUTED_VALUE"""),1.01015580561601)</f>
        <v>1.01015580561601</v>
      </c>
      <c r="AA952" s="17">
        <f ca="1">IFERROR(__xludf.DUMMYFUNCTION("""COMPUTED_VALUE"""),0.664629942007608)</f>
        <v>0.66462994200760805</v>
      </c>
      <c r="AB952" s="17">
        <f ca="1">IFERROR(__xludf.DUMMYFUNCTION("""COMPUTED_VALUE"""),0.900208415705473)</f>
        <v>0.90020841570547305</v>
      </c>
      <c r="AC952" s="17">
        <f ca="1">IFERROR(__xludf.DUMMYFUNCTION("""COMPUTED_VALUE"""),1.0830714815136)</f>
        <v>1.0830714815136</v>
      </c>
      <c r="AD952" s="17">
        <f ca="1">IFERROR(__xludf.DUMMYFUNCTION("""COMPUTED_VALUE"""),1.08771971718261)</f>
        <v>1.0877197171826101</v>
      </c>
      <c r="AE952" s="17">
        <f ca="1">IFERROR(__xludf.DUMMYFUNCTION("""COMPUTED_VALUE"""),1.32904742987437)</f>
        <v>1.32904742987437</v>
      </c>
      <c r="AF952" s="17">
        <f ca="1">IFERROR(__xludf.DUMMYFUNCTION("""COMPUTED_VALUE"""),0.801873274498909)</f>
        <v>0.80187327449890899</v>
      </c>
      <c r="AG952" s="17">
        <f ca="1">IFERROR(__xludf.DUMMYFUNCTION("""COMPUTED_VALUE"""),1.23339612096699)</f>
        <v>1.2333961209669899</v>
      </c>
      <c r="AH952" s="17">
        <f ca="1">IFERROR(__xludf.DUMMYFUNCTION("""COMPUTED_VALUE"""),1.31613075565699)</f>
        <v>1.3161307556569899</v>
      </c>
      <c r="AI952" s="17" t="str">
        <f ca="1">IFERROR(__xludf.DUMMYFUNCTION("""COMPUTED_VALUE"""),"nan")</f>
        <v>nan</v>
      </c>
      <c r="AJ952" s="17">
        <f ca="1">IFERROR(__xludf.DUMMYFUNCTION("""COMPUTED_VALUE"""),0.886016637120796)</f>
        <v>0.88601663712079604</v>
      </c>
    </row>
    <row r="953" spans="2:36" ht="15.75" customHeight="1" x14ac:dyDescent="0.45">
      <c r="B953" s="10" t="str">
        <f ca="1">IFERROR(__xludf.DUMMYFUNCTION("""COMPUTED_VALUE"""),"Wafer")</f>
        <v>Wafer</v>
      </c>
      <c r="C953" s="10" t="str">
        <f ca="1">IFERROR(__xludf.DUMMYFUNCTION("""COMPUTED_VALUE"""),"aligned_timestamps")</f>
        <v>aligned_timestamps</v>
      </c>
      <c r="D953" s="10">
        <f ca="1">IFERROR(__xludf.DUMMYFUNCTION("""COMPUTED_VALUE"""),0.2)</f>
        <v>0.2</v>
      </c>
      <c r="E953" s="17">
        <f ca="1">IFERROR(__xludf.DUMMYFUNCTION("""COMPUTED_VALUE"""),1.2360440335601)</f>
        <v>1.2360440335601</v>
      </c>
      <c r="F953" s="17">
        <f ca="1">IFERROR(__xludf.DUMMYFUNCTION("""COMPUTED_VALUE"""),0.920379873014437)</f>
        <v>0.92037987301443702</v>
      </c>
      <c r="G953" s="17">
        <f ca="1">IFERROR(__xludf.DUMMYFUNCTION("""COMPUTED_VALUE"""),0.964668558328981)</f>
        <v>0.96466855832898102</v>
      </c>
      <c r="H953" s="17">
        <f ca="1">IFERROR(__xludf.DUMMYFUNCTION("""COMPUTED_VALUE"""),0.984176131992535)</f>
        <v>0.98417613199253495</v>
      </c>
      <c r="I953" s="17">
        <f ca="1">IFERROR(__xludf.DUMMYFUNCTION("""COMPUTED_VALUE"""),0.70325308079191)</f>
        <v>0.70325308079190996</v>
      </c>
      <c r="J953" s="17">
        <f ca="1">IFERROR(__xludf.DUMMYFUNCTION("""COMPUTED_VALUE"""),1.01254775696025)</f>
        <v>1.0125477569602499</v>
      </c>
      <c r="K953" s="17" t="str">
        <f ca="1">IFERROR(__xludf.DUMMYFUNCTION("""COMPUTED_VALUE"""),"nan")</f>
        <v>nan</v>
      </c>
      <c r="L953" s="17">
        <f ca="1">IFERROR(__xludf.DUMMYFUNCTION("""COMPUTED_VALUE"""),0.804436373833906)</f>
        <v>0.80443637383390598</v>
      </c>
      <c r="M953" s="17">
        <f ca="1">IFERROR(__xludf.DUMMYFUNCTION("""COMPUTED_VALUE"""),0.808277210132952)</f>
        <v>0.80827721013295195</v>
      </c>
      <c r="N953" s="17">
        <f ca="1">IFERROR(__xludf.DUMMYFUNCTION("""COMPUTED_VALUE"""),1.08572413994011)</f>
        <v>1.0857241399401101</v>
      </c>
      <c r="O953" s="17">
        <f ca="1">IFERROR(__xludf.DUMMYFUNCTION("""COMPUTED_VALUE"""),0.754430932587123)</f>
        <v>0.75443093258712302</v>
      </c>
      <c r="P953" s="17">
        <f ca="1">IFERROR(__xludf.DUMMYFUNCTION("""COMPUTED_VALUE"""),1.30852428791452)</f>
        <v>1.30852428791452</v>
      </c>
      <c r="Q953" s="17">
        <f ca="1">IFERROR(__xludf.DUMMYFUNCTION("""COMPUTED_VALUE"""),1.57913567538514)</f>
        <v>1.57913567538514</v>
      </c>
      <c r="R953" s="17">
        <f ca="1">IFERROR(__xludf.DUMMYFUNCTION("""COMPUTED_VALUE"""),0.861043399610268)</f>
        <v>0.86104339961026799</v>
      </c>
      <c r="S953" s="17">
        <f ca="1">IFERROR(__xludf.DUMMYFUNCTION("""COMPUTED_VALUE"""),0.967513758885231)</f>
        <v>0.96751375888523095</v>
      </c>
      <c r="T953" s="17">
        <f ca="1">IFERROR(__xludf.DUMMYFUNCTION("""COMPUTED_VALUE"""),1.02479458551251)</f>
        <v>1.02479458551251</v>
      </c>
      <c r="U953" s="17">
        <f ca="1">IFERROR(__xludf.DUMMYFUNCTION("""COMPUTED_VALUE"""),0.78596644782663)</f>
        <v>0.78596644782663005</v>
      </c>
      <c r="V953" s="17">
        <f ca="1">IFERROR(__xludf.DUMMYFUNCTION("""COMPUTED_VALUE"""),0.984387571424613)</f>
        <v>0.98438757142461297</v>
      </c>
      <c r="W953" s="17">
        <f ca="1">IFERROR(__xludf.DUMMYFUNCTION("""COMPUTED_VALUE"""),1.08795634265584)</f>
        <v>1.0879563426558401</v>
      </c>
      <c r="X953" s="17">
        <f ca="1">IFERROR(__xludf.DUMMYFUNCTION("""COMPUTED_VALUE"""),0.825301851643646)</f>
        <v>0.825301851643646</v>
      </c>
      <c r="Y953" s="17">
        <f ca="1">IFERROR(__xludf.DUMMYFUNCTION("""COMPUTED_VALUE"""),0.938308619763659)</f>
        <v>0.93830861976365898</v>
      </c>
      <c r="Z953" s="17">
        <f ca="1">IFERROR(__xludf.DUMMYFUNCTION("""COMPUTED_VALUE"""),0.986556460258146)</f>
        <v>0.98655646025814603</v>
      </c>
      <c r="AA953" s="17">
        <f ca="1">IFERROR(__xludf.DUMMYFUNCTION("""COMPUTED_VALUE"""),0.877615824125606)</f>
        <v>0.87761582412560601</v>
      </c>
      <c r="AB953" s="17">
        <f ca="1">IFERROR(__xludf.DUMMYFUNCTION("""COMPUTED_VALUE"""),1.26375313880947)</f>
        <v>1.26375313880947</v>
      </c>
      <c r="AC953" s="17">
        <f ca="1">IFERROR(__xludf.DUMMYFUNCTION("""COMPUTED_VALUE"""),1.25318923530765)</f>
        <v>1.2531892353076499</v>
      </c>
      <c r="AD953" s="17">
        <f ca="1">IFERROR(__xludf.DUMMYFUNCTION("""COMPUTED_VALUE"""),1.12844999807715)</f>
        <v>1.1284499980771501</v>
      </c>
      <c r="AE953" s="17">
        <f ca="1">IFERROR(__xludf.DUMMYFUNCTION("""COMPUTED_VALUE"""),1.28096025941015)</f>
        <v>1.2809602594101499</v>
      </c>
      <c r="AF953" s="17">
        <f ca="1">IFERROR(__xludf.DUMMYFUNCTION("""COMPUTED_VALUE"""),0.942258404471084)</f>
        <v>0.942258404471084</v>
      </c>
      <c r="AG953" s="17">
        <f ca="1">IFERROR(__xludf.DUMMYFUNCTION("""COMPUTED_VALUE"""),1.49453379578469)</f>
        <v>1.49453379578469</v>
      </c>
      <c r="AH953" s="17">
        <f ca="1">IFERROR(__xludf.DUMMYFUNCTION("""COMPUTED_VALUE"""),1.62953225326021)</f>
        <v>1.6295322532602099</v>
      </c>
      <c r="AI953" s="17" t="str">
        <f ca="1">IFERROR(__xludf.DUMMYFUNCTION("""COMPUTED_VALUE"""),"nan")</f>
        <v>nan</v>
      </c>
      <c r="AJ953" s="17">
        <f ca="1">IFERROR(__xludf.DUMMYFUNCTION("""COMPUTED_VALUE"""),1.32399885930648)</f>
        <v>1.32399885930648</v>
      </c>
    </row>
    <row r="954" spans="2:36" ht="15.75" customHeight="1" x14ac:dyDescent="0.45">
      <c r="B954" s="10" t="str">
        <f ca="1">IFERROR(__xludf.DUMMYFUNCTION("""COMPUTED_VALUE"""),"Wafer")</f>
        <v>Wafer</v>
      </c>
      <c r="C954" s="10" t="str">
        <f ca="1">IFERROR(__xludf.DUMMYFUNCTION("""COMPUTED_VALUE"""),"aligned_timestamps")</f>
        <v>aligned_timestamps</v>
      </c>
      <c r="D954" s="10">
        <f ca="1">IFERROR(__xludf.DUMMYFUNCTION("""COMPUTED_VALUE"""),0.4)</f>
        <v>0.4</v>
      </c>
      <c r="E954" s="17">
        <f ca="1">IFERROR(__xludf.DUMMYFUNCTION("""COMPUTED_VALUE"""),1.13289403113292)</f>
        <v>1.1328940311329201</v>
      </c>
      <c r="F954" s="17">
        <f ca="1">IFERROR(__xludf.DUMMYFUNCTION("""COMPUTED_VALUE"""),0.738632326770623)</f>
        <v>0.73863232677062296</v>
      </c>
      <c r="G954" s="17">
        <f ca="1">IFERROR(__xludf.DUMMYFUNCTION("""COMPUTED_VALUE"""),0.754060710925003)</f>
        <v>0.75406071092500304</v>
      </c>
      <c r="H954" s="17">
        <f ca="1">IFERROR(__xludf.DUMMYFUNCTION("""COMPUTED_VALUE"""),0.788380720788246)</f>
        <v>0.78838072078824595</v>
      </c>
      <c r="I954" s="17">
        <f ca="1">IFERROR(__xludf.DUMMYFUNCTION("""COMPUTED_VALUE"""),0.690730893946067)</f>
        <v>0.69073089394606701</v>
      </c>
      <c r="J954" s="17">
        <f ca="1">IFERROR(__xludf.DUMMYFUNCTION("""COMPUTED_VALUE"""),1.04726643255035)</f>
        <v>1.04726643255035</v>
      </c>
      <c r="K954" s="17" t="str">
        <f ca="1">IFERROR(__xludf.DUMMYFUNCTION("""COMPUTED_VALUE"""),"nan")</f>
        <v>nan</v>
      </c>
      <c r="L954" s="17">
        <f ca="1">IFERROR(__xludf.DUMMYFUNCTION("""COMPUTED_VALUE"""),0.726747326603926)</f>
        <v>0.72674732660392605</v>
      </c>
      <c r="M954" s="17">
        <f ca="1">IFERROR(__xludf.DUMMYFUNCTION("""COMPUTED_VALUE"""),0.69578050286839)</f>
        <v>0.69578050286838999</v>
      </c>
      <c r="N954" s="17">
        <f ca="1">IFERROR(__xludf.DUMMYFUNCTION("""COMPUTED_VALUE"""),1.00191950236567)</f>
        <v>1.00191950236567</v>
      </c>
      <c r="O954" s="17">
        <f ca="1">IFERROR(__xludf.DUMMYFUNCTION("""COMPUTED_VALUE"""),0.673413080162795)</f>
        <v>0.673413080162795</v>
      </c>
      <c r="P954" s="17">
        <f ca="1">IFERROR(__xludf.DUMMYFUNCTION("""COMPUTED_VALUE"""),1.25963620473517)</f>
        <v>1.2596362047351699</v>
      </c>
      <c r="Q954" s="17">
        <f ca="1">IFERROR(__xludf.DUMMYFUNCTION("""COMPUTED_VALUE"""),1.45763326056522)</f>
        <v>1.45763326056522</v>
      </c>
      <c r="R954" s="17">
        <f ca="1">IFERROR(__xludf.DUMMYFUNCTION("""COMPUTED_VALUE"""),0.747852090096487)</f>
        <v>0.74785209009648701</v>
      </c>
      <c r="S954" s="17">
        <f ca="1">IFERROR(__xludf.DUMMYFUNCTION("""COMPUTED_VALUE"""),0.903159797004195)</f>
        <v>0.90315979700419502</v>
      </c>
      <c r="T954" s="17">
        <f ca="1">IFERROR(__xludf.DUMMYFUNCTION("""COMPUTED_VALUE"""),0.880012724222888)</f>
        <v>0.88001272422288801</v>
      </c>
      <c r="U954" s="17">
        <f ca="1">IFERROR(__xludf.DUMMYFUNCTION("""COMPUTED_VALUE"""),0.767649337769142)</f>
        <v>0.76764933776914202</v>
      </c>
      <c r="V954" s="17">
        <f ca="1">IFERROR(__xludf.DUMMYFUNCTION("""COMPUTED_VALUE"""),0.976883847583261)</f>
        <v>0.97688384758326097</v>
      </c>
      <c r="W954" s="17">
        <f ca="1">IFERROR(__xludf.DUMMYFUNCTION("""COMPUTED_VALUE"""),1.09008621601043)</f>
        <v>1.0900862160104301</v>
      </c>
      <c r="X954" s="17">
        <f ca="1">IFERROR(__xludf.DUMMYFUNCTION("""COMPUTED_VALUE"""),0.724134400738491)</f>
        <v>0.724134400738491</v>
      </c>
      <c r="Y954" s="17">
        <f ca="1">IFERROR(__xludf.DUMMYFUNCTION("""COMPUTED_VALUE"""),0.817937275557975)</f>
        <v>0.81793727555797502</v>
      </c>
      <c r="Z954" s="17">
        <f ca="1">IFERROR(__xludf.DUMMYFUNCTION("""COMPUTED_VALUE"""),0.993536936563802)</f>
        <v>0.99353693656380204</v>
      </c>
      <c r="AA954" s="17">
        <f ca="1">IFERROR(__xludf.DUMMYFUNCTION("""COMPUTED_VALUE"""),0.831776237001016)</f>
        <v>0.83177623700101599</v>
      </c>
      <c r="AB954" s="17">
        <f ca="1">IFERROR(__xludf.DUMMYFUNCTION("""COMPUTED_VALUE"""),1.18604196679005)</f>
        <v>1.1860419667900499</v>
      </c>
      <c r="AC954" s="17">
        <f ca="1">IFERROR(__xludf.DUMMYFUNCTION("""COMPUTED_VALUE"""),1.11018897281109)</f>
        <v>1.1101889728110901</v>
      </c>
      <c r="AD954" s="17">
        <f ca="1">IFERROR(__xludf.DUMMYFUNCTION("""COMPUTED_VALUE"""),1.04535151034205)</f>
        <v>1.0453515103420501</v>
      </c>
      <c r="AE954" s="17">
        <f ca="1">IFERROR(__xludf.DUMMYFUNCTION("""COMPUTED_VALUE"""),1.1384809759202)</f>
        <v>1.1384809759201999</v>
      </c>
      <c r="AF954" s="17">
        <f ca="1">IFERROR(__xludf.DUMMYFUNCTION("""COMPUTED_VALUE"""),0.903540713978161)</f>
        <v>0.90354071397816105</v>
      </c>
      <c r="AG954" s="17">
        <f ca="1">IFERROR(__xludf.DUMMYFUNCTION("""COMPUTED_VALUE"""),1.27712409082484)</f>
        <v>1.27712409082484</v>
      </c>
      <c r="AH954" s="17">
        <f ca="1">IFERROR(__xludf.DUMMYFUNCTION("""COMPUTED_VALUE"""),1.16171714902837)</f>
        <v>1.16171714902837</v>
      </c>
      <c r="AI954" s="17" t="str">
        <f ca="1">IFERROR(__xludf.DUMMYFUNCTION("""COMPUTED_VALUE"""),"nan")</f>
        <v>nan</v>
      </c>
      <c r="AJ954" s="17">
        <f ca="1">IFERROR(__xludf.DUMMYFUNCTION("""COMPUTED_VALUE"""),1.16747391962318)</f>
        <v>1.16747391962318</v>
      </c>
    </row>
    <row r="955" spans="2:36" ht="15.75" customHeight="1" x14ac:dyDescent="0.45">
      <c r="B955" s="10" t="str">
        <f ca="1">IFERROR(__xludf.DUMMYFUNCTION("""COMPUTED_VALUE"""),"Wafer")</f>
        <v>Wafer</v>
      </c>
      <c r="C955" s="10" t="str">
        <f ca="1">IFERROR(__xludf.DUMMYFUNCTION("""COMPUTED_VALUE"""),"aligned_timestamps")</f>
        <v>aligned_timestamps</v>
      </c>
      <c r="D955" s="10">
        <f ca="1">IFERROR(__xludf.DUMMYFUNCTION("""COMPUTED_VALUE"""),0.6)</f>
        <v>0.6</v>
      </c>
      <c r="E955" s="17">
        <f ca="1">IFERROR(__xludf.DUMMYFUNCTION("""COMPUTED_VALUE"""),1.03167254461475)</f>
        <v>1.0316725446147501</v>
      </c>
      <c r="F955" s="17">
        <f ca="1">IFERROR(__xludf.DUMMYFUNCTION("""COMPUTED_VALUE"""),0.661307286871571)</f>
        <v>0.66130728687157103</v>
      </c>
      <c r="G955" s="17">
        <f ca="1">IFERROR(__xludf.DUMMYFUNCTION("""COMPUTED_VALUE"""),0.707934612306105)</f>
        <v>0.70793461230610499</v>
      </c>
      <c r="H955" s="17">
        <f ca="1">IFERROR(__xludf.DUMMYFUNCTION("""COMPUTED_VALUE"""),0.657488807329594)</f>
        <v>0.65748880732959403</v>
      </c>
      <c r="I955" s="17">
        <f ca="1">IFERROR(__xludf.DUMMYFUNCTION("""COMPUTED_VALUE"""),0.610441185151239)</f>
        <v>0.61044118515123902</v>
      </c>
      <c r="J955" s="17">
        <f ca="1">IFERROR(__xludf.DUMMYFUNCTION("""COMPUTED_VALUE"""),1.65811147648282)</f>
        <v>1.65811147648282</v>
      </c>
      <c r="K955" s="17" t="str">
        <f ca="1">IFERROR(__xludf.DUMMYFUNCTION("""COMPUTED_VALUE"""),"nan")</f>
        <v>nan</v>
      </c>
      <c r="L955" s="17">
        <f ca="1">IFERROR(__xludf.DUMMYFUNCTION("""COMPUTED_VALUE"""),0.610905057613584)</f>
        <v>0.61090505761358405</v>
      </c>
      <c r="M955" s="17">
        <f ca="1">IFERROR(__xludf.DUMMYFUNCTION("""COMPUTED_VALUE"""),0.649397233157878)</f>
        <v>0.64939723315787801</v>
      </c>
      <c r="N955" s="17">
        <f ca="1">IFERROR(__xludf.DUMMYFUNCTION("""COMPUTED_VALUE"""),0.934641338950795)</f>
        <v>0.93464133895079504</v>
      </c>
      <c r="O955" s="17">
        <f ca="1">IFERROR(__xludf.DUMMYFUNCTION("""COMPUTED_VALUE"""),0.593152545398273)</f>
        <v>0.593152545398273</v>
      </c>
      <c r="P955" s="17">
        <f ca="1">IFERROR(__xludf.DUMMYFUNCTION("""COMPUTED_VALUE"""),1.22214935246961)</f>
        <v>1.2221493524696101</v>
      </c>
      <c r="Q955" s="17">
        <f ca="1">IFERROR(__xludf.DUMMYFUNCTION("""COMPUTED_VALUE"""),1.33313419377333)</f>
        <v>1.3331341937733301</v>
      </c>
      <c r="R955" s="17">
        <f ca="1">IFERROR(__xludf.DUMMYFUNCTION("""COMPUTED_VALUE"""),0.622738081985889)</f>
        <v>0.62273808198588898</v>
      </c>
      <c r="S955" s="17">
        <f ca="1">IFERROR(__xludf.DUMMYFUNCTION("""COMPUTED_VALUE"""),0.753462341413673)</f>
        <v>0.75346234141367296</v>
      </c>
      <c r="T955" s="17">
        <f ca="1">IFERROR(__xludf.DUMMYFUNCTION("""COMPUTED_VALUE"""),0.875286471839052)</f>
        <v>0.87528647183905195</v>
      </c>
      <c r="U955" s="17">
        <f ca="1">IFERROR(__xludf.DUMMYFUNCTION("""COMPUTED_VALUE"""),0.744151261352379)</f>
        <v>0.74415126135237897</v>
      </c>
      <c r="V955" s="17">
        <f ca="1">IFERROR(__xludf.DUMMYFUNCTION("""COMPUTED_VALUE"""),0.802442344466627)</f>
        <v>0.80244234446662699</v>
      </c>
      <c r="W955" s="17">
        <f ca="1">IFERROR(__xludf.DUMMYFUNCTION("""COMPUTED_VALUE"""),0.978588803120879)</f>
        <v>0.97858880312087904</v>
      </c>
      <c r="X955" s="17">
        <f ca="1">IFERROR(__xludf.DUMMYFUNCTION("""COMPUTED_VALUE"""),0.599226039034905)</f>
        <v>0.59922603903490501</v>
      </c>
      <c r="Y955" s="17">
        <f ca="1">IFERROR(__xludf.DUMMYFUNCTION("""COMPUTED_VALUE"""),0.752195827496222)</f>
        <v>0.75219582749622205</v>
      </c>
      <c r="Z955" s="17">
        <f ca="1">IFERROR(__xludf.DUMMYFUNCTION("""COMPUTED_VALUE"""),0.915021432838737)</f>
        <v>0.91502143283873705</v>
      </c>
      <c r="AA955" s="17">
        <f ca="1">IFERROR(__xludf.DUMMYFUNCTION("""COMPUTED_VALUE"""),0.817499685910011)</f>
        <v>0.81749968591001099</v>
      </c>
      <c r="AB955" s="17">
        <f ca="1">IFERROR(__xludf.DUMMYFUNCTION("""COMPUTED_VALUE"""),1.08787210406614)</f>
        <v>1.0878721040661401</v>
      </c>
      <c r="AC955" s="17">
        <f ca="1">IFERROR(__xludf.DUMMYFUNCTION("""COMPUTED_VALUE"""),1.09366242792953)</f>
        <v>1.0936624279295299</v>
      </c>
      <c r="AD955" s="17">
        <f ca="1">IFERROR(__xludf.DUMMYFUNCTION("""COMPUTED_VALUE"""),0.982710884618822)</f>
        <v>0.98271088461882194</v>
      </c>
      <c r="AE955" s="17">
        <f ca="1">IFERROR(__xludf.DUMMYFUNCTION("""COMPUTED_VALUE"""),1.28284960078116)</f>
        <v>1.2828496007811601</v>
      </c>
      <c r="AF955" s="17">
        <f ca="1">IFERROR(__xludf.DUMMYFUNCTION("""COMPUTED_VALUE"""),0.941073536307011)</f>
        <v>0.94107353630701096</v>
      </c>
      <c r="AG955" s="17">
        <f ca="1">IFERROR(__xludf.DUMMYFUNCTION("""COMPUTED_VALUE"""),1.11195241819701)</f>
        <v>1.11195241819701</v>
      </c>
      <c r="AH955" s="17">
        <f ca="1">IFERROR(__xludf.DUMMYFUNCTION("""COMPUTED_VALUE"""),1.06527575296226)</f>
        <v>1.0652757529622601</v>
      </c>
      <c r="AI955" s="17" t="str">
        <f ca="1">IFERROR(__xludf.DUMMYFUNCTION("""COMPUTED_VALUE"""),"nan")</f>
        <v>nan</v>
      </c>
      <c r="AJ955" s="17">
        <f ca="1">IFERROR(__xludf.DUMMYFUNCTION("""COMPUTED_VALUE"""),1.08616232282529)</f>
        <v>1.0861623228252899</v>
      </c>
    </row>
    <row r="956" spans="2:36" ht="15.75" customHeight="1" x14ac:dyDescent="0.45">
      <c r="B956" s="10" t="str">
        <f ca="1">IFERROR(__xludf.DUMMYFUNCTION("""COMPUTED_VALUE"""),"Wafer")</f>
        <v>Wafer</v>
      </c>
      <c r="C956" s="10" t="str">
        <f ca="1">IFERROR(__xludf.DUMMYFUNCTION("""COMPUTED_VALUE"""),"aligned_timestamps")</f>
        <v>aligned_timestamps</v>
      </c>
      <c r="D956" s="10">
        <f ca="1">IFERROR(__xludf.DUMMYFUNCTION("""COMPUTED_VALUE"""),0.8)</f>
        <v>0.8</v>
      </c>
      <c r="E956" s="17">
        <f ca="1">IFERROR(__xludf.DUMMYFUNCTION("""COMPUTED_VALUE"""),0.978685920668027)</f>
        <v>0.97868592066802695</v>
      </c>
      <c r="F956" s="17">
        <f ca="1">IFERROR(__xludf.DUMMYFUNCTION("""COMPUTED_VALUE"""),0.651930187862053)</f>
        <v>0.65193018786205303</v>
      </c>
      <c r="G956" s="17">
        <f ca="1">IFERROR(__xludf.DUMMYFUNCTION("""COMPUTED_VALUE"""),0.883547877362152)</f>
        <v>0.88354787736215201</v>
      </c>
      <c r="H956" s="17">
        <f ca="1">IFERROR(__xludf.DUMMYFUNCTION("""COMPUTED_VALUE"""),0.712920891811802)</f>
        <v>0.71292089181180196</v>
      </c>
      <c r="I956" s="17">
        <f ca="1">IFERROR(__xludf.DUMMYFUNCTION("""COMPUTED_VALUE"""),0.670955180664449)</f>
        <v>0.67095518066444904</v>
      </c>
      <c r="J956" s="17">
        <f ca="1">IFERROR(__xludf.DUMMYFUNCTION("""COMPUTED_VALUE"""),1.60522876849805)</f>
        <v>1.60522876849805</v>
      </c>
      <c r="K956" s="17" t="str">
        <f ca="1">IFERROR(__xludf.DUMMYFUNCTION("""COMPUTED_VALUE"""),"nan")</f>
        <v>nan</v>
      </c>
      <c r="L956" s="17">
        <f ca="1">IFERROR(__xludf.DUMMYFUNCTION("""COMPUTED_VALUE"""),0.678149812394562)</f>
        <v>0.67814981239456196</v>
      </c>
      <c r="M956" s="17">
        <f ca="1">IFERROR(__xludf.DUMMYFUNCTION("""COMPUTED_VALUE"""),1.46879952918079)</f>
        <v>1.46879952918079</v>
      </c>
      <c r="N956" s="17">
        <f ca="1">IFERROR(__xludf.DUMMYFUNCTION("""COMPUTED_VALUE"""),1.41295202407832)</f>
        <v>1.41295202407832</v>
      </c>
      <c r="O956" s="17">
        <f ca="1">IFERROR(__xludf.DUMMYFUNCTION("""COMPUTED_VALUE"""),0.763395266324054)</f>
        <v>0.76339526632405397</v>
      </c>
      <c r="P956" s="17">
        <f ca="1">IFERROR(__xludf.DUMMYFUNCTION("""COMPUTED_VALUE"""),1.53363979929542)</f>
        <v>1.53363979929542</v>
      </c>
      <c r="Q956" s="17">
        <f ca="1">IFERROR(__xludf.DUMMYFUNCTION("""COMPUTED_VALUE"""),1.26810533998049)</f>
        <v>1.26810533998049</v>
      </c>
      <c r="R956" s="17">
        <f ca="1">IFERROR(__xludf.DUMMYFUNCTION("""COMPUTED_VALUE"""),1.22674968788219)</f>
        <v>1.22674968788219</v>
      </c>
      <c r="S956" s="17">
        <f ca="1">IFERROR(__xludf.DUMMYFUNCTION("""COMPUTED_VALUE"""),1.40131526946584)</f>
        <v>1.40131526946584</v>
      </c>
      <c r="T956" s="17">
        <f ca="1">IFERROR(__xludf.DUMMYFUNCTION("""COMPUTED_VALUE"""),1.08391801733553)</f>
        <v>1.0839180173355301</v>
      </c>
      <c r="U956" s="17">
        <f ca="1">IFERROR(__xludf.DUMMYFUNCTION("""COMPUTED_VALUE"""),0.805248332740145)</f>
        <v>0.80524833274014496</v>
      </c>
      <c r="V956" s="17">
        <f ca="1">IFERROR(__xludf.DUMMYFUNCTION("""COMPUTED_VALUE"""),1.40153415143395)</f>
        <v>1.4015341514339501</v>
      </c>
      <c r="W956" s="17">
        <f ca="1">IFERROR(__xludf.DUMMYFUNCTION("""COMPUTED_VALUE"""),1.00131269844253)</f>
        <v>1.00131269844253</v>
      </c>
      <c r="X956" s="17">
        <f ca="1">IFERROR(__xludf.DUMMYFUNCTION("""COMPUTED_VALUE"""),0.605103776786283)</f>
        <v>0.60510377678628302</v>
      </c>
      <c r="Y956" s="17">
        <f ca="1">IFERROR(__xludf.DUMMYFUNCTION("""COMPUTED_VALUE"""),1.2141379158684)</f>
        <v>1.2141379158684</v>
      </c>
      <c r="Z956" s="17">
        <f ca="1">IFERROR(__xludf.DUMMYFUNCTION("""COMPUTED_VALUE"""),0.929550528328522)</f>
        <v>0.92955052832852203</v>
      </c>
      <c r="AA956" s="17">
        <f ca="1">IFERROR(__xludf.DUMMYFUNCTION("""COMPUTED_VALUE"""),1.07934150077201)</f>
        <v>1.07934150077201</v>
      </c>
      <c r="AB956" s="17">
        <f ca="1">IFERROR(__xludf.DUMMYFUNCTION("""COMPUTED_VALUE"""),1.57962016625867)</f>
        <v>1.57962016625867</v>
      </c>
      <c r="AC956" s="17">
        <f ca="1">IFERROR(__xludf.DUMMYFUNCTION("""COMPUTED_VALUE"""),1.08998875514083)</f>
        <v>1.08998875514083</v>
      </c>
      <c r="AD956" s="17">
        <f ca="1">IFERROR(__xludf.DUMMYFUNCTION("""COMPUTED_VALUE"""),0.954651142595923)</f>
        <v>0.95465114259592299</v>
      </c>
      <c r="AE956" s="17">
        <f ca="1">IFERROR(__xludf.DUMMYFUNCTION("""COMPUTED_VALUE"""),1.84005672165295)</f>
        <v>1.84005672165295</v>
      </c>
      <c r="AF956" s="17">
        <f ca="1">IFERROR(__xludf.DUMMYFUNCTION("""COMPUTED_VALUE"""),1.56325369236698)</f>
        <v>1.56325369236698</v>
      </c>
      <c r="AG956" s="17">
        <f ca="1">IFERROR(__xludf.DUMMYFUNCTION("""COMPUTED_VALUE"""),1.0743572161769)</f>
        <v>1.0743572161768999</v>
      </c>
      <c r="AH956" s="17">
        <f ca="1">IFERROR(__xludf.DUMMYFUNCTION("""COMPUTED_VALUE"""),0.991693790277847)</f>
        <v>0.99169379027784699</v>
      </c>
      <c r="AI956" s="17" t="str">
        <f ca="1">IFERROR(__xludf.DUMMYFUNCTION("""COMPUTED_VALUE"""),"nan")</f>
        <v>nan</v>
      </c>
      <c r="AJ956" s="17">
        <f ca="1">IFERROR(__xludf.DUMMYFUNCTION("""COMPUTED_VALUE"""),1.10418434618063)</f>
        <v>1.10418434618063</v>
      </c>
    </row>
    <row r="957" spans="2:36" ht="15.75" customHeight="1" x14ac:dyDescent="0.45">
      <c r="B957" s="10" t="str">
        <f ca="1">IFERROR(__xludf.DUMMYFUNCTION("""COMPUTED_VALUE"""),"Wafer")</f>
        <v>Wafer</v>
      </c>
      <c r="C957" s="10" t="str">
        <f ca="1">IFERROR(__xludf.DUMMYFUNCTION("""COMPUTED_VALUE"""),"mcar")</f>
        <v>mcar</v>
      </c>
      <c r="D957" s="10">
        <f ca="1">IFERROR(__xludf.DUMMYFUNCTION("""COMPUTED_VALUE"""),0.1)</f>
        <v>0.1</v>
      </c>
      <c r="E957" s="17">
        <f ca="1">IFERROR(__xludf.DUMMYFUNCTION("""COMPUTED_VALUE"""),0.940101446652957)</f>
        <v>0.94010144665295703</v>
      </c>
      <c r="F957" s="17">
        <f ca="1">IFERROR(__xludf.DUMMYFUNCTION("""COMPUTED_VALUE"""),0.473822028634652)</f>
        <v>0.473822028634652</v>
      </c>
      <c r="G957" s="17">
        <f ca="1">IFERROR(__xludf.DUMMYFUNCTION("""COMPUTED_VALUE"""),0.476047268637465)</f>
        <v>0.47604726863746499</v>
      </c>
      <c r="H957" s="17">
        <f ca="1">IFERROR(__xludf.DUMMYFUNCTION("""COMPUTED_VALUE"""),0.472753842124872)</f>
        <v>0.47275384212487198</v>
      </c>
      <c r="I957" s="17">
        <f ca="1">IFERROR(__xludf.DUMMYFUNCTION("""COMPUTED_VALUE"""),0.267502286510506)</f>
        <v>0.267502286510506</v>
      </c>
      <c r="J957" s="17">
        <f ca="1">IFERROR(__xludf.DUMMYFUNCTION("""COMPUTED_VALUE"""),0.446556014149855)</f>
        <v>0.44655601414985502</v>
      </c>
      <c r="K957" s="17" t="str">
        <f ca="1">IFERROR(__xludf.DUMMYFUNCTION("""COMPUTED_VALUE"""),"nan")</f>
        <v>nan</v>
      </c>
      <c r="L957" s="17">
        <f ca="1">IFERROR(__xludf.DUMMYFUNCTION("""COMPUTED_VALUE"""),0.408549000631773)</f>
        <v>0.40854900063177302</v>
      </c>
      <c r="M957" s="17">
        <f ca="1">IFERROR(__xludf.DUMMYFUNCTION("""COMPUTED_VALUE"""),0.469611952661736)</f>
        <v>0.469611952661736</v>
      </c>
      <c r="N957" s="17">
        <f ca="1">IFERROR(__xludf.DUMMYFUNCTION("""COMPUTED_VALUE"""),0.596933146113028)</f>
        <v>0.59693314611302795</v>
      </c>
      <c r="O957" s="17">
        <f ca="1">IFERROR(__xludf.DUMMYFUNCTION("""COMPUTED_VALUE"""),0.420949848142496)</f>
        <v>0.42094984814249597</v>
      </c>
      <c r="P957" s="17">
        <f ca="1">IFERROR(__xludf.DUMMYFUNCTION("""COMPUTED_VALUE"""),0.586758463761176)</f>
        <v>0.58675846376117602</v>
      </c>
      <c r="Q957" s="17">
        <f ca="1">IFERROR(__xludf.DUMMYFUNCTION("""COMPUTED_VALUE"""),1.34823337373069)</f>
        <v>1.34823337373069</v>
      </c>
      <c r="R957" s="17">
        <f ca="1">IFERROR(__xludf.DUMMYFUNCTION("""COMPUTED_VALUE"""),0.302470357600042)</f>
        <v>0.30247035760004198</v>
      </c>
      <c r="S957" s="17">
        <f ca="1">IFERROR(__xludf.DUMMYFUNCTION("""COMPUTED_VALUE"""),1.45035612650802)</f>
        <v>1.45035612650802</v>
      </c>
      <c r="T957" s="17">
        <f ca="1">IFERROR(__xludf.DUMMYFUNCTION("""COMPUTED_VALUE"""),0.442121923732237)</f>
        <v>0.44212192373223702</v>
      </c>
      <c r="U957" s="17">
        <f ca="1">IFERROR(__xludf.DUMMYFUNCTION("""COMPUTED_VALUE"""),0.337455282620656)</f>
        <v>0.33745528262065599</v>
      </c>
      <c r="V957" s="17">
        <f ca="1">IFERROR(__xludf.DUMMYFUNCTION("""COMPUTED_VALUE"""),0.408265648225108)</f>
        <v>0.40826564822510802</v>
      </c>
      <c r="W957" s="17">
        <f ca="1">IFERROR(__xludf.DUMMYFUNCTION("""COMPUTED_VALUE"""),0.683395570243334)</f>
        <v>0.68339557024333397</v>
      </c>
      <c r="X957" s="17">
        <f ca="1">IFERROR(__xludf.DUMMYFUNCTION("""COMPUTED_VALUE"""),0.421485944563109)</f>
        <v>0.42148594456310901</v>
      </c>
      <c r="Y957" s="17">
        <f ca="1">IFERROR(__xludf.DUMMYFUNCTION("""COMPUTED_VALUE"""),0.442118005459923)</f>
        <v>0.44211800545992302</v>
      </c>
      <c r="Z957" s="17">
        <f ca="1">IFERROR(__xludf.DUMMYFUNCTION("""COMPUTED_VALUE"""),0.480337894221136)</f>
        <v>0.48033789422113599</v>
      </c>
      <c r="AA957" s="17">
        <f ca="1">IFERROR(__xludf.DUMMYFUNCTION("""COMPUTED_VALUE"""),0.521466348096389)</f>
        <v>0.52146634809638903</v>
      </c>
      <c r="AB957" s="17">
        <f ca="1">IFERROR(__xludf.DUMMYFUNCTION("""COMPUTED_VALUE"""),0.448070735372903)</f>
        <v>0.44807073537290298</v>
      </c>
      <c r="AC957" s="17">
        <f ca="1">IFERROR(__xludf.DUMMYFUNCTION("""COMPUTED_VALUE"""),0.583390318980966)</f>
        <v>0.58339031898096605</v>
      </c>
      <c r="AD957" s="17">
        <f ca="1">IFERROR(__xludf.DUMMYFUNCTION("""COMPUTED_VALUE"""),0.541462977206941)</f>
        <v>0.54146297720694103</v>
      </c>
      <c r="AE957" s="17">
        <f ca="1">IFERROR(__xludf.DUMMYFUNCTION("""COMPUTED_VALUE"""),0.793491849962023)</f>
        <v>0.79349184996202304</v>
      </c>
      <c r="AF957" s="17">
        <f ca="1">IFERROR(__xludf.DUMMYFUNCTION("""COMPUTED_VALUE"""),0.646111759130748)</f>
        <v>0.64611175913074803</v>
      </c>
      <c r="AG957" s="17">
        <f ca="1">IFERROR(__xludf.DUMMYFUNCTION("""COMPUTED_VALUE"""),0.875214810188717)</f>
        <v>0.87521481018871705</v>
      </c>
      <c r="AH957" s="17">
        <f ca="1">IFERROR(__xludf.DUMMYFUNCTION("""COMPUTED_VALUE"""),0.611224918509338)</f>
        <v>0.61122491850933802</v>
      </c>
      <c r="AI957" s="17">
        <f ca="1">IFERROR(__xludf.DUMMYFUNCTION("""COMPUTED_VALUE"""),0.681736814665997)</f>
        <v>0.681736814665997</v>
      </c>
      <c r="AJ957" s="17">
        <f ca="1">IFERROR(__xludf.DUMMYFUNCTION("""COMPUTED_VALUE"""),0.457017101554422)</f>
        <v>0.45701710155442199</v>
      </c>
    </row>
    <row r="958" spans="2:36" ht="15.75" customHeight="1" x14ac:dyDescent="0.45">
      <c r="B958" s="10" t="str">
        <f ca="1">IFERROR(__xludf.DUMMYFUNCTION("""COMPUTED_VALUE"""),"Wafer")</f>
        <v>Wafer</v>
      </c>
      <c r="C958" s="10" t="str">
        <f ca="1">IFERROR(__xludf.DUMMYFUNCTION("""COMPUTED_VALUE"""),"mcar")</f>
        <v>mcar</v>
      </c>
      <c r="D958" s="10">
        <f ca="1">IFERROR(__xludf.DUMMYFUNCTION("""COMPUTED_VALUE"""),0.2)</f>
        <v>0.2</v>
      </c>
      <c r="E958" s="17">
        <f ca="1">IFERROR(__xludf.DUMMYFUNCTION("""COMPUTED_VALUE"""),0.982891224117609)</f>
        <v>0.98289122411760899</v>
      </c>
      <c r="F958" s="17">
        <f ca="1">IFERROR(__xludf.DUMMYFUNCTION("""COMPUTED_VALUE"""),0.527725946923105)</f>
        <v>0.52772594692310504</v>
      </c>
      <c r="G958" s="17">
        <f ca="1">IFERROR(__xludf.DUMMYFUNCTION("""COMPUTED_VALUE"""),0.529952140787574)</f>
        <v>0.52995214078757402</v>
      </c>
      <c r="H958" s="17">
        <f ca="1">IFERROR(__xludf.DUMMYFUNCTION("""COMPUTED_VALUE"""),0.536981359807541)</f>
        <v>0.53698135980754103</v>
      </c>
      <c r="I958" s="17">
        <f ca="1">IFERROR(__xludf.DUMMYFUNCTION("""COMPUTED_VALUE"""),0.377439266036823)</f>
        <v>0.37743926603682298</v>
      </c>
      <c r="J958" s="17">
        <f ca="1">IFERROR(__xludf.DUMMYFUNCTION("""COMPUTED_VALUE"""),0.490200767993873)</f>
        <v>0.49020076799387302</v>
      </c>
      <c r="K958" s="17" t="str">
        <f ca="1">IFERROR(__xludf.DUMMYFUNCTION("""COMPUTED_VALUE"""),"nan")</f>
        <v>nan</v>
      </c>
      <c r="L958" s="17">
        <f ca="1">IFERROR(__xludf.DUMMYFUNCTION("""COMPUTED_VALUE"""),0.461457138799048)</f>
        <v>0.46145713879904798</v>
      </c>
      <c r="M958" s="17">
        <f ca="1">IFERROR(__xludf.DUMMYFUNCTION("""COMPUTED_VALUE"""),0.526981241126135)</f>
        <v>0.52698124112613498</v>
      </c>
      <c r="N958" s="17">
        <f ca="1">IFERROR(__xludf.DUMMYFUNCTION("""COMPUTED_VALUE"""),0.71668288725256)</f>
        <v>0.71668288725256002</v>
      </c>
      <c r="O958" s="17">
        <f ca="1">IFERROR(__xludf.DUMMYFUNCTION("""COMPUTED_VALUE"""),0.473484214619524)</f>
        <v>0.473484214619524</v>
      </c>
      <c r="P958" s="17">
        <f ca="1">IFERROR(__xludf.DUMMYFUNCTION("""COMPUTED_VALUE"""),0.653469294396267)</f>
        <v>0.653469294396267</v>
      </c>
      <c r="Q958" s="17">
        <f ca="1">IFERROR(__xludf.DUMMYFUNCTION("""COMPUTED_VALUE"""),1.31731470885488)</f>
        <v>1.31731470885488</v>
      </c>
      <c r="R958" s="17">
        <f ca="1">IFERROR(__xludf.DUMMYFUNCTION("""COMPUTED_VALUE"""),0.450697451701499)</f>
        <v>0.450697451701499</v>
      </c>
      <c r="S958" s="17">
        <f ca="1">IFERROR(__xludf.DUMMYFUNCTION("""COMPUTED_VALUE"""),1.53838425454154)</f>
        <v>1.53838425454154</v>
      </c>
      <c r="T958" s="17">
        <f ca="1">IFERROR(__xludf.DUMMYFUNCTION("""COMPUTED_VALUE"""),0.606553965063715)</f>
        <v>0.60655396506371495</v>
      </c>
      <c r="U958" s="17">
        <f ca="1">IFERROR(__xludf.DUMMYFUNCTION("""COMPUTED_VALUE"""),0.427275117606081)</f>
        <v>0.427275117606081</v>
      </c>
      <c r="V958" s="17">
        <f ca="1">IFERROR(__xludf.DUMMYFUNCTION("""COMPUTED_VALUE"""),0.45674760590654)</f>
        <v>0.45674760590654001</v>
      </c>
      <c r="W958" s="17">
        <f ca="1">IFERROR(__xludf.DUMMYFUNCTION("""COMPUTED_VALUE"""),0.734035516616905)</f>
        <v>0.73403551661690503</v>
      </c>
      <c r="X958" s="17">
        <f ca="1">IFERROR(__xludf.DUMMYFUNCTION("""COMPUTED_VALUE"""),0.48522275972862)</f>
        <v>0.48522275972862</v>
      </c>
      <c r="Y958" s="17">
        <f ca="1">IFERROR(__xludf.DUMMYFUNCTION("""COMPUTED_VALUE"""),0.498482981054254)</f>
        <v>0.49848298105425398</v>
      </c>
      <c r="Z958" s="17">
        <f ca="1">IFERROR(__xludf.DUMMYFUNCTION("""COMPUTED_VALUE"""),0.566784529481236)</f>
        <v>0.56678452948123603</v>
      </c>
      <c r="AA958" s="17">
        <f ca="1">IFERROR(__xludf.DUMMYFUNCTION("""COMPUTED_VALUE"""),0.455145052257316)</f>
        <v>0.455145052257316</v>
      </c>
      <c r="AB958" s="17">
        <f ca="1">IFERROR(__xludf.DUMMYFUNCTION("""COMPUTED_VALUE"""),0.568652376311771)</f>
        <v>0.56865237631177101</v>
      </c>
      <c r="AC958" s="17">
        <f ca="1">IFERROR(__xludf.DUMMYFUNCTION("""COMPUTED_VALUE"""),0.675677771713836)</f>
        <v>0.67567777171383603</v>
      </c>
      <c r="AD958" s="17">
        <f ca="1">IFERROR(__xludf.DUMMYFUNCTION("""COMPUTED_VALUE"""),0.630328946190003)</f>
        <v>0.63032894619000301</v>
      </c>
      <c r="AE958" s="17">
        <f ca="1">IFERROR(__xludf.DUMMYFUNCTION("""COMPUTED_VALUE"""),0.875983806300856)</f>
        <v>0.87598380630085604</v>
      </c>
      <c r="AF958" s="17">
        <f ca="1">IFERROR(__xludf.DUMMYFUNCTION("""COMPUTED_VALUE"""),0.569844350118564)</f>
        <v>0.56984435011856405</v>
      </c>
      <c r="AG958" s="17">
        <f ca="1">IFERROR(__xludf.DUMMYFUNCTION("""COMPUTED_VALUE"""),0.881001031706763)</f>
        <v>0.88100103170676303</v>
      </c>
      <c r="AH958" s="17">
        <f ca="1">IFERROR(__xludf.DUMMYFUNCTION("""COMPUTED_VALUE"""),0.883684168150304)</f>
        <v>0.88368416815030404</v>
      </c>
      <c r="AI958" s="17" t="str">
        <f ca="1">IFERROR(__xludf.DUMMYFUNCTION("""COMPUTED_VALUE"""),"nan")</f>
        <v>nan</v>
      </c>
      <c r="AJ958" s="17">
        <f ca="1">IFERROR(__xludf.DUMMYFUNCTION("""COMPUTED_VALUE"""),0.592082240142669)</f>
        <v>0.59208224014266897</v>
      </c>
    </row>
    <row r="959" spans="2:36" ht="15.75" customHeight="1" x14ac:dyDescent="0.45">
      <c r="B959" s="10" t="str">
        <f ca="1">IFERROR(__xludf.DUMMYFUNCTION("""COMPUTED_VALUE"""),"Wafer")</f>
        <v>Wafer</v>
      </c>
      <c r="C959" s="10" t="str">
        <f ca="1">IFERROR(__xludf.DUMMYFUNCTION("""COMPUTED_VALUE"""),"mcar")</f>
        <v>mcar</v>
      </c>
      <c r="D959" s="10">
        <f ca="1">IFERROR(__xludf.DUMMYFUNCTION("""COMPUTED_VALUE"""),0.4)</f>
        <v>0.4</v>
      </c>
      <c r="E959" s="17">
        <f ca="1">IFERROR(__xludf.DUMMYFUNCTION("""COMPUTED_VALUE"""),0.991007680320835)</f>
        <v>0.99100768032083497</v>
      </c>
      <c r="F959" s="17">
        <f ca="1">IFERROR(__xludf.DUMMYFUNCTION("""COMPUTED_VALUE"""),0.536470451106134)</f>
        <v>0.53647045110613401</v>
      </c>
      <c r="G959" s="17">
        <f ca="1">IFERROR(__xludf.DUMMYFUNCTION("""COMPUTED_VALUE"""),0.540794507319369)</f>
        <v>0.54079450731936896</v>
      </c>
      <c r="H959" s="17">
        <f ca="1">IFERROR(__xludf.DUMMYFUNCTION("""COMPUTED_VALUE"""),0.564301774979107)</f>
        <v>0.56430177497910705</v>
      </c>
      <c r="I959" s="17">
        <f ca="1">IFERROR(__xludf.DUMMYFUNCTION("""COMPUTED_VALUE"""),0.437197358780392)</f>
        <v>0.43719735878039201</v>
      </c>
      <c r="J959" s="17">
        <f ca="1">IFERROR(__xludf.DUMMYFUNCTION("""COMPUTED_VALUE"""),0.517036720687016)</f>
        <v>0.517036720687016</v>
      </c>
      <c r="K959" s="17" t="str">
        <f ca="1">IFERROR(__xludf.DUMMYFUNCTION("""COMPUTED_VALUE"""),"nan")</f>
        <v>nan</v>
      </c>
      <c r="L959" s="17">
        <f ca="1">IFERROR(__xludf.DUMMYFUNCTION("""COMPUTED_VALUE"""),0.484788485979329)</f>
        <v>0.484788485979329</v>
      </c>
      <c r="M959" s="17">
        <f ca="1">IFERROR(__xludf.DUMMYFUNCTION("""COMPUTED_VALUE"""),0.53585800838446)</f>
        <v>0.53585800838445996</v>
      </c>
      <c r="N959" s="17">
        <f ca="1">IFERROR(__xludf.DUMMYFUNCTION("""COMPUTED_VALUE"""),0.760990712990348)</f>
        <v>0.76099071299034804</v>
      </c>
      <c r="O959" s="17">
        <f ca="1">IFERROR(__xludf.DUMMYFUNCTION("""COMPUTED_VALUE"""),0.491139869011823)</f>
        <v>0.49113986901182299</v>
      </c>
      <c r="P959" s="17">
        <f ca="1">IFERROR(__xludf.DUMMYFUNCTION("""COMPUTED_VALUE"""),0.712015369325715)</f>
        <v>0.71201536932571496</v>
      </c>
      <c r="Q959" s="17">
        <f ca="1">IFERROR(__xludf.DUMMYFUNCTION("""COMPUTED_VALUE"""),1.28985291891725)</f>
        <v>1.2898529189172501</v>
      </c>
      <c r="R959" s="17">
        <f ca="1">IFERROR(__xludf.DUMMYFUNCTION("""COMPUTED_VALUE"""),0.458705992591402)</f>
        <v>0.45870599259140199</v>
      </c>
      <c r="S959" s="17">
        <f ca="1">IFERROR(__xludf.DUMMYFUNCTION("""COMPUTED_VALUE"""),1.56660946460116)</f>
        <v>1.5666094646011599</v>
      </c>
      <c r="T959" s="17">
        <f ca="1">IFERROR(__xludf.DUMMYFUNCTION("""COMPUTED_VALUE"""),0.664091963045971)</f>
        <v>0.66409196304597096</v>
      </c>
      <c r="U959" s="17">
        <f ca="1">IFERROR(__xludf.DUMMYFUNCTION("""COMPUTED_VALUE"""),0.460401267457103)</f>
        <v>0.46040126745710303</v>
      </c>
      <c r="V959" s="17">
        <f ca="1">IFERROR(__xludf.DUMMYFUNCTION("""COMPUTED_VALUE"""),0.501210065459254)</f>
        <v>0.50121006545925395</v>
      </c>
      <c r="W959" s="17">
        <f ca="1">IFERROR(__xludf.DUMMYFUNCTION("""COMPUTED_VALUE"""),0.844380760100989)</f>
        <v>0.84438076010098895</v>
      </c>
      <c r="X959" s="17">
        <f ca="1">IFERROR(__xludf.DUMMYFUNCTION("""COMPUTED_VALUE"""),0.507499202173487)</f>
        <v>0.50749920217348699</v>
      </c>
      <c r="Y959" s="17">
        <f ca="1">IFERROR(__xludf.DUMMYFUNCTION("""COMPUTED_VALUE"""),0.530852837660363)</f>
        <v>0.53085283766036295</v>
      </c>
      <c r="Z959" s="17">
        <f ca="1">IFERROR(__xludf.DUMMYFUNCTION("""COMPUTED_VALUE"""),0.671672489267406)</f>
        <v>0.67167248926740597</v>
      </c>
      <c r="AA959" s="17">
        <f ca="1">IFERROR(__xludf.DUMMYFUNCTION("""COMPUTED_VALUE"""),0.660078401109597)</f>
        <v>0.66007840110959703</v>
      </c>
      <c r="AB959" s="17">
        <f ca="1">IFERROR(__xludf.DUMMYFUNCTION("""COMPUTED_VALUE"""),0.571406487044853)</f>
        <v>0.57140648704485297</v>
      </c>
      <c r="AC959" s="17">
        <f ca="1">IFERROR(__xludf.DUMMYFUNCTION("""COMPUTED_VALUE"""),0.781985128818577)</f>
        <v>0.78198512881857696</v>
      </c>
      <c r="AD959" s="17">
        <f ca="1">IFERROR(__xludf.DUMMYFUNCTION("""COMPUTED_VALUE"""),0.736951096907082)</f>
        <v>0.73695109690708205</v>
      </c>
      <c r="AE959" s="17">
        <f ca="1">IFERROR(__xludf.DUMMYFUNCTION("""COMPUTED_VALUE"""),0.974801611464274)</f>
        <v>0.97480161146427402</v>
      </c>
      <c r="AF959" s="17">
        <f ca="1">IFERROR(__xludf.DUMMYFUNCTION("""COMPUTED_VALUE"""),0.60997412328176)</f>
        <v>0.60997412328176004</v>
      </c>
      <c r="AG959" s="17">
        <f ca="1">IFERROR(__xludf.DUMMYFUNCTION("""COMPUTED_VALUE"""),1.01003136019326)</f>
        <v>1.01003136019326</v>
      </c>
      <c r="AH959" s="17">
        <f ca="1">IFERROR(__xludf.DUMMYFUNCTION("""COMPUTED_VALUE"""),0.96206467993545)</f>
        <v>0.96206467993544997</v>
      </c>
      <c r="AI959" s="17" t="str">
        <f ca="1">IFERROR(__xludf.DUMMYFUNCTION("""COMPUTED_VALUE"""),"nan")</f>
        <v>nan</v>
      </c>
      <c r="AJ959" s="17">
        <f ca="1">IFERROR(__xludf.DUMMYFUNCTION("""COMPUTED_VALUE"""),0.840027663359592)</f>
        <v>0.840027663359592</v>
      </c>
    </row>
    <row r="960" spans="2:36" ht="15.75" customHeight="1" x14ac:dyDescent="0.45">
      <c r="B960" s="10" t="str">
        <f ca="1">IFERROR(__xludf.DUMMYFUNCTION("""COMPUTED_VALUE"""),"Wafer")</f>
        <v>Wafer</v>
      </c>
      <c r="C960" s="10" t="str">
        <f ca="1">IFERROR(__xludf.DUMMYFUNCTION("""COMPUTED_VALUE"""),"mcar")</f>
        <v>mcar</v>
      </c>
      <c r="D960" s="10">
        <f ca="1">IFERROR(__xludf.DUMMYFUNCTION("""COMPUTED_VALUE"""),0.6)</f>
        <v>0.6</v>
      </c>
      <c r="E960" s="17">
        <f ca="1">IFERROR(__xludf.DUMMYFUNCTION("""COMPUTED_VALUE"""),0.989638484001508)</f>
        <v>0.989638484001508</v>
      </c>
      <c r="F960" s="17">
        <f ca="1">IFERROR(__xludf.DUMMYFUNCTION("""COMPUTED_VALUE"""),0.546421291604379)</f>
        <v>0.54642129160437902</v>
      </c>
      <c r="G960" s="17">
        <f ca="1">IFERROR(__xludf.DUMMYFUNCTION("""COMPUTED_VALUE"""),0.549295918448748)</f>
        <v>0.54929591844874803</v>
      </c>
      <c r="H960" s="17">
        <f ca="1">IFERROR(__xludf.DUMMYFUNCTION("""COMPUTED_VALUE"""),0.577778677415044)</f>
        <v>0.57777867741504396</v>
      </c>
      <c r="I960" s="17">
        <f ca="1">IFERROR(__xludf.DUMMYFUNCTION("""COMPUTED_VALUE"""),0.480830729332172)</f>
        <v>0.48083072933217202</v>
      </c>
      <c r="J960" s="17">
        <f ca="1">IFERROR(__xludf.DUMMYFUNCTION("""COMPUTED_VALUE"""),0.62439033149836)</f>
        <v>0.62439033149835999</v>
      </c>
      <c r="K960" s="17" t="str">
        <f ca="1">IFERROR(__xludf.DUMMYFUNCTION("""COMPUTED_VALUE"""),"nan")</f>
        <v>nan</v>
      </c>
      <c r="L960" s="17">
        <f ca="1">IFERROR(__xludf.DUMMYFUNCTION("""COMPUTED_VALUE"""),0.505511224957425)</f>
        <v>0.50551122495742495</v>
      </c>
      <c r="M960" s="17">
        <f ca="1">IFERROR(__xludf.DUMMYFUNCTION("""COMPUTED_VALUE"""),0.547509887353839)</f>
        <v>0.54750988735383899</v>
      </c>
      <c r="N960" s="17">
        <f ca="1">IFERROR(__xludf.DUMMYFUNCTION("""COMPUTED_VALUE"""),0.825497267985191)</f>
        <v>0.82549726798519096</v>
      </c>
      <c r="O960" s="17">
        <f ca="1">IFERROR(__xludf.DUMMYFUNCTION("""COMPUTED_VALUE"""),0.504425867591088)</f>
        <v>0.50442586759108798</v>
      </c>
      <c r="P960" s="17">
        <f ca="1">IFERROR(__xludf.DUMMYFUNCTION("""COMPUTED_VALUE"""),0.774160689468888)</f>
        <v>0.77416068946888805</v>
      </c>
      <c r="Q960" s="17">
        <f ca="1">IFERROR(__xludf.DUMMYFUNCTION("""COMPUTED_VALUE"""),1.28101283870887)</f>
        <v>1.2810128387088699</v>
      </c>
      <c r="R960" s="17">
        <f ca="1">IFERROR(__xludf.DUMMYFUNCTION("""COMPUTED_VALUE"""),0.48595482984985)</f>
        <v>0.48595482984985</v>
      </c>
      <c r="S960" s="17">
        <f ca="1">IFERROR(__xludf.DUMMYFUNCTION("""COMPUTED_VALUE"""),1.57046413944337)</f>
        <v>1.57046413944337</v>
      </c>
      <c r="T960" s="17">
        <f ca="1">IFERROR(__xludf.DUMMYFUNCTION("""COMPUTED_VALUE"""),0.723401485689675)</f>
        <v>0.72340148568967499</v>
      </c>
      <c r="U960" s="17">
        <f ca="1">IFERROR(__xludf.DUMMYFUNCTION("""COMPUTED_VALUE"""),0.508372383940953)</f>
        <v>0.50837238394095297</v>
      </c>
      <c r="V960" s="17">
        <f ca="1">IFERROR(__xludf.DUMMYFUNCTION("""COMPUTED_VALUE"""),0.591675183138251)</f>
        <v>0.59167518313825096</v>
      </c>
      <c r="W960" s="17">
        <f ca="1">IFERROR(__xludf.DUMMYFUNCTION("""COMPUTED_VALUE"""),0.814027971100222)</f>
        <v>0.81402797110022196</v>
      </c>
      <c r="X960" s="17">
        <f ca="1">IFERROR(__xludf.DUMMYFUNCTION("""COMPUTED_VALUE"""),0.527205054280685)</f>
        <v>0.52720505428068498</v>
      </c>
      <c r="Y960" s="17">
        <f ca="1">IFERROR(__xludf.DUMMYFUNCTION("""COMPUTED_VALUE"""),0.600074928460498)</f>
        <v>0.60007492846049804</v>
      </c>
      <c r="Z960" s="17">
        <f ca="1">IFERROR(__xludf.DUMMYFUNCTION("""COMPUTED_VALUE"""),0.757390883835718)</f>
        <v>0.75739088383571795</v>
      </c>
      <c r="AA960" s="17">
        <f ca="1">IFERROR(__xludf.DUMMYFUNCTION("""COMPUTED_VALUE"""),0.646705040279006)</f>
        <v>0.64670504027900599</v>
      </c>
      <c r="AB960" s="17">
        <f ca="1">IFERROR(__xludf.DUMMYFUNCTION("""COMPUTED_VALUE"""),0.725824332257808)</f>
        <v>0.72582433225780796</v>
      </c>
      <c r="AC960" s="17">
        <f ca="1">IFERROR(__xludf.DUMMYFUNCTION("""COMPUTED_VALUE"""),0.859873995674981)</f>
        <v>0.85987399567498102</v>
      </c>
      <c r="AD960" s="17">
        <f ca="1">IFERROR(__xludf.DUMMYFUNCTION("""COMPUTED_VALUE"""),0.834265010193442)</f>
        <v>0.83426501019344201</v>
      </c>
      <c r="AE960" s="17">
        <f ca="1">IFERROR(__xludf.DUMMYFUNCTION("""COMPUTED_VALUE"""),1.14225924445664)</f>
        <v>1.14225924445664</v>
      </c>
      <c r="AF960" s="17">
        <f ca="1">IFERROR(__xludf.DUMMYFUNCTION("""COMPUTED_VALUE"""),0.710292782574097)</f>
        <v>0.710292782574097</v>
      </c>
      <c r="AG960" s="17">
        <f ca="1">IFERROR(__xludf.DUMMYFUNCTION("""COMPUTED_VALUE"""),1.15889748025991)</f>
        <v>1.1588974802599099</v>
      </c>
      <c r="AH960" s="17">
        <f ca="1">IFERROR(__xludf.DUMMYFUNCTION("""COMPUTED_VALUE"""),1.05694816013064)</f>
        <v>1.0569481601306401</v>
      </c>
      <c r="AI960" s="17" t="str">
        <f ca="1">IFERROR(__xludf.DUMMYFUNCTION("""COMPUTED_VALUE"""),"nan")</f>
        <v>nan</v>
      </c>
      <c r="AJ960" s="17">
        <f ca="1">IFERROR(__xludf.DUMMYFUNCTION("""COMPUTED_VALUE"""),1.08114832990303)</f>
        <v>1.08114832990303</v>
      </c>
    </row>
    <row r="961" spans="2:36" ht="15.75" customHeight="1" x14ac:dyDescent="0.45">
      <c r="B961" s="10" t="str">
        <f ca="1">IFERROR(__xludf.DUMMYFUNCTION("""COMPUTED_VALUE"""),"Wafer")</f>
        <v>Wafer</v>
      </c>
      <c r="C961" s="10" t="str">
        <f ca="1">IFERROR(__xludf.DUMMYFUNCTION("""COMPUTED_VALUE"""),"mcar")</f>
        <v>mcar</v>
      </c>
      <c r="D961" s="10">
        <f ca="1">IFERROR(__xludf.DUMMYFUNCTION("""COMPUTED_VALUE"""),0.8)</f>
        <v>0.8</v>
      </c>
      <c r="E961" s="17">
        <f ca="1">IFERROR(__xludf.DUMMYFUNCTION("""COMPUTED_VALUE"""),0.989573653477448)</f>
        <v>0.98957365347744797</v>
      </c>
      <c r="F961" s="17">
        <f ca="1">IFERROR(__xludf.DUMMYFUNCTION("""COMPUTED_VALUE"""),0.568107238323217)</f>
        <v>0.56810723832321697</v>
      </c>
      <c r="G961" s="17">
        <f ca="1">IFERROR(__xludf.DUMMYFUNCTION("""COMPUTED_VALUE"""),0.577713878679627)</f>
        <v>0.57771387867962698</v>
      </c>
      <c r="H961" s="17">
        <f ca="1">IFERROR(__xludf.DUMMYFUNCTION("""COMPUTED_VALUE"""),0.601969957101179)</f>
        <v>0.60196995710117895</v>
      </c>
      <c r="I961" s="17">
        <f ca="1">IFERROR(__xludf.DUMMYFUNCTION("""COMPUTED_VALUE"""),0.54986596057116)</f>
        <v>0.54986596057116</v>
      </c>
      <c r="J961" s="17">
        <f ca="1">IFERROR(__xludf.DUMMYFUNCTION("""COMPUTED_VALUE"""),1.01551073590013)</f>
        <v>1.0155107359001301</v>
      </c>
      <c r="K961" s="17" t="str">
        <f ca="1">IFERROR(__xludf.DUMMYFUNCTION("""COMPUTED_VALUE"""),"nan")</f>
        <v>nan</v>
      </c>
      <c r="L961" s="17">
        <f ca="1">IFERROR(__xludf.DUMMYFUNCTION("""COMPUTED_VALUE"""),0.564959890744232)</f>
        <v>0.56495989074423203</v>
      </c>
      <c r="M961" s="17">
        <f ca="1">IFERROR(__xludf.DUMMYFUNCTION("""COMPUTED_VALUE"""),0.585359805138463)</f>
        <v>0.58535980513846297</v>
      </c>
      <c r="N961" s="17">
        <f ca="1">IFERROR(__xludf.DUMMYFUNCTION("""COMPUTED_VALUE"""),0.989371000037913)</f>
        <v>0.98937100003791301</v>
      </c>
      <c r="O961" s="17">
        <f ca="1">IFERROR(__xludf.DUMMYFUNCTION("""COMPUTED_VALUE"""),0.553754763650394)</f>
        <v>0.553754763650394</v>
      </c>
      <c r="P961" s="17">
        <f ca="1">IFERROR(__xludf.DUMMYFUNCTION("""COMPUTED_VALUE"""),0.908490341670845)</f>
        <v>0.90849034167084497</v>
      </c>
      <c r="Q961" s="17">
        <f ca="1">IFERROR(__xludf.DUMMYFUNCTION("""COMPUTED_VALUE"""),1.28780269070299)</f>
        <v>1.28780269070299</v>
      </c>
      <c r="R961" s="17">
        <f ca="1">IFERROR(__xludf.DUMMYFUNCTION("""COMPUTED_VALUE"""),0.620816577389446)</f>
        <v>0.62081657738944596</v>
      </c>
      <c r="S961" s="17">
        <f ca="1">IFERROR(__xludf.DUMMYFUNCTION("""COMPUTED_VALUE"""),1.57102779193091)</f>
        <v>1.5710277919309099</v>
      </c>
      <c r="T961" s="17">
        <f ca="1">IFERROR(__xludf.DUMMYFUNCTION("""COMPUTED_VALUE"""),0.821041837127488)</f>
        <v>0.82104183712748802</v>
      </c>
      <c r="U961" s="17">
        <f ca="1">IFERROR(__xludf.DUMMYFUNCTION("""COMPUTED_VALUE"""),0.620120702865754)</f>
        <v>0.62012070286575405</v>
      </c>
      <c r="V961" s="17">
        <f ca="1">IFERROR(__xludf.DUMMYFUNCTION("""COMPUTED_VALUE"""),0.747629424045566)</f>
        <v>0.74762942404556598</v>
      </c>
      <c r="W961" s="17">
        <f ca="1">IFERROR(__xludf.DUMMYFUNCTION("""COMPUTED_VALUE"""),0.966322665181186)</f>
        <v>0.96632266518118604</v>
      </c>
      <c r="X961" s="17">
        <f ca="1">IFERROR(__xludf.DUMMYFUNCTION("""COMPUTED_VALUE"""),0.599274960668193)</f>
        <v>0.59927496066819297</v>
      </c>
      <c r="Y961" s="17">
        <f ca="1">IFERROR(__xludf.DUMMYFUNCTION("""COMPUTED_VALUE"""),0.749762775218087)</f>
        <v>0.74976277521808699</v>
      </c>
      <c r="Z961" s="17">
        <f ca="1">IFERROR(__xludf.DUMMYFUNCTION("""COMPUTED_VALUE"""),0.841900275736365)</f>
        <v>0.84190027573636494</v>
      </c>
      <c r="AA961" s="17">
        <f ca="1">IFERROR(__xludf.DUMMYFUNCTION("""COMPUTED_VALUE"""),0.515891806175204)</f>
        <v>0.51589180617520403</v>
      </c>
      <c r="AB961" s="17">
        <f ca="1">IFERROR(__xludf.DUMMYFUNCTION("""COMPUTED_VALUE"""),1.2747840800578)</f>
        <v>1.2747840800578001</v>
      </c>
      <c r="AC961" s="17">
        <f ca="1">IFERROR(__xludf.DUMMYFUNCTION("""COMPUTED_VALUE"""),0.936651649067943)</f>
        <v>0.93665164906794296</v>
      </c>
      <c r="AD961" s="17">
        <f ca="1">IFERROR(__xludf.DUMMYFUNCTION("""COMPUTED_VALUE"""),0.890142511062789)</f>
        <v>0.89014251106278897</v>
      </c>
      <c r="AE961" s="17">
        <f ca="1">IFERROR(__xludf.DUMMYFUNCTION("""COMPUTED_VALUE"""),1.74733996433543)</f>
        <v>1.7473399643354299</v>
      </c>
      <c r="AF961" s="17">
        <f ca="1">IFERROR(__xludf.DUMMYFUNCTION("""COMPUTED_VALUE"""),0.857835685564229)</f>
        <v>0.85783568556422896</v>
      </c>
      <c r="AG961" s="17">
        <f ca="1">IFERROR(__xludf.DUMMYFUNCTION("""COMPUTED_VALUE"""),1.11871793117955)</f>
        <v>1.1187179311795501</v>
      </c>
      <c r="AH961" s="17">
        <f ca="1">IFERROR(__xludf.DUMMYFUNCTION("""COMPUTED_VALUE"""),1.08057147927231)</f>
        <v>1.08057147927231</v>
      </c>
      <c r="AI961" s="17" t="str">
        <f ca="1">IFERROR(__xludf.DUMMYFUNCTION("""COMPUTED_VALUE"""),"nan")</f>
        <v>nan</v>
      </c>
      <c r="AJ961" s="17">
        <f ca="1">IFERROR(__xludf.DUMMYFUNCTION("""COMPUTED_VALUE"""),1.14601652916222)</f>
        <v>1.14601652916222</v>
      </c>
    </row>
    <row r="962" spans="2:36" ht="15.75" customHeight="1" x14ac:dyDescent="0.45">
      <c r="B962" s="10" t="str">
        <f ca="1">IFERROR(__xludf.DUMMYFUNCTION("""COMPUTED_VALUE"""),"Wine")</f>
        <v>Wine</v>
      </c>
      <c r="C962" s="10" t="str">
        <f ca="1">IFERROR(__xludf.DUMMYFUNCTION("""COMPUTED_VALUE"""),"aligned_series")</f>
        <v>aligned_series</v>
      </c>
      <c r="D962" s="10">
        <f ca="1">IFERROR(__xludf.DUMMYFUNCTION("""COMPUTED_VALUE"""),0.1)</f>
        <v>0.1</v>
      </c>
      <c r="E962" s="17">
        <f ca="1">IFERROR(__xludf.DUMMYFUNCTION("""COMPUTED_VALUE"""),0.591136144929847)</f>
        <v>0.59113614492984701</v>
      </c>
      <c r="F962" s="17">
        <f ca="1">IFERROR(__xludf.DUMMYFUNCTION("""COMPUTED_VALUE"""),0.0264026407728545)</f>
        <v>2.6402640772854501E-2</v>
      </c>
      <c r="G962" s="17">
        <f ca="1">IFERROR(__xludf.DUMMYFUNCTION("""COMPUTED_VALUE"""),0.0366233135670216)</f>
        <v>3.6623313567021601E-2</v>
      </c>
      <c r="H962" s="17">
        <f ca="1">IFERROR(__xludf.DUMMYFUNCTION("""COMPUTED_VALUE"""),0.0346425840399891)</f>
        <v>3.4642584039989099E-2</v>
      </c>
      <c r="I962" s="17">
        <f ca="1">IFERROR(__xludf.DUMMYFUNCTION("""COMPUTED_VALUE"""),0.404193407635175)</f>
        <v>0.40419340763517497</v>
      </c>
      <c r="J962" s="17">
        <f ca="1">IFERROR(__xludf.DUMMYFUNCTION("""COMPUTED_VALUE"""),0.61782678794729)</f>
        <v>0.61782678794728996</v>
      </c>
      <c r="K962" s="17" t="str">
        <f ca="1">IFERROR(__xludf.DUMMYFUNCTION("""COMPUTED_VALUE"""),"nan")</f>
        <v>nan</v>
      </c>
      <c r="L962" s="17">
        <f ca="1">IFERROR(__xludf.DUMMYFUNCTION("""COMPUTED_VALUE"""),0.0308717762656462)</f>
        <v>3.08717762656462E-2</v>
      </c>
      <c r="M962" s="17">
        <f ca="1">IFERROR(__xludf.DUMMYFUNCTION("""COMPUTED_VALUE"""),0.0237455635820821)</f>
        <v>2.3745563582082099E-2</v>
      </c>
      <c r="N962" s="17">
        <f ca="1">IFERROR(__xludf.DUMMYFUNCTION("""COMPUTED_VALUE"""),0.069700496622222)</f>
        <v>6.9700496622221997E-2</v>
      </c>
      <c r="O962" s="17">
        <f ca="1">IFERROR(__xludf.DUMMYFUNCTION("""COMPUTED_VALUE"""),0.0449526456821224)</f>
        <v>4.49526456821224E-2</v>
      </c>
      <c r="P962" s="17">
        <f ca="1">IFERROR(__xludf.DUMMYFUNCTION("""COMPUTED_VALUE"""),0.812875152608609)</f>
        <v>0.81287515260860899</v>
      </c>
      <c r="Q962" s="17">
        <f ca="1">IFERROR(__xludf.DUMMYFUNCTION("""COMPUTED_VALUE"""),0.101033872251839)</f>
        <v>0.101033872251839</v>
      </c>
      <c r="R962" s="17">
        <f ca="1">IFERROR(__xludf.DUMMYFUNCTION("""COMPUTED_VALUE"""),0.619654611909058)</f>
        <v>0.61965461190905802</v>
      </c>
      <c r="S962" s="17">
        <f ca="1">IFERROR(__xludf.DUMMYFUNCTION("""COMPUTED_VALUE"""),0.0631287981261025)</f>
        <v>6.3128798126102503E-2</v>
      </c>
      <c r="T962" s="17">
        <f ca="1">IFERROR(__xludf.DUMMYFUNCTION("""COMPUTED_VALUE"""),0.142462901663256)</f>
        <v>0.14246290166325601</v>
      </c>
      <c r="U962" s="17">
        <f ca="1">IFERROR(__xludf.DUMMYFUNCTION("""COMPUTED_VALUE"""),0.0477946992646417)</f>
        <v>4.77946992646417E-2</v>
      </c>
      <c r="V962" s="17">
        <f ca="1">IFERROR(__xludf.DUMMYFUNCTION("""COMPUTED_VALUE"""),0.0704415643611171)</f>
        <v>7.0441564361117107E-2</v>
      </c>
      <c r="W962" s="17">
        <f ca="1">IFERROR(__xludf.DUMMYFUNCTION("""COMPUTED_VALUE"""),0.591940295507954)</f>
        <v>0.59194029550795402</v>
      </c>
      <c r="X962" s="17">
        <f ca="1">IFERROR(__xludf.DUMMYFUNCTION("""COMPUTED_VALUE"""),0.214166382638393)</f>
        <v>0.21416638263839299</v>
      </c>
      <c r="Y962" s="17">
        <f ca="1">IFERROR(__xludf.DUMMYFUNCTION("""COMPUTED_VALUE"""),0.0543452655431363)</f>
        <v>5.4345265543136297E-2</v>
      </c>
      <c r="Z962" s="17">
        <f ca="1">IFERROR(__xludf.DUMMYFUNCTION("""COMPUTED_VALUE"""),0.0932450649473271)</f>
        <v>9.3245064947327094E-2</v>
      </c>
      <c r="AA962" s="17">
        <f ca="1">IFERROR(__xludf.DUMMYFUNCTION("""COMPUTED_VALUE"""),0.00673451655690418)</f>
        <v>6.7345165569041802E-3</v>
      </c>
      <c r="AB962" s="17">
        <f ca="1">IFERROR(__xludf.DUMMYFUNCTION("""COMPUTED_VALUE"""),0.121515070911385)</f>
        <v>0.121515070911385</v>
      </c>
      <c r="AC962" s="17">
        <f ca="1">IFERROR(__xludf.DUMMYFUNCTION("""COMPUTED_VALUE"""),0.573710468494368)</f>
        <v>0.57371046849436802</v>
      </c>
      <c r="AD962" s="17">
        <f ca="1">IFERROR(__xludf.DUMMYFUNCTION("""COMPUTED_VALUE"""),0.147145792216647)</f>
        <v>0.147145792216647</v>
      </c>
      <c r="AE962" s="17">
        <f ca="1">IFERROR(__xludf.DUMMYFUNCTION("""COMPUTED_VALUE"""),0.535509238270633)</f>
        <v>0.53550923827063301</v>
      </c>
      <c r="AF962" s="17">
        <f ca="1">IFERROR(__xludf.DUMMYFUNCTION("""COMPUTED_VALUE"""),0.0711605042388213)</f>
        <v>7.1160504238821295E-2</v>
      </c>
      <c r="AG962" s="17">
        <f ca="1">IFERROR(__xludf.DUMMYFUNCTION("""COMPUTED_VALUE"""),0.58262276496019)</f>
        <v>0.58262276496019005</v>
      </c>
      <c r="AH962" s="17">
        <f ca="1">IFERROR(__xludf.DUMMYFUNCTION("""COMPUTED_VALUE"""),0.585673616892864)</f>
        <v>0.58567361689286401</v>
      </c>
      <c r="AI962" s="17">
        <f ca="1">IFERROR(__xludf.DUMMYFUNCTION("""COMPUTED_VALUE"""),0.58770475634918)</f>
        <v>0.58770475634917996</v>
      </c>
      <c r="AJ962" s="17">
        <f ca="1">IFERROR(__xludf.DUMMYFUNCTION("""COMPUTED_VALUE"""),0.513453155760228)</f>
        <v>0.51345315576022799</v>
      </c>
    </row>
    <row r="963" spans="2:36" ht="15.75" customHeight="1" x14ac:dyDescent="0.45">
      <c r="B963" s="10" t="str">
        <f ca="1">IFERROR(__xludf.DUMMYFUNCTION("""COMPUTED_VALUE"""),"Wine")</f>
        <v>Wine</v>
      </c>
      <c r="C963" s="10" t="str">
        <f ca="1">IFERROR(__xludf.DUMMYFUNCTION("""COMPUTED_VALUE"""),"aligned_series")</f>
        <v>aligned_series</v>
      </c>
      <c r="D963" s="10">
        <f ca="1">IFERROR(__xludf.DUMMYFUNCTION("""COMPUTED_VALUE"""),0.2)</f>
        <v>0.2</v>
      </c>
      <c r="E963" s="17">
        <f ca="1">IFERROR(__xludf.DUMMYFUNCTION("""COMPUTED_VALUE"""),0.618938219375268)</f>
        <v>0.61893821937526805</v>
      </c>
      <c r="F963" s="17">
        <f ca="1">IFERROR(__xludf.DUMMYFUNCTION("""COMPUTED_VALUE"""),0.0889092842001646)</f>
        <v>8.8909284200164598E-2</v>
      </c>
      <c r="G963" s="17">
        <f ca="1">IFERROR(__xludf.DUMMYFUNCTION("""COMPUTED_VALUE"""),0.27746467819868)</f>
        <v>0.27746467819867998</v>
      </c>
      <c r="H963" s="17">
        <f ca="1">IFERROR(__xludf.DUMMYFUNCTION("""COMPUTED_VALUE"""),0.0867151838500633)</f>
        <v>8.6715183850063299E-2</v>
      </c>
      <c r="I963" s="17">
        <f ca="1">IFERROR(__xludf.DUMMYFUNCTION("""COMPUTED_VALUE"""),0.379398161503812)</f>
        <v>0.379398161503812</v>
      </c>
      <c r="J963" s="17">
        <f ca="1">IFERROR(__xludf.DUMMYFUNCTION("""COMPUTED_VALUE"""),0.599993825850218)</f>
        <v>0.59999382585021799</v>
      </c>
      <c r="K963" s="17" t="str">
        <f ca="1">IFERROR(__xludf.DUMMYFUNCTION("""COMPUTED_VALUE"""),"nan")</f>
        <v>nan</v>
      </c>
      <c r="L963" s="17">
        <f ca="1">IFERROR(__xludf.DUMMYFUNCTION("""COMPUTED_VALUE"""),0.0859720538373421)</f>
        <v>8.5972053837342105E-2</v>
      </c>
      <c r="M963" s="17">
        <f ca="1">IFERROR(__xludf.DUMMYFUNCTION("""COMPUTED_VALUE"""),0.555272072252596)</f>
        <v>0.55527207225259601</v>
      </c>
      <c r="N963" s="17">
        <f ca="1">IFERROR(__xludf.DUMMYFUNCTION("""COMPUTED_VALUE"""),0.101883204974229)</f>
        <v>0.10188320497422899</v>
      </c>
      <c r="O963" s="17">
        <f ca="1">IFERROR(__xludf.DUMMYFUNCTION("""COMPUTED_VALUE"""),0.0795713934126925)</f>
        <v>7.9571393412692495E-2</v>
      </c>
      <c r="P963" s="17">
        <f ca="1">IFERROR(__xludf.DUMMYFUNCTION("""COMPUTED_VALUE"""),0.727116134867115)</f>
        <v>0.72711613486711502</v>
      </c>
      <c r="Q963" s="17">
        <f ca="1">IFERROR(__xludf.DUMMYFUNCTION("""COMPUTED_VALUE"""),0.0945545735777717)</f>
        <v>9.4554573577771694E-2</v>
      </c>
      <c r="R963" s="17">
        <f ca="1">IFERROR(__xludf.DUMMYFUNCTION("""COMPUTED_VALUE"""),0.666811257044279)</f>
        <v>0.66681125704427902</v>
      </c>
      <c r="S963" s="17">
        <f ca="1">IFERROR(__xludf.DUMMYFUNCTION("""COMPUTED_VALUE"""),0.171448678022517)</f>
        <v>0.17144867802251701</v>
      </c>
      <c r="T963" s="17">
        <f ca="1">IFERROR(__xludf.DUMMYFUNCTION("""COMPUTED_VALUE"""),0.170497994966676)</f>
        <v>0.170497994966676</v>
      </c>
      <c r="U963" s="17">
        <f ca="1">IFERROR(__xludf.DUMMYFUNCTION("""COMPUTED_VALUE"""),0.111509209824309)</f>
        <v>0.11150920982430899</v>
      </c>
      <c r="V963" s="17">
        <f ca="1">IFERROR(__xludf.DUMMYFUNCTION("""COMPUTED_VALUE"""),0.105208864427515)</f>
        <v>0.10520886442751499</v>
      </c>
      <c r="W963" s="17">
        <f ca="1">IFERROR(__xludf.DUMMYFUNCTION("""COMPUTED_VALUE"""),0.602645913233193)</f>
        <v>0.60264591323319305</v>
      </c>
      <c r="X963" s="17">
        <f ca="1">IFERROR(__xludf.DUMMYFUNCTION("""COMPUTED_VALUE"""),0.249872412299881)</f>
        <v>0.249872412299881</v>
      </c>
      <c r="Y963" s="17">
        <f ca="1">IFERROR(__xludf.DUMMYFUNCTION("""COMPUTED_VALUE"""),0.131248785708542)</f>
        <v>0.13124878570854201</v>
      </c>
      <c r="Z963" s="17">
        <f ca="1">IFERROR(__xludf.DUMMYFUNCTION("""COMPUTED_VALUE"""),0.155297364066125)</f>
        <v>0.15529736406612499</v>
      </c>
      <c r="AA963" s="17">
        <f ca="1">IFERROR(__xludf.DUMMYFUNCTION("""COMPUTED_VALUE"""),0.0723239284923369)</f>
        <v>7.2323928492336903E-2</v>
      </c>
      <c r="AB963" s="17">
        <f ca="1">IFERROR(__xludf.DUMMYFUNCTION("""COMPUTED_VALUE"""),0.395630553247102)</f>
        <v>0.395630553247102</v>
      </c>
      <c r="AC963" s="17">
        <f ca="1">IFERROR(__xludf.DUMMYFUNCTION("""COMPUTED_VALUE"""),0.61956962508271)</f>
        <v>0.61956962508270996</v>
      </c>
      <c r="AD963" s="17">
        <f ca="1">IFERROR(__xludf.DUMMYFUNCTION("""COMPUTED_VALUE"""),0.178305344277639)</f>
        <v>0.178305344277639</v>
      </c>
      <c r="AE963" s="17">
        <f ca="1">IFERROR(__xludf.DUMMYFUNCTION("""COMPUTED_VALUE"""),0.550616018637568)</f>
        <v>0.55061601863756804</v>
      </c>
      <c r="AF963" s="17">
        <f ca="1">IFERROR(__xludf.DUMMYFUNCTION("""COMPUTED_VALUE"""),0.110149336034966)</f>
        <v>0.110149336034966</v>
      </c>
      <c r="AG963" s="17">
        <f ca="1">IFERROR(__xludf.DUMMYFUNCTION("""COMPUTED_VALUE"""),0.596129981379105)</f>
        <v>0.596129981379105</v>
      </c>
      <c r="AH963" s="17">
        <f ca="1">IFERROR(__xludf.DUMMYFUNCTION("""COMPUTED_VALUE"""),0.610276437628802)</f>
        <v>0.61027643762880202</v>
      </c>
      <c r="AI963" s="17">
        <f ca="1">IFERROR(__xludf.DUMMYFUNCTION("""COMPUTED_VALUE"""),0.612051999144292)</f>
        <v>0.61205199914429198</v>
      </c>
      <c r="AJ963" s="17">
        <f ca="1">IFERROR(__xludf.DUMMYFUNCTION("""COMPUTED_VALUE"""),0.535764470329571)</f>
        <v>0.53576447032957097</v>
      </c>
    </row>
    <row r="964" spans="2:36" ht="15.75" customHeight="1" x14ac:dyDescent="0.45">
      <c r="B964" s="10" t="str">
        <f ca="1">IFERROR(__xludf.DUMMYFUNCTION("""COMPUTED_VALUE"""),"Wine")</f>
        <v>Wine</v>
      </c>
      <c r="C964" s="10" t="str">
        <f ca="1">IFERROR(__xludf.DUMMYFUNCTION("""COMPUTED_VALUE"""),"aligned_series")</f>
        <v>aligned_series</v>
      </c>
      <c r="D964" s="10">
        <f ca="1">IFERROR(__xludf.DUMMYFUNCTION("""COMPUTED_VALUE"""),0.4)</f>
        <v>0.4</v>
      </c>
      <c r="E964" s="17">
        <f ca="1">IFERROR(__xludf.DUMMYFUNCTION("""COMPUTED_VALUE"""),0.618953499787368)</f>
        <v>0.61895349978736802</v>
      </c>
      <c r="F964" s="17">
        <f ca="1">IFERROR(__xludf.DUMMYFUNCTION("""COMPUTED_VALUE"""),0.0676605825119573)</f>
        <v>6.7660582511957307E-2</v>
      </c>
      <c r="G964" s="17">
        <f ca="1">IFERROR(__xludf.DUMMYFUNCTION("""COMPUTED_VALUE"""),0.288762897463385)</f>
        <v>0.28876289746338502</v>
      </c>
      <c r="H964" s="17">
        <f ca="1">IFERROR(__xludf.DUMMYFUNCTION("""COMPUTED_VALUE"""),0.0648634625318981)</f>
        <v>6.4863462531898106E-2</v>
      </c>
      <c r="I964" s="17">
        <f ca="1">IFERROR(__xludf.DUMMYFUNCTION("""COMPUTED_VALUE"""),0.402421802188783)</f>
        <v>0.40242180218878298</v>
      </c>
      <c r="J964" s="17">
        <f ca="1">IFERROR(__xludf.DUMMYFUNCTION("""COMPUTED_VALUE"""),0.596809837451771)</f>
        <v>0.59680983745177096</v>
      </c>
      <c r="K964" s="17" t="str">
        <f ca="1">IFERROR(__xludf.DUMMYFUNCTION("""COMPUTED_VALUE"""),"nan")</f>
        <v>nan</v>
      </c>
      <c r="L964" s="17">
        <f ca="1">IFERROR(__xludf.DUMMYFUNCTION("""COMPUTED_VALUE"""),0.0643607686653253)</f>
        <v>6.4360768665325294E-2</v>
      </c>
      <c r="M964" s="17">
        <f ca="1">IFERROR(__xludf.DUMMYFUNCTION("""COMPUTED_VALUE"""),0.418087558254462)</f>
        <v>0.41808755825446198</v>
      </c>
      <c r="N964" s="17">
        <f ca="1">IFERROR(__xludf.DUMMYFUNCTION("""COMPUTED_VALUE"""),0.0742653111492992)</f>
        <v>7.4265311149299199E-2</v>
      </c>
      <c r="O964" s="17">
        <f ca="1">IFERROR(__xludf.DUMMYFUNCTION("""COMPUTED_VALUE"""),0.097281035543037)</f>
        <v>9.7281035543037006E-2</v>
      </c>
      <c r="P964" s="17">
        <f ca="1">IFERROR(__xludf.DUMMYFUNCTION("""COMPUTED_VALUE"""),0.659858598147125)</f>
        <v>0.659858598147125</v>
      </c>
      <c r="Q964" s="17">
        <f ca="1">IFERROR(__xludf.DUMMYFUNCTION("""COMPUTED_VALUE"""),0.0679985593386887)</f>
        <v>6.7998559338688702E-2</v>
      </c>
      <c r="R964" s="17">
        <f ca="1">IFERROR(__xludf.DUMMYFUNCTION("""COMPUTED_VALUE"""),0.62949407756126)</f>
        <v>0.62949407756125997</v>
      </c>
      <c r="S964" s="17">
        <f ca="1">IFERROR(__xludf.DUMMYFUNCTION("""COMPUTED_VALUE"""),0.259678163444187)</f>
        <v>0.25967816344418698</v>
      </c>
      <c r="T964" s="17">
        <f ca="1">IFERROR(__xludf.DUMMYFUNCTION("""COMPUTED_VALUE"""),0.215468407754639)</f>
        <v>0.21546840775463899</v>
      </c>
      <c r="U964" s="17">
        <f ca="1">IFERROR(__xludf.DUMMYFUNCTION("""COMPUTED_VALUE"""),0.0910414270704783)</f>
        <v>9.1041427070478298E-2</v>
      </c>
      <c r="V964" s="17">
        <f ca="1">IFERROR(__xludf.DUMMYFUNCTION("""COMPUTED_VALUE"""),0.189272636056273)</f>
        <v>0.18927263605627301</v>
      </c>
      <c r="W964" s="17">
        <f ca="1">IFERROR(__xludf.DUMMYFUNCTION("""COMPUTED_VALUE"""),0.676282724364293)</f>
        <v>0.67628272436429304</v>
      </c>
      <c r="X964" s="17">
        <f ca="1">IFERROR(__xludf.DUMMYFUNCTION("""COMPUTED_VALUE"""),0.240058689330509)</f>
        <v>0.240058689330509</v>
      </c>
      <c r="Y964" s="17">
        <f ca="1">IFERROR(__xludf.DUMMYFUNCTION("""COMPUTED_VALUE"""),0.195738537217338)</f>
        <v>0.195738537217338</v>
      </c>
      <c r="Z964" s="17">
        <f ca="1">IFERROR(__xludf.DUMMYFUNCTION("""COMPUTED_VALUE"""),0.169310888986694)</f>
        <v>0.169310888986694</v>
      </c>
      <c r="AA964" s="17">
        <f ca="1">IFERROR(__xludf.DUMMYFUNCTION("""COMPUTED_VALUE"""),0.0817848262297242)</f>
        <v>8.1784826229724203E-2</v>
      </c>
      <c r="AB964" s="17">
        <f ca="1">IFERROR(__xludf.DUMMYFUNCTION("""COMPUTED_VALUE"""),1.98490214659717)</f>
        <v>1.9849021465971699</v>
      </c>
      <c r="AC964" s="17">
        <f ca="1">IFERROR(__xludf.DUMMYFUNCTION("""COMPUTED_VALUE"""),0.641717542371472)</f>
        <v>0.64171754237147205</v>
      </c>
      <c r="AD964" s="17">
        <f ca="1">IFERROR(__xludf.DUMMYFUNCTION("""COMPUTED_VALUE"""),0.18547096852024)</f>
        <v>0.18547096852024</v>
      </c>
      <c r="AE964" s="17">
        <f ca="1">IFERROR(__xludf.DUMMYFUNCTION("""COMPUTED_VALUE"""),0.540548966922541)</f>
        <v>0.54054896692254095</v>
      </c>
      <c r="AF964" s="17">
        <f ca="1">IFERROR(__xludf.DUMMYFUNCTION("""COMPUTED_VALUE"""),0.0831034218942788)</f>
        <v>8.3103421894278801E-2</v>
      </c>
      <c r="AG964" s="17">
        <f ca="1">IFERROR(__xludf.DUMMYFUNCTION("""COMPUTED_VALUE"""),0.610890457852563)</f>
        <v>0.61089045785256302</v>
      </c>
      <c r="AH964" s="17">
        <f ca="1">IFERROR(__xludf.DUMMYFUNCTION("""COMPUTED_VALUE"""),0.603764400953085)</f>
        <v>0.60376440095308503</v>
      </c>
      <c r="AI964" s="17">
        <f ca="1">IFERROR(__xludf.DUMMYFUNCTION("""COMPUTED_VALUE"""),0.605411695711502)</f>
        <v>0.605411695711502</v>
      </c>
      <c r="AJ964" s="17">
        <f ca="1">IFERROR(__xludf.DUMMYFUNCTION("""COMPUTED_VALUE"""),0.530722179473732)</f>
        <v>0.53072217947373201</v>
      </c>
    </row>
    <row r="965" spans="2:36" ht="15.75" customHeight="1" x14ac:dyDescent="0.45">
      <c r="B965" s="10" t="str">
        <f ca="1">IFERROR(__xludf.DUMMYFUNCTION("""COMPUTED_VALUE"""),"Wine")</f>
        <v>Wine</v>
      </c>
      <c r="C965" s="10" t="str">
        <f ca="1">IFERROR(__xludf.DUMMYFUNCTION("""COMPUTED_VALUE"""),"aligned_series")</f>
        <v>aligned_series</v>
      </c>
      <c r="D965" s="10">
        <f ca="1">IFERROR(__xludf.DUMMYFUNCTION("""COMPUTED_VALUE"""),0.6)</f>
        <v>0.6</v>
      </c>
      <c r="E965" s="17">
        <f ca="1">IFERROR(__xludf.DUMMYFUNCTION("""COMPUTED_VALUE"""),0.625980310095168)</f>
        <v>0.62598031009516797</v>
      </c>
      <c r="F965" s="17">
        <f ca="1">IFERROR(__xludf.DUMMYFUNCTION("""COMPUTED_VALUE"""),0.0633758577812173)</f>
        <v>6.3375857781217307E-2</v>
      </c>
      <c r="G965" s="17">
        <f ca="1">IFERROR(__xludf.DUMMYFUNCTION("""COMPUTED_VALUE"""),0.373107183920382)</f>
        <v>0.373107183920382</v>
      </c>
      <c r="H965" s="17">
        <f ca="1">IFERROR(__xludf.DUMMYFUNCTION("""COMPUTED_VALUE"""),0.0572582846732863)</f>
        <v>5.7258284673286301E-2</v>
      </c>
      <c r="I965" s="17">
        <f ca="1">IFERROR(__xludf.DUMMYFUNCTION("""COMPUTED_VALUE"""),0.381860662083518)</f>
        <v>0.38186066208351799</v>
      </c>
      <c r="J965" s="17">
        <f ca="1">IFERROR(__xludf.DUMMYFUNCTION("""COMPUTED_VALUE"""),0.602863235275108)</f>
        <v>0.60286323527510799</v>
      </c>
      <c r="K965" s="17" t="str">
        <f ca="1">IFERROR(__xludf.DUMMYFUNCTION("""COMPUTED_VALUE"""),"nan")</f>
        <v>nan</v>
      </c>
      <c r="L965" s="17">
        <f ca="1">IFERROR(__xludf.DUMMYFUNCTION("""COMPUTED_VALUE"""),0.0552747345764425)</f>
        <v>5.5274734576442497E-2</v>
      </c>
      <c r="M965" s="17">
        <f ca="1">IFERROR(__xludf.DUMMYFUNCTION("""COMPUTED_VALUE"""),0.471209212949567)</f>
        <v>0.47120921294956702</v>
      </c>
      <c r="N965" s="17">
        <f ca="1">IFERROR(__xludf.DUMMYFUNCTION("""COMPUTED_VALUE"""),0.0639023907735087)</f>
        <v>6.3902390773508705E-2</v>
      </c>
      <c r="O965" s="17">
        <f ca="1">IFERROR(__xludf.DUMMYFUNCTION("""COMPUTED_VALUE"""),0.250002997150358)</f>
        <v>0.25000299715035801</v>
      </c>
      <c r="P965" s="17">
        <f ca="1">IFERROR(__xludf.DUMMYFUNCTION("""COMPUTED_VALUE"""),0.636432760360852)</f>
        <v>0.63643276036085195</v>
      </c>
      <c r="Q965" s="17">
        <f ca="1">IFERROR(__xludf.DUMMYFUNCTION("""COMPUTED_VALUE"""),0.532875655938782)</f>
        <v>0.53287565593878194</v>
      </c>
      <c r="R965" s="17">
        <f ca="1">IFERROR(__xludf.DUMMYFUNCTION("""COMPUTED_VALUE"""),0.624583741804311)</f>
        <v>0.62458374180431098</v>
      </c>
      <c r="S965" s="17">
        <f ca="1">IFERROR(__xludf.DUMMYFUNCTION("""COMPUTED_VALUE"""),0.378392904899955)</f>
        <v>0.37839290489995497</v>
      </c>
      <c r="T965" s="17">
        <f ca="1">IFERROR(__xludf.DUMMYFUNCTION("""COMPUTED_VALUE"""),0.260592738251374)</f>
        <v>0.26059273825137402</v>
      </c>
      <c r="U965" s="17">
        <f ca="1">IFERROR(__xludf.DUMMYFUNCTION("""COMPUTED_VALUE"""),0.136653223195275)</f>
        <v>0.13665322319527501</v>
      </c>
      <c r="V965" s="17">
        <f ca="1">IFERROR(__xludf.DUMMYFUNCTION("""COMPUTED_VALUE"""),0.297481533514734)</f>
        <v>0.297481533514734</v>
      </c>
      <c r="W965" s="17">
        <f ca="1">IFERROR(__xludf.DUMMYFUNCTION("""COMPUTED_VALUE"""),0.642428813509533)</f>
        <v>0.64242881350953296</v>
      </c>
      <c r="X965" s="17">
        <f ca="1">IFERROR(__xludf.DUMMYFUNCTION("""COMPUTED_VALUE"""),0.221632435306893)</f>
        <v>0.221632435306893</v>
      </c>
      <c r="Y965" s="17">
        <f ca="1">IFERROR(__xludf.DUMMYFUNCTION("""COMPUTED_VALUE"""),0.310123789087361)</f>
        <v>0.31012378908736099</v>
      </c>
      <c r="Z965" s="17">
        <f ca="1">IFERROR(__xludf.DUMMYFUNCTION("""COMPUTED_VALUE"""),0.21703246553272)</f>
        <v>0.21703246553271999</v>
      </c>
      <c r="AA965" s="17">
        <f ca="1">IFERROR(__xludf.DUMMYFUNCTION("""COMPUTED_VALUE"""),0.133736428781671)</f>
        <v>0.133736428781671</v>
      </c>
      <c r="AB965" s="17">
        <f ca="1">IFERROR(__xludf.DUMMYFUNCTION("""COMPUTED_VALUE"""),2.39303548530708)</f>
        <v>2.3930354853070801</v>
      </c>
      <c r="AC965" s="17">
        <f ca="1">IFERROR(__xludf.DUMMYFUNCTION("""COMPUTED_VALUE"""),0.640514402636753)</f>
        <v>0.64051440263675297</v>
      </c>
      <c r="AD965" s="17">
        <f ca="1">IFERROR(__xludf.DUMMYFUNCTION("""COMPUTED_VALUE"""),0.330108319112243)</f>
        <v>0.33010831911224298</v>
      </c>
      <c r="AE965" s="17">
        <f ca="1">IFERROR(__xludf.DUMMYFUNCTION("""COMPUTED_VALUE"""),0.54470953695219)</f>
        <v>0.54470953695219004</v>
      </c>
      <c r="AF965" s="17">
        <f ca="1">IFERROR(__xludf.DUMMYFUNCTION("""COMPUTED_VALUE"""),0.0845448803172091)</f>
        <v>8.4544880317209095E-2</v>
      </c>
      <c r="AG965" s="17">
        <f ca="1">IFERROR(__xludf.DUMMYFUNCTION("""COMPUTED_VALUE"""),0.602842180227334)</f>
        <v>0.60284218022733405</v>
      </c>
      <c r="AH965" s="17">
        <f ca="1">IFERROR(__xludf.DUMMYFUNCTION("""COMPUTED_VALUE"""),0.603049020939906)</f>
        <v>0.60304902093990598</v>
      </c>
      <c r="AI965" s="17">
        <f ca="1">IFERROR(__xludf.DUMMYFUNCTION("""COMPUTED_VALUE"""),0.604721440940749)</f>
        <v>0.60472144094074898</v>
      </c>
      <c r="AJ965" s="17">
        <f ca="1">IFERROR(__xludf.DUMMYFUNCTION("""COMPUTED_VALUE"""),0.553825827192176)</f>
        <v>0.55382582719217599</v>
      </c>
    </row>
    <row r="966" spans="2:36" ht="15.75" customHeight="1" x14ac:dyDescent="0.45">
      <c r="B966" s="10" t="str">
        <f ca="1">IFERROR(__xludf.DUMMYFUNCTION("""COMPUTED_VALUE"""),"Wine")</f>
        <v>Wine</v>
      </c>
      <c r="C966" s="10" t="str">
        <f ca="1">IFERROR(__xludf.DUMMYFUNCTION("""COMPUTED_VALUE"""),"aligned_series")</f>
        <v>aligned_series</v>
      </c>
      <c r="D966" s="10">
        <f ca="1">IFERROR(__xludf.DUMMYFUNCTION("""COMPUTED_VALUE"""),0.8)</f>
        <v>0.8</v>
      </c>
      <c r="E966" s="17">
        <f ca="1">IFERROR(__xludf.DUMMYFUNCTION("""COMPUTED_VALUE"""),0.631173118175057)</f>
        <v>0.63117311817505695</v>
      </c>
      <c r="F966" s="17">
        <f ca="1">IFERROR(__xludf.DUMMYFUNCTION("""COMPUTED_VALUE"""),0.0749249875245514)</f>
        <v>7.4924987524551401E-2</v>
      </c>
      <c r="G966" s="17">
        <f ca="1">IFERROR(__xludf.DUMMYFUNCTION("""COMPUTED_VALUE"""),0.473965535787961)</f>
        <v>0.47396553578796102</v>
      </c>
      <c r="H966" s="17">
        <f ca="1">IFERROR(__xludf.DUMMYFUNCTION("""COMPUTED_VALUE"""),0.0543560937898812)</f>
        <v>5.4356093789881203E-2</v>
      </c>
      <c r="I966" s="17">
        <f ca="1">IFERROR(__xludf.DUMMYFUNCTION("""COMPUTED_VALUE"""),0.347585179433429)</f>
        <v>0.34758517943342898</v>
      </c>
      <c r="J966" s="17">
        <f ca="1">IFERROR(__xludf.DUMMYFUNCTION("""COMPUTED_VALUE"""),0.601382122373723)</f>
        <v>0.60138212237372302</v>
      </c>
      <c r="K966" s="17" t="str">
        <f ca="1">IFERROR(__xludf.DUMMYFUNCTION("""COMPUTED_VALUE"""),"nan")</f>
        <v>nan</v>
      </c>
      <c r="L966" s="17">
        <f ca="1">IFERROR(__xludf.DUMMYFUNCTION("""COMPUTED_VALUE"""),0.0556322581946187)</f>
        <v>5.56322581946187E-2</v>
      </c>
      <c r="M966" s="17">
        <f ca="1">IFERROR(__xludf.DUMMYFUNCTION("""COMPUTED_VALUE"""),0.536816604667607)</f>
        <v>0.53681660466760694</v>
      </c>
      <c r="N966" s="17">
        <f ca="1">IFERROR(__xludf.DUMMYFUNCTION("""COMPUTED_VALUE"""),0.0644446920601849)</f>
        <v>6.4444692060184897E-2</v>
      </c>
      <c r="O966" s="17">
        <f ca="1">IFERROR(__xludf.DUMMYFUNCTION("""COMPUTED_VALUE"""),0.378040889789739)</f>
        <v>0.37804088978973899</v>
      </c>
      <c r="P966" s="17">
        <f ca="1">IFERROR(__xludf.DUMMYFUNCTION("""COMPUTED_VALUE"""),0.621291575617046)</f>
        <v>0.62129157561704595</v>
      </c>
      <c r="Q966" s="17">
        <f ca="1">IFERROR(__xludf.DUMMYFUNCTION("""COMPUTED_VALUE"""),0.761639472123566)</f>
        <v>0.76163947212356597</v>
      </c>
      <c r="R966" s="17">
        <f ca="1">IFERROR(__xludf.DUMMYFUNCTION("""COMPUTED_VALUE"""),0.63941896809183)</f>
        <v>0.63941896809182996</v>
      </c>
      <c r="S966" s="17">
        <f ca="1">IFERROR(__xludf.DUMMYFUNCTION("""COMPUTED_VALUE"""),0.486176171824846)</f>
        <v>0.48617617182484602</v>
      </c>
      <c r="T966" s="17">
        <f ca="1">IFERROR(__xludf.DUMMYFUNCTION("""COMPUTED_VALUE"""),0.484778418865845)</f>
        <v>0.484778418865845</v>
      </c>
      <c r="U966" s="17">
        <f ca="1">IFERROR(__xludf.DUMMYFUNCTION("""COMPUTED_VALUE"""),0.237233438128776)</f>
        <v>0.23723343812877601</v>
      </c>
      <c r="V966" s="17">
        <f ca="1">IFERROR(__xludf.DUMMYFUNCTION("""COMPUTED_VALUE"""),0.398205400401691)</f>
        <v>0.398205400401691</v>
      </c>
      <c r="W966" s="17">
        <f ca="1">IFERROR(__xludf.DUMMYFUNCTION("""COMPUTED_VALUE"""),0.771777462474856)</f>
        <v>0.77177746247485601</v>
      </c>
      <c r="X966" s="17">
        <f ca="1">IFERROR(__xludf.DUMMYFUNCTION("""COMPUTED_VALUE"""),0.213547230080143)</f>
        <v>0.21354723008014301</v>
      </c>
      <c r="Y966" s="17">
        <f ca="1">IFERROR(__xludf.DUMMYFUNCTION("""COMPUTED_VALUE"""),0.408991732462411)</f>
        <v>0.408991732462411</v>
      </c>
      <c r="Z966" s="17">
        <f ca="1">IFERROR(__xludf.DUMMYFUNCTION("""COMPUTED_VALUE"""),0.287377464486851)</f>
        <v>0.28737746448685098</v>
      </c>
      <c r="AA966" s="17">
        <f ca="1">IFERROR(__xludf.DUMMYFUNCTION("""COMPUTED_VALUE"""),0.0252817986348302)</f>
        <v>2.52817986348302E-2</v>
      </c>
      <c r="AB966" s="17">
        <f ca="1">IFERROR(__xludf.DUMMYFUNCTION("""COMPUTED_VALUE"""),2.36330536308001)</f>
        <v>2.36330536308001</v>
      </c>
      <c r="AC966" s="17">
        <f ca="1">IFERROR(__xludf.DUMMYFUNCTION("""COMPUTED_VALUE"""),0.700752884064316)</f>
        <v>0.70075288406431602</v>
      </c>
      <c r="AD966" s="17">
        <f ca="1">IFERROR(__xludf.DUMMYFUNCTION("""COMPUTED_VALUE"""),0.484333977340492)</f>
        <v>0.48433397734049199</v>
      </c>
      <c r="AE966" s="17">
        <f ca="1">IFERROR(__xludf.DUMMYFUNCTION("""COMPUTED_VALUE"""),0.549921226629246)</f>
        <v>0.54992122662924603</v>
      </c>
      <c r="AF966" s="17">
        <f ca="1">IFERROR(__xludf.DUMMYFUNCTION("""COMPUTED_VALUE"""),0.54217837229542)</f>
        <v>0.54217837229541999</v>
      </c>
      <c r="AG966" s="17">
        <f ca="1">IFERROR(__xludf.DUMMYFUNCTION("""COMPUTED_VALUE"""),0.606368004042559)</f>
        <v>0.60636800404255897</v>
      </c>
      <c r="AH966" s="17">
        <f ca="1">IFERROR(__xludf.DUMMYFUNCTION("""COMPUTED_VALUE"""),0.599827834945084)</f>
        <v>0.59982783494508396</v>
      </c>
      <c r="AI966" s="17">
        <f ca="1">IFERROR(__xludf.DUMMYFUNCTION("""COMPUTED_VALUE"""),0.601606325921944)</f>
        <v>0.60160632592194396</v>
      </c>
      <c r="AJ966" s="17">
        <f ca="1">IFERROR(__xludf.DUMMYFUNCTION("""COMPUTED_VALUE"""),0.569385637603344)</f>
        <v>0.56938563760334404</v>
      </c>
    </row>
    <row r="967" spans="2:36" ht="15.75" customHeight="1" x14ac:dyDescent="0.45">
      <c r="B967" s="10" t="str">
        <f ca="1">IFERROR(__xludf.DUMMYFUNCTION("""COMPUTED_VALUE"""),"Wine")</f>
        <v>Wine</v>
      </c>
      <c r="C967" s="10" t="str">
        <f ca="1">IFERROR(__xludf.DUMMYFUNCTION("""COMPUTED_VALUE"""),"aligned_timestamps")</f>
        <v>aligned_timestamps</v>
      </c>
      <c r="D967" s="10">
        <f ca="1">IFERROR(__xludf.DUMMYFUNCTION("""COMPUTED_VALUE"""),0.1)</f>
        <v>0.1</v>
      </c>
      <c r="E967" s="17">
        <f ca="1">IFERROR(__xludf.DUMMYFUNCTION("""COMPUTED_VALUE"""),0.248984104678761)</f>
        <v>0.248984104678761</v>
      </c>
      <c r="F967" s="17">
        <f ca="1">IFERROR(__xludf.DUMMYFUNCTION("""COMPUTED_VALUE"""),0.0340891134517034)</f>
        <v>3.4089113451703401E-2</v>
      </c>
      <c r="G967" s="17">
        <f ca="1">IFERROR(__xludf.DUMMYFUNCTION("""COMPUTED_VALUE"""),0.0159190528751119)</f>
        <v>1.5919052875111899E-2</v>
      </c>
      <c r="H967" s="17">
        <f ca="1">IFERROR(__xludf.DUMMYFUNCTION("""COMPUTED_VALUE"""),0.0341430872219997)</f>
        <v>3.4143087221999699E-2</v>
      </c>
      <c r="I967" s="17">
        <f ca="1">IFERROR(__xludf.DUMMYFUNCTION("""COMPUTED_VALUE"""),0.162904415001822)</f>
        <v>0.16290441500182201</v>
      </c>
      <c r="J967" s="17">
        <f ca="1">IFERROR(__xludf.DUMMYFUNCTION("""COMPUTED_VALUE"""),0.457555386755864)</f>
        <v>0.45755538675586399</v>
      </c>
      <c r="K967" s="17" t="str">
        <f ca="1">IFERROR(__xludf.DUMMYFUNCTION("""COMPUTED_VALUE"""),"nan")</f>
        <v>nan</v>
      </c>
      <c r="L967" s="17">
        <f ca="1">IFERROR(__xludf.DUMMYFUNCTION("""COMPUTED_VALUE"""),0.0344322512145003)</f>
        <v>3.4432251214500303E-2</v>
      </c>
      <c r="M967" s="17">
        <f ca="1">IFERROR(__xludf.DUMMYFUNCTION("""COMPUTED_VALUE"""),0.374024867084811)</f>
        <v>0.37402486708481097</v>
      </c>
      <c r="N967" s="17">
        <f ca="1">IFERROR(__xludf.DUMMYFUNCTION("""COMPUTED_VALUE"""),0.169383952624908)</f>
        <v>0.16938395262490799</v>
      </c>
      <c r="O967" s="17">
        <f ca="1">IFERROR(__xludf.DUMMYFUNCTION("""COMPUTED_VALUE"""),0.0107648756605259)</f>
        <v>1.07648756605259E-2</v>
      </c>
      <c r="P967" s="17">
        <f ca="1">IFERROR(__xludf.DUMMYFUNCTION("""COMPUTED_VALUE"""),0.689996534695785)</f>
        <v>0.68999653469578504</v>
      </c>
      <c r="Q967" s="17">
        <f ca="1">IFERROR(__xludf.DUMMYFUNCTION("""COMPUTED_VALUE"""),0.0394095555336313)</f>
        <v>3.9409555533631298E-2</v>
      </c>
      <c r="R967" s="17">
        <f ca="1">IFERROR(__xludf.DUMMYFUNCTION("""COMPUTED_VALUE"""),0.269025436099897)</f>
        <v>0.26902543609989699</v>
      </c>
      <c r="S967" s="17">
        <f ca="1">IFERROR(__xludf.DUMMYFUNCTION("""COMPUTED_VALUE"""),0.0875196773341545)</f>
        <v>8.75196773341545E-2</v>
      </c>
      <c r="T967" s="17">
        <f ca="1">IFERROR(__xludf.DUMMYFUNCTION("""COMPUTED_VALUE"""),0.152335409346328)</f>
        <v>0.152335409346328</v>
      </c>
      <c r="U967" s="17">
        <f ca="1">IFERROR(__xludf.DUMMYFUNCTION("""COMPUTED_VALUE"""),0.0420621938164578)</f>
        <v>4.2062193816457802E-2</v>
      </c>
      <c r="V967" s="17">
        <f ca="1">IFERROR(__xludf.DUMMYFUNCTION("""COMPUTED_VALUE"""),0.0595698028921384)</f>
        <v>5.9569802892138403E-2</v>
      </c>
      <c r="W967" s="17">
        <f ca="1">IFERROR(__xludf.DUMMYFUNCTION("""COMPUTED_VALUE"""),0.630124560618011)</f>
        <v>0.63012456061801103</v>
      </c>
      <c r="X967" s="17">
        <f ca="1">IFERROR(__xludf.DUMMYFUNCTION("""COMPUTED_VALUE"""),0.180232304511587)</f>
        <v>0.180232304511587</v>
      </c>
      <c r="Y967" s="17">
        <f ca="1">IFERROR(__xludf.DUMMYFUNCTION("""COMPUTED_VALUE"""),0.0533077463531601)</f>
        <v>5.3307746353160101E-2</v>
      </c>
      <c r="Z967" s="17">
        <f ca="1">IFERROR(__xludf.DUMMYFUNCTION("""COMPUTED_VALUE"""),0.0535725226627299)</f>
        <v>5.3572522662729903E-2</v>
      </c>
      <c r="AA967" s="17">
        <f ca="1">IFERROR(__xludf.DUMMYFUNCTION("""COMPUTED_VALUE"""),0.00298586552960137)</f>
        <v>2.98586552960137E-3</v>
      </c>
      <c r="AB967" s="17">
        <f ca="1">IFERROR(__xludf.DUMMYFUNCTION("""COMPUTED_VALUE"""),0.198909303526699)</f>
        <v>0.198909303526699</v>
      </c>
      <c r="AC967" s="17">
        <f ca="1">IFERROR(__xludf.DUMMYFUNCTION("""COMPUTED_VALUE"""),0.529680086247481)</f>
        <v>0.52968008624748097</v>
      </c>
      <c r="AD967" s="17">
        <f ca="1">IFERROR(__xludf.DUMMYFUNCTION("""COMPUTED_VALUE"""),0.0825469588148499)</f>
        <v>8.2546958814849899E-2</v>
      </c>
      <c r="AE967" s="17">
        <f ca="1">IFERROR(__xludf.DUMMYFUNCTION("""COMPUTED_VALUE"""),0.417189671946273)</f>
        <v>0.41718967194627299</v>
      </c>
      <c r="AF967" s="17">
        <f ca="1">IFERROR(__xludf.DUMMYFUNCTION("""COMPUTED_VALUE"""),0.0301425616684404)</f>
        <v>3.0142561668440399E-2</v>
      </c>
      <c r="AG967" s="17">
        <f ca="1">IFERROR(__xludf.DUMMYFUNCTION("""COMPUTED_VALUE"""),0.686254418351806)</f>
        <v>0.68625441835180601</v>
      </c>
      <c r="AH967" s="17">
        <f ca="1">IFERROR(__xludf.DUMMYFUNCTION("""COMPUTED_VALUE"""),0.764825481803431)</f>
        <v>0.76482548180343102</v>
      </c>
      <c r="AI967" s="17">
        <f ca="1">IFERROR(__xludf.DUMMYFUNCTION("""COMPUTED_VALUE"""),0.748169015499476)</f>
        <v>0.74816901549947601</v>
      </c>
      <c r="AJ967" s="17">
        <f ca="1">IFERROR(__xludf.DUMMYFUNCTION("""COMPUTED_VALUE"""),0.609590609717552)</f>
        <v>0.60959060971755197</v>
      </c>
    </row>
    <row r="968" spans="2:36" ht="15.75" customHeight="1" x14ac:dyDescent="0.45">
      <c r="B968" s="10" t="str">
        <f ca="1">IFERROR(__xludf.DUMMYFUNCTION("""COMPUTED_VALUE"""),"Wine")</f>
        <v>Wine</v>
      </c>
      <c r="C968" s="10" t="str">
        <f ca="1">IFERROR(__xludf.DUMMYFUNCTION("""COMPUTED_VALUE"""),"aligned_timestamps")</f>
        <v>aligned_timestamps</v>
      </c>
      <c r="D968" s="10">
        <f ca="1">IFERROR(__xludf.DUMMYFUNCTION("""COMPUTED_VALUE"""),0.2)</f>
        <v>0.2</v>
      </c>
      <c r="E968" s="17">
        <f ca="1">IFERROR(__xludf.DUMMYFUNCTION("""COMPUTED_VALUE"""),0.618938219375268)</f>
        <v>0.61893821937526805</v>
      </c>
      <c r="F968" s="17">
        <f ca="1">IFERROR(__xludf.DUMMYFUNCTION("""COMPUTED_VALUE"""),0.0889092842001646)</f>
        <v>8.8909284200164598E-2</v>
      </c>
      <c r="G968" s="17">
        <f ca="1">IFERROR(__xludf.DUMMYFUNCTION("""COMPUTED_VALUE"""),0.27746467819868)</f>
        <v>0.27746467819867998</v>
      </c>
      <c r="H968" s="17">
        <f ca="1">IFERROR(__xludf.DUMMYFUNCTION("""COMPUTED_VALUE"""),0.0867151838500633)</f>
        <v>8.6715183850063299E-2</v>
      </c>
      <c r="I968" s="17">
        <f ca="1">IFERROR(__xludf.DUMMYFUNCTION("""COMPUTED_VALUE"""),0.379398161503812)</f>
        <v>0.379398161503812</v>
      </c>
      <c r="J968" s="17">
        <f ca="1">IFERROR(__xludf.DUMMYFUNCTION("""COMPUTED_VALUE"""),0.599993825850218)</f>
        <v>0.59999382585021799</v>
      </c>
      <c r="K968" s="17" t="str">
        <f ca="1">IFERROR(__xludf.DUMMYFUNCTION("""COMPUTED_VALUE"""),"nan")</f>
        <v>nan</v>
      </c>
      <c r="L968" s="17">
        <f ca="1">IFERROR(__xludf.DUMMYFUNCTION("""COMPUTED_VALUE"""),0.0859720538373421)</f>
        <v>8.5972053837342105E-2</v>
      </c>
      <c r="M968" s="17">
        <f ca="1">IFERROR(__xludf.DUMMYFUNCTION("""COMPUTED_VALUE"""),0.555272072252596)</f>
        <v>0.55527207225259601</v>
      </c>
      <c r="N968" s="17">
        <f ca="1">IFERROR(__xludf.DUMMYFUNCTION("""COMPUTED_VALUE"""),0.101883204974229)</f>
        <v>0.10188320497422899</v>
      </c>
      <c r="O968" s="17">
        <f ca="1">IFERROR(__xludf.DUMMYFUNCTION("""COMPUTED_VALUE"""),0.0795713934126925)</f>
        <v>7.9571393412692495E-2</v>
      </c>
      <c r="P968" s="17">
        <f ca="1">IFERROR(__xludf.DUMMYFUNCTION("""COMPUTED_VALUE"""),0.727116134867115)</f>
        <v>0.72711613486711502</v>
      </c>
      <c r="Q968" s="17">
        <f ca="1">IFERROR(__xludf.DUMMYFUNCTION("""COMPUTED_VALUE"""),0.0945545735777717)</f>
        <v>9.4554573577771694E-2</v>
      </c>
      <c r="R968" s="17">
        <f ca="1">IFERROR(__xludf.DUMMYFUNCTION("""COMPUTED_VALUE"""),0.666811257044279)</f>
        <v>0.66681125704427902</v>
      </c>
      <c r="S968" s="17">
        <f ca="1">IFERROR(__xludf.DUMMYFUNCTION("""COMPUTED_VALUE"""),0.171448678022517)</f>
        <v>0.17144867802251701</v>
      </c>
      <c r="T968" s="17">
        <f ca="1">IFERROR(__xludf.DUMMYFUNCTION("""COMPUTED_VALUE"""),0.170497994966676)</f>
        <v>0.170497994966676</v>
      </c>
      <c r="U968" s="17">
        <f ca="1">IFERROR(__xludf.DUMMYFUNCTION("""COMPUTED_VALUE"""),0.111509209824309)</f>
        <v>0.11150920982430899</v>
      </c>
      <c r="V968" s="17">
        <f ca="1">IFERROR(__xludf.DUMMYFUNCTION("""COMPUTED_VALUE"""),0.105208864427515)</f>
        <v>0.10520886442751499</v>
      </c>
      <c r="W968" s="17">
        <f ca="1">IFERROR(__xludf.DUMMYFUNCTION("""COMPUTED_VALUE"""),0.600492814851869)</f>
        <v>0.60049281485186901</v>
      </c>
      <c r="X968" s="17">
        <f ca="1">IFERROR(__xludf.DUMMYFUNCTION("""COMPUTED_VALUE"""),0.248938472911937)</f>
        <v>0.24893847291193699</v>
      </c>
      <c r="Y968" s="17">
        <f ca="1">IFERROR(__xludf.DUMMYFUNCTION("""COMPUTED_VALUE"""),0.131248785708542)</f>
        <v>0.13124878570854201</v>
      </c>
      <c r="Z968" s="17">
        <f ca="1">IFERROR(__xludf.DUMMYFUNCTION("""COMPUTED_VALUE"""),0.155297364066125)</f>
        <v>0.15529736406612499</v>
      </c>
      <c r="AA968" s="17">
        <f ca="1">IFERROR(__xludf.DUMMYFUNCTION("""COMPUTED_VALUE"""),0.0723239284923369)</f>
        <v>7.2323928492336903E-2</v>
      </c>
      <c r="AB968" s="17">
        <f ca="1">IFERROR(__xludf.DUMMYFUNCTION("""COMPUTED_VALUE"""),0.1562345937335)</f>
        <v>0.15623459373349999</v>
      </c>
      <c r="AC968" s="17">
        <f ca="1">IFERROR(__xludf.DUMMYFUNCTION("""COMPUTED_VALUE"""),0.619576173122068)</f>
        <v>0.61957617312206803</v>
      </c>
      <c r="AD968" s="17">
        <f ca="1">IFERROR(__xludf.DUMMYFUNCTION("""COMPUTED_VALUE"""),0.147454748679176)</f>
        <v>0.14745474867917599</v>
      </c>
      <c r="AE968" s="17">
        <f ca="1">IFERROR(__xludf.DUMMYFUNCTION("""COMPUTED_VALUE"""),0.535810390286804)</f>
        <v>0.53581039028680399</v>
      </c>
      <c r="AF968" s="17">
        <f ca="1">IFERROR(__xludf.DUMMYFUNCTION("""COMPUTED_VALUE"""),0.110149336034966)</f>
        <v>0.110149336034966</v>
      </c>
      <c r="AG968" s="17">
        <f ca="1">IFERROR(__xludf.DUMMYFUNCTION("""COMPUTED_VALUE"""),0.607813128943447)</f>
        <v>0.60781312894344697</v>
      </c>
      <c r="AH968" s="17">
        <f ca="1">IFERROR(__xludf.DUMMYFUNCTION("""COMPUTED_VALUE"""),0.610101167803792)</f>
        <v>0.61010116780379198</v>
      </c>
      <c r="AI968" s="17">
        <f ca="1">IFERROR(__xludf.DUMMYFUNCTION("""COMPUTED_VALUE"""),0.612051999144292)</f>
        <v>0.61205199914429198</v>
      </c>
      <c r="AJ968" s="17">
        <f ca="1">IFERROR(__xludf.DUMMYFUNCTION("""COMPUTED_VALUE"""),0.530992257299219)</f>
        <v>0.53099225729921895</v>
      </c>
    </row>
    <row r="969" spans="2:36" ht="15.75" customHeight="1" x14ac:dyDescent="0.45">
      <c r="B969" s="10" t="str">
        <f ca="1">IFERROR(__xludf.DUMMYFUNCTION("""COMPUTED_VALUE"""),"Wine")</f>
        <v>Wine</v>
      </c>
      <c r="C969" s="10" t="str">
        <f ca="1">IFERROR(__xludf.DUMMYFUNCTION("""COMPUTED_VALUE"""),"aligned_timestamps")</f>
        <v>aligned_timestamps</v>
      </c>
      <c r="D969" s="10">
        <f ca="1">IFERROR(__xludf.DUMMYFUNCTION("""COMPUTED_VALUE"""),0.4)</f>
        <v>0.4</v>
      </c>
      <c r="E969" s="17">
        <f ca="1">IFERROR(__xludf.DUMMYFUNCTION("""COMPUTED_VALUE"""),0.560834192094558)</f>
        <v>0.56083419209455798</v>
      </c>
      <c r="F969" s="17">
        <f ca="1">IFERROR(__xludf.DUMMYFUNCTION("""COMPUTED_VALUE"""),0.0653576046591419)</f>
        <v>6.5357604659141894E-2</v>
      </c>
      <c r="G969" s="17">
        <f ca="1">IFERROR(__xludf.DUMMYFUNCTION("""COMPUTED_VALUE"""),0.20016718860535)</f>
        <v>0.20016718860534999</v>
      </c>
      <c r="H969" s="17">
        <f ca="1">IFERROR(__xludf.DUMMYFUNCTION("""COMPUTED_VALUE"""),0.0616650598552372)</f>
        <v>6.1665059855237202E-2</v>
      </c>
      <c r="I969" s="17">
        <f ca="1">IFERROR(__xludf.DUMMYFUNCTION("""COMPUTED_VALUE"""),0.369261675951981)</f>
        <v>0.36926167595198101</v>
      </c>
      <c r="J969" s="17">
        <f ca="1">IFERROR(__xludf.DUMMYFUNCTION("""COMPUTED_VALUE"""),0.891561539272032)</f>
        <v>0.89156153927203197</v>
      </c>
      <c r="K969" s="17" t="str">
        <f ca="1">IFERROR(__xludf.DUMMYFUNCTION("""COMPUTED_VALUE"""),"nan")</f>
        <v>nan</v>
      </c>
      <c r="L969" s="17">
        <f ca="1">IFERROR(__xludf.DUMMYFUNCTION("""COMPUTED_VALUE"""),0.0625447773361264)</f>
        <v>6.25447773361264E-2</v>
      </c>
      <c r="M969" s="17">
        <f ca="1">IFERROR(__xludf.DUMMYFUNCTION("""COMPUTED_VALUE"""),0.499747965960849)</f>
        <v>0.49974796596084903</v>
      </c>
      <c r="N969" s="17">
        <f ca="1">IFERROR(__xludf.DUMMYFUNCTION("""COMPUTED_VALUE"""),0.0724562379746441)</f>
        <v>7.2456237974644094E-2</v>
      </c>
      <c r="O969" s="17">
        <f ca="1">IFERROR(__xludf.DUMMYFUNCTION("""COMPUTED_VALUE"""),0.135382444994438)</f>
        <v>0.13538244499443799</v>
      </c>
      <c r="P969" s="17">
        <f ca="1">IFERROR(__xludf.DUMMYFUNCTION("""COMPUTED_VALUE"""),1.08334746206516)</f>
        <v>1.08334746206516</v>
      </c>
      <c r="Q969" s="17">
        <f ca="1">IFERROR(__xludf.DUMMYFUNCTION("""COMPUTED_VALUE"""),0.0670789170635068)</f>
        <v>6.7078917063506799E-2</v>
      </c>
      <c r="R969" s="17">
        <f ca="1">IFERROR(__xludf.DUMMYFUNCTION("""COMPUTED_VALUE"""),0.579719752213229)</f>
        <v>0.57971975221322902</v>
      </c>
      <c r="S969" s="17">
        <f ca="1">IFERROR(__xludf.DUMMYFUNCTION("""COMPUTED_VALUE"""),0.156546895300536)</f>
        <v>0.156546895300536</v>
      </c>
      <c r="T969" s="17">
        <f ca="1">IFERROR(__xludf.DUMMYFUNCTION("""COMPUTED_VALUE"""),0.206950595429166)</f>
        <v>0.206950595429166</v>
      </c>
      <c r="U969" s="17">
        <f ca="1">IFERROR(__xludf.DUMMYFUNCTION("""COMPUTED_VALUE"""),0.0744513247622689)</f>
        <v>7.44513247622689E-2</v>
      </c>
      <c r="V969" s="17">
        <f ca="1">IFERROR(__xludf.DUMMYFUNCTION("""COMPUTED_VALUE"""),0.0892492051072543)</f>
        <v>8.9249205107254301E-2</v>
      </c>
      <c r="W969" s="17">
        <f ca="1">IFERROR(__xludf.DUMMYFUNCTION("""COMPUTED_VALUE"""),0.366181455736912)</f>
        <v>0.36618145573691202</v>
      </c>
      <c r="X969" s="17">
        <f ca="1">IFERROR(__xludf.DUMMYFUNCTION("""COMPUTED_VALUE"""),0.223709655691614)</f>
        <v>0.223709655691614</v>
      </c>
      <c r="Y969" s="17">
        <f ca="1">IFERROR(__xludf.DUMMYFUNCTION("""COMPUTED_VALUE"""),0.0931893233076161)</f>
        <v>9.3189323307616104E-2</v>
      </c>
      <c r="Z969" s="17">
        <f ca="1">IFERROR(__xludf.DUMMYFUNCTION("""COMPUTED_VALUE"""),0.341944931654654)</f>
        <v>0.34194493165465401</v>
      </c>
      <c r="AA969" s="17">
        <f ca="1">IFERROR(__xludf.DUMMYFUNCTION("""COMPUTED_VALUE"""),0.13130190690846)</f>
        <v>0.13130190690846</v>
      </c>
      <c r="AB969" s="17">
        <f ca="1">IFERROR(__xludf.DUMMYFUNCTION("""COMPUTED_VALUE"""),0.384566126639515)</f>
        <v>0.384566126639515</v>
      </c>
      <c r="AC969" s="17">
        <f ca="1">IFERROR(__xludf.DUMMYFUNCTION("""COMPUTED_VALUE"""),0.649655403854336)</f>
        <v>0.64965540385433596</v>
      </c>
      <c r="AD969" s="17">
        <f ca="1">IFERROR(__xludf.DUMMYFUNCTION("""COMPUTED_VALUE"""),0.117545095401674)</f>
        <v>0.117545095401674</v>
      </c>
      <c r="AE969" s="17">
        <f ca="1">IFERROR(__xludf.DUMMYFUNCTION("""COMPUTED_VALUE"""),0.916818944835085)</f>
        <v>0.91681894483508497</v>
      </c>
      <c r="AF969" s="17">
        <f ca="1">IFERROR(__xludf.DUMMYFUNCTION("""COMPUTED_VALUE"""),0.130953997433029)</f>
        <v>0.13095399743302899</v>
      </c>
      <c r="AG969" s="17">
        <f ca="1">IFERROR(__xludf.DUMMYFUNCTION("""COMPUTED_VALUE"""),0.50795528405056)</f>
        <v>0.50795528405056001</v>
      </c>
      <c r="AH969" s="17">
        <f ca="1">IFERROR(__xludf.DUMMYFUNCTION("""COMPUTED_VALUE"""),0.486176479613547)</f>
        <v>0.48617647961354699</v>
      </c>
      <c r="AI969" s="17">
        <f ca="1">IFERROR(__xludf.DUMMYFUNCTION("""COMPUTED_VALUE"""),0.492776508187645)</f>
        <v>0.49277650818764501</v>
      </c>
      <c r="AJ969" s="17">
        <f ca="1">IFERROR(__xludf.DUMMYFUNCTION("""COMPUTED_VALUE"""),0.484719848961249)</f>
        <v>0.48471984896124898</v>
      </c>
    </row>
    <row r="970" spans="2:36" ht="15.75" customHeight="1" x14ac:dyDescent="0.45">
      <c r="B970" s="10" t="str">
        <f ca="1">IFERROR(__xludf.DUMMYFUNCTION("""COMPUTED_VALUE"""),"Wine")</f>
        <v>Wine</v>
      </c>
      <c r="C970" s="10" t="str">
        <f ca="1">IFERROR(__xludf.DUMMYFUNCTION("""COMPUTED_VALUE"""),"aligned_timestamps")</f>
        <v>aligned_timestamps</v>
      </c>
      <c r="D970" s="10">
        <f ca="1">IFERROR(__xludf.DUMMYFUNCTION("""COMPUTED_VALUE"""),0.6)</f>
        <v>0.6</v>
      </c>
      <c r="E970" s="17">
        <f ca="1">IFERROR(__xludf.DUMMYFUNCTION("""COMPUTED_VALUE"""),0.512496962319898)</f>
        <v>0.51249696231989805</v>
      </c>
      <c r="F970" s="17">
        <f ca="1">IFERROR(__xludf.DUMMYFUNCTION("""COMPUTED_VALUE"""),0.0539988078446798)</f>
        <v>5.3998807844679801E-2</v>
      </c>
      <c r="G970" s="17">
        <f ca="1">IFERROR(__xludf.DUMMYFUNCTION("""COMPUTED_VALUE"""),0.173201554614989)</f>
        <v>0.17320155461498901</v>
      </c>
      <c r="H970" s="17">
        <f ca="1">IFERROR(__xludf.DUMMYFUNCTION("""COMPUTED_VALUE"""),0.0512319549378553)</f>
        <v>5.1231954937855297E-2</v>
      </c>
      <c r="I970" s="17">
        <f ca="1">IFERROR(__xludf.DUMMYFUNCTION("""COMPUTED_VALUE"""),0.338496461637967)</f>
        <v>0.33849646163796698</v>
      </c>
      <c r="J970" s="17">
        <f ca="1">IFERROR(__xludf.DUMMYFUNCTION("""COMPUTED_VALUE"""),0.913667655497796)</f>
        <v>0.91366765549779605</v>
      </c>
      <c r="K970" s="17" t="str">
        <f ca="1">IFERROR(__xludf.DUMMYFUNCTION("""COMPUTED_VALUE"""),"nan")</f>
        <v>nan</v>
      </c>
      <c r="L970" s="17">
        <f ca="1">IFERROR(__xludf.DUMMYFUNCTION("""COMPUTED_VALUE"""),0.0530652894223234)</f>
        <v>5.30652894223234E-2</v>
      </c>
      <c r="M970" s="17">
        <f ca="1">IFERROR(__xludf.DUMMYFUNCTION("""COMPUTED_VALUE"""),0.478735352487093)</f>
        <v>0.47873535248709298</v>
      </c>
      <c r="N970" s="17">
        <f ca="1">IFERROR(__xludf.DUMMYFUNCTION("""COMPUTED_VALUE"""),0.0650293755083429)</f>
        <v>6.5029375508342896E-2</v>
      </c>
      <c r="O970" s="17">
        <f ca="1">IFERROR(__xludf.DUMMYFUNCTION("""COMPUTED_VALUE"""),0.224026669316562)</f>
        <v>0.22402666931656201</v>
      </c>
      <c r="P970" s="17">
        <f ca="1">IFERROR(__xludf.DUMMYFUNCTION("""COMPUTED_VALUE"""),1.21835961872574)</f>
        <v>1.2183596187257399</v>
      </c>
      <c r="Q970" s="17">
        <f ca="1">IFERROR(__xludf.DUMMYFUNCTION("""COMPUTED_VALUE"""),0.0561915782514401)</f>
        <v>5.6191578251440097E-2</v>
      </c>
      <c r="R970" s="17">
        <f ca="1">IFERROR(__xludf.DUMMYFUNCTION("""COMPUTED_VALUE"""),0.650699275839773)</f>
        <v>0.65069927583977305</v>
      </c>
      <c r="S970" s="17">
        <f ca="1">IFERROR(__xludf.DUMMYFUNCTION("""COMPUTED_VALUE"""),0.134738080736483)</f>
        <v>0.134738080736483</v>
      </c>
      <c r="T970" s="17">
        <f ca="1">IFERROR(__xludf.DUMMYFUNCTION("""COMPUTED_VALUE"""),0.147827821816202)</f>
        <v>0.14782782181620199</v>
      </c>
      <c r="U970" s="17">
        <f ca="1">IFERROR(__xludf.DUMMYFUNCTION("""COMPUTED_VALUE"""),0.0957591369536314)</f>
        <v>9.5759136953631405E-2</v>
      </c>
      <c r="V970" s="17">
        <f ca="1">IFERROR(__xludf.DUMMYFUNCTION("""COMPUTED_VALUE"""),0.128811625083903)</f>
        <v>0.12881162508390301</v>
      </c>
      <c r="W970" s="17">
        <f ca="1">IFERROR(__xludf.DUMMYFUNCTION("""COMPUTED_VALUE"""),0.294121471607244)</f>
        <v>0.294121471607244</v>
      </c>
      <c r="X970" s="17">
        <f ca="1">IFERROR(__xludf.DUMMYFUNCTION("""COMPUTED_VALUE"""),0.142260561209317)</f>
        <v>0.14226056120931699</v>
      </c>
      <c r="Y970" s="17">
        <f ca="1">IFERROR(__xludf.DUMMYFUNCTION("""COMPUTED_VALUE"""),0.080839214486521)</f>
        <v>8.0839214486520997E-2</v>
      </c>
      <c r="Z970" s="17">
        <f ca="1">IFERROR(__xludf.DUMMYFUNCTION("""COMPUTED_VALUE"""),0.369923280290347)</f>
        <v>0.36992328029034699</v>
      </c>
      <c r="AA970" s="17">
        <f ca="1">IFERROR(__xludf.DUMMYFUNCTION("""COMPUTED_VALUE"""),0.213326515137603)</f>
        <v>0.21332651513760301</v>
      </c>
      <c r="AB970" s="17">
        <f ca="1">IFERROR(__xludf.DUMMYFUNCTION("""COMPUTED_VALUE"""),0.280031172402501)</f>
        <v>0.28003117240250103</v>
      </c>
      <c r="AC970" s="17">
        <f ca="1">IFERROR(__xludf.DUMMYFUNCTION("""COMPUTED_VALUE"""),0.625369754687908)</f>
        <v>0.62536975468790801</v>
      </c>
      <c r="AD970" s="17">
        <f ca="1">IFERROR(__xludf.DUMMYFUNCTION("""COMPUTED_VALUE"""),0.107154225434269)</f>
        <v>0.107154225434269</v>
      </c>
      <c r="AE970" s="17">
        <f ca="1">IFERROR(__xludf.DUMMYFUNCTION("""COMPUTED_VALUE"""),0.902841391623294)</f>
        <v>0.90284139162329402</v>
      </c>
      <c r="AF970" s="17">
        <f ca="1">IFERROR(__xludf.DUMMYFUNCTION("""COMPUTED_VALUE"""),0.277131346248122)</f>
        <v>0.27713134624812202</v>
      </c>
      <c r="AG970" s="17">
        <f ca="1">IFERROR(__xludf.DUMMYFUNCTION("""COMPUTED_VALUE"""),0.606978731874868)</f>
        <v>0.60697873187486795</v>
      </c>
      <c r="AH970" s="17">
        <f ca="1">IFERROR(__xludf.DUMMYFUNCTION("""COMPUTED_VALUE"""),0.519880394849131)</f>
        <v>0.51988039484913096</v>
      </c>
      <c r="AI970" s="17">
        <f ca="1">IFERROR(__xludf.DUMMYFUNCTION("""COMPUTED_VALUE"""),0.522887334858301)</f>
        <v>0.52288733485830097</v>
      </c>
      <c r="AJ970" s="17">
        <f ca="1">IFERROR(__xludf.DUMMYFUNCTION("""COMPUTED_VALUE"""),0.587872693990859)</f>
        <v>0.58787269399085895</v>
      </c>
    </row>
    <row r="971" spans="2:36" ht="15.75" customHeight="1" x14ac:dyDescent="0.45">
      <c r="B971" s="10" t="str">
        <f ca="1">IFERROR(__xludf.DUMMYFUNCTION("""COMPUTED_VALUE"""),"Wine")</f>
        <v>Wine</v>
      </c>
      <c r="C971" s="10" t="str">
        <f ca="1">IFERROR(__xludf.DUMMYFUNCTION("""COMPUTED_VALUE"""),"aligned_timestamps")</f>
        <v>aligned_timestamps</v>
      </c>
      <c r="D971" s="10">
        <f ca="1">IFERROR(__xludf.DUMMYFUNCTION("""COMPUTED_VALUE"""),0.8)</f>
        <v>0.8</v>
      </c>
      <c r="E971" s="17">
        <f ca="1">IFERROR(__xludf.DUMMYFUNCTION("""COMPUTED_VALUE"""),0.895100371355889)</f>
        <v>0.89510037135588905</v>
      </c>
      <c r="F971" s="17">
        <f ca="1">IFERROR(__xludf.DUMMYFUNCTION("""COMPUTED_VALUE"""),0.0607349138610192)</f>
        <v>6.0734913861019202E-2</v>
      </c>
      <c r="G971" s="17">
        <f ca="1">IFERROR(__xludf.DUMMYFUNCTION("""COMPUTED_VALUE"""),0.566686837227257)</f>
        <v>0.56668683722725699</v>
      </c>
      <c r="H971" s="17">
        <f ca="1">IFERROR(__xludf.DUMMYFUNCTION("""COMPUTED_VALUE"""),0.0554785857121684)</f>
        <v>5.5478585712168398E-2</v>
      </c>
      <c r="I971" s="17">
        <f ca="1">IFERROR(__xludf.DUMMYFUNCTION("""COMPUTED_VALUE"""),0.430726119610141)</f>
        <v>0.43072611961014101</v>
      </c>
      <c r="J971" s="17">
        <f ca="1">IFERROR(__xludf.DUMMYFUNCTION("""COMPUTED_VALUE"""),1.04645438904113)</f>
        <v>1.04645438904113</v>
      </c>
      <c r="K971" s="17" t="str">
        <f ca="1">IFERROR(__xludf.DUMMYFUNCTION("""COMPUTED_VALUE"""),"nan")</f>
        <v>nan</v>
      </c>
      <c r="L971" s="17">
        <f ca="1">IFERROR(__xludf.DUMMYFUNCTION("""COMPUTED_VALUE"""),0.0486409597248768)</f>
        <v>4.8640959724876802E-2</v>
      </c>
      <c r="M971" s="17">
        <f ca="1">IFERROR(__xludf.DUMMYFUNCTION("""COMPUTED_VALUE"""),1.5555981778545)</f>
        <v>1.5555981778545001</v>
      </c>
      <c r="N971" s="17">
        <f ca="1">IFERROR(__xludf.DUMMYFUNCTION("""COMPUTED_VALUE"""),0.072324151331701)</f>
        <v>7.2324151331701003E-2</v>
      </c>
      <c r="O971" s="17">
        <f ca="1">IFERROR(__xludf.DUMMYFUNCTION("""COMPUTED_VALUE"""),0.64259105242472)</f>
        <v>0.64259105242472003</v>
      </c>
      <c r="P971" s="17">
        <f ca="1">IFERROR(__xludf.DUMMYFUNCTION("""COMPUTED_VALUE"""),0.921870132591059)</f>
        <v>0.92187013259105899</v>
      </c>
      <c r="Q971" s="17">
        <f ca="1">IFERROR(__xludf.DUMMYFUNCTION("""COMPUTED_VALUE"""),0.0550073524557258)</f>
        <v>5.50073524557258E-2</v>
      </c>
      <c r="R971" s="17">
        <f ca="1">IFERROR(__xludf.DUMMYFUNCTION("""COMPUTED_VALUE"""),0.857628930809565)</f>
        <v>0.85762893080956504</v>
      </c>
      <c r="S971" s="17">
        <f ca="1">IFERROR(__xludf.DUMMYFUNCTION("""COMPUTED_VALUE"""),0.252453277463809)</f>
        <v>0.25245327746380902</v>
      </c>
      <c r="T971" s="17">
        <f ca="1">IFERROR(__xludf.DUMMYFUNCTION("""COMPUTED_VALUE"""),0.197897934180751)</f>
        <v>0.197897934180751</v>
      </c>
      <c r="U971" s="17">
        <f ca="1">IFERROR(__xludf.DUMMYFUNCTION("""COMPUTED_VALUE"""),0.206911296609192)</f>
        <v>0.206911296609192</v>
      </c>
      <c r="V971" s="17">
        <f ca="1">IFERROR(__xludf.DUMMYFUNCTION("""COMPUTED_VALUE"""),0.475686894205947)</f>
        <v>0.47568689420594701</v>
      </c>
      <c r="W971" s="17">
        <f ca="1">IFERROR(__xludf.DUMMYFUNCTION("""COMPUTED_VALUE"""),0.746679958680449)</f>
        <v>0.74667995868044901</v>
      </c>
      <c r="X971" s="17">
        <f ca="1">IFERROR(__xludf.DUMMYFUNCTION("""COMPUTED_VALUE"""),0.172841152055084)</f>
        <v>0.17284115205508399</v>
      </c>
      <c r="Y971" s="17">
        <f ca="1">IFERROR(__xludf.DUMMYFUNCTION("""COMPUTED_VALUE"""),0.184220698732297)</f>
        <v>0.18422069873229699</v>
      </c>
      <c r="Z971" s="17">
        <f ca="1">IFERROR(__xludf.DUMMYFUNCTION("""COMPUTED_VALUE"""),0.770007579437332)</f>
        <v>0.770007579437332</v>
      </c>
      <c r="AA971" s="17">
        <f ca="1">IFERROR(__xludf.DUMMYFUNCTION("""COMPUTED_VALUE"""),0.357290704847096)</f>
        <v>0.35729070484709602</v>
      </c>
      <c r="AB971" s="17">
        <f ca="1">IFERROR(__xludf.DUMMYFUNCTION("""COMPUTED_VALUE"""),0.46336889195957)</f>
        <v>0.46336889195956998</v>
      </c>
      <c r="AC971" s="17">
        <f ca="1">IFERROR(__xludf.DUMMYFUNCTION("""COMPUTED_VALUE"""),0.69252023003959)</f>
        <v>0.69252023003958996</v>
      </c>
      <c r="AD971" s="17">
        <f ca="1">IFERROR(__xludf.DUMMYFUNCTION("""COMPUTED_VALUE"""),0.229645482866047)</f>
        <v>0.229645482866047</v>
      </c>
      <c r="AE971" s="17">
        <f ca="1">IFERROR(__xludf.DUMMYFUNCTION("""COMPUTED_VALUE"""),1.00599382601759)</f>
        <v>1.00599382601759</v>
      </c>
      <c r="AF971" s="17">
        <f ca="1">IFERROR(__xludf.DUMMYFUNCTION("""COMPUTED_VALUE"""),0.366820915458103)</f>
        <v>0.36682091545810303</v>
      </c>
      <c r="AG971" s="17">
        <f ca="1">IFERROR(__xludf.DUMMYFUNCTION("""COMPUTED_VALUE"""),1.10508392799239)</f>
        <v>1.1050839279923901</v>
      </c>
      <c r="AH971" s="17">
        <f ca="1">IFERROR(__xludf.DUMMYFUNCTION("""COMPUTED_VALUE"""),1.02429792502655)</f>
        <v>1.02429792502655</v>
      </c>
      <c r="AI971" s="17">
        <f ca="1">IFERROR(__xludf.DUMMYFUNCTION("""COMPUTED_VALUE"""),1.05063566458773)</f>
        <v>1.0506356645877299</v>
      </c>
      <c r="AJ971" s="17">
        <f ca="1">IFERROR(__xludf.DUMMYFUNCTION("""COMPUTED_VALUE"""),1.07146324322039)</f>
        <v>1.0714632432203901</v>
      </c>
    </row>
    <row r="972" spans="2:36" ht="15.75" customHeight="1" x14ac:dyDescent="0.45">
      <c r="B972" s="10" t="str">
        <f ca="1">IFERROR(__xludf.DUMMYFUNCTION("""COMPUTED_VALUE"""),"Wine")</f>
        <v>Wine</v>
      </c>
      <c r="C972" s="10" t="str">
        <f ca="1">IFERROR(__xludf.DUMMYFUNCTION("""COMPUTED_VALUE"""),"mcar")</f>
        <v>mcar</v>
      </c>
      <c r="D972" s="10">
        <f ca="1">IFERROR(__xludf.DUMMYFUNCTION("""COMPUTED_VALUE"""),0.1)</f>
        <v>0.1</v>
      </c>
      <c r="E972" s="17">
        <f ca="1">IFERROR(__xludf.DUMMYFUNCTION("""COMPUTED_VALUE"""),0.938520117916387)</f>
        <v>0.93852011791638701</v>
      </c>
      <c r="F972" s="17">
        <f ca="1">IFERROR(__xludf.DUMMYFUNCTION("""COMPUTED_VALUE"""),0.0303655407309342)</f>
        <v>3.0365540730934198E-2</v>
      </c>
      <c r="G972" s="17">
        <f ca="1">IFERROR(__xludf.DUMMYFUNCTION("""COMPUTED_VALUE"""),0.0071440161872984)</f>
        <v>7.1440161872984003E-3</v>
      </c>
      <c r="H972" s="17">
        <f ca="1">IFERROR(__xludf.DUMMYFUNCTION("""COMPUTED_VALUE"""),0.0115214508751237)</f>
        <v>1.15214508751237E-2</v>
      </c>
      <c r="I972" s="17">
        <f ca="1">IFERROR(__xludf.DUMMYFUNCTION("""COMPUTED_VALUE"""),0.676362058867099)</f>
        <v>0.67636205886709899</v>
      </c>
      <c r="J972" s="17">
        <f ca="1">IFERROR(__xludf.DUMMYFUNCTION("""COMPUTED_VALUE"""),0.376743256570525)</f>
        <v>0.37674325657052499</v>
      </c>
      <c r="K972" s="17" t="str">
        <f ca="1">IFERROR(__xludf.DUMMYFUNCTION("""COMPUTED_VALUE"""),"nan")</f>
        <v>nan</v>
      </c>
      <c r="L972" s="17">
        <f ca="1">IFERROR(__xludf.DUMMYFUNCTION("""COMPUTED_VALUE"""),0.0197551466437128)</f>
        <v>1.97551466437128E-2</v>
      </c>
      <c r="M972" s="17">
        <f ca="1">IFERROR(__xludf.DUMMYFUNCTION("""COMPUTED_VALUE"""),0.00694924537351401)</f>
        <v>6.9492453735140102E-3</v>
      </c>
      <c r="N972" s="17">
        <f ca="1">IFERROR(__xludf.DUMMYFUNCTION("""COMPUTED_VALUE"""),0.065479540045102)</f>
        <v>6.5479540045101994E-2</v>
      </c>
      <c r="O972" s="17">
        <f ca="1">IFERROR(__xludf.DUMMYFUNCTION("""COMPUTED_VALUE"""),0.00402620879854516)</f>
        <v>4.0262087985451604E-3</v>
      </c>
      <c r="P972" s="17">
        <f ca="1">IFERROR(__xludf.DUMMYFUNCTION("""COMPUTED_VALUE"""),0.565695426319666)</f>
        <v>0.56569542631966596</v>
      </c>
      <c r="Q972" s="17">
        <f ca="1">IFERROR(__xludf.DUMMYFUNCTION("""COMPUTED_VALUE"""),0.0107774594628501)</f>
        <v>1.07774594628501E-2</v>
      </c>
      <c r="R972" s="17">
        <f ca="1">IFERROR(__xludf.DUMMYFUNCTION("""COMPUTED_VALUE"""),0.00107421372431355)</f>
        <v>1.07421372431355E-3</v>
      </c>
      <c r="S972" s="17">
        <f ca="1">IFERROR(__xludf.DUMMYFUNCTION("""COMPUTED_VALUE"""),0.0604385983583312)</f>
        <v>6.0438598358331201E-2</v>
      </c>
      <c r="T972" s="17">
        <f ca="1">IFERROR(__xludf.DUMMYFUNCTION("""COMPUTED_VALUE"""),0.135237686777748)</f>
        <v>0.135237686777748</v>
      </c>
      <c r="U972" s="17">
        <f ca="1">IFERROR(__xludf.DUMMYFUNCTION("""COMPUTED_VALUE"""),0.0544702863216944)</f>
        <v>5.44702863216944E-2</v>
      </c>
      <c r="V972" s="17">
        <f ca="1">IFERROR(__xludf.DUMMYFUNCTION("""COMPUTED_VALUE"""),0.116074576831722)</f>
        <v>0.116074576831722</v>
      </c>
      <c r="W972" s="17">
        <f ca="1">IFERROR(__xludf.DUMMYFUNCTION("""COMPUTED_VALUE"""),0.648088633540487)</f>
        <v>0.64808863354048696</v>
      </c>
      <c r="X972" s="17">
        <f ca="1">IFERROR(__xludf.DUMMYFUNCTION("""COMPUTED_VALUE"""),0.0808290430826639)</f>
        <v>8.0829043082663907E-2</v>
      </c>
      <c r="Y972" s="17">
        <f ca="1">IFERROR(__xludf.DUMMYFUNCTION("""COMPUTED_VALUE"""),0.156649289750521)</f>
        <v>0.156649289750521</v>
      </c>
      <c r="Z972" s="17">
        <f ca="1">IFERROR(__xludf.DUMMYFUNCTION("""COMPUTED_VALUE"""),0.0458257440591712)</f>
        <v>4.5825744059171197E-2</v>
      </c>
      <c r="AA972" s="17">
        <f ca="1">IFERROR(__xludf.DUMMYFUNCTION("""COMPUTED_VALUE"""),0.000905681474377295)</f>
        <v>9.0568147437729502E-4</v>
      </c>
      <c r="AB972" s="17">
        <f ca="1">IFERROR(__xludf.DUMMYFUNCTION("""COMPUTED_VALUE"""),0.0708369674949592)</f>
        <v>7.0836967494959199E-2</v>
      </c>
      <c r="AC972" s="17">
        <f ca="1">IFERROR(__xludf.DUMMYFUNCTION("""COMPUTED_VALUE"""),0.482594282030869)</f>
        <v>0.48259428203086902</v>
      </c>
      <c r="AD972" s="17">
        <f ca="1">IFERROR(__xludf.DUMMYFUNCTION("""COMPUTED_VALUE"""),0.370508067186226)</f>
        <v>0.37050806718622598</v>
      </c>
      <c r="AE972" s="17">
        <f ca="1">IFERROR(__xludf.DUMMYFUNCTION("""COMPUTED_VALUE"""),0.676076275639842)</f>
        <v>0.67607627563984196</v>
      </c>
      <c r="AF972" s="17">
        <f ca="1">IFERROR(__xludf.DUMMYFUNCTION("""COMPUTED_VALUE"""),0.142435414739093)</f>
        <v>0.14243541473909299</v>
      </c>
      <c r="AG972" s="17">
        <f ca="1">IFERROR(__xludf.DUMMYFUNCTION("""COMPUTED_VALUE"""),0.365072031358174)</f>
        <v>0.36507203135817401</v>
      </c>
      <c r="AH972" s="17">
        <f ca="1">IFERROR(__xludf.DUMMYFUNCTION("""COMPUTED_VALUE"""),0.254786524803664)</f>
        <v>0.25478652480366398</v>
      </c>
      <c r="AI972" s="17">
        <f ca="1">IFERROR(__xludf.DUMMYFUNCTION("""COMPUTED_VALUE"""),0.689284823545001)</f>
        <v>0.68928482354500098</v>
      </c>
      <c r="AJ972" s="17">
        <f ca="1">IFERROR(__xludf.DUMMYFUNCTION("""COMPUTED_VALUE"""),0.341743142945554)</f>
        <v>0.34174314294555402</v>
      </c>
    </row>
    <row r="973" spans="2:36" ht="15.75" customHeight="1" x14ac:dyDescent="0.45">
      <c r="B973" s="10" t="str">
        <f ca="1">IFERROR(__xludf.DUMMYFUNCTION("""COMPUTED_VALUE"""),"Wine")</f>
        <v>Wine</v>
      </c>
      <c r="C973" s="10" t="str">
        <f ca="1">IFERROR(__xludf.DUMMYFUNCTION("""COMPUTED_VALUE"""),"mcar")</f>
        <v>mcar</v>
      </c>
      <c r="D973" s="10">
        <f ca="1">IFERROR(__xludf.DUMMYFUNCTION("""COMPUTED_VALUE"""),0.2)</f>
        <v>0.2</v>
      </c>
      <c r="E973" s="17">
        <f ca="1">IFERROR(__xludf.DUMMYFUNCTION("""COMPUTED_VALUE"""),1.05341984019584)</f>
        <v>1.0534198401958399</v>
      </c>
      <c r="F973" s="17">
        <f ca="1">IFERROR(__xludf.DUMMYFUNCTION("""COMPUTED_VALUE"""),0.035061490459486)</f>
        <v>3.5061490459485999E-2</v>
      </c>
      <c r="G973" s="17">
        <f ca="1">IFERROR(__xludf.DUMMYFUNCTION("""COMPUTED_VALUE"""),0.201693425961573)</f>
        <v>0.201693425961573</v>
      </c>
      <c r="H973" s="17">
        <f ca="1">IFERROR(__xludf.DUMMYFUNCTION("""COMPUTED_VALUE"""),0.0166308949168816)</f>
        <v>1.6630894916881599E-2</v>
      </c>
      <c r="I973" s="17">
        <f ca="1">IFERROR(__xludf.DUMMYFUNCTION("""COMPUTED_VALUE"""),0.771040528667819)</f>
        <v>0.77104052866781903</v>
      </c>
      <c r="J973" s="17">
        <f ca="1">IFERROR(__xludf.DUMMYFUNCTION("""COMPUTED_VALUE"""),0.369185996821185)</f>
        <v>0.36918599682118503</v>
      </c>
      <c r="K973" s="17" t="str">
        <f ca="1">IFERROR(__xludf.DUMMYFUNCTION("""COMPUTED_VALUE"""),"nan")</f>
        <v>nan</v>
      </c>
      <c r="L973" s="17">
        <f ca="1">IFERROR(__xludf.DUMMYFUNCTION("""COMPUTED_VALUE"""),0.0226481759845481)</f>
        <v>2.2648175984548099E-2</v>
      </c>
      <c r="M973" s="17">
        <f ca="1">IFERROR(__xludf.DUMMYFUNCTION("""COMPUTED_VALUE"""),0.0087333802931148)</f>
        <v>8.7333802931148004E-3</v>
      </c>
      <c r="N973" s="17">
        <f ca="1">IFERROR(__xludf.DUMMYFUNCTION("""COMPUTED_VALUE"""),0.0631874598706908)</f>
        <v>6.3187459870690799E-2</v>
      </c>
      <c r="O973" s="17">
        <f ca="1">IFERROR(__xludf.DUMMYFUNCTION("""COMPUTED_VALUE"""),0.00499803732029333)</f>
        <v>4.9980373202933304E-3</v>
      </c>
      <c r="P973" s="17">
        <f ca="1">IFERROR(__xludf.DUMMYFUNCTION("""COMPUTED_VALUE"""),0.622031904800775)</f>
        <v>0.62203190480077497</v>
      </c>
      <c r="Q973" s="17">
        <f ca="1">IFERROR(__xludf.DUMMYFUNCTION("""COMPUTED_VALUE"""),0.020444626826984)</f>
        <v>2.0444626826983999E-2</v>
      </c>
      <c r="R973" s="17">
        <f ca="1">IFERROR(__xludf.DUMMYFUNCTION("""COMPUTED_VALUE"""),0.00111569261272767)</f>
        <v>1.11569261272767E-3</v>
      </c>
      <c r="S973" s="17">
        <f ca="1">IFERROR(__xludf.DUMMYFUNCTION("""COMPUTED_VALUE"""),0.310874148304507)</f>
        <v>0.31087414830450699</v>
      </c>
      <c r="T973" s="17">
        <f ca="1">IFERROR(__xludf.DUMMYFUNCTION("""COMPUTED_VALUE"""),0.097383384015604)</f>
        <v>9.7383384015603994E-2</v>
      </c>
      <c r="U973" s="17">
        <f ca="1">IFERROR(__xludf.DUMMYFUNCTION("""COMPUTED_VALUE"""),0.0999095641824375)</f>
        <v>9.9909564182437502E-2</v>
      </c>
      <c r="V973" s="17">
        <f ca="1">IFERROR(__xludf.DUMMYFUNCTION("""COMPUTED_VALUE"""),0.11365901140021)</f>
        <v>0.11365901140020999</v>
      </c>
      <c r="W973" s="17">
        <f ca="1">IFERROR(__xludf.DUMMYFUNCTION("""COMPUTED_VALUE"""),0.726621198694579)</f>
        <v>0.72662119869457897</v>
      </c>
      <c r="X973" s="17">
        <f ca="1">IFERROR(__xludf.DUMMYFUNCTION("""COMPUTED_VALUE"""),0.106195269257656)</f>
        <v>0.106195269257656</v>
      </c>
      <c r="Y973" s="17">
        <f ca="1">IFERROR(__xludf.DUMMYFUNCTION("""COMPUTED_VALUE"""),0.177148714191635)</f>
        <v>0.177148714191635</v>
      </c>
      <c r="Z973" s="17">
        <f ca="1">IFERROR(__xludf.DUMMYFUNCTION("""COMPUTED_VALUE"""),0.0540855616514379)</f>
        <v>5.4085561651437901E-2</v>
      </c>
      <c r="AA973" s="17">
        <f ca="1">IFERROR(__xludf.DUMMYFUNCTION("""COMPUTED_VALUE"""),0.000943492079317495)</f>
        <v>9.4349207931749505E-4</v>
      </c>
      <c r="AB973" s="17">
        <f ca="1">IFERROR(__xludf.DUMMYFUNCTION("""COMPUTED_VALUE"""),0.0575986226802697)</f>
        <v>5.7598622680269697E-2</v>
      </c>
      <c r="AC973" s="17">
        <f ca="1">IFERROR(__xludf.DUMMYFUNCTION("""COMPUTED_VALUE"""),0.500164360591134)</f>
        <v>0.50016436059113401</v>
      </c>
      <c r="AD973" s="17">
        <f ca="1">IFERROR(__xludf.DUMMYFUNCTION("""COMPUTED_VALUE"""),0.441207243726242)</f>
        <v>0.44120724372624198</v>
      </c>
      <c r="AE973" s="17">
        <f ca="1">IFERROR(__xludf.DUMMYFUNCTION("""COMPUTED_VALUE"""),0.68978564101156)</f>
        <v>0.68978564101156004</v>
      </c>
      <c r="AF973" s="17">
        <f ca="1">IFERROR(__xludf.DUMMYFUNCTION("""COMPUTED_VALUE"""),0.119402899991359)</f>
        <v>0.119402899991359</v>
      </c>
      <c r="AG973" s="17">
        <f ca="1">IFERROR(__xludf.DUMMYFUNCTION("""COMPUTED_VALUE"""),0.87469022042345)</f>
        <v>0.87469022042345002</v>
      </c>
      <c r="AH973" s="17">
        <f ca="1">IFERROR(__xludf.DUMMYFUNCTION("""COMPUTED_VALUE"""),0.451484040414844)</f>
        <v>0.45148404041484402</v>
      </c>
      <c r="AI973" s="17">
        <f ca="1">IFERROR(__xludf.DUMMYFUNCTION("""COMPUTED_VALUE"""),0.813835651588242)</f>
        <v>0.813835651588242</v>
      </c>
      <c r="AJ973" s="17">
        <f ca="1">IFERROR(__xludf.DUMMYFUNCTION("""COMPUTED_VALUE"""),0.528745727267353)</f>
        <v>0.52874572726735303</v>
      </c>
    </row>
    <row r="974" spans="2:36" ht="15.75" customHeight="1" x14ac:dyDescent="0.45">
      <c r="B974" s="10" t="str">
        <f ca="1">IFERROR(__xludf.DUMMYFUNCTION("""COMPUTED_VALUE"""),"Wine")</f>
        <v>Wine</v>
      </c>
      <c r="C974" s="10" t="str">
        <f ca="1">IFERROR(__xludf.DUMMYFUNCTION("""COMPUTED_VALUE"""),"mcar")</f>
        <v>mcar</v>
      </c>
      <c r="D974" s="10">
        <f ca="1">IFERROR(__xludf.DUMMYFUNCTION("""COMPUTED_VALUE"""),0.4)</f>
        <v>0.4</v>
      </c>
      <c r="E974" s="17">
        <f ca="1">IFERROR(__xludf.DUMMYFUNCTION("""COMPUTED_VALUE"""),1.05000052940857)</f>
        <v>1.0500005294085699</v>
      </c>
      <c r="F974" s="17">
        <f ca="1">IFERROR(__xludf.DUMMYFUNCTION("""COMPUTED_VALUE"""),0.0482954596019319)</f>
        <v>4.8295459601931899E-2</v>
      </c>
      <c r="G974" s="17">
        <f ca="1">IFERROR(__xludf.DUMMYFUNCTION("""COMPUTED_VALUE"""),0.334320980810927)</f>
        <v>0.33432098081092698</v>
      </c>
      <c r="H974" s="17">
        <f ca="1">IFERROR(__xludf.DUMMYFUNCTION("""COMPUTED_VALUE"""),0.0173927187481531)</f>
        <v>1.73927187481531E-2</v>
      </c>
      <c r="I974" s="17">
        <f ca="1">IFERROR(__xludf.DUMMYFUNCTION("""COMPUTED_VALUE"""),0.245235572467805)</f>
        <v>0.245235572467805</v>
      </c>
      <c r="J974" s="17">
        <f ca="1">IFERROR(__xludf.DUMMYFUNCTION("""COMPUTED_VALUE"""),0.734957907099737)</f>
        <v>0.73495790709973696</v>
      </c>
      <c r="K974" s="17" t="str">
        <f ca="1">IFERROR(__xludf.DUMMYFUNCTION("""COMPUTED_VALUE"""),"nan")</f>
        <v>nan</v>
      </c>
      <c r="L974" s="17">
        <f ca="1">IFERROR(__xludf.DUMMYFUNCTION("""COMPUTED_VALUE"""),0.0274983026920478)</f>
        <v>2.74983026920478E-2</v>
      </c>
      <c r="M974" s="17">
        <f ca="1">IFERROR(__xludf.DUMMYFUNCTION("""COMPUTED_VALUE"""),0.743395795343635)</f>
        <v>0.74339579534363498</v>
      </c>
      <c r="N974" s="17">
        <f ca="1">IFERROR(__xludf.DUMMYFUNCTION("""COMPUTED_VALUE"""),0.0317644890824803)</f>
        <v>3.17644890824803E-2</v>
      </c>
      <c r="O974" s="17">
        <f ca="1">IFERROR(__xludf.DUMMYFUNCTION("""COMPUTED_VALUE"""),0.15974716743718)</f>
        <v>0.15974716743718001</v>
      </c>
      <c r="P974" s="17">
        <f ca="1">IFERROR(__xludf.DUMMYFUNCTION("""COMPUTED_VALUE"""),0.693507652101633)</f>
        <v>0.69350765210163301</v>
      </c>
      <c r="Q974" s="17">
        <f ca="1">IFERROR(__xludf.DUMMYFUNCTION("""COMPUTED_VALUE"""),0.285393729868595)</f>
        <v>0.28539372986859501</v>
      </c>
      <c r="R974" s="17">
        <f ca="1">IFERROR(__xludf.DUMMYFUNCTION("""COMPUTED_VALUE"""),0.00138020846377444)</f>
        <v>1.38020846377444E-3</v>
      </c>
      <c r="S974" s="17">
        <f ca="1">IFERROR(__xludf.DUMMYFUNCTION("""COMPUTED_VALUE"""),0.861049821750421)</f>
        <v>0.861049821750421</v>
      </c>
      <c r="T974" s="17">
        <f ca="1">IFERROR(__xludf.DUMMYFUNCTION("""COMPUTED_VALUE"""),0.144345448059995)</f>
        <v>0.144345448059995</v>
      </c>
      <c r="U974" s="17">
        <f ca="1">IFERROR(__xludf.DUMMYFUNCTION("""COMPUTED_VALUE"""),0.0994507497891768)</f>
        <v>9.9450749789176798E-2</v>
      </c>
      <c r="V974" s="17">
        <f ca="1">IFERROR(__xludf.DUMMYFUNCTION("""COMPUTED_VALUE"""),0.108148134645636)</f>
        <v>0.108148134645636</v>
      </c>
      <c r="W974" s="17">
        <f ca="1">IFERROR(__xludf.DUMMYFUNCTION("""COMPUTED_VALUE"""),0.750879981090934)</f>
        <v>0.75087998109093401</v>
      </c>
      <c r="X974" s="17">
        <f ca="1">IFERROR(__xludf.DUMMYFUNCTION("""COMPUTED_VALUE"""),0.10331776045744)</f>
        <v>0.10331776045744</v>
      </c>
      <c r="Y974" s="17">
        <f ca="1">IFERROR(__xludf.DUMMYFUNCTION("""COMPUTED_VALUE"""),0.178475619776331)</f>
        <v>0.178475619776331</v>
      </c>
      <c r="Z974" s="17">
        <f ca="1">IFERROR(__xludf.DUMMYFUNCTION("""COMPUTED_VALUE"""),0.40413072819142)</f>
        <v>0.40413072819141999</v>
      </c>
      <c r="AA974" s="17">
        <f ca="1">IFERROR(__xludf.DUMMYFUNCTION("""COMPUTED_VALUE"""),0.00117706823775983)</f>
        <v>1.1770682377598299E-3</v>
      </c>
      <c r="AB974" s="17">
        <f ca="1">IFERROR(__xludf.DUMMYFUNCTION("""COMPUTED_VALUE"""),0.263219917962415)</f>
        <v>0.26321991796241501</v>
      </c>
      <c r="AC974" s="17">
        <f ca="1">IFERROR(__xludf.DUMMYFUNCTION("""COMPUTED_VALUE"""),0.739728260693103)</f>
        <v>0.73972826069310305</v>
      </c>
      <c r="AD974" s="17">
        <f ca="1">IFERROR(__xludf.DUMMYFUNCTION("""COMPUTED_VALUE"""),0.458902760522415)</f>
        <v>0.45890276052241502</v>
      </c>
      <c r="AE974" s="17">
        <f ca="1">IFERROR(__xludf.DUMMYFUNCTION("""COMPUTED_VALUE"""),0.958931842482059)</f>
        <v>0.95893184248205898</v>
      </c>
      <c r="AF974" s="17">
        <f ca="1">IFERROR(__xludf.DUMMYFUNCTION("""COMPUTED_VALUE"""),0.252123663943661)</f>
        <v>0.25212366394366098</v>
      </c>
      <c r="AG974" s="17">
        <f ca="1">IFERROR(__xludf.DUMMYFUNCTION("""COMPUTED_VALUE"""),1.00338549062779)</f>
        <v>1.0033854906277899</v>
      </c>
      <c r="AH974" s="17">
        <f ca="1">IFERROR(__xludf.DUMMYFUNCTION("""COMPUTED_VALUE"""),1.13375095382408)</f>
        <v>1.13375095382408</v>
      </c>
      <c r="AI974" s="17">
        <f ca="1">IFERROR(__xludf.DUMMYFUNCTION("""COMPUTED_VALUE"""),1.05030429604399)</f>
        <v>1.0503042960439899</v>
      </c>
      <c r="AJ974" s="17">
        <f ca="1">IFERROR(__xludf.DUMMYFUNCTION("""COMPUTED_VALUE"""),0.787557488194996)</f>
        <v>0.78755748819499605</v>
      </c>
    </row>
    <row r="975" spans="2:36" ht="15.75" customHeight="1" x14ac:dyDescent="0.45">
      <c r="B975" s="10" t="str">
        <f ca="1">IFERROR(__xludf.DUMMYFUNCTION("""COMPUTED_VALUE"""),"Wine")</f>
        <v>Wine</v>
      </c>
      <c r="C975" s="10" t="str">
        <f ca="1">IFERROR(__xludf.DUMMYFUNCTION("""COMPUTED_VALUE"""),"mcar")</f>
        <v>mcar</v>
      </c>
      <c r="D975" s="10">
        <f ca="1">IFERROR(__xludf.DUMMYFUNCTION("""COMPUTED_VALUE"""),0.6)</f>
        <v>0.6</v>
      </c>
      <c r="E975" s="17">
        <f ca="1">IFERROR(__xludf.DUMMYFUNCTION("""COMPUTED_VALUE"""),1.03514146475628)</f>
        <v>1.03514146475628</v>
      </c>
      <c r="F975" s="17">
        <f ca="1">IFERROR(__xludf.DUMMYFUNCTION("""COMPUTED_VALUE"""),0.0891628309196597)</f>
        <v>8.9162830919659694E-2</v>
      </c>
      <c r="G975" s="17">
        <f ca="1">IFERROR(__xludf.DUMMYFUNCTION("""COMPUTED_VALUE"""),0.522463780271792)</f>
        <v>0.52246378027179197</v>
      </c>
      <c r="H975" s="17">
        <f ca="1">IFERROR(__xludf.DUMMYFUNCTION("""COMPUTED_VALUE"""),0.0185933920790146)</f>
        <v>1.8593392079014601E-2</v>
      </c>
      <c r="I975" s="17">
        <f ca="1">IFERROR(__xludf.DUMMYFUNCTION("""COMPUTED_VALUE"""),0.199933820010556)</f>
        <v>0.19993382001055601</v>
      </c>
      <c r="J975" s="17">
        <f ca="1">IFERROR(__xludf.DUMMYFUNCTION("""COMPUTED_VALUE"""),0.820959155662451)</f>
        <v>0.82095915566245103</v>
      </c>
      <c r="K975" s="17" t="str">
        <f ca="1">IFERROR(__xludf.DUMMYFUNCTION("""COMPUTED_VALUE"""),"nan")</f>
        <v>nan</v>
      </c>
      <c r="L975" s="17">
        <f ca="1">IFERROR(__xludf.DUMMYFUNCTION("""COMPUTED_VALUE"""),0.0479095630403014)</f>
        <v>4.7909563040301403E-2</v>
      </c>
      <c r="M975" s="17">
        <f ca="1">IFERROR(__xludf.DUMMYFUNCTION("""COMPUTED_VALUE"""),0.53451200421232)</f>
        <v>0.53451200421232004</v>
      </c>
      <c r="N975" s="17">
        <f ca="1">IFERROR(__xludf.DUMMYFUNCTION("""COMPUTED_VALUE"""),0.0474882540201205)</f>
        <v>4.7488254020120503E-2</v>
      </c>
      <c r="O975" s="17">
        <f ca="1">IFERROR(__xludf.DUMMYFUNCTION("""COMPUTED_VALUE"""),0.37887274980562)</f>
        <v>0.37887274980562002</v>
      </c>
      <c r="P975" s="17">
        <f ca="1">IFERROR(__xludf.DUMMYFUNCTION("""COMPUTED_VALUE"""),0.725029172955558)</f>
        <v>0.72502917295555802</v>
      </c>
      <c r="Q975" s="17">
        <f ca="1">IFERROR(__xludf.DUMMYFUNCTION("""COMPUTED_VALUE"""),0.327547072839705)</f>
        <v>0.32754707283970502</v>
      </c>
      <c r="R975" s="17">
        <f ca="1">IFERROR(__xludf.DUMMYFUNCTION("""COMPUTED_VALUE"""),0.00164497115158524)</f>
        <v>1.6449711515852401E-3</v>
      </c>
      <c r="S975" s="17">
        <f ca="1">IFERROR(__xludf.DUMMYFUNCTION("""COMPUTED_VALUE"""),0.861643914977207)</f>
        <v>0.86164391497720705</v>
      </c>
      <c r="T975" s="17">
        <f ca="1">IFERROR(__xludf.DUMMYFUNCTION("""COMPUTED_VALUE"""),0.199634289198682)</f>
        <v>0.19963428919868201</v>
      </c>
      <c r="U975" s="17">
        <f ca="1">IFERROR(__xludf.DUMMYFUNCTION("""COMPUTED_VALUE"""),0.112185938322595)</f>
        <v>0.11218593832259501</v>
      </c>
      <c r="V975" s="17">
        <f ca="1">IFERROR(__xludf.DUMMYFUNCTION("""COMPUTED_VALUE"""),0.16466212380367)</f>
        <v>0.16466212380367001</v>
      </c>
      <c r="W975" s="17">
        <f ca="1">IFERROR(__xludf.DUMMYFUNCTION("""COMPUTED_VALUE"""),0.782363658387216)</f>
        <v>0.782363658387216</v>
      </c>
      <c r="X975" s="17">
        <f ca="1">IFERROR(__xludf.DUMMYFUNCTION("""COMPUTED_VALUE"""),0.119687378539865)</f>
        <v>0.119687378539865</v>
      </c>
      <c r="Y975" s="17">
        <f ca="1">IFERROR(__xludf.DUMMYFUNCTION("""COMPUTED_VALUE"""),0.180609270860674)</f>
        <v>0.18060927086067399</v>
      </c>
      <c r="Z975" s="17">
        <f ca="1">IFERROR(__xludf.DUMMYFUNCTION("""COMPUTED_VALUE"""),0.456425196741616)</f>
        <v>0.45642519674161602</v>
      </c>
      <c r="AA975" s="17">
        <f ca="1">IFERROR(__xludf.DUMMYFUNCTION("""COMPUTED_VALUE"""),0.00158184719097569)</f>
        <v>1.5818471909756901E-3</v>
      </c>
      <c r="AB975" s="17">
        <f ca="1">IFERROR(__xludf.DUMMYFUNCTION("""COMPUTED_VALUE"""),0.379213530162659)</f>
        <v>0.37921353016265902</v>
      </c>
      <c r="AC975" s="17">
        <f ca="1">IFERROR(__xludf.DUMMYFUNCTION("""COMPUTED_VALUE"""),0.79856661814828)</f>
        <v>0.79856661814828001</v>
      </c>
      <c r="AD975" s="17">
        <f ca="1">IFERROR(__xludf.DUMMYFUNCTION("""COMPUTED_VALUE"""),0.382130081380903)</f>
        <v>0.38213008138090299</v>
      </c>
      <c r="AE975" s="17">
        <f ca="1">IFERROR(__xludf.DUMMYFUNCTION("""COMPUTED_VALUE"""),1.37406685541142)</f>
        <v>1.3740668554114199</v>
      </c>
      <c r="AF975" s="17">
        <f ca="1">IFERROR(__xludf.DUMMYFUNCTION("""COMPUTED_VALUE"""),0.306880551820781)</f>
        <v>0.306880551820781</v>
      </c>
      <c r="AG975" s="17">
        <f ca="1">IFERROR(__xludf.DUMMYFUNCTION("""COMPUTED_VALUE"""),1.04312078530954)</f>
        <v>1.0431207853095401</v>
      </c>
      <c r="AH975" s="17">
        <f ca="1">IFERROR(__xludf.DUMMYFUNCTION("""COMPUTED_VALUE"""),1.0504076191436)</f>
        <v>1.0504076191436</v>
      </c>
      <c r="AI975" s="17">
        <f ca="1">IFERROR(__xludf.DUMMYFUNCTION("""COMPUTED_VALUE"""),1.09017258042997)</f>
        <v>1.09017258042997</v>
      </c>
      <c r="AJ975" s="17">
        <f ca="1">IFERROR(__xludf.DUMMYFUNCTION("""COMPUTED_VALUE"""),1.12829386116706)</f>
        <v>1.1282938611670601</v>
      </c>
    </row>
    <row r="976" spans="2:36" ht="15.75" customHeight="1" x14ac:dyDescent="0.45">
      <c r="B976" s="10" t="str">
        <f ca="1">IFERROR(__xludf.DUMMYFUNCTION("""COMPUTED_VALUE"""),"Wine")</f>
        <v>Wine</v>
      </c>
      <c r="C976" s="10" t="str">
        <f ca="1">IFERROR(__xludf.DUMMYFUNCTION("""COMPUTED_VALUE"""),"mcar")</f>
        <v>mcar</v>
      </c>
      <c r="D976" s="10">
        <f ca="1">IFERROR(__xludf.DUMMYFUNCTION("""COMPUTED_VALUE"""),0.8)</f>
        <v>0.8</v>
      </c>
      <c r="E976" s="17">
        <f ca="1">IFERROR(__xludf.DUMMYFUNCTION("""COMPUTED_VALUE"""),1.00306650612899)</f>
        <v>1.0030665061289901</v>
      </c>
      <c r="F976" s="17">
        <f ca="1">IFERROR(__xludf.DUMMYFUNCTION("""COMPUTED_VALUE"""),0.12777660065956)</f>
        <v>0.12777660065956001</v>
      </c>
      <c r="G976" s="17">
        <f ca="1">IFERROR(__xludf.DUMMYFUNCTION("""COMPUTED_VALUE"""),0.622425683648655)</f>
        <v>0.62242568364865503</v>
      </c>
      <c r="H976" s="17">
        <f ca="1">IFERROR(__xludf.DUMMYFUNCTION("""COMPUTED_VALUE"""),0.0239085846227983)</f>
        <v>2.3908584622798299E-2</v>
      </c>
      <c r="I976" s="17">
        <f ca="1">IFERROR(__xludf.DUMMYFUNCTION("""COMPUTED_VALUE"""),0.268920303618087)</f>
        <v>0.268920303618087</v>
      </c>
      <c r="J976" s="17">
        <f ca="1">IFERROR(__xludf.DUMMYFUNCTION("""COMPUTED_VALUE"""),0.912473860223098)</f>
        <v>0.91247386022309795</v>
      </c>
      <c r="K976" s="17" t="str">
        <f ca="1">IFERROR(__xludf.DUMMYFUNCTION("""COMPUTED_VALUE"""),"nan")</f>
        <v>nan</v>
      </c>
      <c r="L976" s="17">
        <f ca="1">IFERROR(__xludf.DUMMYFUNCTION("""COMPUTED_VALUE"""),0.0720712056065342)</f>
        <v>7.2071205606534197E-2</v>
      </c>
      <c r="M976" s="17">
        <f ca="1">IFERROR(__xludf.DUMMYFUNCTION("""COMPUTED_VALUE"""),0.67539081197316)</f>
        <v>0.67539081197315998</v>
      </c>
      <c r="N976" s="17">
        <f ca="1">IFERROR(__xludf.DUMMYFUNCTION("""COMPUTED_VALUE"""),0.030023273337482)</f>
        <v>3.0023273337482E-2</v>
      </c>
      <c r="O976" s="17">
        <f ca="1">IFERROR(__xludf.DUMMYFUNCTION("""COMPUTED_VALUE"""),0.533742569390479)</f>
        <v>0.53374256939047904</v>
      </c>
      <c r="P976" s="17">
        <f ca="1">IFERROR(__xludf.DUMMYFUNCTION("""COMPUTED_VALUE"""),0.771302619907931)</f>
        <v>0.77130261990793103</v>
      </c>
      <c r="Q976" s="17">
        <f ca="1">IFERROR(__xludf.DUMMYFUNCTION("""COMPUTED_VALUE"""),0.325622786141993)</f>
        <v>0.32562278614199303</v>
      </c>
      <c r="R976" s="17">
        <f ca="1">IFERROR(__xludf.DUMMYFUNCTION("""COMPUTED_VALUE"""),0.00538633208870476)</f>
        <v>5.3863320887047603E-3</v>
      </c>
      <c r="S976" s="17">
        <f ca="1">IFERROR(__xludf.DUMMYFUNCTION("""COMPUTED_VALUE"""),1.11371429512507)</f>
        <v>1.11371429512507</v>
      </c>
      <c r="T976" s="17">
        <f ca="1">IFERROR(__xludf.DUMMYFUNCTION("""COMPUTED_VALUE"""),0.25995454652522)</f>
        <v>0.25995454652521999</v>
      </c>
      <c r="U976" s="17">
        <f ca="1">IFERROR(__xludf.DUMMYFUNCTION("""COMPUTED_VALUE"""),0.161436675094278)</f>
        <v>0.161436675094278</v>
      </c>
      <c r="V976" s="17">
        <f ca="1">IFERROR(__xludf.DUMMYFUNCTION("""COMPUTED_VALUE"""),0.180118971530452)</f>
        <v>0.180118971530452</v>
      </c>
      <c r="W976" s="17">
        <f ca="1">IFERROR(__xludf.DUMMYFUNCTION("""COMPUTED_VALUE"""),0.805390804523041)</f>
        <v>0.80539080452304102</v>
      </c>
      <c r="X976" s="17">
        <f ca="1">IFERROR(__xludf.DUMMYFUNCTION("""COMPUTED_VALUE"""),0.261306100738011)</f>
        <v>0.26130610073801103</v>
      </c>
      <c r="Y976" s="17">
        <f ca="1">IFERROR(__xludf.DUMMYFUNCTION("""COMPUTED_VALUE"""),0.187654303096801)</f>
        <v>0.18765430309680101</v>
      </c>
      <c r="Z976" s="17">
        <f ca="1">IFERROR(__xludf.DUMMYFUNCTION("""COMPUTED_VALUE"""),0.639575342945867)</f>
        <v>0.63957534294586704</v>
      </c>
      <c r="AA976" s="17">
        <f ca="1">IFERROR(__xludf.DUMMYFUNCTION("""COMPUTED_VALUE"""),0.00243768276184189)</f>
        <v>2.43768276184189E-3</v>
      </c>
      <c r="AB976" s="17">
        <f ca="1">IFERROR(__xludf.DUMMYFUNCTION("""COMPUTED_VALUE"""),0.935101635231901)</f>
        <v>0.93510163523190104</v>
      </c>
      <c r="AC976" s="17">
        <f ca="1">IFERROR(__xludf.DUMMYFUNCTION("""COMPUTED_VALUE"""),0.844092352564991)</f>
        <v>0.84409235256499104</v>
      </c>
      <c r="AD976" s="17">
        <f ca="1">IFERROR(__xludf.DUMMYFUNCTION("""COMPUTED_VALUE"""),0.359634381816032)</f>
        <v>0.35963438181603202</v>
      </c>
      <c r="AE976" s="17">
        <f ca="1">IFERROR(__xludf.DUMMYFUNCTION("""COMPUTED_VALUE"""),1.66407595069486)</f>
        <v>1.6640759506948599</v>
      </c>
      <c r="AF976" s="17">
        <f ca="1">IFERROR(__xludf.DUMMYFUNCTION("""COMPUTED_VALUE"""),0.419093613050229)</f>
        <v>0.41909361305022902</v>
      </c>
      <c r="AG976" s="17">
        <f ca="1">IFERROR(__xludf.DUMMYFUNCTION("""COMPUTED_VALUE"""),1.07590300625137)</f>
        <v>1.0759030062513699</v>
      </c>
      <c r="AH976" s="17">
        <f ca="1">IFERROR(__xludf.DUMMYFUNCTION("""COMPUTED_VALUE"""),1.05834518139133)</f>
        <v>1.05834518139133</v>
      </c>
      <c r="AI976" s="17">
        <f ca="1">IFERROR(__xludf.DUMMYFUNCTION("""COMPUTED_VALUE"""),1.05114987364376)</f>
        <v>1.0511498736437599</v>
      </c>
      <c r="AJ976" s="17">
        <f ca="1">IFERROR(__xludf.DUMMYFUNCTION("""COMPUTED_VALUE"""),0.984258610402833)</f>
        <v>0.98425861040283302</v>
      </c>
    </row>
    <row r="977" spans="2:36" ht="15.75" customHeight="1" x14ac:dyDescent="0.45">
      <c r="B977" s="10" t="str">
        <f ca="1">IFERROR(__xludf.DUMMYFUNCTION("""COMPUTED_VALUE"""),"Worms")</f>
        <v>Worms</v>
      </c>
      <c r="C977" s="10" t="str">
        <f ca="1">IFERROR(__xludf.DUMMYFUNCTION("""COMPUTED_VALUE"""),"aligned_series")</f>
        <v>aligned_series</v>
      </c>
      <c r="D977" s="10">
        <f ca="1">IFERROR(__xludf.DUMMYFUNCTION("""COMPUTED_VALUE"""),0.1)</f>
        <v>0.1</v>
      </c>
      <c r="E977" s="17">
        <f ca="1">IFERROR(__xludf.DUMMYFUNCTION("""COMPUTED_VALUE"""),1.02173933246697)</f>
        <v>1.0217393324669699</v>
      </c>
      <c r="F977" s="17">
        <f ca="1">IFERROR(__xludf.DUMMYFUNCTION("""COMPUTED_VALUE"""),0.93840323342843)</f>
        <v>0.93840323342843002</v>
      </c>
      <c r="G977" s="17">
        <f ca="1">IFERROR(__xludf.DUMMYFUNCTION("""COMPUTED_VALUE"""),0.948609928776443)</f>
        <v>0.94860992877644301</v>
      </c>
      <c r="H977" s="17">
        <f ca="1">IFERROR(__xludf.DUMMYFUNCTION("""COMPUTED_VALUE"""),1.04128105730649)</f>
        <v>1.0412810573064899</v>
      </c>
      <c r="I977" s="17">
        <f ca="1">IFERROR(__xludf.DUMMYFUNCTION("""COMPUTED_VALUE"""),0.7407295147331)</f>
        <v>0.7407295147331</v>
      </c>
      <c r="J977" s="17">
        <f ca="1">IFERROR(__xludf.DUMMYFUNCTION("""COMPUTED_VALUE"""),1.0065705832445)</f>
        <v>1.0065705832445</v>
      </c>
      <c r="K977" s="17" t="str">
        <f ca="1">IFERROR(__xludf.DUMMYFUNCTION("""COMPUTED_VALUE"""),"nan")</f>
        <v>nan</v>
      </c>
      <c r="L977" s="17">
        <f ca="1">IFERROR(__xludf.DUMMYFUNCTION("""COMPUTED_VALUE"""),0.936837604441154)</f>
        <v>0.93683760444115405</v>
      </c>
      <c r="M977" s="17">
        <f ca="1">IFERROR(__xludf.DUMMYFUNCTION("""COMPUTED_VALUE"""),0.887960072317355)</f>
        <v>0.88796007231735496</v>
      </c>
      <c r="N977" s="17">
        <f ca="1">IFERROR(__xludf.DUMMYFUNCTION("""COMPUTED_VALUE"""),1.07476063525924)</f>
        <v>1.07476063525924</v>
      </c>
      <c r="O977" s="17">
        <f ca="1">IFERROR(__xludf.DUMMYFUNCTION("""COMPUTED_VALUE"""),0.954965139183547)</f>
        <v>0.95496513918354697</v>
      </c>
      <c r="P977" s="17">
        <f ca="1">IFERROR(__xludf.DUMMYFUNCTION("""COMPUTED_VALUE"""),1.07100591266091)</f>
        <v>1.0710059126609099</v>
      </c>
      <c r="Q977" s="17">
        <f ca="1">IFERROR(__xludf.DUMMYFUNCTION("""COMPUTED_VALUE"""),1.49808255433323)</f>
        <v>1.4980825543332299</v>
      </c>
      <c r="R977" s="17">
        <f ca="1">IFERROR(__xludf.DUMMYFUNCTION("""COMPUTED_VALUE"""),1.48436024957161)</f>
        <v>1.4843602495716099</v>
      </c>
      <c r="S977" s="17">
        <f ca="1">IFERROR(__xludf.DUMMYFUNCTION("""COMPUTED_VALUE"""),1.08138401894012)</f>
        <v>1.08138401894012</v>
      </c>
      <c r="T977" s="17">
        <f ca="1">IFERROR(__xludf.DUMMYFUNCTION("""COMPUTED_VALUE"""),0.895958661725484)</f>
        <v>0.895958661725484</v>
      </c>
      <c r="U977" s="17">
        <f ca="1">IFERROR(__xludf.DUMMYFUNCTION("""COMPUTED_VALUE"""),1.05281963813195)</f>
        <v>1.0528196381319499</v>
      </c>
      <c r="V977" s="17">
        <f ca="1">IFERROR(__xludf.DUMMYFUNCTION("""COMPUTED_VALUE"""),0.907256022213675)</f>
        <v>0.90725602221367496</v>
      </c>
      <c r="W977" s="17">
        <f ca="1">IFERROR(__xludf.DUMMYFUNCTION("""COMPUTED_VALUE"""),0.985757371606385)</f>
        <v>0.98575737160638499</v>
      </c>
      <c r="X977" s="17">
        <f ca="1">IFERROR(__xludf.DUMMYFUNCTION("""COMPUTED_VALUE"""),0.896465057037511)</f>
        <v>0.896465057037511</v>
      </c>
      <c r="Y977" s="17">
        <f ca="1">IFERROR(__xludf.DUMMYFUNCTION("""COMPUTED_VALUE"""),0.93138463602261)</f>
        <v>0.93138463602261001</v>
      </c>
      <c r="Z977" s="17">
        <f ca="1">IFERROR(__xludf.DUMMYFUNCTION("""COMPUTED_VALUE"""),0.893726294109855)</f>
        <v>0.89372629410985505</v>
      </c>
      <c r="AA977" s="17">
        <f ca="1">IFERROR(__xludf.DUMMYFUNCTION("""COMPUTED_VALUE"""),1.79381560871405)</f>
        <v>1.79381560871405</v>
      </c>
      <c r="AB977" s="17">
        <f ca="1">IFERROR(__xludf.DUMMYFUNCTION("""COMPUTED_VALUE"""),1.54498623773465)</f>
        <v>1.5449862377346499</v>
      </c>
      <c r="AC977" s="17">
        <f ca="1">IFERROR(__xludf.DUMMYFUNCTION("""COMPUTED_VALUE"""),0.940471953255418)</f>
        <v>0.94047195325541799</v>
      </c>
      <c r="AD977" s="17">
        <f ca="1">IFERROR(__xludf.DUMMYFUNCTION("""COMPUTED_VALUE"""),0.946313897021774)</f>
        <v>0.94631389702177404</v>
      </c>
      <c r="AE977" s="17">
        <f ca="1">IFERROR(__xludf.DUMMYFUNCTION("""COMPUTED_VALUE"""),1.23538649523751)</f>
        <v>1.23538649523751</v>
      </c>
      <c r="AF977" s="17">
        <f ca="1">IFERROR(__xludf.DUMMYFUNCTION("""COMPUTED_VALUE"""),0.981857796142957)</f>
        <v>0.98185779614295698</v>
      </c>
      <c r="AG977" s="17">
        <f ca="1">IFERROR(__xludf.DUMMYFUNCTION("""COMPUTED_VALUE"""),0.808795143566727)</f>
        <v>0.80879514356672699</v>
      </c>
      <c r="AH977" s="17">
        <f ca="1">IFERROR(__xludf.DUMMYFUNCTION("""COMPUTED_VALUE"""),0.786570528716446)</f>
        <v>0.78657052871644595</v>
      </c>
      <c r="AI977" s="17">
        <f ca="1">IFERROR(__xludf.DUMMYFUNCTION("""COMPUTED_VALUE"""),0.787035254591266)</f>
        <v>0.787035254591266</v>
      </c>
      <c r="AJ977" s="17">
        <f ca="1">IFERROR(__xludf.DUMMYFUNCTION("""COMPUTED_VALUE"""),0.775721600995915)</f>
        <v>0.77572160099591503</v>
      </c>
    </row>
    <row r="978" spans="2:36" ht="15.75" customHeight="1" x14ac:dyDescent="0.45">
      <c r="B978" s="10" t="str">
        <f ca="1">IFERROR(__xludf.DUMMYFUNCTION("""COMPUTED_VALUE"""),"Worms")</f>
        <v>Worms</v>
      </c>
      <c r="C978" s="10" t="str">
        <f ca="1">IFERROR(__xludf.DUMMYFUNCTION("""COMPUTED_VALUE"""),"aligned_series")</f>
        <v>aligned_series</v>
      </c>
      <c r="D978" s="10">
        <f ca="1">IFERROR(__xludf.DUMMYFUNCTION("""COMPUTED_VALUE"""),0.2)</f>
        <v>0.2</v>
      </c>
      <c r="E978" s="17">
        <f ca="1">IFERROR(__xludf.DUMMYFUNCTION("""COMPUTED_VALUE"""),1.05563410937824)</f>
        <v>1.05563410937824</v>
      </c>
      <c r="F978" s="17">
        <f ca="1">IFERROR(__xludf.DUMMYFUNCTION("""COMPUTED_VALUE"""),0.98539417240671)</f>
        <v>0.98539417240671001</v>
      </c>
      <c r="G978" s="17">
        <f ca="1">IFERROR(__xludf.DUMMYFUNCTION("""COMPUTED_VALUE"""),0.989951983933318)</f>
        <v>0.98995198393331796</v>
      </c>
      <c r="H978" s="17">
        <f ca="1">IFERROR(__xludf.DUMMYFUNCTION("""COMPUTED_VALUE"""),1.02962919561714)</f>
        <v>1.0296291956171399</v>
      </c>
      <c r="I978" s="17">
        <f ca="1">IFERROR(__xludf.DUMMYFUNCTION("""COMPUTED_VALUE"""),0.758150364317291)</f>
        <v>0.75815036431729099</v>
      </c>
      <c r="J978" s="17">
        <f ca="1">IFERROR(__xludf.DUMMYFUNCTION("""COMPUTED_VALUE"""),1.04073208649554)</f>
        <v>1.0407320864955401</v>
      </c>
      <c r="K978" s="17" t="str">
        <f ca="1">IFERROR(__xludf.DUMMYFUNCTION("""COMPUTED_VALUE"""),"nan")</f>
        <v>nan</v>
      </c>
      <c r="L978" s="17">
        <f ca="1">IFERROR(__xludf.DUMMYFUNCTION("""COMPUTED_VALUE"""),0.929216190209038)</f>
        <v>0.92921619020903801</v>
      </c>
      <c r="M978" s="17">
        <f ca="1">IFERROR(__xludf.DUMMYFUNCTION("""COMPUTED_VALUE"""),0.931435714836581)</f>
        <v>0.93143571483658105</v>
      </c>
      <c r="N978" s="17">
        <f ca="1">IFERROR(__xludf.DUMMYFUNCTION("""COMPUTED_VALUE"""),1.09934599096451)</f>
        <v>1.09934599096451</v>
      </c>
      <c r="O978" s="17">
        <f ca="1">IFERROR(__xludf.DUMMYFUNCTION("""COMPUTED_VALUE"""),1.00417523223059)</f>
        <v>1.0041752322305899</v>
      </c>
      <c r="P978" s="17">
        <f ca="1">IFERROR(__xludf.DUMMYFUNCTION("""COMPUTED_VALUE"""),1.06237382166182)</f>
        <v>1.0623738216618199</v>
      </c>
      <c r="Q978" s="17">
        <f ca="1">IFERROR(__xludf.DUMMYFUNCTION("""COMPUTED_VALUE"""),1.43694448912755)</f>
        <v>1.43694448912755</v>
      </c>
      <c r="R978" s="17">
        <f ca="1">IFERROR(__xludf.DUMMYFUNCTION("""COMPUTED_VALUE"""),1.22390550981449)</f>
        <v>1.22390550981449</v>
      </c>
      <c r="S978" s="17">
        <f ca="1">IFERROR(__xludf.DUMMYFUNCTION("""COMPUTED_VALUE"""),1.03090569877791)</f>
        <v>1.0309056987779099</v>
      </c>
      <c r="T978" s="17">
        <f ca="1">IFERROR(__xludf.DUMMYFUNCTION("""COMPUTED_VALUE"""),0.896909991972669)</f>
        <v>0.89690999197266896</v>
      </c>
      <c r="U978" s="17">
        <f ca="1">IFERROR(__xludf.DUMMYFUNCTION("""COMPUTED_VALUE"""),0.949519457714787)</f>
        <v>0.94951945771478696</v>
      </c>
      <c r="V978" s="17">
        <f ca="1">IFERROR(__xludf.DUMMYFUNCTION("""COMPUTED_VALUE"""),0.899097869531089)</f>
        <v>0.89909786953108894</v>
      </c>
      <c r="W978" s="17">
        <f ca="1">IFERROR(__xludf.DUMMYFUNCTION("""COMPUTED_VALUE"""),0.985714047265913)</f>
        <v>0.98571404726591305</v>
      </c>
      <c r="X978" s="17">
        <f ca="1">IFERROR(__xludf.DUMMYFUNCTION("""COMPUTED_VALUE"""),0.879771959360273)</f>
        <v>0.87977195936027297</v>
      </c>
      <c r="Y978" s="17">
        <f ca="1">IFERROR(__xludf.DUMMYFUNCTION("""COMPUTED_VALUE"""),0.914466547384311)</f>
        <v>0.91446654738431099</v>
      </c>
      <c r="Z978" s="17">
        <f ca="1">IFERROR(__xludf.DUMMYFUNCTION("""COMPUTED_VALUE"""),0.915841062871085)</f>
        <v>0.91584106287108502</v>
      </c>
      <c r="AA978" s="17">
        <f ca="1">IFERROR(__xludf.DUMMYFUNCTION("""COMPUTED_VALUE"""),1.84425306610327)</f>
        <v>1.8442530661032699</v>
      </c>
      <c r="AB978" s="17">
        <f ca="1">IFERROR(__xludf.DUMMYFUNCTION("""COMPUTED_VALUE"""),1.58945611730313)</f>
        <v>1.5894561173031301</v>
      </c>
      <c r="AC978" s="17">
        <f ca="1">IFERROR(__xludf.DUMMYFUNCTION("""COMPUTED_VALUE"""),0.968593696964943)</f>
        <v>0.96859369696494302</v>
      </c>
      <c r="AD978" s="17">
        <f ca="1">IFERROR(__xludf.DUMMYFUNCTION("""COMPUTED_VALUE"""),0.96736698919405)</f>
        <v>0.96736698919404995</v>
      </c>
      <c r="AE978" s="17">
        <f ca="1">IFERROR(__xludf.DUMMYFUNCTION("""COMPUTED_VALUE"""),1.24484612953857)</f>
        <v>1.24484612953857</v>
      </c>
      <c r="AF978" s="17">
        <f ca="1">IFERROR(__xludf.DUMMYFUNCTION("""COMPUTED_VALUE"""),1.0631030506494)</f>
        <v>1.0631030506493999</v>
      </c>
      <c r="AG978" s="17">
        <f ca="1">IFERROR(__xludf.DUMMYFUNCTION("""COMPUTED_VALUE"""),0.817252146169537)</f>
        <v>0.81725214616953701</v>
      </c>
      <c r="AH978" s="17">
        <f ca="1">IFERROR(__xludf.DUMMYFUNCTION("""COMPUTED_VALUE"""),0.823930764885878)</f>
        <v>0.82393076488587802</v>
      </c>
      <c r="AI978" s="17">
        <f ca="1">IFERROR(__xludf.DUMMYFUNCTION("""COMPUTED_VALUE"""),0.824820351150724)</f>
        <v>0.82482035115072405</v>
      </c>
      <c r="AJ978" s="17">
        <f ca="1">IFERROR(__xludf.DUMMYFUNCTION("""COMPUTED_VALUE"""),0.803178718678887)</f>
        <v>0.80317871867888702</v>
      </c>
    </row>
    <row r="979" spans="2:36" ht="15.75" customHeight="1" x14ac:dyDescent="0.45">
      <c r="B979" s="10" t="str">
        <f ca="1">IFERROR(__xludf.DUMMYFUNCTION("""COMPUTED_VALUE"""),"Worms")</f>
        <v>Worms</v>
      </c>
      <c r="C979" s="10" t="str">
        <f ca="1">IFERROR(__xludf.DUMMYFUNCTION("""COMPUTED_VALUE"""),"aligned_series")</f>
        <v>aligned_series</v>
      </c>
      <c r="D979" s="10">
        <f ca="1">IFERROR(__xludf.DUMMYFUNCTION("""COMPUTED_VALUE"""),0.4)</f>
        <v>0.4</v>
      </c>
      <c r="E979" s="17">
        <f ca="1">IFERROR(__xludf.DUMMYFUNCTION("""COMPUTED_VALUE"""),1.0056055440698)</f>
        <v>1.0056055440698</v>
      </c>
      <c r="F979" s="17">
        <f ca="1">IFERROR(__xludf.DUMMYFUNCTION("""COMPUTED_VALUE"""),0.979551478023706)</f>
        <v>0.97955147802370601</v>
      </c>
      <c r="G979" s="17">
        <f ca="1">IFERROR(__xludf.DUMMYFUNCTION("""COMPUTED_VALUE"""),0.994292481692869)</f>
        <v>0.99429248169286899</v>
      </c>
      <c r="H979" s="17">
        <f ca="1">IFERROR(__xludf.DUMMYFUNCTION("""COMPUTED_VALUE"""),0.958550679923476)</f>
        <v>0.95855067992347598</v>
      </c>
      <c r="I979" s="17">
        <f ca="1">IFERROR(__xludf.DUMMYFUNCTION("""COMPUTED_VALUE"""),0.797861413996578)</f>
        <v>0.79786141399657795</v>
      </c>
      <c r="J979" s="17">
        <f ca="1">IFERROR(__xludf.DUMMYFUNCTION("""COMPUTED_VALUE"""),1.022889401149)</f>
        <v>1.022889401149</v>
      </c>
      <c r="K979" s="17" t="str">
        <f ca="1">IFERROR(__xludf.DUMMYFUNCTION("""COMPUTED_VALUE"""),"nan")</f>
        <v>nan</v>
      </c>
      <c r="L979" s="17">
        <f ca="1">IFERROR(__xludf.DUMMYFUNCTION("""COMPUTED_VALUE"""),0.956999805496156)</f>
        <v>0.95699980549615604</v>
      </c>
      <c r="M979" s="17">
        <f ca="1">IFERROR(__xludf.DUMMYFUNCTION("""COMPUTED_VALUE"""),0.957700334882314)</f>
        <v>0.95770033488231399</v>
      </c>
      <c r="N979" s="17">
        <f ca="1">IFERROR(__xludf.DUMMYFUNCTION("""COMPUTED_VALUE"""),1.02202388743524)</f>
        <v>1.0220238874352401</v>
      </c>
      <c r="O979" s="17">
        <f ca="1">IFERROR(__xludf.DUMMYFUNCTION("""COMPUTED_VALUE"""),0.980518998744539)</f>
        <v>0.98051899874453896</v>
      </c>
      <c r="P979" s="17">
        <f ca="1">IFERROR(__xludf.DUMMYFUNCTION("""COMPUTED_VALUE"""),1.09756286975109)</f>
        <v>1.09756286975109</v>
      </c>
      <c r="Q979" s="17">
        <f ca="1">IFERROR(__xludf.DUMMYFUNCTION("""COMPUTED_VALUE"""),1.41716741006285)</f>
        <v>1.41716741006285</v>
      </c>
      <c r="R979" s="17">
        <f ca="1">IFERROR(__xludf.DUMMYFUNCTION("""COMPUTED_VALUE"""),1.08925620716358)</f>
        <v>1.0892562071635801</v>
      </c>
      <c r="S979" s="17">
        <f ca="1">IFERROR(__xludf.DUMMYFUNCTION("""COMPUTED_VALUE"""),1.06289872561416)</f>
        <v>1.06289872561416</v>
      </c>
      <c r="T979" s="17">
        <f ca="1">IFERROR(__xludf.DUMMYFUNCTION("""COMPUTED_VALUE"""),0.933886691325088)</f>
        <v>0.93388669132508795</v>
      </c>
      <c r="U979" s="17">
        <f ca="1">IFERROR(__xludf.DUMMYFUNCTION("""COMPUTED_VALUE"""),0.982101144472043)</f>
        <v>0.982101144472043</v>
      </c>
      <c r="V979" s="17">
        <f ca="1">IFERROR(__xludf.DUMMYFUNCTION("""COMPUTED_VALUE"""),0.915985827480105)</f>
        <v>0.91598582748010504</v>
      </c>
      <c r="W979" s="17">
        <f ca="1">IFERROR(__xludf.DUMMYFUNCTION("""COMPUTED_VALUE"""),0.958152639803228)</f>
        <v>0.95815263980322796</v>
      </c>
      <c r="X979" s="17">
        <f ca="1">IFERROR(__xludf.DUMMYFUNCTION("""COMPUTED_VALUE"""),0.848681109159872)</f>
        <v>0.84868110915987205</v>
      </c>
      <c r="Y979" s="17">
        <f ca="1">IFERROR(__xludf.DUMMYFUNCTION("""COMPUTED_VALUE"""),0.868393594255672)</f>
        <v>0.86839359425567197</v>
      </c>
      <c r="Z979" s="17">
        <f ca="1">IFERROR(__xludf.DUMMYFUNCTION("""COMPUTED_VALUE"""),0.895617621970967)</f>
        <v>0.89561762197096695</v>
      </c>
      <c r="AA979" s="17">
        <f ca="1">IFERROR(__xludf.DUMMYFUNCTION("""COMPUTED_VALUE"""),1.42033447198498)</f>
        <v>1.42033447198498</v>
      </c>
      <c r="AB979" s="17">
        <f ca="1">IFERROR(__xludf.DUMMYFUNCTION("""COMPUTED_VALUE"""),1.88150568045417)</f>
        <v>1.8815056804541701</v>
      </c>
      <c r="AC979" s="17">
        <f ca="1">IFERROR(__xludf.DUMMYFUNCTION("""COMPUTED_VALUE"""),0.89750604598059)</f>
        <v>0.89750604598059003</v>
      </c>
      <c r="AD979" s="17">
        <f ca="1">IFERROR(__xludf.DUMMYFUNCTION("""COMPUTED_VALUE"""),0.924231725200349)</f>
        <v>0.92423172520034902</v>
      </c>
      <c r="AE979" s="17">
        <f ca="1">IFERROR(__xludf.DUMMYFUNCTION("""COMPUTED_VALUE"""),1.20588254031506)</f>
        <v>1.2058825403150599</v>
      </c>
      <c r="AF979" s="17">
        <f ca="1">IFERROR(__xludf.DUMMYFUNCTION("""COMPUTED_VALUE"""),1.00144931931148)</f>
        <v>1.00144931931148</v>
      </c>
      <c r="AG979" s="17">
        <f ca="1">IFERROR(__xludf.DUMMYFUNCTION("""COMPUTED_VALUE"""),0.877181812434447)</f>
        <v>0.87718181243444704</v>
      </c>
      <c r="AH979" s="17">
        <f ca="1">IFERROR(__xludf.DUMMYFUNCTION("""COMPUTED_VALUE"""),0.852910637893495)</f>
        <v>0.85291063789349497</v>
      </c>
      <c r="AI979" s="17">
        <f ca="1">IFERROR(__xludf.DUMMYFUNCTION("""COMPUTED_VALUE"""),0.858926148120499)</f>
        <v>0.85892614812049894</v>
      </c>
      <c r="AJ979" s="17">
        <f ca="1">IFERROR(__xludf.DUMMYFUNCTION("""COMPUTED_VALUE"""),0.831377416095948)</f>
        <v>0.83137741609594795</v>
      </c>
    </row>
    <row r="980" spans="2:36" ht="15.75" customHeight="1" x14ac:dyDescent="0.45">
      <c r="B980" s="10" t="str">
        <f ca="1">IFERROR(__xludf.DUMMYFUNCTION("""COMPUTED_VALUE"""),"Worms")</f>
        <v>Worms</v>
      </c>
      <c r="C980" s="10" t="str">
        <f ca="1">IFERROR(__xludf.DUMMYFUNCTION("""COMPUTED_VALUE"""),"aligned_series")</f>
        <v>aligned_series</v>
      </c>
      <c r="D980" s="10">
        <f ca="1">IFERROR(__xludf.DUMMYFUNCTION("""COMPUTED_VALUE"""),0.6)</f>
        <v>0.6</v>
      </c>
      <c r="E980" s="17">
        <f ca="1">IFERROR(__xludf.DUMMYFUNCTION("""COMPUTED_VALUE"""),0.982579945919474)</f>
        <v>0.98257994591947395</v>
      </c>
      <c r="F980" s="17">
        <f ca="1">IFERROR(__xludf.DUMMYFUNCTION("""COMPUTED_VALUE"""),0.976500308317345)</f>
        <v>0.97650030831734502</v>
      </c>
      <c r="G980" s="17">
        <f ca="1">IFERROR(__xludf.DUMMYFUNCTION("""COMPUTED_VALUE"""),1.00900227109522)</f>
        <v>1.00900227109522</v>
      </c>
      <c r="H980" s="17">
        <f ca="1">IFERROR(__xludf.DUMMYFUNCTION("""COMPUTED_VALUE"""),1.00039020441711)</f>
        <v>1.00039020441711</v>
      </c>
      <c r="I980" s="17">
        <f ca="1">IFERROR(__xludf.DUMMYFUNCTION("""COMPUTED_VALUE"""),0.808411562369066)</f>
        <v>0.80841156236906597</v>
      </c>
      <c r="J980" s="17">
        <f ca="1">IFERROR(__xludf.DUMMYFUNCTION("""COMPUTED_VALUE"""),1.00874425657287)</f>
        <v>1.0087442565728699</v>
      </c>
      <c r="K980" s="17" t="str">
        <f ca="1">IFERROR(__xludf.DUMMYFUNCTION("""COMPUTED_VALUE"""),"nan")</f>
        <v>nan</v>
      </c>
      <c r="L980" s="17">
        <f ca="1">IFERROR(__xludf.DUMMYFUNCTION("""COMPUTED_VALUE"""),0.98305702369923)</f>
        <v>0.98305702369922998</v>
      </c>
      <c r="M980" s="17">
        <f ca="1">IFERROR(__xludf.DUMMYFUNCTION("""COMPUTED_VALUE"""),0.944096496760516)</f>
        <v>0.94409649676051599</v>
      </c>
      <c r="N980" s="17">
        <f ca="1">IFERROR(__xludf.DUMMYFUNCTION("""COMPUTED_VALUE"""),1.00928761540575)</f>
        <v>1.00928761540575</v>
      </c>
      <c r="O980" s="17">
        <f ca="1">IFERROR(__xludf.DUMMYFUNCTION("""COMPUTED_VALUE"""),1.0498667779187)</f>
        <v>1.0498667779187001</v>
      </c>
      <c r="P980" s="17">
        <f ca="1">IFERROR(__xludf.DUMMYFUNCTION("""COMPUTED_VALUE"""),1.07389509061659)</f>
        <v>1.0738950906165901</v>
      </c>
      <c r="Q980" s="17">
        <f ca="1">IFERROR(__xludf.DUMMYFUNCTION("""COMPUTED_VALUE"""),1.27314253424692)</f>
        <v>1.27314253424692</v>
      </c>
      <c r="R980" s="17">
        <f ca="1">IFERROR(__xludf.DUMMYFUNCTION("""COMPUTED_VALUE"""),0.999518722046984)</f>
        <v>0.999518722046984</v>
      </c>
      <c r="S980" s="17">
        <f ca="1">IFERROR(__xludf.DUMMYFUNCTION("""COMPUTED_VALUE"""),1.06459494746891)</f>
        <v>1.06459494746891</v>
      </c>
      <c r="T980" s="17">
        <f ca="1">IFERROR(__xludf.DUMMYFUNCTION("""COMPUTED_VALUE"""),0.90297700132988)</f>
        <v>0.90297700132988001</v>
      </c>
      <c r="U980" s="17">
        <f ca="1">IFERROR(__xludf.DUMMYFUNCTION("""COMPUTED_VALUE"""),0.965235981817067)</f>
        <v>0.96523598181706705</v>
      </c>
      <c r="V980" s="17">
        <f ca="1">IFERROR(__xludf.DUMMYFUNCTION("""COMPUTED_VALUE"""),0.880591615027827)</f>
        <v>0.88059161502782701</v>
      </c>
      <c r="W980" s="17">
        <f ca="1">IFERROR(__xludf.DUMMYFUNCTION("""COMPUTED_VALUE"""),0.912083823954362)</f>
        <v>0.91208382395436205</v>
      </c>
      <c r="X980" s="17">
        <f ca="1">IFERROR(__xludf.DUMMYFUNCTION("""COMPUTED_VALUE"""),0.838776961629088)</f>
        <v>0.83877696162908799</v>
      </c>
      <c r="Y980" s="17">
        <f ca="1">IFERROR(__xludf.DUMMYFUNCTION("""COMPUTED_VALUE"""),0.858136610291919)</f>
        <v>0.85813661029191901</v>
      </c>
      <c r="Z980" s="17">
        <f ca="1">IFERROR(__xludf.DUMMYFUNCTION("""COMPUTED_VALUE"""),0.855622047461553)</f>
        <v>0.85562204746155301</v>
      </c>
      <c r="AA980" s="17">
        <f ca="1">IFERROR(__xludf.DUMMYFUNCTION("""COMPUTED_VALUE"""),1.77292510709725)</f>
        <v>1.77292510709725</v>
      </c>
      <c r="AB980" s="17">
        <f ca="1">IFERROR(__xludf.DUMMYFUNCTION("""COMPUTED_VALUE"""),2.35274863198856)</f>
        <v>2.3527486319885602</v>
      </c>
      <c r="AC980" s="17">
        <f ca="1">IFERROR(__xludf.DUMMYFUNCTION("""COMPUTED_VALUE"""),0.892228202579302)</f>
        <v>0.89222820257930202</v>
      </c>
      <c r="AD980" s="17">
        <f ca="1">IFERROR(__xludf.DUMMYFUNCTION("""COMPUTED_VALUE"""),0.899940494162696)</f>
        <v>0.89994049416269595</v>
      </c>
      <c r="AE980" s="17">
        <f ca="1">IFERROR(__xludf.DUMMYFUNCTION("""COMPUTED_VALUE"""),1.16300501402034)</f>
        <v>1.1630050140203401</v>
      </c>
      <c r="AF980" s="17">
        <f ca="1">IFERROR(__xludf.DUMMYFUNCTION("""COMPUTED_VALUE"""),0.985058825200643)</f>
        <v>0.98505882520064303</v>
      </c>
      <c r="AG980" s="17">
        <f ca="1">IFERROR(__xludf.DUMMYFUNCTION("""COMPUTED_VALUE"""),0.871284103349812)</f>
        <v>0.87128410334981199</v>
      </c>
      <c r="AH980" s="17">
        <f ca="1">IFERROR(__xludf.DUMMYFUNCTION("""COMPUTED_VALUE"""),0.872385536315247)</f>
        <v>0.87238553631524696</v>
      </c>
      <c r="AI980" s="17">
        <f ca="1">IFERROR(__xludf.DUMMYFUNCTION("""COMPUTED_VALUE"""),0.879091625680128)</f>
        <v>0.879091625680128</v>
      </c>
      <c r="AJ980" s="17">
        <f ca="1">IFERROR(__xludf.DUMMYFUNCTION("""COMPUTED_VALUE"""),0.842849397195674)</f>
        <v>0.84284939719567398</v>
      </c>
    </row>
    <row r="981" spans="2:36" ht="15.75" customHeight="1" x14ac:dyDescent="0.45">
      <c r="B981" s="10" t="str">
        <f ca="1">IFERROR(__xludf.DUMMYFUNCTION("""COMPUTED_VALUE"""),"Worms")</f>
        <v>Worms</v>
      </c>
      <c r="C981" s="10" t="str">
        <f ca="1">IFERROR(__xludf.DUMMYFUNCTION("""COMPUTED_VALUE"""),"aligned_series")</f>
        <v>aligned_series</v>
      </c>
      <c r="D981" s="10">
        <f ca="1">IFERROR(__xludf.DUMMYFUNCTION("""COMPUTED_VALUE"""),0.8)</f>
        <v>0.8</v>
      </c>
      <c r="E981" s="17">
        <f ca="1">IFERROR(__xludf.DUMMYFUNCTION("""COMPUTED_VALUE"""),0.982251606003911)</f>
        <v>0.98225160600391104</v>
      </c>
      <c r="F981" s="17">
        <f ca="1">IFERROR(__xludf.DUMMYFUNCTION("""COMPUTED_VALUE"""),1.02816015701242)</f>
        <v>1.0281601570124199</v>
      </c>
      <c r="G981" s="17">
        <f ca="1">IFERROR(__xludf.DUMMYFUNCTION("""COMPUTED_VALUE"""),1.14659631259037)</f>
        <v>1.14659631259037</v>
      </c>
      <c r="H981" s="17">
        <f ca="1">IFERROR(__xludf.DUMMYFUNCTION("""COMPUTED_VALUE"""),1.1677873662611)</f>
        <v>1.1677873662611</v>
      </c>
      <c r="I981" s="17">
        <f ca="1">IFERROR(__xludf.DUMMYFUNCTION("""COMPUTED_VALUE"""),0.86729160068639)</f>
        <v>0.86729160068639</v>
      </c>
      <c r="J981" s="17">
        <f ca="1">IFERROR(__xludf.DUMMYFUNCTION("""COMPUTED_VALUE"""),1.0442519118542)</f>
        <v>1.0442519118542</v>
      </c>
      <c r="K981" s="17" t="str">
        <f ca="1">IFERROR(__xludf.DUMMYFUNCTION("""COMPUTED_VALUE"""),"nan")</f>
        <v>nan</v>
      </c>
      <c r="L981" s="17">
        <f ca="1">IFERROR(__xludf.DUMMYFUNCTION("""COMPUTED_VALUE"""),0.981047516796114)</f>
        <v>0.98104751679611402</v>
      </c>
      <c r="M981" s="17">
        <f ca="1">IFERROR(__xludf.DUMMYFUNCTION("""COMPUTED_VALUE"""),1.04393503759905)</f>
        <v>1.0439350375990499</v>
      </c>
      <c r="N981" s="17">
        <f ca="1">IFERROR(__xludf.DUMMYFUNCTION("""COMPUTED_VALUE"""),0.99187591001467)</f>
        <v>0.99187591001467001</v>
      </c>
      <c r="O981" s="17">
        <f ca="1">IFERROR(__xludf.DUMMYFUNCTION("""COMPUTED_VALUE"""),1.06319004842752)</f>
        <v>1.0631900484275201</v>
      </c>
      <c r="P981" s="17">
        <f ca="1">IFERROR(__xludf.DUMMYFUNCTION("""COMPUTED_VALUE"""),1.12538824827139)</f>
        <v>1.1253882482713899</v>
      </c>
      <c r="Q981" s="17">
        <f ca="1">IFERROR(__xludf.DUMMYFUNCTION("""COMPUTED_VALUE"""),1.04131798748299)</f>
        <v>1.0413179874829901</v>
      </c>
      <c r="R981" s="17">
        <f ca="1">IFERROR(__xludf.DUMMYFUNCTION("""COMPUTED_VALUE"""),1.05526137150101)</f>
        <v>1.05526137150101</v>
      </c>
      <c r="S981" s="17">
        <f ca="1">IFERROR(__xludf.DUMMYFUNCTION("""COMPUTED_VALUE"""),1.19160143397186)</f>
        <v>1.1916014339718599</v>
      </c>
      <c r="T981" s="17">
        <f ca="1">IFERROR(__xludf.DUMMYFUNCTION("""COMPUTED_VALUE"""),0.915288189215939)</f>
        <v>0.91528818921593902</v>
      </c>
      <c r="U981" s="17">
        <f ca="1">IFERROR(__xludf.DUMMYFUNCTION("""COMPUTED_VALUE"""),0.926062724700476)</f>
        <v>0.92606272470047601</v>
      </c>
      <c r="V981" s="17">
        <f ca="1">IFERROR(__xludf.DUMMYFUNCTION("""COMPUTED_VALUE"""),0.910927765187129)</f>
        <v>0.91092776518712903</v>
      </c>
      <c r="W981" s="17">
        <f ca="1">IFERROR(__xludf.DUMMYFUNCTION("""COMPUTED_VALUE"""),0.905544630361608)</f>
        <v>0.90554463036160804</v>
      </c>
      <c r="X981" s="17">
        <f ca="1">IFERROR(__xludf.DUMMYFUNCTION("""COMPUTED_VALUE"""),0.873661160205075)</f>
        <v>0.873661160205075</v>
      </c>
      <c r="Y981" s="17">
        <f ca="1">IFERROR(__xludf.DUMMYFUNCTION("""COMPUTED_VALUE"""),0.865783857309675)</f>
        <v>0.865783857309675</v>
      </c>
      <c r="Z981" s="17">
        <f ca="1">IFERROR(__xludf.DUMMYFUNCTION("""COMPUTED_VALUE"""),0.870467937901124)</f>
        <v>0.87046793790112398</v>
      </c>
      <c r="AA981" s="17">
        <f ca="1">IFERROR(__xludf.DUMMYFUNCTION("""COMPUTED_VALUE"""),1.47966636574969)</f>
        <v>1.47966636574969</v>
      </c>
      <c r="AB981" s="17">
        <f ca="1">IFERROR(__xludf.DUMMYFUNCTION("""COMPUTED_VALUE"""),2.40675906232185)</f>
        <v>2.40675906232185</v>
      </c>
      <c r="AC981" s="17">
        <f ca="1">IFERROR(__xludf.DUMMYFUNCTION("""COMPUTED_VALUE"""),0.874461528465721)</f>
        <v>0.87446152846572101</v>
      </c>
      <c r="AD981" s="17">
        <f ca="1">IFERROR(__xludf.DUMMYFUNCTION("""COMPUTED_VALUE"""),0.899665084975627)</f>
        <v>0.89966508497562703</v>
      </c>
      <c r="AE981" s="17">
        <f ca="1">IFERROR(__xludf.DUMMYFUNCTION("""COMPUTED_VALUE"""),1.16169699815341)</f>
        <v>1.16169699815341</v>
      </c>
      <c r="AF981" s="17">
        <f ca="1">IFERROR(__xludf.DUMMYFUNCTION("""COMPUTED_VALUE"""),1.05237363673192)</f>
        <v>1.0523736367319201</v>
      </c>
      <c r="AG981" s="17">
        <f ca="1">IFERROR(__xludf.DUMMYFUNCTION("""COMPUTED_VALUE"""),0.904142866270885)</f>
        <v>0.90414286627088503</v>
      </c>
      <c r="AH981" s="17">
        <f ca="1">IFERROR(__xludf.DUMMYFUNCTION("""COMPUTED_VALUE"""),0.877105063065171)</f>
        <v>0.877105063065171</v>
      </c>
      <c r="AI981" s="17">
        <f ca="1">IFERROR(__xludf.DUMMYFUNCTION("""COMPUTED_VALUE"""),0.886512147387133)</f>
        <v>0.88651214738713302</v>
      </c>
      <c r="AJ981" s="17">
        <f ca="1">IFERROR(__xludf.DUMMYFUNCTION("""COMPUTED_VALUE"""),0.864998933703481)</f>
        <v>0.86499893370348102</v>
      </c>
    </row>
    <row r="982" spans="2:36" ht="15.75" customHeight="1" x14ac:dyDescent="0.45">
      <c r="B982" s="10" t="str">
        <f ca="1">IFERROR(__xludf.DUMMYFUNCTION("""COMPUTED_VALUE"""),"Worms")</f>
        <v>Worms</v>
      </c>
      <c r="C982" s="10" t="str">
        <f ca="1">IFERROR(__xludf.DUMMYFUNCTION("""COMPUTED_VALUE"""),"aligned_timestamps")</f>
        <v>aligned_timestamps</v>
      </c>
      <c r="D982" s="10">
        <f ca="1">IFERROR(__xludf.DUMMYFUNCTION("""COMPUTED_VALUE"""),0.1)</f>
        <v>0.1</v>
      </c>
      <c r="E982" s="17">
        <f ca="1">IFERROR(__xludf.DUMMYFUNCTION("""COMPUTED_VALUE"""),1.14538753725581)</f>
        <v>1.14538753725581</v>
      </c>
      <c r="F982" s="17">
        <f ca="1">IFERROR(__xludf.DUMMYFUNCTION("""COMPUTED_VALUE"""),0.989133425442691)</f>
        <v>0.98913342544269101</v>
      </c>
      <c r="G982" s="17">
        <f ca="1">IFERROR(__xludf.DUMMYFUNCTION("""COMPUTED_VALUE"""),0.992002469641651)</f>
        <v>0.99200246964165095</v>
      </c>
      <c r="H982" s="17">
        <f ca="1">IFERROR(__xludf.DUMMYFUNCTION("""COMPUTED_VALUE"""),0.987179912824653)</f>
        <v>0.98717991282465301</v>
      </c>
      <c r="I982" s="17">
        <f ca="1">IFERROR(__xludf.DUMMYFUNCTION("""COMPUTED_VALUE"""),0.724567298638964)</f>
        <v>0.72456729863896396</v>
      </c>
      <c r="J982" s="17">
        <f ca="1">IFERROR(__xludf.DUMMYFUNCTION("""COMPUTED_VALUE"""),1.07191264458099)</f>
        <v>1.0719126445809899</v>
      </c>
      <c r="K982" s="17" t="str">
        <f ca="1">IFERROR(__xludf.DUMMYFUNCTION("""COMPUTED_VALUE"""),"nan")</f>
        <v>nan</v>
      </c>
      <c r="L982" s="17">
        <f ca="1">IFERROR(__xludf.DUMMYFUNCTION("""COMPUTED_VALUE"""),0.872285604439897)</f>
        <v>0.872285604439897</v>
      </c>
      <c r="M982" s="17">
        <f ca="1">IFERROR(__xludf.DUMMYFUNCTION("""COMPUTED_VALUE"""),0.948730352649709)</f>
        <v>0.94873035264970895</v>
      </c>
      <c r="N982" s="17">
        <f ca="1">IFERROR(__xludf.DUMMYFUNCTION("""COMPUTED_VALUE"""),1.18000306183433)</f>
        <v>1.18000306183433</v>
      </c>
      <c r="O982" s="17">
        <f ca="1">IFERROR(__xludf.DUMMYFUNCTION("""COMPUTED_VALUE"""),0.974435807958545)</f>
        <v>0.97443580795854501</v>
      </c>
      <c r="P982" s="17">
        <f ca="1">IFERROR(__xludf.DUMMYFUNCTION("""COMPUTED_VALUE"""),1.01443930372443)</f>
        <v>1.0144393037244299</v>
      </c>
      <c r="Q982" s="17">
        <f ca="1">IFERROR(__xludf.DUMMYFUNCTION("""COMPUTED_VALUE"""),1.46127103987646)</f>
        <v>1.4612710398764599</v>
      </c>
      <c r="R982" s="17">
        <f ca="1">IFERROR(__xludf.DUMMYFUNCTION("""COMPUTED_VALUE"""),0.989423557674765)</f>
        <v>0.98942355767476498</v>
      </c>
      <c r="S982" s="17">
        <f ca="1">IFERROR(__xludf.DUMMYFUNCTION("""COMPUTED_VALUE"""),0.841020355902994)</f>
        <v>0.84102035590299395</v>
      </c>
      <c r="T982" s="17">
        <f ca="1">IFERROR(__xludf.DUMMYFUNCTION("""COMPUTED_VALUE"""),0.727287022118182)</f>
        <v>0.72728702211818197</v>
      </c>
      <c r="U982" s="17">
        <f ca="1">IFERROR(__xludf.DUMMYFUNCTION("""COMPUTED_VALUE"""),0.93667768028036)</f>
        <v>0.93667768028036003</v>
      </c>
      <c r="V982" s="17">
        <f ca="1">IFERROR(__xludf.DUMMYFUNCTION("""COMPUTED_VALUE"""),0.741002329247676)</f>
        <v>0.74100232924767595</v>
      </c>
      <c r="W982" s="17">
        <f ca="1">IFERROR(__xludf.DUMMYFUNCTION("""COMPUTED_VALUE"""),1.03368176666116)</f>
        <v>1.03368176666116</v>
      </c>
      <c r="X982" s="17">
        <f ca="1">IFERROR(__xludf.DUMMYFUNCTION("""COMPUTED_VALUE"""),0.77179519993234)</f>
        <v>0.77179519993234003</v>
      </c>
      <c r="Y982" s="17">
        <f ca="1">IFERROR(__xludf.DUMMYFUNCTION("""COMPUTED_VALUE"""),0.701749288782468)</f>
        <v>0.70174928878246801</v>
      </c>
      <c r="Z982" s="17">
        <f ca="1">IFERROR(__xludf.DUMMYFUNCTION("""COMPUTED_VALUE"""),0.776732292452461)</f>
        <v>0.776732292452461</v>
      </c>
      <c r="AA982" s="17">
        <f ca="1">IFERROR(__xludf.DUMMYFUNCTION("""COMPUTED_VALUE"""),1.24340034791869)</f>
        <v>1.2434003479186899</v>
      </c>
      <c r="AB982" s="17">
        <f ca="1">IFERROR(__xludf.DUMMYFUNCTION("""COMPUTED_VALUE"""),1.38403286684145)</f>
        <v>1.3840328668414501</v>
      </c>
      <c r="AC982" s="17">
        <f ca="1">IFERROR(__xludf.DUMMYFUNCTION("""COMPUTED_VALUE"""),0.89087961884333)</f>
        <v>0.89087961884333</v>
      </c>
      <c r="AD982" s="17">
        <f ca="1">IFERROR(__xludf.DUMMYFUNCTION("""COMPUTED_VALUE"""),0.930614628339171)</f>
        <v>0.93061462833917097</v>
      </c>
      <c r="AE982" s="17">
        <f ca="1">IFERROR(__xludf.DUMMYFUNCTION("""COMPUTED_VALUE"""),1.21896061389166)</f>
        <v>1.21896061389166</v>
      </c>
      <c r="AF982" s="17">
        <f ca="1">IFERROR(__xludf.DUMMYFUNCTION("""COMPUTED_VALUE"""),0.814378592465693)</f>
        <v>0.814378592465693</v>
      </c>
      <c r="AG982" s="17">
        <f ca="1">IFERROR(__xludf.DUMMYFUNCTION("""COMPUTED_VALUE"""),0.724688482233152)</f>
        <v>0.72468848223315196</v>
      </c>
      <c r="AH982" s="17">
        <f ca="1">IFERROR(__xludf.DUMMYFUNCTION("""COMPUTED_VALUE"""),0.66840838497208)</f>
        <v>0.66840838497207999</v>
      </c>
      <c r="AI982" s="17">
        <f ca="1">IFERROR(__xludf.DUMMYFUNCTION("""COMPUTED_VALUE"""),0.679544924219794)</f>
        <v>0.67954492421979396</v>
      </c>
      <c r="AJ982" s="17">
        <f ca="1">IFERROR(__xludf.DUMMYFUNCTION("""COMPUTED_VALUE"""),0.645734067002113)</f>
        <v>0.645734067002113</v>
      </c>
    </row>
    <row r="983" spans="2:36" ht="15.75" customHeight="1" x14ac:dyDescent="0.45">
      <c r="B983" s="10" t="str">
        <f ca="1">IFERROR(__xludf.DUMMYFUNCTION("""COMPUTED_VALUE"""),"Worms")</f>
        <v>Worms</v>
      </c>
      <c r="C983" s="10" t="str">
        <f ca="1">IFERROR(__xludf.DUMMYFUNCTION("""COMPUTED_VALUE"""),"aligned_timestamps")</f>
        <v>aligned_timestamps</v>
      </c>
      <c r="D983" s="10">
        <f ca="1">IFERROR(__xludf.DUMMYFUNCTION("""COMPUTED_VALUE"""),0.2)</f>
        <v>0.2</v>
      </c>
      <c r="E983" s="17">
        <f ca="1">IFERROR(__xludf.DUMMYFUNCTION("""COMPUTED_VALUE"""),1.05563410937824)</f>
        <v>1.05563410937824</v>
      </c>
      <c r="F983" s="17">
        <f ca="1">IFERROR(__xludf.DUMMYFUNCTION("""COMPUTED_VALUE"""),0.98539417240671)</f>
        <v>0.98539417240671001</v>
      </c>
      <c r="G983" s="17">
        <f ca="1">IFERROR(__xludf.DUMMYFUNCTION("""COMPUTED_VALUE"""),0.989951983933318)</f>
        <v>0.98995198393331796</v>
      </c>
      <c r="H983" s="17">
        <f ca="1">IFERROR(__xludf.DUMMYFUNCTION("""COMPUTED_VALUE"""),1.02962919561714)</f>
        <v>1.0296291956171399</v>
      </c>
      <c r="I983" s="17">
        <f ca="1">IFERROR(__xludf.DUMMYFUNCTION("""COMPUTED_VALUE"""),0.758150364317291)</f>
        <v>0.75815036431729099</v>
      </c>
      <c r="J983" s="17">
        <f ca="1">IFERROR(__xludf.DUMMYFUNCTION("""COMPUTED_VALUE"""),1.04073208649554)</f>
        <v>1.0407320864955401</v>
      </c>
      <c r="K983" s="17" t="str">
        <f ca="1">IFERROR(__xludf.DUMMYFUNCTION("""COMPUTED_VALUE"""),"nan")</f>
        <v>nan</v>
      </c>
      <c r="L983" s="17">
        <f ca="1">IFERROR(__xludf.DUMMYFUNCTION("""COMPUTED_VALUE"""),0.929216190209038)</f>
        <v>0.92921619020903801</v>
      </c>
      <c r="M983" s="17">
        <f ca="1">IFERROR(__xludf.DUMMYFUNCTION("""COMPUTED_VALUE"""),0.931435714836581)</f>
        <v>0.93143571483658105</v>
      </c>
      <c r="N983" s="17">
        <f ca="1">IFERROR(__xludf.DUMMYFUNCTION("""COMPUTED_VALUE"""),1.09934599096451)</f>
        <v>1.09934599096451</v>
      </c>
      <c r="O983" s="17">
        <f ca="1">IFERROR(__xludf.DUMMYFUNCTION("""COMPUTED_VALUE"""),1.00417523223059)</f>
        <v>1.0041752322305899</v>
      </c>
      <c r="P983" s="17">
        <f ca="1">IFERROR(__xludf.DUMMYFUNCTION("""COMPUTED_VALUE"""),1.06237382166182)</f>
        <v>1.0623738216618199</v>
      </c>
      <c r="Q983" s="17">
        <f ca="1">IFERROR(__xludf.DUMMYFUNCTION("""COMPUTED_VALUE"""),1.43694448912755)</f>
        <v>1.43694448912755</v>
      </c>
      <c r="R983" s="17">
        <f ca="1">IFERROR(__xludf.DUMMYFUNCTION("""COMPUTED_VALUE"""),1.22390550981449)</f>
        <v>1.22390550981449</v>
      </c>
      <c r="S983" s="17">
        <f ca="1">IFERROR(__xludf.DUMMYFUNCTION("""COMPUTED_VALUE"""),1.03090569877791)</f>
        <v>1.0309056987779099</v>
      </c>
      <c r="T983" s="17">
        <f ca="1">IFERROR(__xludf.DUMMYFUNCTION("""COMPUTED_VALUE"""),0.896909991972669)</f>
        <v>0.89690999197266896</v>
      </c>
      <c r="U983" s="17">
        <f ca="1">IFERROR(__xludf.DUMMYFUNCTION("""COMPUTED_VALUE"""),0.949519457714787)</f>
        <v>0.94951945771478696</v>
      </c>
      <c r="V983" s="17">
        <f ca="1">IFERROR(__xludf.DUMMYFUNCTION("""COMPUTED_VALUE"""),0.899097869531089)</f>
        <v>0.89909786953108894</v>
      </c>
      <c r="W983" s="17">
        <f ca="1">IFERROR(__xludf.DUMMYFUNCTION("""COMPUTED_VALUE"""),1.0094023579765)</f>
        <v>1.0094023579764999</v>
      </c>
      <c r="X983" s="17">
        <f ca="1">IFERROR(__xludf.DUMMYFUNCTION("""COMPUTED_VALUE"""),0.83082773474682)</f>
        <v>0.83082773474682003</v>
      </c>
      <c r="Y983" s="17">
        <f ca="1">IFERROR(__xludf.DUMMYFUNCTION("""COMPUTED_VALUE"""),0.914466547384311)</f>
        <v>0.91446654738431099</v>
      </c>
      <c r="Z983" s="17">
        <f ca="1">IFERROR(__xludf.DUMMYFUNCTION("""COMPUTED_VALUE"""),0.915841062871085)</f>
        <v>0.91584106287108502</v>
      </c>
      <c r="AA983" s="17">
        <f ca="1">IFERROR(__xludf.DUMMYFUNCTION("""COMPUTED_VALUE"""),1.84425306610327)</f>
        <v>1.8442530661032699</v>
      </c>
      <c r="AB983" s="17">
        <f ca="1">IFERROR(__xludf.DUMMYFUNCTION("""COMPUTED_VALUE"""),1.4521539551191)</f>
        <v>1.4521539551191001</v>
      </c>
      <c r="AC983" s="17">
        <f ca="1">IFERROR(__xludf.DUMMYFUNCTION("""COMPUTED_VALUE"""),0.968593696964943)</f>
        <v>0.96859369696494302</v>
      </c>
      <c r="AD983" s="17">
        <f ca="1">IFERROR(__xludf.DUMMYFUNCTION("""COMPUTED_VALUE"""),0.963840124785708)</f>
        <v>0.96384012478570802</v>
      </c>
      <c r="AE983" s="17">
        <f ca="1">IFERROR(__xludf.DUMMYFUNCTION("""COMPUTED_VALUE"""),1.24663862296926)</f>
        <v>1.2466386229692601</v>
      </c>
      <c r="AF983" s="17">
        <f ca="1">IFERROR(__xludf.DUMMYFUNCTION("""COMPUTED_VALUE"""),1.0631030506494)</f>
        <v>1.0631030506493999</v>
      </c>
      <c r="AG983" s="17">
        <f ca="1">IFERROR(__xludf.DUMMYFUNCTION("""COMPUTED_VALUE"""),0.849993696364363)</f>
        <v>0.84999369636436295</v>
      </c>
      <c r="AH983" s="17">
        <f ca="1">IFERROR(__xludf.DUMMYFUNCTION("""COMPUTED_VALUE"""),0.824615427362122)</f>
        <v>0.82461542736212201</v>
      </c>
      <c r="AI983" s="17">
        <f ca="1">IFERROR(__xludf.DUMMYFUNCTION("""COMPUTED_VALUE"""),0.824820351150724)</f>
        <v>0.82482035115072405</v>
      </c>
      <c r="AJ983" s="17">
        <f ca="1">IFERROR(__xludf.DUMMYFUNCTION("""COMPUTED_VALUE"""),0.807000434584669)</f>
        <v>0.80700043458466897</v>
      </c>
    </row>
    <row r="984" spans="2:36" ht="15.75" customHeight="1" x14ac:dyDescent="0.45">
      <c r="B984" s="10" t="str">
        <f ca="1">IFERROR(__xludf.DUMMYFUNCTION("""COMPUTED_VALUE"""),"Worms")</f>
        <v>Worms</v>
      </c>
      <c r="C984" s="10" t="str">
        <f ca="1">IFERROR(__xludf.DUMMYFUNCTION("""COMPUTED_VALUE"""),"aligned_timestamps")</f>
        <v>aligned_timestamps</v>
      </c>
      <c r="D984" s="10">
        <f ca="1">IFERROR(__xludf.DUMMYFUNCTION("""COMPUTED_VALUE"""),0.4)</f>
        <v>0.4</v>
      </c>
      <c r="E984" s="17">
        <f ca="1">IFERROR(__xludf.DUMMYFUNCTION("""COMPUTED_VALUE"""),0.98322934141343)</f>
        <v>0.98322934141342999</v>
      </c>
      <c r="F984" s="17">
        <f ca="1">IFERROR(__xludf.DUMMYFUNCTION("""COMPUTED_VALUE"""),0.917339458802559)</f>
        <v>0.91733945880255896</v>
      </c>
      <c r="G984" s="17">
        <f ca="1">IFERROR(__xludf.DUMMYFUNCTION("""COMPUTED_VALUE"""),0.925999062189602)</f>
        <v>0.92599906218960204</v>
      </c>
      <c r="H984" s="17">
        <f ca="1">IFERROR(__xludf.DUMMYFUNCTION("""COMPUTED_VALUE"""),0.995417493865749)</f>
        <v>0.99541749386574896</v>
      </c>
      <c r="I984" s="17">
        <f ca="1">IFERROR(__xludf.DUMMYFUNCTION("""COMPUTED_VALUE"""),0.769072228334685)</f>
        <v>0.76907222833468503</v>
      </c>
      <c r="J984" s="17">
        <f ca="1">IFERROR(__xludf.DUMMYFUNCTION("""COMPUTED_VALUE"""),1.01317473074783)</f>
        <v>1.01317473074783</v>
      </c>
      <c r="K984" s="17" t="str">
        <f ca="1">IFERROR(__xludf.DUMMYFUNCTION("""COMPUTED_VALUE"""),"nan")</f>
        <v>nan</v>
      </c>
      <c r="L984" s="17">
        <f ca="1">IFERROR(__xludf.DUMMYFUNCTION("""COMPUTED_VALUE"""),0.969868992676455)</f>
        <v>0.96986899267645499</v>
      </c>
      <c r="M984" s="17">
        <f ca="1">IFERROR(__xludf.DUMMYFUNCTION("""COMPUTED_VALUE"""),0.915746763501917)</f>
        <v>0.91574676350191697</v>
      </c>
      <c r="N984" s="17">
        <f ca="1">IFERROR(__xludf.DUMMYFUNCTION("""COMPUTED_VALUE"""),1.04600411519225)</f>
        <v>1.0460041151922499</v>
      </c>
      <c r="O984" s="17">
        <f ca="1">IFERROR(__xludf.DUMMYFUNCTION("""COMPUTED_VALUE"""),1.00939245923313)</f>
        <v>1.00939245923313</v>
      </c>
      <c r="P984" s="17">
        <f ca="1">IFERROR(__xludf.DUMMYFUNCTION("""COMPUTED_VALUE"""),1.10899650918504)</f>
        <v>1.10899650918504</v>
      </c>
      <c r="Q984" s="17">
        <f ca="1">IFERROR(__xludf.DUMMYFUNCTION("""COMPUTED_VALUE"""),1.38960072387833)</f>
        <v>1.3896007238783299</v>
      </c>
      <c r="R984" s="17">
        <f ca="1">IFERROR(__xludf.DUMMYFUNCTION("""COMPUTED_VALUE"""),1.48226013213173)</f>
        <v>1.4822601321317299</v>
      </c>
      <c r="S984" s="17">
        <f ca="1">IFERROR(__xludf.DUMMYFUNCTION("""COMPUTED_VALUE"""),1.19226635627848)</f>
        <v>1.1922663562784801</v>
      </c>
      <c r="T984" s="17">
        <f ca="1">IFERROR(__xludf.DUMMYFUNCTION("""COMPUTED_VALUE"""),1.0169582225917)</f>
        <v>1.0169582225917</v>
      </c>
      <c r="U984" s="17">
        <f ca="1">IFERROR(__xludf.DUMMYFUNCTION("""COMPUTED_VALUE"""),1.04201084308254)</f>
        <v>1.0420108430825401</v>
      </c>
      <c r="V984" s="17">
        <f ca="1">IFERROR(__xludf.DUMMYFUNCTION("""COMPUTED_VALUE"""),1.05149386879542)</f>
        <v>1.0514938687954201</v>
      </c>
      <c r="W984" s="17">
        <f ca="1">IFERROR(__xludf.DUMMYFUNCTION("""COMPUTED_VALUE"""),0.944218752590893)</f>
        <v>0.94421875259089305</v>
      </c>
      <c r="X984" s="17">
        <f ca="1">IFERROR(__xludf.DUMMYFUNCTION("""COMPUTED_VALUE"""),0.802977947525277)</f>
        <v>0.80297794752527696</v>
      </c>
      <c r="Y984" s="17">
        <f ca="1">IFERROR(__xludf.DUMMYFUNCTION("""COMPUTED_VALUE"""),1.04240950779909)</f>
        <v>1.04240950779909</v>
      </c>
      <c r="Z984" s="17">
        <f ca="1">IFERROR(__xludf.DUMMYFUNCTION("""COMPUTED_VALUE"""),0.900447461418142)</f>
        <v>0.90044746141814203</v>
      </c>
      <c r="AA984" s="17">
        <f ca="1">IFERROR(__xludf.DUMMYFUNCTION("""COMPUTED_VALUE"""),2.33500711014155)</f>
        <v>2.3350071101415502</v>
      </c>
      <c r="AB984" s="17">
        <f ca="1">IFERROR(__xludf.DUMMYFUNCTION("""COMPUTED_VALUE"""),1.44516449513093)</f>
        <v>1.4451644951309299</v>
      </c>
      <c r="AC984" s="17">
        <f ca="1">IFERROR(__xludf.DUMMYFUNCTION("""COMPUTED_VALUE"""),0.983929157978955)</f>
        <v>0.98392915797895497</v>
      </c>
      <c r="AD984" s="17">
        <f ca="1">IFERROR(__xludf.DUMMYFUNCTION("""COMPUTED_VALUE"""),0.932785751969768)</f>
        <v>0.93278575196976798</v>
      </c>
      <c r="AE984" s="17" t="str">
        <f ca="1">IFERROR(__xludf.DUMMYFUNCTION("""COMPUTED_VALUE"""),"nan")</f>
        <v>nan</v>
      </c>
      <c r="AF984" s="17">
        <f ca="1">IFERROR(__xludf.DUMMYFUNCTION("""COMPUTED_VALUE"""),1.21845109539228)</f>
        <v>1.21845109539228</v>
      </c>
      <c r="AG984" s="17">
        <f ca="1">IFERROR(__xludf.DUMMYFUNCTION("""COMPUTED_VALUE"""),1.03981783219073)</f>
        <v>1.0398178321907301</v>
      </c>
      <c r="AH984" s="17">
        <f ca="1">IFERROR(__xludf.DUMMYFUNCTION("""COMPUTED_VALUE"""),0.910893195473396)</f>
        <v>0.91089319547339598</v>
      </c>
      <c r="AI984" s="17" t="str">
        <f ca="1">IFERROR(__xludf.DUMMYFUNCTION("""COMPUTED_VALUE"""),"nan")</f>
        <v>nan</v>
      </c>
      <c r="AJ984" s="17">
        <f ca="1">IFERROR(__xludf.DUMMYFUNCTION("""COMPUTED_VALUE"""),1.01224611836748)</f>
        <v>1.01224611836748</v>
      </c>
    </row>
    <row r="985" spans="2:36" ht="15.75" customHeight="1" x14ac:dyDescent="0.45">
      <c r="B985" s="10" t="str">
        <f ca="1">IFERROR(__xludf.DUMMYFUNCTION("""COMPUTED_VALUE"""),"Worms")</f>
        <v>Worms</v>
      </c>
      <c r="C985" s="10" t="str">
        <f ca="1">IFERROR(__xludf.DUMMYFUNCTION("""COMPUTED_VALUE"""),"aligned_timestamps")</f>
        <v>aligned_timestamps</v>
      </c>
      <c r="D985" s="10">
        <f ca="1">IFERROR(__xludf.DUMMYFUNCTION("""COMPUTED_VALUE"""),0.6)</f>
        <v>0.6</v>
      </c>
      <c r="E985" s="17">
        <f ca="1">IFERROR(__xludf.DUMMYFUNCTION("""COMPUTED_VALUE"""),0.938628111680495)</f>
        <v>0.93862811168049498</v>
      </c>
      <c r="F985" s="17">
        <f ca="1">IFERROR(__xludf.DUMMYFUNCTION("""COMPUTED_VALUE"""),0.92022785584311)</f>
        <v>0.92022785584310995</v>
      </c>
      <c r="G985" s="17">
        <f ca="1">IFERROR(__xludf.DUMMYFUNCTION("""COMPUTED_VALUE"""),0.946236275143645)</f>
        <v>0.94623627514364494</v>
      </c>
      <c r="H985" s="17">
        <f ca="1">IFERROR(__xludf.DUMMYFUNCTION("""COMPUTED_VALUE"""),0.994550141469566)</f>
        <v>0.994550141469566</v>
      </c>
      <c r="I985" s="17">
        <f ca="1">IFERROR(__xludf.DUMMYFUNCTION("""COMPUTED_VALUE"""),0.812869564260254)</f>
        <v>0.81286956426025403</v>
      </c>
      <c r="J985" s="17">
        <f ca="1">IFERROR(__xludf.DUMMYFUNCTION("""COMPUTED_VALUE"""),1.15354718438496)</f>
        <v>1.1535471843849601</v>
      </c>
      <c r="K985" s="17" t="str">
        <f ca="1">IFERROR(__xludf.DUMMYFUNCTION("""COMPUTED_VALUE"""),"nan")</f>
        <v>nan</v>
      </c>
      <c r="L985" s="17">
        <f ca="1">IFERROR(__xludf.DUMMYFUNCTION("""COMPUTED_VALUE"""),1.08759878138669)</f>
        <v>1.0875987813866901</v>
      </c>
      <c r="M985" s="17">
        <f ca="1">IFERROR(__xludf.DUMMYFUNCTION("""COMPUTED_VALUE"""),0.95153002985035)</f>
        <v>0.95153002985034996</v>
      </c>
      <c r="N985" s="17">
        <f ca="1">IFERROR(__xludf.DUMMYFUNCTION("""COMPUTED_VALUE"""),1.01292268789292)</f>
        <v>1.0129226878929201</v>
      </c>
      <c r="O985" s="17">
        <f ca="1">IFERROR(__xludf.DUMMYFUNCTION("""COMPUTED_VALUE"""),1.0492034479265)</f>
        <v>1.0492034479265</v>
      </c>
      <c r="P985" s="17">
        <f ca="1">IFERROR(__xludf.DUMMYFUNCTION("""COMPUTED_VALUE"""),1.20224104089074)</f>
        <v>1.20224104089074</v>
      </c>
      <c r="Q985" s="17">
        <f ca="1">IFERROR(__xludf.DUMMYFUNCTION("""COMPUTED_VALUE"""),1.35856013381328)</f>
        <v>1.35856013381328</v>
      </c>
      <c r="R985" s="17">
        <f ca="1">IFERROR(__xludf.DUMMYFUNCTION("""COMPUTED_VALUE"""),1.47850053181975)</f>
        <v>1.4785005318197499</v>
      </c>
      <c r="S985" s="17">
        <f ca="1">IFERROR(__xludf.DUMMYFUNCTION("""COMPUTED_VALUE"""),1.20938867206567)</f>
        <v>1.2093886720656699</v>
      </c>
      <c r="T985" s="17">
        <f ca="1">IFERROR(__xludf.DUMMYFUNCTION("""COMPUTED_VALUE"""),0.990604242055033)</f>
        <v>0.99060424205503295</v>
      </c>
      <c r="U985" s="17">
        <f ca="1">IFERROR(__xludf.DUMMYFUNCTION("""COMPUTED_VALUE"""),1.04838493010238)</f>
        <v>1.04838493010238</v>
      </c>
      <c r="V985" s="17">
        <f ca="1">IFERROR(__xludf.DUMMYFUNCTION("""COMPUTED_VALUE"""),1.08198777648706)</f>
        <v>1.08198777648706</v>
      </c>
      <c r="W985" s="17">
        <f ca="1">IFERROR(__xludf.DUMMYFUNCTION("""COMPUTED_VALUE"""),0.948473597547633)</f>
        <v>0.94847359754763305</v>
      </c>
      <c r="X985" s="17">
        <f ca="1">IFERROR(__xludf.DUMMYFUNCTION("""COMPUTED_VALUE"""),0.910214896079295)</f>
        <v>0.91021489607929496</v>
      </c>
      <c r="Y985" s="17">
        <f ca="1">IFERROR(__xludf.DUMMYFUNCTION("""COMPUTED_VALUE"""),1.07903738349493)</f>
        <v>1.0790373834949301</v>
      </c>
      <c r="Z985" s="17">
        <f ca="1">IFERROR(__xludf.DUMMYFUNCTION("""COMPUTED_VALUE"""),0.888066289949167)</f>
        <v>0.88806628994916703</v>
      </c>
      <c r="AA985" s="17">
        <f ca="1">IFERROR(__xludf.DUMMYFUNCTION("""COMPUTED_VALUE"""),2.27945957726042)</f>
        <v>2.27945957726042</v>
      </c>
      <c r="AB985" s="17">
        <f ca="1">IFERROR(__xludf.DUMMYFUNCTION("""COMPUTED_VALUE"""),1.6326069096125)</f>
        <v>1.6326069096125</v>
      </c>
      <c r="AC985" s="17">
        <f ca="1">IFERROR(__xludf.DUMMYFUNCTION("""COMPUTED_VALUE"""),0.970554740051836)</f>
        <v>0.97055474005183595</v>
      </c>
      <c r="AD985" s="17">
        <f ca="1">IFERROR(__xludf.DUMMYFUNCTION("""COMPUTED_VALUE"""),0.974240400271328)</f>
        <v>0.97424040027132797</v>
      </c>
      <c r="AE985" s="17" t="str">
        <f ca="1">IFERROR(__xludf.DUMMYFUNCTION("""COMPUTED_VALUE"""),"nan")</f>
        <v>nan</v>
      </c>
      <c r="AF985" s="17">
        <f ca="1">IFERROR(__xludf.DUMMYFUNCTION("""COMPUTED_VALUE"""),1.31028494987658)</f>
        <v>1.3102849498765801</v>
      </c>
      <c r="AG985" s="17">
        <f ca="1">IFERROR(__xludf.DUMMYFUNCTION("""COMPUTED_VALUE"""),0.957739293392345)</f>
        <v>0.95773929339234498</v>
      </c>
      <c r="AH985" s="17">
        <f ca="1">IFERROR(__xludf.DUMMYFUNCTION("""COMPUTED_VALUE"""),0.899496540951487)</f>
        <v>0.89949654095148701</v>
      </c>
      <c r="AI985" s="17" t="str">
        <f ca="1">IFERROR(__xludf.DUMMYFUNCTION("""COMPUTED_VALUE"""),"nan")</f>
        <v>nan</v>
      </c>
      <c r="AJ985" s="17">
        <f ca="1">IFERROR(__xludf.DUMMYFUNCTION("""COMPUTED_VALUE"""),1.30067846501752)</f>
        <v>1.30067846501752</v>
      </c>
    </row>
    <row r="986" spans="2:36" ht="15.75" customHeight="1" x14ac:dyDescent="0.45">
      <c r="B986" s="10" t="str">
        <f ca="1">IFERROR(__xludf.DUMMYFUNCTION("""COMPUTED_VALUE"""),"Worms")</f>
        <v>Worms</v>
      </c>
      <c r="C986" s="10" t="str">
        <f ca="1">IFERROR(__xludf.DUMMYFUNCTION("""COMPUTED_VALUE"""),"aligned_timestamps")</f>
        <v>aligned_timestamps</v>
      </c>
      <c r="D986" s="10">
        <f ca="1">IFERROR(__xludf.DUMMYFUNCTION("""COMPUTED_VALUE"""),0.8)</f>
        <v>0.8</v>
      </c>
      <c r="E986" s="17">
        <f ca="1">IFERROR(__xludf.DUMMYFUNCTION("""COMPUTED_VALUE"""),0.926860805195553)</f>
        <v>0.92686080519555303</v>
      </c>
      <c r="F986" s="17">
        <f ca="1">IFERROR(__xludf.DUMMYFUNCTION("""COMPUTED_VALUE"""),0.992135033764768)</f>
        <v>0.99213503376476797</v>
      </c>
      <c r="G986" s="17">
        <f ca="1">IFERROR(__xludf.DUMMYFUNCTION("""COMPUTED_VALUE"""),1.08256899775709)</f>
        <v>1.08256899775709</v>
      </c>
      <c r="H986" s="17">
        <f ca="1">IFERROR(__xludf.DUMMYFUNCTION("""COMPUTED_VALUE"""),1.00088835835558)</f>
        <v>1.0008883583555801</v>
      </c>
      <c r="I986" s="17">
        <f ca="1">IFERROR(__xludf.DUMMYFUNCTION("""COMPUTED_VALUE"""),0.854058577062459)</f>
        <v>0.85405857706245902</v>
      </c>
      <c r="J986" s="17">
        <f ca="1">IFERROR(__xludf.DUMMYFUNCTION("""COMPUTED_VALUE"""),1.23829975052917)</f>
        <v>1.23829975052917</v>
      </c>
      <c r="K986" s="17" t="str">
        <f ca="1">IFERROR(__xludf.DUMMYFUNCTION("""COMPUTED_VALUE"""),"nan")</f>
        <v>nan</v>
      </c>
      <c r="L986" s="17">
        <f ca="1">IFERROR(__xludf.DUMMYFUNCTION("""COMPUTED_VALUE"""),1.14403182622871)</f>
        <v>1.1440318262287099</v>
      </c>
      <c r="M986" s="17">
        <f ca="1">IFERROR(__xludf.DUMMYFUNCTION("""COMPUTED_VALUE"""),1.26357264227071)</f>
        <v>1.2635726422707101</v>
      </c>
      <c r="N986" s="17">
        <f ca="1">IFERROR(__xludf.DUMMYFUNCTION("""COMPUTED_VALUE"""),1.0239117995896)</f>
        <v>1.0239117995896001</v>
      </c>
      <c r="O986" s="17">
        <f ca="1">IFERROR(__xludf.DUMMYFUNCTION("""COMPUTED_VALUE"""),1.36231717563453)</f>
        <v>1.36231717563453</v>
      </c>
      <c r="P986" s="17">
        <f ca="1">IFERROR(__xludf.DUMMYFUNCTION("""COMPUTED_VALUE"""),1.37986604271999)</f>
        <v>1.37986604271999</v>
      </c>
      <c r="Q986" s="17">
        <f ca="1">IFERROR(__xludf.DUMMYFUNCTION("""COMPUTED_VALUE"""),1.36788782755354)</f>
        <v>1.36788782755354</v>
      </c>
      <c r="R986" s="17">
        <f ca="1">IFERROR(__xludf.DUMMYFUNCTION("""COMPUTED_VALUE"""),1.75729133254113)</f>
        <v>1.7572913325411299</v>
      </c>
      <c r="S986" s="17">
        <f ca="1">IFERROR(__xludf.DUMMYFUNCTION("""COMPUTED_VALUE"""),1.37564674876678)</f>
        <v>1.3756467487667801</v>
      </c>
      <c r="T986" s="17">
        <f ca="1">IFERROR(__xludf.DUMMYFUNCTION("""COMPUTED_VALUE"""),1.03581429105231)</f>
        <v>1.03581429105231</v>
      </c>
      <c r="U986" s="17">
        <f ca="1">IFERROR(__xludf.DUMMYFUNCTION("""COMPUTED_VALUE"""),1.02760485262827)</f>
        <v>1.0276048526282699</v>
      </c>
      <c r="V986" s="17">
        <f ca="1">IFERROR(__xludf.DUMMYFUNCTION("""COMPUTED_VALUE"""),1.19213049933415)</f>
        <v>1.1921304993341499</v>
      </c>
      <c r="W986" s="17">
        <f ca="1">IFERROR(__xludf.DUMMYFUNCTION("""COMPUTED_VALUE"""),0.996125075362655)</f>
        <v>0.99612507536265504</v>
      </c>
      <c r="X986" s="17">
        <f ca="1">IFERROR(__xludf.DUMMYFUNCTION("""COMPUTED_VALUE"""),1.00327660126927)</f>
        <v>1.00327660126927</v>
      </c>
      <c r="Y986" s="17">
        <f ca="1">IFERROR(__xludf.DUMMYFUNCTION("""COMPUTED_VALUE"""),1.14871189180348)</f>
        <v>1.14871189180348</v>
      </c>
      <c r="Z986" s="17">
        <f ca="1">IFERROR(__xludf.DUMMYFUNCTION("""COMPUTED_VALUE"""),0.89177722812811)</f>
        <v>0.89177722812811</v>
      </c>
      <c r="AA986" s="17">
        <f ca="1">IFERROR(__xludf.DUMMYFUNCTION("""COMPUTED_VALUE"""),1.82591313874112)</f>
        <v>1.82591313874112</v>
      </c>
      <c r="AB986" s="17">
        <f ca="1">IFERROR(__xludf.DUMMYFUNCTION("""COMPUTED_VALUE"""),1.47737336790803)</f>
        <v>1.4773733679080301</v>
      </c>
      <c r="AC986" s="17">
        <f ca="1">IFERROR(__xludf.DUMMYFUNCTION("""COMPUTED_VALUE"""),0.957861807071355)</f>
        <v>0.95786180707135504</v>
      </c>
      <c r="AD986" s="17">
        <f ca="1">IFERROR(__xludf.DUMMYFUNCTION("""COMPUTED_VALUE"""),0.979059452481247)</f>
        <v>0.97905945248124704</v>
      </c>
      <c r="AE986" s="17" t="str">
        <f ca="1">IFERROR(__xludf.DUMMYFUNCTION("""COMPUTED_VALUE"""),"nan")</f>
        <v>nan</v>
      </c>
      <c r="AF986" s="17">
        <f ca="1">IFERROR(__xludf.DUMMYFUNCTION("""COMPUTED_VALUE"""),1.38901954685212)</f>
        <v>1.38901954685212</v>
      </c>
      <c r="AG986" s="17">
        <f ca="1">IFERROR(__xludf.DUMMYFUNCTION("""COMPUTED_VALUE"""),0.969330097153334)</f>
        <v>0.96933009715333396</v>
      </c>
      <c r="AH986" s="17">
        <f ca="1">IFERROR(__xludf.DUMMYFUNCTION("""COMPUTED_VALUE"""),0.919240493942499)</f>
        <v>0.91924049394249896</v>
      </c>
      <c r="AI986" s="17" t="str">
        <f ca="1">IFERROR(__xludf.DUMMYFUNCTION("""COMPUTED_VALUE"""),"nan")</f>
        <v>nan</v>
      </c>
      <c r="AJ986" s="17">
        <f ca="1">IFERROR(__xludf.DUMMYFUNCTION("""COMPUTED_VALUE"""),1.1428150080346)</f>
        <v>1.1428150080346</v>
      </c>
    </row>
    <row r="987" spans="2:36" ht="15.75" customHeight="1" x14ac:dyDescent="0.45">
      <c r="B987" s="10" t="str">
        <f ca="1">IFERROR(__xludf.DUMMYFUNCTION("""COMPUTED_VALUE"""),"Worms")</f>
        <v>Worms</v>
      </c>
      <c r="C987" s="10" t="str">
        <f ca="1">IFERROR(__xludf.DUMMYFUNCTION("""COMPUTED_VALUE"""),"mcar")</f>
        <v>mcar</v>
      </c>
      <c r="D987" s="10">
        <f ca="1">IFERROR(__xludf.DUMMYFUNCTION("""COMPUTED_VALUE"""),0.1)</f>
        <v>0.1</v>
      </c>
      <c r="E987" s="17">
        <f ca="1">IFERROR(__xludf.DUMMYFUNCTION("""COMPUTED_VALUE"""),0.984704524822284)</f>
        <v>0.98470452482228399</v>
      </c>
      <c r="F987" s="17">
        <f ca="1">IFERROR(__xludf.DUMMYFUNCTION("""COMPUTED_VALUE"""),0.851444022887243)</f>
        <v>0.85144402288724297</v>
      </c>
      <c r="G987" s="17">
        <f ca="1">IFERROR(__xludf.DUMMYFUNCTION("""COMPUTED_VALUE"""),0.853249519980132)</f>
        <v>0.85324951998013199</v>
      </c>
      <c r="H987" s="17">
        <f ca="1">IFERROR(__xludf.DUMMYFUNCTION("""COMPUTED_VALUE"""),0.869364040615107)</f>
        <v>0.86936404061510697</v>
      </c>
      <c r="I987" s="17">
        <f ca="1">IFERROR(__xludf.DUMMYFUNCTION("""COMPUTED_VALUE"""),0.401481403150842)</f>
        <v>0.40148140315084202</v>
      </c>
      <c r="J987" s="17">
        <f ca="1">IFERROR(__xludf.DUMMYFUNCTION("""COMPUTED_VALUE"""),0.894925562009115)</f>
        <v>0.89492556200911499</v>
      </c>
      <c r="K987" s="17" t="str">
        <f ca="1">IFERROR(__xludf.DUMMYFUNCTION("""COMPUTED_VALUE"""),"nan")</f>
        <v>nan</v>
      </c>
      <c r="L987" s="17">
        <f ca="1">IFERROR(__xludf.DUMMYFUNCTION("""COMPUTED_VALUE"""),0.76973984947031)</f>
        <v>0.76973984947031004</v>
      </c>
      <c r="M987" s="17">
        <f ca="1">IFERROR(__xludf.DUMMYFUNCTION("""COMPUTED_VALUE"""),0.862898399826171)</f>
        <v>0.862898399826171</v>
      </c>
      <c r="N987" s="17">
        <f ca="1">IFERROR(__xludf.DUMMYFUNCTION("""COMPUTED_VALUE"""),0.5903139430298)</f>
        <v>0.5903139430298</v>
      </c>
      <c r="O987" s="17">
        <f ca="1">IFERROR(__xludf.DUMMYFUNCTION("""COMPUTED_VALUE"""),0.791930470036758)</f>
        <v>0.79193047003675798</v>
      </c>
      <c r="P987" s="17">
        <f ca="1">IFERROR(__xludf.DUMMYFUNCTION("""COMPUTED_VALUE"""),0.595003670832524)</f>
        <v>0.59500367083252403</v>
      </c>
      <c r="Q987" s="17">
        <f ca="1">IFERROR(__xludf.DUMMYFUNCTION("""COMPUTED_VALUE"""),1.4707815424148)</f>
        <v>1.4707815424148001</v>
      </c>
      <c r="R987" s="17">
        <f ca="1">IFERROR(__xludf.DUMMYFUNCTION("""COMPUTED_VALUE"""),0.313882499869675)</f>
        <v>0.31388249986967498</v>
      </c>
      <c r="S987" s="17">
        <f ca="1">IFERROR(__xludf.DUMMYFUNCTION("""COMPUTED_VALUE"""),0.485053947540583)</f>
        <v>0.48505394754058301</v>
      </c>
      <c r="T987" s="17">
        <f ca="1">IFERROR(__xludf.DUMMYFUNCTION("""COMPUTED_VALUE"""),0.286159633600548)</f>
        <v>0.28615963360054802</v>
      </c>
      <c r="U987" s="17">
        <f ca="1">IFERROR(__xludf.DUMMYFUNCTION("""COMPUTED_VALUE"""),0.362852689176077)</f>
        <v>0.36285268917607699</v>
      </c>
      <c r="V987" s="17">
        <f ca="1">IFERROR(__xludf.DUMMYFUNCTION("""COMPUTED_VALUE"""),0.600539013024524)</f>
        <v>0.60053901302452395</v>
      </c>
      <c r="W987" s="17">
        <f ca="1">IFERROR(__xludf.DUMMYFUNCTION("""COMPUTED_VALUE"""),0.409416650438232)</f>
        <v>0.409416650438232</v>
      </c>
      <c r="X987" s="17">
        <f ca="1">IFERROR(__xludf.DUMMYFUNCTION("""COMPUTED_VALUE"""),0.449288689013052)</f>
        <v>0.44928868901305202</v>
      </c>
      <c r="Y987" s="17">
        <f ca="1">IFERROR(__xludf.DUMMYFUNCTION("""COMPUTED_VALUE"""),0.203231661400749)</f>
        <v>0.203231661400749</v>
      </c>
      <c r="Z987" s="17">
        <f ca="1">IFERROR(__xludf.DUMMYFUNCTION("""COMPUTED_VALUE"""),0.431358251596714)</f>
        <v>0.43135825159671398</v>
      </c>
      <c r="AA987" s="17">
        <f ca="1">IFERROR(__xludf.DUMMYFUNCTION("""COMPUTED_VALUE"""),0.39608961888597)</f>
        <v>0.39608961888597</v>
      </c>
      <c r="AB987" s="17">
        <f ca="1">IFERROR(__xludf.DUMMYFUNCTION("""COMPUTED_VALUE"""),0.491538996442788)</f>
        <v>0.49153899644278798</v>
      </c>
      <c r="AC987" s="17">
        <f ca="1">IFERROR(__xludf.DUMMYFUNCTION("""COMPUTED_VALUE"""),0.192159702119895)</f>
        <v>0.192159702119895</v>
      </c>
      <c r="AD987" s="17">
        <f ca="1">IFERROR(__xludf.DUMMYFUNCTION("""COMPUTED_VALUE"""),0.183386604097324)</f>
        <v>0.18338660409732399</v>
      </c>
      <c r="AE987" s="17">
        <f ca="1">IFERROR(__xludf.DUMMYFUNCTION("""COMPUTED_VALUE"""),1.09742757815143)</f>
        <v>1.09742757815143</v>
      </c>
      <c r="AF987" s="17">
        <f ca="1">IFERROR(__xludf.DUMMYFUNCTION("""COMPUTED_VALUE"""),0.273285155217073)</f>
        <v>0.27328515521707297</v>
      </c>
      <c r="AG987" s="17">
        <f ca="1">IFERROR(__xludf.DUMMYFUNCTION("""COMPUTED_VALUE"""),0.566854403319865)</f>
        <v>0.56685440331986503</v>
      </c>
      <c r="AH987" s="17">
        <f ca="1">IFERROR(__xludf.DUMMYFUNCTION("""COMPUTED_VALUE"""),0.297742326239635)</f>
        <v>0.29774232623963498</v>
      </c>
      <c r="AI987" s="17">
        <f ca="1">IFERROR(__xludf.DUMMYFUNCTION("""COMPUTED_VALUE"""),0.632336522888807)</f>
        <v>0.63233652288880704</v>
      </c>
      <c r="AJ987" s="17">
        <f ca="1">IFERROR(__xludf.DUMMYFUNCTION("""COMPUTED_VALUE"""),0.396217498634325)</f>
        <v>0.39621749863432498</v>
      </c>
    </row>
    <row r="988" spans="2:36" ht="15.75" customHeight="1" x14ac:dyDescent="0.45">
      <c r="B988" s="10" t="str">
        <f ca="1">IFERROR(__xludf.DUMMYFUNCTION("""COMPUTED_VALUE"""),"Worms")</f>
        <v>Worms</v>
      </c>
      <c r="C988" s="10" t="str">
        <f ca="1">IFERROR(__xludf.DUMMYFUNCTION("""COMPUTED_VALUE"""),"mcar")</f>
        <v>mcar</v>
      </c>
      <c r="D988" s="10">
        <f ca="1">IFERROR(__xludf.DUMMYFUNCTION("""COMPUTED_VALUE"""),0.2)</f>
        <v>0.2</v>
      </c>
      <c r="E988" s="17">
        <f ca="1">IFERROR(__xludf.DUMMYFUNCTION("""COMPUTED_VALUE"""),0.963724095596062)</f>
        <v>0.96372409559606198</v>
      </c>
      <c r="F988" s="17">
        <f ca="1">IFERROR(__xludf.DUMMYFUNCTION("""COMPUTED_VALUE"""),0.862967524607781)</f>
        <v>0.86296752460778103</v>
      </c>
      <c r="G988" s="17">
        <f ca="1">IFERROR(__xludf.DUMMYFUNCTION("""COMPUTED_VALUE"""),0.865951794126834)</f>
        <v>0.86595179412683398</v>
      </c>
      <c r="H988" s="17">
        <f ca="1">IFERROR(__xludf.DUMMYFUNCTION("""COMPUTED_VALUE"""),0.879478707993638)</f>
        <v>0.87947870799363803</v>
      </c>
      <c r="I988" s="17">
        <f ca="1">IFERROR(__xludf.DUMMYFUNCTION("""COMPUTED_VALUE"""),0.431328734997928)</f>
        <v>0.43132873499792801</v>
      </c>
      <c r="J988" s="17">
        <f ca="1">IFERROR(__xludf.DUMMYFUNCTION("""COMPUTED_VALUE"""),0.890873534567865)</f>
        <v>0.890873534567865</v>
      </c>
      <c r="K988" s="17" t="str">
        <f ca="1">IFERROR(__xludf.DUMMYFUNCTION("""COMPUTED_VALUE"""),"nan")</f>
        <v>nan</v>
      </c>
      <c r="L988" s="17">
        <f ca="1">IFERROR(__xludf.DUMMYFUNCTION("""COMPUTED_VALUE"""),0.785802511981984)</f>
        <v>0.78580251198198403</v>
      </c>
      <c r="M988" s="17">
        <f ca="1">IFERROR(__xludf.DUMMYFUNCTION("""COMPUTED_VALUE"""),0.867416356168643)</f>
        <v>0.86741635616864299</v>
      </c>
      <c r="N988" s="17">
        <f ca="1">IFERROR(__xludf.DUMMYFUNCTION("""COMPUTED_VALUE"""),0.630871241682328)</f>
        <v>0.630871241682328</v>
      </c>
      <c r="O988" s="17">
        <f ca="1">IFERROR(__xludf.DUMMYFUNCTION("""COMPUTED_VALUE"""),0.806137462814036)</f>
        <v>0.80613746281403598</v>
      </c>
      <c r="P988" s="17">
        <f ca="1">IFERROR(__xludf.DUMMYFUNCTION("""COMPUTED_VALUE"""),0.591171523869523)</f>
        <v>0.59117152386952299</v>
      </c>
      <c r="Q988" s="17">
        <f ca="1">IFERROR(__xludf.DUMMYFUNCTION("""COMPUTED_VALUE"""),1.45571256351101)</f>
        <v>1.45571256351101</v>
      </c>
      <c r="R988" s="17">
        <f ca="1">IFERROR(__xludf.DUMMYFUNCTION("""COMPUTED_VALUE"""),0.360937079240732)</f>
        <v>0.36093707924073198</v>
      </c>
      <c r="S988" s="17">
        <f ca="1">IFERROR(__xludf.DUMMYFUNCTION("""COMPUTED_VALUE"""),0.807271101481154)</f>
        <v>0.807271101481154</v>
      </c>
      <c r="T988" s="17">
        <f ca="1">IFERROR(__xludf.DUMMYFUNCTION("""COMPUTED_VALUE"""),0.296624766329542)</f>
        <v>0.29662476632954199</v>
      </c>
      <c r="U988" s="17">
        <f ca="1">IFERROR(__xludf.DUMMYFUNCTION("""COMPUTED_VALUE"""),0.412030970803388)</f>
        <v>0.41203097080338802</v>
      </c>
      <c r="V988" s="17">
        <f ca="1">IFERROR(__xludf.DUMMYFUNCTION("""COMPUTED_VALUE"""),0.636537312502405)</f>
        <v>0.63653731250240497</v>
      </c>
      <c r="W988" s="17">
        <f ca="1">IFERROR(__xludf.DUMMYFUNCTION("""COMPUTED_VALUE"""),0.407605033344379)</f>
        <v>0.40760503334437898</v>
      </c>
      <c r="X988" s="17">
        <f ca="1">IFERROR(__xludf.DUMMYFUNCTION("""COMPUTED_VALUE"""),0.451827756512472)</f>
        <v>0.45182775651247198</v>
      </c>
      <c r="Y988" s="17">
        <f ca="1">IFERROR(__xludf.DUMMYFUNCTION("""COMPUTED_VALUE"""),0.220694860234449)</f>
        <v>0.22069486023444901</v>
      </c>
      <c r="Z988" s="17">
        <f ca="1">IFERROR(__xludf.DUMMYFUNCTION("""COMPUTED_VALUE"""),0.433538139565294)</f>
        <v>0.43353813956529402</v>
      </c>
      <c r="AA988" s="17">
        <f ca="1">IFERROR(__xludf.DUMMYFUNCTION("""COMPUTED_VALUE"""),0.405582993104675)</f>
        <v>0.40558299310467499</v>
      </c>
      <c r="AB988" s="17">
        <f ca="1">IFERROR(__xludf.DUMMYFUNCTION("""COMPUTED_VALUE"""),0.47516421573315)</f>
        <v>0.47516421573314999</v>
      </c>
      <c r="AC988" s="17">
        <f ca="1">IFERROR(__xludf.DUMMYFUNCTION("""COMPUTED_VALUE"""),0.281249258220711)</f>
        <v>0.28124925822071101</v>
      </c>
      <c r="AD988" s="17">
        <f ca="1">IFERROR(__xludf.DUMMYFUNCTION("""COMPUTED_VALUE"""),0.26586884020227)</f>
        <v>0.26586884020226997</v>
      </c>
      <c r="AE988" s="17">
        <f ca="1">IFERROR(__xludf.DUMMYFUNCTION("""COMPUTED_VALUE"""),1.04004803159253)</f>
        <v>1.04004803159253</v>
      </c>
      <c r="AF988" s="17">
        <f ca="1">IFERROR(__xludf.DUMMYFUNCTION("""COMPUTED_VALUE"""),0.310522619384065)</f>
        <v>0.310522619384065</v>
      </c>
      <c r="AG988" s="17">
        <f ca="1">IFERROR(__xludf.DUMMYFUNCTION("""COMPUTED_VALUE"""),0.727146735898695)</f>
        <v>0.72714673589869505</v>
      </c>
      <c r="AH988" s="17">
        <f ca="1">IFERROR(__xludf.DUMMYFUNCTION("""COMPUTED_VALUE"""),0.441173001636399)</f>
        <v>0.441173001636399</v>
      </c>
      <c r="AI988" s="17">
        <f ca="1">IFERROR(__xludf.DUMMYFUNCTION("""COMPUTED_VALUE"""),0.759466009314848)</f>
        <v>0.75946600931484798</v>
      </c>
      <c r="AJ988" s="17">
        <f ca="1">IFERROR(__xludf.DUMMYFUNCTION("""COMPUTED_VALUE"""),0.554962480614678)</f>
        <v>0.55496248061467801</v>
      </c>
    </row>
    <row r="989" spans="2:36" ht="15.75" customHeight="1" x14ac:dyDescent="0.45">
      <c r="B989" s="10" t="str">
        <f ca="1">IFERROR(__xludf.DUMMYFUNCTION("""COMPUTED_VALUE"""),"Worms")</f>
        <v>Worms</v>
      </c>
      <c r="C989" s="10" t="str">
        <f ca="1">IFERROR(__xludf.DUMMYFUNCTION("""COMPUTED_VALUE"""),"mcar")</f>
        <v>mcar</v>
      </c>
      <c r="D989" s="10">
        <f ca="1">IFERROR(__xludf.DUMMYFUNCTION("""COMPUTED_VALUE"""),0.4)</f>
        <v>0.4</v>
      </c>
      <c r="E989" s="17">
        <f ca="1">IFERROR(__xludf.DUMMYFUNCTION("""COMPUTED_VALUE"""),0.981911415130513)</f>
        <v>0.98191141513051305</v>
      </c>
      <c r="F989" s="17">
        <f ca="1">IFERROR(__xludf.DUMMYFUNCTION("""COMPUTED_VALUE"""),0.885434803229172)</f>
        <v>0.88543480322917201</v>
      </c>
      <c r="G989" s="17">
        <f ca="1">IFERROR(__xludf.DUMMYFUNCTION("""COMPUTED_VALUE"""),0.889285079345036)</f>
        <v>0.88928507934503598</v>
      </c>
      <c r="H989" s="17">
        <f ca="1">IFERROR(__xludf.DUMMYFUNCTION("""COMPUTED_VALUE"""),0.88734855291731)</f>
        <v>0.88734855291730996</v>
      </c>
      <c r="I989" s="17">
        <f ca="1">IFERROR(__xludf.DUMMYFUNCTION("""COMPUTED_VALUE"""),0.53697289681815)</f>
        <v>0.53697289681814997</v>
      </c>
      <c r="J989" s="17">
        <f ca="1">IFERROR(__xludf.DUMMYFUNCTION("""COMPUTED_VALUE"""),0.877486997063164)</f>
        <v>0.87748699706316402</v>
      </c>
      <c r="K989" s="17" t="str">
        <f ca="1">IFERROR(__xludf.DUMMYFUNCTION("""COMPUTED_VALUE"""),"nan")</f>
        <v>nan</v>
      </c>
      <c r="L989" s="17">
        <f ca="1">IFERROR(__xludf.DUMMYFUNCTION("""COMPUTED_VALUE"""),0.834279678535771)</f>
        <v>0.83427967853577101</v>
      </c>
      <c r="M989" s="17">
        <f ca="1">IFERROR(__xludf.DUMMYFUNCTION("""COMPUTED_VALUE"""),0.904295688000239)</f>
        <v>0.90429568800023896</v>
      </c>
      <c r="N989" s="17">
        <f ca="1">IFERROR(__xludf.DUMMYFUNCTION("""COMPUTED_VALUE"""),0.805777292664906)</f>
        <v>0.80577729266490605</v>
      </c>
      <c r="O989" s="17">
        <f ca="1">IFERROR(__xludf.DUMMYFUNCTION("""COMPUTED_VALUE"""),0.84096556869514)</f>
        <v>0.84096556869514005</v>
      </c>
      <c r="P989" s="17">
        <f ca="1">IFERROR(__xludf.DUMMYFUNCTION("""COMPUTED_VALUE"""),0.671767137451342)</f>
        <v>0.67176713745134198</v>
      </c>
      <c r="Q989" s="17">
        <f ca="1">IFERROR(__xludf.DUMMYFUNCTION("""COMPUTED_VALUE"""),1.42884754652229)</f>
        <v>1.4288475465222901</v>
      </c>
      <c r="R989" s="17">
        <f ca="1">IFERROR(__xludf.DUMMYFUNCTION("""COMPUTED_VALUE"""),0.489060675998229)</f>
        <v>0.489060675998229</v>
      </c>
      <c r="S989" s="17">
        <f ca="1">IFERROR(__xludf.DUMMYFUNCTION("""COMPUTED_VALUE"""),1.23583375818375)</f>
        <v>1.23583375818375</v>
      </c>
      <c r="T989" s="17">
        <f ca="1">IFERROR(__xludf.DUMMYFUNCTION("""COMPUTED_VALUE"""),0.442688518450939)</f>
        <v>0.44268851845093898</v>
      </c>
      <c r="U989" s="17">
        <f ca="1">IFERROR(__xludf.DUMMYFUNCTION("""COMPUTED_VALUE"""),0.562599317752978)</f>
        <v>0.562599317752978</v>
      </c>
      <c r="V989" s="17">
        <f ca="1">IFERROR(__xludf.DUMMYFUNCTION("""COMPUTED_VALUE"""),0.662255242849424)</f>
        <v>0.66225524284942405</v>
      </c>
      <c r="W989" s="17">
        <f ca="1">IFERROR(__xludf.DUMMYFUNCTION("""COMPUTED_VALUE"""),0.585581776544852)</f>
        <v>0.585581776544852</v>
      </c>
      <c r="X989" s="17">
        <f ca="1">IFERROR(__xludf.DUMMYFUNCTION("""COMPUTED_VALUE"""),0.541225574335686)</f>
        <v>0.54122557433568597</v>
      </c>
      <c r="Y989" s="17">
        <f ca="1">IFERROR(__xludf.DUMMYFUNCTION("""COMPUTED_VALUE"""),0.369581660486668)</f>
        <v>0.36958166048666802</v>
      </c>
      <c r="Z989" s="17">
        <f ca="1">IFERROR(__xludf.DUMMYFUNCTION("""COMPUTED_VALUE"""),0.549555372802177)</f>
        <v>0.54955537280217703</v>
      </c>
      <c r="AA989" s="17">
        <f ca="1">IFERROR(__xludf.DUMMYFUNCTION("""COMPUTED_VALUE"""),0.575084332434072)</f>
        <v>0.57508433243407198</v>
      </c>
      <c r="AB989" s="17">
        <f ca="1">IFERROR(__xludf.DUMMYFUNCTION("""COMPUTED_VALUE"""),0.576505176804576)</f>
        <v>0.57650517680457602</v>
      </c>
      <c r="AC989" s="17">
        <f ca="1">IFERROR(__xludf.DUMMYFUNCTION("""COMPUTED_VALUE"""),0.378791760746368)</f>
        <v>0.378791760746368</v>
      </c>
      <c r="AD989" s="17">
        <f ca="1">IFERROR(__xludf.DUMMYFUNCTION("""COMPUTED_VALUE"""),0.431808931822066)</f>
        <v>0.43180893182206598</v>
      </c>
      <c r="AE989" s="17">
        <f ca="1">IFERROR(__xludf.DUMMYFUNCTION("""COMPUTED_VALUE"""),1.02652130409484)</f>
        <v>1.02652130409484</v>
      </c>
      <c r="AF989" s="17">
        <f ca="1">IFERROR(__xludf.DUMMYFUNCTION("""COMPUTED_VALUE"""),0.547022650666157)</f>
        <v>0.54702265066615696</v>
      </c>
      <c r="AG989" s="17">
        <f ca="1">IFERROR(__xludf.DUMMYFUNCTION("""COMPUTED_VALUE"""),0.936175565285373)</f>
        <v>0.93617556528537305</v>
      </c>
      <c r="AH989" s="17">
        <f ca="1">IFERROR(__xludf.DUMMYFUNCTION("""COMPUTED_VALUE"""),0.577193530789597)</f>
        <v>0.57719353078959701</v>
      </c>
      <c r="AI989" s="17" t="str">
        <f ca="1">IFERROR(__xludf.DUMMYFUNCTION("""COMPUTED_VALUE"""),"nan")</f>
        <v>nan</v>
      </c>
      <c r="AJ989" s="17">
        <f ca="1">IFERROR(__xludf.DUMMYFUNCTION("""COMPUTED_VALUE"""),0.82124375556065)</f>
        <v>0.82124375556064999</v>
      </c>
    </row>
    <row r="990" spans="2:36" ht="15.75" customHeight="1" x14ac:dyDescent="0.45">
      <c r="B990" s="10" t="str">
        <f ca="1">IFERROR(__xludf.DUMMYFUNCTION("""COMPUTED_VALUE"""),"Worms")</f>
        <v>Worms</v>
      </c>
      <c r="C990" s="10" t="str">
        <f ca="1">IFERROR(__xludf.DUMMYFUNCTION("""COMPUTED_VALUE"""),"mcar")</f>
        <v>mcar</v>
      </c>
      <c r="D990" s="10">
        <f ca="1">IFERROR(__xludf.DUMMYFUNCTION("""COMPUTED_VALUE"""),0.6)</f>
        <v>0.6</v>
      </c>
      <c r="E990" s="17">
        <f ca="1">IFERROR(__xludf.DUMMYFUNCTION("""COMPUTED_VALUE"""),0.992782989560248)</f>
        <v>0.99278298956024802</v>
      </c>
      <c r="F990" s="17">
        <f ca="1">IFERROR(__xludf.DUMMYFUNCTION("""COMPUTED_VALUE"""),0.913083037156682)</f>
        <v>0.91308303715668204</v>
      </c>
      <c r="G990" s="17">
        <f ca="1">IFERROR(__xludf.DUMMYFUNCTION("""COMPUTED_VALUE"""),0.9206098654171)</f>
        <v>0.92060986541709999</v>
      </c>
      <c r="H990" s="17">
        <f ca="1">IFERROR(__xludf.DUMMYFUNCTION("""COMPUTED_VALUE"""),0.929928385410586)</f>
        <v>0.92992838541058598</v>
      </c>
      <c r="I990" s="17">
        <f ca="1">IFERROR(__xludf.DUMMYFUNCTION("""COMPUTED_VALUE"""),0.657380350072766)</f>
        <v>0.65738035007276596</v>
      </c>
      <c r="J990" s="17">
        <f ca="1">IFERROR(__xludf.DUMMYFUNCTION("""COMPUTED_VALUE"""),0.893695172367619)</f>
        <v>0.89369517236761897</v>
      </c>
      <c r="K990" s="17" t="str">
        <f ca="1">IFERROR(__xludf.DUMMYFUNCTION("""COMPUTED_VALUE"""),"nan")</f>
        <v>nan</v>
      </c>
      <c r="L990" s="17">
        <f ca="1">IFERROR(__xludf.DUMMYFUNCTION("""COMPUTED_VALUE"""),0.86759953859998)</f>
        <v>0.86759953859997996</v>
      </c>
      <c r="M990" s="17">
        <f ca="1">IFERROR(__xludf.DUMMYFUNCTION("""COMPUTED_VALUE"""),0.914439263666049)</f>
        <v>0.914439263666049</v>
      </c>
      <c r="N990" s="17">
        <f ca="1">IFERROR(__xludf.DUMMYFUNCTION("""COMPUTED_VALUE"""),0.91022096889688)</f>
        <v>0.91022096889687998</v>
      </c>
      <c r="O990" s="17">
        <f ca="1">IFERROR(__xludf.DUMMYFUNCTION("""COMPUTED_VALUE"""),0.889236200482651)</f>
        <v>0.88923620048265095</v>
      </c>
      <c r="P990" s="17">
        <f ca="1">IFERROR(__xludf.DUMMYFUNCTION("""COMPUTED_VALUE"""),0.729890018420502)</f>
        <v>0.72989001842050205</v>
      </c>
      <c r="Q990" s="17">
        <f ca="1">IFERROR(__xludf.DUMMYFUNCTION("""COMPUTED_VALUE"""),1.41264832628139)</f>
        <v>1.41264832628139</v>
      </c>
      <c r="R990" s="17">
        <f ca="1">IFERROR(__xludf.DUMMYFUNCTION("""COMPUTED_VALUE"""),0.661635783559997)</f>
        <v>0.66163578355999697</v>
      </c>
      <c r="S990" s="17">
        <f ca="1">IFERROR(__xludf.DUMMYFUNCTION("""COMPUTED_VALUE"""),1.34356962861013)</f>
        <v>1.34356962861013</v>
      </c>
      <c r="T990" s="17">
        <f ca="1">IFERROR(__xludf.DUMMYFUNCTION("""COMPUTED_VALUE"""),0.573235191641124)</f>
        <v>0.57323519164112402</v>
      </c>
      <c r="U990" s="17">
        <f ca="1">IFERROR(__xludf.DUMMYFUNCTION("""COMPUTED_VALUE"""),0.74278460732371)</f>
        <v>0.74278460732370999</v>
      </c>
      <c r="V990" s="17">
        <f ca="1">IFERROR(__xludf.DUMMYFUNCTION("""COMPUTED_VALUE"""),0.81653522737487)</f>
        <v>0.81653522737487005</v>
      </c>
      <c r="W990" s="17">
        <f ca="1">IFERROR(__xludf.DUMMYFUNCTION("""COMPUTED_VALUE"""),0.726135577491753)</f>
        <v>0.72613557749175295</v>
      </c>
      <c r="X990" s="17">
        <f ca="1">IFERROR(__xludf.DUMMYFUNCTION("""COMPUTED_VALUE"""),0.638824101107939)</f>
        <v>0.63882410110793897</v>
      </c>
      <c r="Y990" s="17">
        <f ca="1">IFERROR(__xludf.DUMMYFUNCTION("""COMPUTED_VALUE"""),0.536595861533962)</f>
        <v>0.53659586153396199</v>
      </c>
      <c r="Z990" s="17">
        <f ca="1">IFERROR(__xludf.DUMMYFUNCTION("""COMPUTED_VALUE"""),0.666466548311057)</f>
        <v>0.66646654831105701</v>
      </c>
      <c r="AA990" s="17">
        <f ca="1">IFERROR(__xludf.DUMMYFUNCTION("""COMPUTED_VALUE"""),0.880380071260635)</f>
        <v>0.880380071260635</v>
      </c>
      <c r="AB990" s="17">
        <f ca="1">IFERROR(__xludf.DUMMYFUNCTION("""COMPUTED_VALUE"""),0.914912090396961)</f>
        <v>0.91491209039696098</v>
      </c>
      <c r="AC990" s="17">
        <f ca="1">IFERROR(__xludf.DUMMYFUNCTION("""COMPUTED_VALUE"""),0.600983970660823)</f>
        <v>0.60098397066082299</v>
      </c>
      <c r="AD990" s="17">
        <f ca="1">IFERROR(__xludf.DUMMYFUNCTION("""COMPUTED_VALUE"""),0.649999352506596)</f>
        <v>0.64999935250659602</v>
      </c>
      <c r="AE990" s="17">
        <f ca="1">IFERROR(__xludf.DUMMYFUNCTION("""COMPUTED_VALUE"""),1.11463373724193)</f>
        <v>1.1146337372419299</v>
      </c>
      <c r="AF990" s="17">
        <f ca="1">IFERROR(__xludf.DUMMYFUNCTION("""COMPUTED_VALUE"""),0.869328423776393)</f>
        <v>0.86932842377639297</v>
      </c>
      <c r="AG990" s="17">
        <f ca="1">IFERROR(__xludf.DUMMYFUNCTION("""COMPUTED_VALUE"""),1.00536137225668)</f>
        <v>1.0053613722566801</v>
      </c>
      <c r="AH990" s="17">
        <f ca="1">IFERROR(__xludf.DUMMYFUNCTION("""COMPUTED_VALUE"""),0.757702242942001)</f>
        <v>0.75770224294200095</v>
      </c>
      <c r="AI990" s="17" t="str">
        <f ca="1">IFERROR(__xludf.DUMMYFUNCTION("""COMPUTED_VALUE"""),"nan")</f>
        <v>nan</v>
      </c>
      <c r="AJ990" s="17">
        <f ca="1">IFERROR(__xludf.DUMMYFUNCTION("""COMPUTED_VALUE"""),0.959689354610302)</f>
        <v>0.95968935461030203</v>
      </c>
    </row>
    <row r="991" spans="2:36" ht="15.75" customHeight="1" x14ac:dyDescent="0.45">
      <c r="B991" s="10" t="str">
        <f ca="1">IFERROR(__xludf.DUMMYFUNCTION("""COMPUTED_VALUE"""),"Worms")</f>
        <v>Worms</v>
      </c>
      <c r="C991" s="10" t="str">
        <f ca="1">IFERROR(__xludf.DUMMYFUNCTION("""COMPUTED_VALUE"""),"mcar")</f>
        <v>mcar</v>
      </c>
      <c r="D991" s="10">
        <f ca="1">IFERROR(__xludf.DUMMYFUNCTION("""COMPUTED_VALUE"""),0.8)</f>
        <v>0.8</v>
      </c>
      <c r="E991" s="17">
        <f ca="1">IFERROR(__xludf.DUMMYFUNCTION("""COMPUTED_VALUE"""),0.992638249167744)</f>
        <v>0.99263824916774401</v>
      </c>
      <c r="F991" s="17">
        <f ca="1">IFERROR(__xludf.DUMMYFUNCTION("""COMPUTED_VALUE"""),0.948502072836167)</f>
        <v>0.94850207283616705</v>
      </c>
      <c r="G991" s="17">
        <f ca="1">IFERROR(__xludf.DUMMYFUNCTION("""COMPUTED_VALUE"""),0.993427773682763)</f>
        <v>0.99342777368276303</v>
      </c>
      <c r="H991" s="17">
        <f ca="1">IFERROR(__xludf.DUMMYFUNCTION("""COMPUTED_VALUE"""),0.964817880594554)</f>
        <v>0.96481788059455398</v>
      </c>
      <c r="I991" s="17">
        <f ca="1">IFERROR(__xludf.DUMMYFUNCTION("""COMPUTED_VALUE"""),0.804520337820352)</f>
        <v>0.80452033782035204</v>
      </c>
      <c r="J991" s="17">
        <f ca="1">IFERROR(__xludf.DUMMYFUNCTION("""COMPUTED_VALUE"""),0.998249741371591)</f>
        <v>0.99824974137159095</v>
      </c>
      <c r="K991" s="17" t="str">
        <f ca="1">IFERROR(__xludf.DUMMYFUNCTION("""COMPUTED_VALUE"""),"nan")</f>
        <v>nan</v>
      </c>
      <c r="L991" s="17">
        <f ca="1">IFERROR(__xludf.DUMMYFUNCTION("""COMPUTED_VALUE"""),0.948631287699112)</f>
        <v>0.94863128769911198</v>
      </c>
      <c r="M991" s="17">
        <f ca="1">IFERROR(__xludf.DUMMYFUNCTION("""COMPUTED_VALUE"""),0.966632713343656)</f>
        <v>0.96663271334365597</v>
      </c>
      <c r="N991" s="17">
        <f ca="1">IFERROR(__xludf.DUMMYFUNCTION("""COMPUTED_VALUE"""),1.0281915513509)</f>
        <v>1.0281915513508999</v>
      </c>
      <c r="O991" s="17">
        <f ca="1">IFERROR(__xludf.DUMMYFUNCTION("""COMPUTED_VALUE"""),0.936065752575331)</f>
        <v>0.93606575257533098</v>
      </c>
      <c r="P991" s="17">
        <f ca="1">IFERROR(__xludf.DUMMYFUNCTION("""COMPUTED_VALUE"""),0.921948787313355)</f>
        <v>0.92194878731335494</v>
      </c>
      <c r="Q991" s="17">
        <f ca="1">IFERROR(__xludf.DUMMYFUNCTION("""COMPUTED_VALUE"""),1.3905495259579)</f>
        <v>1.3905495259578999</v>
      </c>
      <c r="R991" s="17">
        <f ca="1">IFERROR(__xludf.DUMMYFUNCTION("""COMPUTED_VALUE"""),1.08105401192)</f>
        <v>1.0810540119200001</v>
      </c>
      <c r="S991" s="17">
        <f ca="1">IFERROR(__xludf.DUMMYFUNCTION("""COMPUTED_VALUE"""),1.56271953698784)</f>
        <v>1.5627195369878399</v>
      </c>
      <c r="T991" s="17">
        <f ca="1">IFERROR(__xludf.DUMMYFUNCTION("""COMPUTED_VALUE"""),0.820904872572537)</f>
        <v>0.82090487257253697</v>
      </c>
      <c r="U991" s="17">
        <f ca="1">IFERROR(__xludf.DUMMYFUNCTION("""COMPUTED_VALUE"""),0.88272660939306)</f>
        <v>0.88272660939306002</v>
      </c>
      <c r="V991" s="17">
        <f ca="1">IFERROR(__xludf.DUMMYFUNCTION("""COMPUTED_VALUE"""),1.00681029772332)</f>
        <v>1.00681029772332</v>
      </c>
      <c r="W991" s="17">
        <f ca="1">IFERROR(__xludf.DUMMYFUNCTION("""COMPUTED_VALUE"""),0.903731929678765)</f>
        <v>0.90373192967876503</v>
      </c>
      <c r="X991" s="17">
        <f ca="1">IFERROR(__xludf.DUMMYFUNCTION("""COMPUTED_VALUE"""),0.796782258780698)</f>
        <v>0.79678225878069797</v>
      </c>
      <c r="Y991" s="17">
        <f ca="1">IFERROR(__xludf.DUMMYFUNCTION("""COMPUTED_VALUE"""),0.862138145752432)</f>
        <v>0.86213814575243197</v>
      </c>
      <c r="Z991" s="17">
        <f ca="1">IFERROR(__xludf.DUMMYFUNCTION("""COMPUTED_VALUE"""),0.828714377166878)</f>
        <v>0.82871437716687801</v>
      </c>
      <c r="AA991" s="17">
        <f ca="1">IFERROR(__xludf.DUMMYFUNCTION("""COMPUTED_VALUE"""),1.29663764925382)</f>
        <v>1.2966376492538201</v>
      </c>
      <c r="AB991" s="17">
        <f ca="1">IFERROR(__xludf.DUMMYFUNCTION("""COMPUTED_VALUE"""),1.31476972762265)</f>
        <v>1.31476972762265</v>
      </c>
      <c r="AC991" s="17">
        <f ca="1">IFERROR(__xludf.DUMMYFUNCTION("""COMPUTED_VALUE"""),0.880137608632118)</f>
        <v>0.88013760863211798</v>
      </c>
      <c r="AD991" s="17">
        <f ca="1">IFERROR(__xludf.DUMMYFUNCTION("""COMPUTED_VALUE"""),0.903869180595972)</f>
        <v>0.90386918059597199</v>
      </c>
      <c r="AE991" s="17" t="str">
        <f ca="1">IFERROR(__xludf.DUMMYFUNCTION("""COMPUTED_VALUE"""),"nan")</f>
        <v>nan</v>
      </c>
      <c r="AF991" s="17">
        <f ca="1">IFERROR(__xludf.DUMMYFUNCTION("""COMPUTED_VALUE"""),1.10580423324464)</f>
        <v>1.1058042332446401</v>
      </c>
      <c r="AG991" s="17">
        <f ca="1">IFERROR(__xludf.DUMMYFUNCTION("""COMPUTED_VALUE"""),1.07648040327219)</f>
        <v>1.07648040327219</v>
      </c>
      <c r="AH991" s="17">
        <f ca="1">IFERROR(__xludf.DUMMYFUNCTION("""COMPUTED_VALUE"""),0.954467753151617)</f>
        <v>0.95446775315161703</v>
      </c>
      <c r="AI991" s="17" t="str">
        <f ca="1">IFERROR(__xludf.DUMMYFUNCTION("""COMPUTED_VALUE"""),"nan")</f>
        <v>nan</v>
      </c>
      <c r="AJ991" s="17">
        <f ca="1">IFERROR(__xludf.DUMMYFUNCTION("""COMPUTED_VALUE"""),1.11097436912865)</f>
        <v>1.11097436912865</v>
      </c>
    </row>
    <row r="992" spans="2:36" ht="15.75" customHeight="1" x14ac:dyDescent="0.45">
      <c r="B992" s="10" t="str">
        <f ca="1">IFERROR(__xludf.DUMMYFUNCTION("""COMPUTED_VALUE"""),"WormsTwoClass")</f>
        <v>WormsTwoClass</v>
      </c>
      <c r="C992" s="10" t="str">
        <f ca="1">IFERROR(__xludf.DUMMYFUNCTION("""COMPUTED_VALUE"""),"aligned_series")</f>
        <v>aligned_series</v>
      </c>
      <c r="D992" s="10">
        <f ca="1">IFERROR(__xludf.DUMMYFUNCTION("""COMPUTED_VALUE"""),0.1)</f>
        <v>0.1</v>
      </c>
      <c r="E992" s="17">
        <f ca="1">IFERROR(__xludf.DUMMYFUNCTION("""COMPUTED_VALUE"""),1.05422086893645)</f>
        <v>1.0542208689364501</v>
      </c>
      <c r="F992" s="17">
        <f ca="1">IFERROR(__xludf.DUMMYFUNCTION("""COMPUTED_VALUE"""),1.03377154206428)</f>
        <v>1.0337715420642799</v>
      </c>
      <c r="G992" s="17">
        <f ca="1">IFERROR(__xludf.DUMMYFUNCTION("""COMPUTED_VALUE"""),1.0406453586028)</f>
        <v>1.0406453586027999</v>
      </c>
      <c r="H992" s="17">
        <f ca="1">IFERROR(__xludf.DUMMYFUNCTION("""COMPUTED_VALUE"""),1.11602423697495)</f>
        <v>1.11602423697495</v>
      </c>
      <c r="I992" s="17">
        <f ca="1">IFERROR(__xludf.DUMMYFUNCTION("""COMPUTED_VALUE"""),0.843518277409782)</f>
        <v>0.84351827740978202</v>
      </c>
      <c r="J992" s="17">
        <f ca="1">IFERROR(__xludf.DUMMYFUNCTION("""COMPUTED_VALUE"""),1.12786140817741)</f>
        <v>1.1278614081774101</v>
      </c>
      <c r="K992" s="17" t="str">
        <f ca="1">IFERROR(__xludf.DUMMYFUNCTION("""COMPUTED_VALUE"""),"nan")</f>
        <v>nan</v>
      </c>
      <c r="L992" s="17">
        <f ca="1">IFERROR(__xludf.DUMMYFUNCTION("""COMPUTED_VALUE"""),1.11789668544773)</f>
        <v>1.1178966854477299</v>
      </c>
      <c r="M992" s="17">
        <f ca="1">IFERROR(__xludf.DUMMYFUNCTION("""COMPUTED_VALUE"""),1.04792193347858)</f>
        <v>1.0479219334785801</v>
      </c>
      <c r="N992" s="17">
        <f ca="1">IFERROR(__xludf.DUMMYFUNCTION("""COMPUTED_VALUE"""),1.10261930877653)</f>
        <v>1.1026193087765299</v>
      </c>
      <c r="O992" s="17">
        <f ca="1">IFERROR(__xludf.DUMMYFUNCTION("""COMPUTED_VALUE"""),1.0405186614569)</f>
        <v>1.0405186614569</v>
      </c>
      <c r="P992" s="17">
        <f ca="1">IFERROR(__xludf.DUMMYFUNCTION("""COMPUTED_VALUE"""),1.12259243027463)</f>
        <v>1.12259243027463</v>
      </c>
      <c r="Q992" s="17">
        <f ca="1">IFERROR(__xludf.DUMMYFUNCTION("""COMPUTED_VALUE"""),1.56135098039392)</f>
        <v>1.5613509803939201</v>
      </c>
      <c r="R992" s="17">
        <f ca="1">IFERROR(__xludf.DUMMYFUNCTION("""COMPUTED_VALUE"""),2.03186109185954)</f>
        <v>2.0318610918595401</v>
      </c>
      <c r="S992" s="17">
        <f ca="1">IFERROR(__xludf.DUMMYFUNCTION("""COMPUTED_VALUE"""),1.2800444514706)</f>
        <v>1.2800444514706</v>
      </c>
      <c r="T992" s="17">
        <f ca="1">IFERROR(__xludf.DUMMYFUNCTION("""COMPUTED_VALUE"""),1.10129702723305)</f>
        <v>1.10129702723305</v>
      </c>
      <c r="U992" s="17">
        <f ca="1">IFERROR(__xludf.DUMMYFUNCTION("""COMPUTED_VALUE"""),1.11069925694903)</f>
        <v>1.1106992569490299</v>
      </c>
      <c r="V992" s="17">
        <f ca="1">IFERROR(__xludf.DUMMYFUNCTION("""COMPUTED_VALUE"""),1.05445668970242)</f>
        <v>1.0544566897024199</v>
      </c>
      <c r="W992" s="17">
        <f ca="1">IFERROR(__xludf.DUMMYFUNCTION("""COMPUTED_VALUE"""),1.02918555400242)</f>
        <v>1.02918555400242</v>
      </c>
      <c r="X992" s="17">
        <f ca="1">IFERROR(__xludf.DUMMYFUNCTION("""COMPUTED_VALUE"""),0.965179100497358)</f>
        <v>0.965179100497358</v>
      </c>
      <c r="Y992" s="17">
        <f ca="1">IFERROR(__xludf.DUMMYFUNCTION("""COMPUTED_VALUE"""),1.17333965767808)</f>
        <v>1.1733396576780799</v>
      </c>
      <c r="Z992" s="17">
        <f ca="1">IFERROR(__xludf.DUMMYFUNCTION("""COMPUTED_VALUE"""),1.0550976069134)</f>
        <v>1.0550976069133999</v>
      </c>
      <c r="AA992" s="17">
        <f ca="1">IFERROR(__xludf.DUMMYFUNCTION("""COMPUTED_VALUE"""),3.76239566929138)</f>
        <v>3.7623956692913798</v>
      </c>
      <c r="AB992" s="17">
        <f ca="1">IFERROR(__xludf.DUMMYFUNCTION("""COMPUTED_VALUE"""),1.70171178587153)</f>
        <v>1.70171178587153</v>
      </c>
      <c r="AC992" s="17">
        <f ca="1">IFERROR(__xludf.DUMMYFUNCTION("""COMPUTED_VALUE"""),1.05767810814387)</f>
        <v>1.05767810814387</v>
      </c>
      <c r="AD992" s="17">
        <f ca="1">IFERROR(__xludf.DUMMYFUNCTION("""COMPUTED_VALUE"""),1.01839755967504)</f>
        <v>1.0183975596750401</v>
      </c>
      <c r="AE992" s="17">
        <f ca="1">IFERROR(__xludf.DUMMYFUNCTION("""COMPUTED_VALUE"""),1.26625200028119)</f>
        <v>1.2662520002811899</v>
      </c>
      <c r="AF992" s="17">
        <f ca="1">IFERROR(__xludf.DUMMYFUNCTION("""COMPUTED_VALUE"""),1.1527387602608)</f>
        <v>1.1527387602607999</v>
      </c>
      <c r="AG992" s="17">
        <f ca="1">IFERROR(__xludf.DUMMYFUNCTION("""COMPUTED_VALUE"""),1.03599239950562)</f>
        <v>1.0359923995056199</v>
      </c>
      <c r="AH992" s="17">
        <f ca="1">IFERROR(__xludf.DUMMYFUNCTION("""COMPUTED_VALUE"""),0.96859386339734)</f>
        <v>0.96859386339733999</v>
      </c>
      <c r="AI992" s="17" t="str">
        <f ca="1">IFERROR(__xludf.DUMMYFUNCTION("""COMPUTED_VALUE"""),"nan")</f>
        <v>nan</v>
      </c>
      <c r="AJ992" s="17">
        <f ca="1">IFERROR(__xludf.DUMMYFUNCTION("""COMPUTED_VALUE"""),0.941450181334699)</f>
        <v>0.94145018133469904</v>
      </c>
    </row>
    <row r="993" spans="2:36" ht="15.75" customHeight="1" x14ac:dyDescent="0.45">
      <c r="B993" s="10" t="str">
        <f ca="1">IFERROR(__xludf.DUMMYFUNCTION("""COMPUTED_VALUE"""),"WormsTwoClass")</f>
        <v>WormsTwoClass</v>
      </c>
      <c r="C993" s="10" t="str">
        <f ca="1">IFERROR(__xludf.DUMMYFUNCTION("""COMPUTED_VALUE"""),"aligned_series")</f>
        <v>aligned_series</v>
      </c>
      <c r="D993" s="10">
        <f ca="1">IFERROR(__xludf.DUMMYFUNCTION("""COMPUTED_VALUE"""),0.2)</f>
        <v>0.2</v>
      </c>
      <c r="E993" s="17">
        <f ca="1">IFERROR(__xludf.DUMMYFUNCTION("""COMPUTED_VALUE"""),1.0761627225051)</f>
        <v>1.0761627225051</v>
      </c>
      <c r="F993" s="17">
        <f ca="1">IFERROR(__xludf.DUMMYFUNCTION("""COMPUTED_VALUE"""),1.03234525722097)</f>
        <v>1.0323452572209699</v>
      </c>
      <c r="G993" s="17">
        <f ca="1">IFERROR(__xludf.DUMMYFUNCTION("""COMPUTED_VALUE"""),1.03294618011822)</f>
        <v>1.03294618011822</v>
      </c>
      <c r="H993" s="17">
        <f ca="1">IFERROR(__xludf.DUMMYFUNCTION("""COMPUTED_VALUE"""),1.06229172675521)</f>
        <v>1.0622917267552101</v>
      </c>
      <c r="I993" s="17">
        <f ca="1">IFERROR(__xludf.DUMMYFUNCTION("""COMPUTED_VALUE"""),0.834868067523725)</f>
        <v>0.834868067523725</v>
      </c>
      <c r="J993" s="17">
        <f ca="1">IFERROR(__xludf.DUMMYFUNCTION("""COMPUTED_VALUE"""),1.10371000043028)</f>
        <v>1.10371000043028</v>
      </c>
      <c r="K993" s="17" t="str">
        <f ca="1">IFERROR(__xludf.DUMMYFUNCTION("""COMPUTED_VALUE"""),"nan")</f>
        <v>nan</v>
      </c>
      <c r="L993" s="17">
        <f ca="1">IFERROR(__xludf.DUMMYFUNCTION("""COMPUTED_VALUE"""),1.03292828896588)</f>
        <v>1.03292828896588</v>
      </c>
      <c r="M993" s="17">
        <f ca="1">IFERROR(__xludf.DUMMYFUNCTION("""COMPUTED_VALUE"""),1.02782316922506)</f>
        <v>1.0278231692250599</v>
      </c>
      <c r="N993" s="17">
        <f ca="1">IFERROR(__xludf.DUMMYFUNCTION("""COMPUTED_VALUE"""),1.11956271372981)</f>
        <v>1.1195627137298101</v>
      </c>
      <c r="O993" s="17">
        <f ca="1">IFERROR(__xludf.DUMMYFUNCTION("""COMPUTED_VALUE"""),1.01446829525902)</f>
        <v>1.01446829525902</v>
      </c>
      <c r="P993" s="17">
        <f ca="1">IFERROR(__xludf.DUMMYFUNCTION("""COMPUTED_VALUE"""),1.11036690464641)</f>
        <v>1.11036690464641</v>
      </c>
      <c r="Q993" s="17">
        <f ca="1">IFERROR(__xludf.DUMMYFUNCTION("""COMPUTED_VALUE"""),1.40773636222267)</f>
        <v>1.40773636222267</v>
      </c>
      <c r="R993" s="17">
        <f ca="1">IFERROR(__xludf.DUMMYFUNCTION("""COMPUTED_VALUE"""),1.70150090404064)</f>
        <v>1.7015009040406399</v>
      </c>
      <c r="S993" s="17">
        <f ca="1">IFERROR(__xludf.DUMMYFUNCTION("""COMPUTED_VALUE"""),1.16801131085651)</f>
        <v>1.16801131085651</v>
      </c>
      <c r="T993" s="17">
        <f ca="1">IFERROR(__xludf.DUMMYFUNCTION("""COMPUTED_VALUE"""),1.05365130185831)</f>
        <v>1.05365130185831</v>
      </c>
      <c r="U993" s="17">
        <f ca="1">IFERROR(__xludf.DUMMYFUNCTION("""COMPUTED_VALUE"""),1.06778370644765)</f>
        <v>1.0677837064476501</v>
      </c>
      <c r="V993" s="17">
        <f ca="1">IFERROR(__xludf.DUMMYFUNCTION("""COMPUTED_VALUE"""),1.06609781659124)</f>
        <v>1.06609781659124</v>
      </c>
      <c r="W993" s="17">
        <f ca="1">IFERROR(__xludf.DUMMYFUNCTION("""COMPUTED_VALUE"""),1.05523114169242)</f>
        <v>1.05523114169242</v>
      </c>
      <c r="X993" s="17">
        <f ca="1">IFERROR(__xludf.DUMMYFUNCTION("""COMPUTED_VALUE"""),1.03211131485225)</f>
        <v>1.0321113148522501</v>
      </c>
      <c r="Y993" s="17">
        <f ca="1">IFERROR(__xludf.DUMMYFUNCTION("""COMPUTED_VALUE"""),1.04261065946216)</f>
        <v>1.04261065946216</v>
      </c>
      <c r="Z993" s="17">
        <f ca="1">IFERROR(__xludf.DUMMYFUNCTION("""COMPUTED_VALUE"""),1.0127739606334)</f>
        <v>1.0127739606334001</v>
      </c>
      <c r="AA993" s="17">
        <f ca="1">IFERROR(__xludf.DUMMYFUNCTION("""COMPUTED_VALUE"""),2.82677740629368)</f>
        <v>2.8267774062936799</v>
      </c>
      <c r="AB993" s="17">
        <f ca="1">IFERROR(__xludf.DUMMYFUNCTION("""COMPUTED_VALUE"""),1.7090662146675)</f>
        <v>1.7090662146675</v>
      </c>
      <c r="AC993" s="17">
        <f ca="1">IFERROR(__xludf.DUMMYFUNCTION("""COMPUTED_VALUE"""),1.02829353796019)</f>
        <v>1.0282935379601901</v>
      </c>
      <c r="AD993" s="17">
        <f ca="1">IFERROR(__xludf.DUMMYFUNCTION("""COMPUTED_VALUE"""),1.02784702516073)</f>
        <v>1.0278470251607299</v>
      </c>
      <c r="AE993" s="17">
        <f ca="1">IFERROR(__xludf.DUMMYFUNCTION("""COMPUTED_VALUE"""),1.29172721527181)</f>
        <v>1.29172721527181</v>
      </c>
      <c r="AF993" s="17">
        <f ca="1">IFERROR(__xludf.DUMMYFUNCTION("""COMPUTED_VALUE"""),1.17043236623139)</f>
        <v>1.17043236623139</v>
      </c>
      <c r="AG993" s="17">
        <f ca="1">IFERROR(__xludf.DUMMYFUNCTION("""COMPUTED_VALUE"""),0.998506418450059)</f>
        <v>0.99850641845005905</v>
      </c>
      <c r="AH993" s="17">
        <f ca="1">IFERROR(__xludf.DUMMYFUNCTION("""COMPUTED_VALUE"""),0.97689413067445)</f>
        <v>0.97689413067444997</v>
      </c>
      <c r="AI993" s="17" t="str">
        <f ca="1">IFERROR(__xludf.DUMMYFUNCTION("""COMPUTED_VALUE"""),"nan")</f>
        <v>nan</v>
      </c>
      <c r="AJ993" s="17">
        <f ca="1">IFERROR(__xludf.DUMMYFUNCTION("""COMPUTED_VALUE"""),0.938881143836956)</f>
        <v>0.93888114383695598</v>
      </c>
    </row>
    <row r="994" spans="2:36" ht="15.75" customHeight="1" x14ac:dyDescent="0.45">
      <c r="B994" s="10" t="str">
        <f ca="1">IFERROR(__xludf.DUMMYFUNCTION("""COMPUTED_VALUE"""),"WormsTwoClass")</f>
        <v>WormsTwoClass</v>
      </c>
      <c r="C994" s="10" t="str">
        <f ca="1">IFERROR(__xludf.DUMMYFUNCTION("""COMPUTED_VALUE"""),"aligned_series")</f>
        <v>aligned_series</v>
      </c>
      <c r="D994" s="10">
        <f ca="1">IFERROR(__xludf.DUMMYFUNCTION("""COMPUTED_VALUE"""),0.4)</f>
        <v>0.4</v>
      </c>
      <c r="E994" s="17">
        <f ca="1">IFERROR(__xludf.DUMMYFUNCTION("""COMPUTED_VALUE"""),1.01091483318205)</f>
        <v>1.0109148331820501</v>
      </c>
      <c r="F994" s="17">
        <f ca="1">IFERROR(__xludf.DUMMYFUNCTION("""COMPUTED_VALUE"""),0.9461288141081)</f>
        <v>0.94612881410810001</v>
      </c>
      <c r="G994" s="17">
        <f ca="1">IFERROR(__xludf.DUMMYFUNCTION("""COMPUTED_VALUE"""),0.950447321723942)</f>
        <v>0.95044732172394197</v>
      </c>
      <c r="H994" s="17">
        <f ca="1">IFERROR(__xludf.DUMMYFUNCTION("""COMPUTED_VALUE"""),0.949289080497462)</f>
        <v>0.94928908049746197</v>
      </c>
      <c r="I994" s="17">
        <f ca="1">IFERROR(__xludf.DUMMYFUNCTION("""COMPUTED_VALUE"""),0.788870531287808)</f>
        <v>0.78887053128780804</v>
      </c>
      <c r="J994" s="17">
        <f ca="1">IFERROR(__xludf.DUMMYFUNCTION("""COMPUTED_VALUE"""),1.00320598411561)</f>
        <v>1.00320598411561</v>
      </c>
      <c r="K994" s="17" t="str">
        <f ca="1">IFERROR(__xludf.DUMMYFUNCTION("""COMPUTED_VALUE"""),"nan")</f>
        <v>nan</v>
      </c>
      <c r="L994" s="17">
        <f ca="1">IFERROR(__xludf.DUMMYFUNCTION("""COMPUTED_VALUE"""),0.942103851694129)</f>
        <v>0.94210385169412902</v>
      </c>
      <c r="M994" s="17">
        <f ca="1">IFERROR(__xludf.DUMMYFUNCTION("""COMPUTED_VALUE"""),0.971296244370363)</f>
        <v>0.97129624437036299</v>
      </c>
      <c r="N994" s="17">
        <f ca="1">IFERROR(__xludf.DUMMYFUNCTION("""COMPUTED_VALUE"""),1.02394003290764)</f>
        <v>1.02394003290764</v>
      </c>
      <c r="O994" s="17">
        <f ca="1">IFERROR(__xludf.DUMMYFUNCTION("""COMPUTED_VALUE"""),0.919455922590249)</f>
        <v>0.919455922590249</v>
      </c>
      <c r="P994" s="17">
        <f ca="1">IFERROR(__xludf.DUMMYFUNCTION("""COMPUTED_VALUE"""),1.04594821858643)</f>
        <v>1.0459482185864299</v>
      </c>
      <c r="Q994" s="17">
        <f ca="1">IFERROR(__xludf.DUMMYFUNCTION("""COMPUTED_VALUE"""),1.39197447743484)</f>
        <v>1.3919744774348399</v>
      </c>
      <c r="R994" s="17">
        <f ca="1">IFERROR(__xludf.DUMMYFUNCTION("""COMPUTED_VALUE"""),1.67056030541308)</f>
        <v>1.67056030541308</v>
      </c>
      <c r="S994" s="17">
        <f ca="1">IFERROR(__xludf.DUMMYFUNCTION("""COMPUTED_VALUE"""),1.07818573603813)</f>
        <v>1.0781857360381299</v>
      </c>
      <c r="T994" s="17">
        <f ca="1">IFERROR(__xludf.DUMMYFUNCTION("""COMPUTED_VALUE"""),0.942127533479285)</f>
        <v>0.94212753347928502</v>
      </c>
      <c r="U994" s="17">
        <f ca="1">IFERROR(__xludf.DUMMYFUNCTION("""COMPUTED_VALUE"""),0.98049125470545)</f>
        <v>0.98049125470544995</v>
      </c>
      <c r="V994" s="17">
        <f ca="1">IFERROR(__xludf.DUMMYFUNCTION("""COMPUTED_VALUE"""),0.973230715076922)</f>
        <v>0.97323071507692205</v>
      </c>
      <c r="W994" s="17">
        <f ca="1">IFERROR(__xludf.DUMMYFUNCTION("""COMPUTED_VALUE"""),0.987618984722226)</f>
        <v>0.98761898472222598</v>
      </c>
      <c r="X994" s="17">
        <f ca="1">IFERROR(__xludf.DUMMYFUNCTION("""COMPUTED_VALUE"""),0.85039389682118)</f>
        <v>0.85039389682118005</v>
      </c>
      <c r="Y994" s="17">
        <f ca="1">IFERROR(__xludf.DUMMYFUNCTION("""COMPUTED_VALUE"""),0.91649953895354)</f>
        <v>0.91649953895353997</v>
      </c>
      <c r="Z994" s="17">
        <f ca="1">IFERROR(__xludf.DUMMYFUNCTION("""COMPUTED_VALUE"""),0.90690185732586)</f>
        <v>0.90690185732586004</v>
      </c>
      <c r="AA994" s="17">
        <f ca="1">IFERROR(__xludf.DUMMYFUNCTION("""COMPUTED_VALUE"""),2.29742299191011)</f>
        <v>2.2974229919101101</v>
      </c>
      <c r="AB994" s="17">
        <f ca="1">IFERROR(__xludf.DUMMYFUNCTION("""COMPUTED_VALUE"""),1.95754593412628)</f>
        <v>1.95754593412628</v>
      </c>
      <c r="AC994" s="17">
        <f ca="1">IFERROR(__xludf.DUMMYFUNCTION("""COMPUTED_VALUE"""),0.928419254588931)</f>
        <v>0.92841925458893104</v>
      </c>
      <c r="AD994" s="17">
        <f ca="1">IFERROR(__xludf.DUMMYFUNCTION("""COMPUTED_VALUE"""),0.963467263655165)</f>
        <v>0.963467263655165</v>
      </c>
      <c r="AE994" s="17">
        <f ca="1">IFERROR(__xludf.DUMMYFUNCTION("""COMPUTED_VALUE"""),1.22683147095398)</f>
        <v>1.22683147095398</v>
      </c>
      <c r="AF994" s="17">
        <f ca="1">IFERROR(__xludf.DUMMYFUNCTION("""COMPUTED_VALUE"""),1.10410682555645)</f>
        <v>1.1041068255564499</v>
      </c>
      <c r="AG994" s="17">
        <f ca="1">IFERROR(__xludf.DUMMYFUNCTION("""COMPUTED_VALUE"""),0.914916536996807)</f>
        <v>0.91491653699680697</v>
      </c>
      <c r="AH994" s="17">
        <f ca="1">IFERROR(__xludf.DUMMYFUNCTION("""COMPUTED_VALUE"""),0.868204005179769)</f>
        <v>0.86820400517976903</v>
      </c>
      <c r="AI994" s="17" t="str">
        <f ca="1">IFERROR(__xludf.DUMMYFUNCTION("""COMPUTED_VALUE"""),"nan")</f>
        <v>nan</v>
      </c>
      <c r="AJ994" s="17">
        <f ca="1">IFERROR(__xludf.DUMMYFUNCTION("""COMPUTED_VALUE"""),0.842051166873732)</f>
        <v>0.84205116687373205</v>
      </c>
    </row>
    <row r="995" spans="2:36" ht="15.75" customHeight="1" x14ac:dyDescent="0.45">
      <c r="B995" s="10" t="str">
        <f ca="1">IFERROR(__xludf.DUMMYFUNCTION("""COMPUTED_VALUE"""),"WormsTwoClass")</f>
        <v>WormsTwoClass</v>
      </c>
      <c r="C995" s="10" t="str">
        <f ca="1">IFERROR(__xludf.DUMMYFUNCTION("""COMPUTED_VALUE"""),"aligned_series")</f>
        <v>aligned_series</v>
      </c>
      <c r="D995" s="10">
        <f ca="1">IFERROR(__xludf.DUMMYFUNCTION("""COMPUTED_VALUE"""),0.6)</f>
        <v>0.6</v>
      </c>
      <c r="E995" s="17">
        <f ca="1">IFERROR(__xludf.DUMMYFUNCTION("""COMPUTED_VALUE"""),0.981343470100878)</f>
        <v>0.98134347010087797</v>
      </c>
      <c r="F995" s="17">
        <f ca="1">IFERROR(__xludf.DUMMYFUNCTION("""COMPUTED_VALUE"""),0.931121235700734)</f>
        <v>0.93112123570073402</v>
      </c>
      <c r="G995" s="17">
        <f ca="1">IFERROR(__xludf.DUMMYFUNCTION("""COMPUTED_VALUE"""),0.936499159901383)</f>
        <v>0.93649915990138299</v>
      </c>
      <c r="H995" s="17">
        <f ca="1">IFERROR(__xludf.DUMMYFUNCTION("""COMPUTED_VALUE"""),0.938640892694076)</f>
        <v>0.93864089269407602</v>
      </c>
      <c r="I995" s="17">
        <f ca="1">IFERROR(__xludf.DUMMYFUNCTION("""COMPUTED_VALUE"""),0.796248140980862)</f>
        <v>0.79624814098086205</v>
      </c>
      <c r="J995" s="17">
        <f ca="1">IFERROR(__xludf.DUMMYFUNCTION("""COMPUTED_VALUE"""),1.02276828773624)</f>
        <v>1.0227682877362401</v>
      </c>
      <c r="K995" s="17" t="str">
        <f ca="1">IFERROR(__xludf.DUMMYFUNCTION("""COMPUTED_VALUE"""),"nan")</f>
        <v>nan</v>
      </c>
      <c r="L995" s="17">
        <f ca="1">IFERROR(__xludf.DUMMYFUNCTION("""COMPUTED_VALUE"""),0.916157759050326)</f>
        <v>0.91615775905032604</v>
      </c>
      <c r="M995" s="17">
        <f ca="1">IFERROR(__xludf.DUMMYFUNCTION("""COMPUTED_VALUE"""),0.921497767741738)</f>
        <v>0.92149776774173797</v>
      </c>
      <c r="N995" s="17">
        <f ca="1">IFERROR(__xludf.DUMMYFUNCTION("""COMPUTED_VALUE"""),0.974232641022242)</f>
        <v>0.97423264102224205</v>
      </c>
      <c r="O995" s="17">
        <f ca="1">IFERROR(__xludf.DUMMYFUNCTION("""COMPUTED_VALUE"""),0.928375506911088)</f>
        <v>0.92837550691108806</v>
      </c>
      <c r="P995" s="17">
        <f ca="1">IFERROR(__xludf.DUMMYFUNCTION("""COMPUTED_VALUE"""),1.04079799059867)</f>
        <v>1.04079799059867</v>
      </c>
      <c r="Q995" s="17">
        <f ca="1">IFERROR(__xludf.DUMMYFUNCTION("""COMPUTED_VALUE"""),1.32014133620102)</f>
        <v>1.3201413362010199</v>
      </c>
      <c r="R995" s="17">
        <f ca="1">IFERROR(__xludf.DUMMYFUNCTION("""COMPUTED_VALUE"""),1.37298207111514)</f>
        <v>1.3729820711151399</v>
      </c>
      <c r="S995" s="17">
        <f ca="1">IFERROR(__xludf.DUMMYFUNCTION("""COMPUTED_VALUE"""),1.07826258063747)</f>
        <v>1.0782625806374699</v>
      </c>
      <c r="T995" s="17">
        <f ca="1">IFERROR(__xludf.DUMMYFUNCTION("""COMPUTED_VALUE"""),0.917238897183951)</f>
        <v>0.91723889718395102</v>
      </c>
      <c r="U995" s="17">
        <f ca="1">IFERROR(__xludf.DUMMYFUNCTION("""COMPUTED_VALUE"""),0.916499126740296)</f>
        <v>0.91649912674029599</v>
      </c>
      <c r="V995" s="17">
        <f ca="1">IFERROR(__xludf.DUMMYFUNCTION("""COMPUTED_VALUE"""),0.901504831113284)</f>
        <v>0.90150483111328406</v>
      </c>
      <c r="W995" s="17">
        <f ca="1">IFERROR(__xludf.DUMMYFUNCTION("""COMPUTED_VALUE"""),0.954210978845984)</f>
        <v>0.95421097884598405</v>
      </c>
      <c r="X995" s="17">
        <f ca="1">IFERROR(__xludf.DUMMYFUNCTION("""COMPUTED_VALUE"""),0.83651988360352)</f>
        <v>0.83651988360352003</v>
      </c>
      <c r="Y995" s="17">
        <f ca="1">IFERROR(__xludf.DUMMYFUNCTION("""COMPUTED_VALUE"""),0.870534626523908)</f>
        <v>0.87053462652390801</v>
      </c>
      <c r="Z995" s="17">
        <f ca="1">IFERROR(__xludf.DUMMYFUNCTION("""COMPUTED_VALUE"""),0.847979036986221)</f>
        <v>0.84797903698622101</v>
      </c>
      <c r="AA995" s="17">
        <f ca="1">IFERROR(__xludf.DUMMYFUNCTION("""COMPUTED_VALUE"""),2.39039756126269)</f>
        <v>2.3903975612626902</v>
      </c>
      <c r="AB995" s="17">
        <f ca="1">IFERROR(__xludf.DUMMYFUNCTION("""COMPUTED_VALUE"""),2.40678678347399)</f>
        <v>2.40678678347399</v>
      </c>
      <c r="AC995" s="17">
        <f ca="1">IFERROR(__xludf.DUMMYFUNCTION("""COMPUTED_VALUE"""),0.873169674709643)</f>
        <v>0.87316967470964302</v>
      </c>
      <c r="AD995" s="17">
        <f ca="1">IFERROR(__xludf.DUMMYFUNCTION("""COMPUTED_VALUE"""),0.93116065178423)</f>
        <v>0.93116065178423002</v>
      </c>
      <c r="AE995" s="17">
        <f ca="1">IFERROR(__xludf.DUMMYFUNCTION("""COMPUTED_VALUE"""),1.17112912044715)</f>
        <v>1.1711291204471499</v>
      </c>
      <c r="AF995" s="17">
        <f ca="1">IFERROR(__xludf.DUMMYFUNCTION("""COMPUTED_VALUE"""),1.04836950273816)</f>
        <v>1.0483695027381601</v>
      </c>
      <c r="AG995" s="17">
        <f ca="1">IFERROR(__xludf.DUMMYFUNCTION("""COMPUTED_VALUE"""),0.887183700105443)</f>
        <v>0.88718370010544301</v>
      </c>
      <c r="AH995" s="17">
        <f ca="1">IFERROR(__xludf.DUMMYFUNCTION("""COMPUTED_VALUE"""),0.871367980313973)</f>
        <v>0.871367980313973</v>
      </c>
      <c r="AI995" s="17" t="str">
        <f ca="1">IFERROR(__xludf.DUMMYFUNCTION("""COMPUTED_VALUE"""),"nan")</f>
        <v>nan</v>
      </c>
      <c r="AJ995" s="17">
        <f ca="1">IFERROR(__xludf.DUMMYFUNCTION("""COMPUTED_VALUE"""),0.848829270508724)</f>
        <v>0.84882927050872403</v>
      </c>
    </row>
    <row r="996" spans="2:36" ht="15.75" customHeight="1" x14ac:dyDescent="0.45">
      <c r="B996" s="10" t="str">
        <f ca="1">IFERROR(__xludf.DUMMYFUNCTION("""COMPUTED_VALUE"""),"WormsTwoClass")</f>
        <v>WormsTwoClass</v>
      </c>
      <c r="C996" s="10" t="str">
        <f ca="1">IFERROR(__xludf.DUMMYFUNCTION("""COMPUTED_VALUE"""),"aligned_series")</f>
        <v>aligned_series</v>
      </c>
      <c r="D996" s="10">
        <f ca="1">IFERROR(__xludf.DUMMYFUNCTION("""COMPUTED_VALUE"""),0.8)</f>
        <v>0.8</v>
      </c>
      <c r="E996" s="17">
        <f ca="1">IFERROR(__xludf.DUMMYFUNCTION("""COMPUTED_VALUE"""),0.999776272915359)</f>
        <v>0.99977627291535898</v>
      </c>
      <c r="F996" s="17">
        <f ca="1">IFERROR(__xludf.DUMMYFUNCTION("""COMPUTED_VALUE"""),0.96149600914639)</f>
        <v>0.96149600914639</v>
      </c>
      <c r="G996" s="17">
        <f ca="1">IFERROR(__xludf.DUMMYFUNCTION("""COMPUTED_VALUE"""),0.972206737412716)</f>
        <v>0.97220673741271602</v>
      </c>
      <c r="H996" s="17">
        <f ca="1">IFERROR(__xludf.DUMMYFUNCTION("""COMPUTED_VALUE"""),0.951612537840815)</f>
        <v>0.95161253784081501</v>
      </c>
      <c r="I996" s="17">
        <f ca="1">IFERROR(__xludf.DUMMYFUNCTION("""COMPUTED_VALUE"""),0.90478971520362)</f>
        <v>0.90478971520361995</v>
      </c>
      <c r="J996" s="17">
        <f ca="1">IFERROR(__xludf.DUMMYFUNCTION("""COMPUTED_VALUE"""),1.09691768951898)</f>
        <v>1.0969176895189801</v>
      </c>
      <c r="K996" s="17" t="str">
        <f ca="1">IFERROR(__xludf.DUMMYFUNCTION("""COMPUTED_VALUE"""),"nan")</f>
        <v>nan</v>
      </c>
      <c r="L996" s="17">
        <f ca="1">IFERROR(__xludf.DUMMYFUNCTION("""COMPUTED_VALUE"""),0.930318782471574)</f>
        <v>0.93031878247157396</v>
      </c>
      <c r="M996" s="17">
        <f ca="1">IFERROR(__xludf.DUMMYFUNCTION("""COMPUTED_VALUE"""),0.952036478376925)</f>
        <v>0.95203647837692496</v>
      </c>
      <c r="N996" s="17">
        <f ca="1">IFERROR(__xludf.DUMMYFUNCTION("""COMPUTED_VALUE"""),0.979443889948381)</f>
        <v>0.97944388994838105</v>
      </c>
      <c r="O996" s="17">
        <f ca="1">IFERROR(__xludf.DUMMYFUNCTION("""COMPUTED_VALUE"""),0.928966442547867)</f>
        <v>0.92896644254786698</v>
      </c>
      <c r="P996" s="17">
        <f ca="1">IFERROR(__xludf.DUMMYFUNCTION("""COMPUTED_VALUE"""),1.13763509211091)</f>
        <v>1.13763509211091</v>
      </c>
      <c r="Q996" s="17">
        <f ca="1">IFERROR(__xludf.DUMMYFUNCTION("""COMPUTED_VALUE"""),1.09172558361363)</f>
        <v>1.0917255836136299</v>
      </c>
      <c r="R996" s="17">
        <f ca="1">IFERROR(__xludf.DUMMYFUNCTION("""COMPUTED_VALUE"""),1.16683673815299)</f>
        <v>1.16683673815299</v>
      </c>
      <c r="S996" s="17">
        <f ca="1">IFERROR(__xludf.DUMMYFUNCTION("""COMPUTED_VALUE"""),1.23912985620079)</f>
        <v>1.23912985620079</v>
      </c>
      <c r="T996" s="17">
        <f ca="1">IFERROR(__xludf.DUMMYFUNCTION("""COMPUTED_VALUE"""),0.99245770154443)</f>
        <v>0.99245770154443003</v>
      </c>
      <c r="U996" s="17">
        <f ca="1">IFERROR(__xludf.DUMMYFUNCTION("""COMPUTED_VALUE"""),0.953439607056579)</f>
        <v>0.95343960705657904</v>
      </c>
      <c r="V996" s="17">
        <f ca="1">IFERROR(__xludf.DUMMYFUNCTION("""COMPUTED_VALUE"""),0.942189628616206)</f>
        <v>0.94218962861620603</v>
      </c>
      <c r="W996" s="17">
        <f ca="1">IFERROR(__xludf.DUMMYFUNCTION("""COMPUTED_VALUE"""),0.972188250224417)</f>
        <v>0.97218825022441702</v>
      </c>
      <c r="X996" s="17">
        <f ca="1">IFERROR(__xludf.DUMMYFUNCTION("""COMPUTED_VALUE"""),0.905070297017153)</f>
        <v>0.90507029701715302</v>
      </c>
      <c r="Y996" s="17">
        <f ca="1">IFERROR(__xludf.DUMMYFUNCTION("""COMPUTED_VALUE"""),0.903667080620189)</f>
        <v>0.90366708062018897</v>
      </c>
      <c r="Z996" s="17">
        <f ca="1">IFERROR(__xludf.DUMMYFUNCTION("""COMPUTED_VALUE"""),0.880738664426536)</f>
        <v>0.88073866442653603</v>
      </c>
      <c r="AA996" s="17">
        <f ca="1">IFERROR(__xludf.DUMMYFUNCTION("""COMPUTED_VALUE"""),1.85532641227073)</f>
        <v>1.85532641227073</v>
      </c>
      <c r="AB996" s="17">
        <f ca="1">IFERROR(__xludf.DUMMYFUNCTION("""COMPUTED_VALUE"""),2.40825812867083)</f>
        <v>2.40825812867083</v>
      </c>
      <c r="AC996" s="17">
        <f ca="1">IFERROR(__xludf.DUMMYFUNCTION("""COMPUTED_VALUE"""),0.891012797708175)</f>
        <v>0.89101279770817499</v>
      </c>
      <c r="AD996" s="17">
        <f ca="1">IFERROR(__xludf.DUMMYFUNCTION("""COMPUTED_VALUE"""),0.933976857747189)</f>
        <v>0.93397685774718897</v>
      </c>
      <c r="AE996" s="17">
        <f ca="1">IFERROR(__xludf.DUMMYFUNCTION("""COMPUTED_VALUE"""),1.17158684690168)</f>
        <v>1.1715868469016799</v>
      </c>
      <c r="AF996" s="17">
        <f ca="1">IFERROR(__xludf.DUMMYFUNCTION("""COMPUTED_VALUE"""),1.03948091821073)</f>
        <v>1.0394809182107301</v>
      </c>
      <c r="AG996" s="17">
        <f ca="1">IFERROR(__xludf.DUMMYFUNCTION("""COMPUTED_VALUE"""),0.947355833522144)</f>
        <v>0.94735583352214403</v>
      </c>
      <c r="AH996" s="17">
        <f ca="1">IFERROR(__xludf.DUMMYFUNCTION("""COMPUTED_VALUE"""),0.89776071647524)</f>
        <v>0.89776071647524003</v>
      </c>
      <c r="AI996" s="17" t="str">
        <f ca="1">IFERROR(__xludf.DUMMYFUNCTION("""COMPUTED_VALUE"""),"nan")</f>
        <v>nan</v>
      </c>
      <c r="AJ996" s="17">
        <f ca="1">IFERROR(__xludf.DUMMYFUNCTION("""COMPUTED_VALUE"""),0.908934918331544)</f>
        <v>0.90893491833154405</v>
      </c>
    </row>
    <row r="997" spans="2:36" ht="15.75" customHeight="1" x14ac:dyDescent="0.45">
      <c r="B997" s="10" t="str">
        <f ca="1">IFERROR(__xludf.DUMMYFUNCTION("""COMPUTED_VALUE"""),"WormsTwoClass")</f>
        <v>WormsTwoClass</v>
      </c>
      <c r="C997" s="10" t="str">
        <f ca="1">IFERROR(__xludf.DUMMYFUNCTION("""COMPUTED_VALUE"""),"aligned_timestamps")</f>
        <v>aligned_timestamps</v>
      </c>
      <c r="D997" s="10">
        <f ca="1">IFERROR(__xludf.DUMMYFUNCTION("""COMPUTED_VALUE"""),0.1)</f>
        <v>0.1</v>
      </c>
      <c r="E997" s="17">
        <f ca="1">IFERROR(__xludf.DUMMYFUNCTION("""COMPUTED_VALUE"""),1.14763578613554)</f>
        <v>1.14763578613554</v>
      </c>
      <c r="F997" s="17">
        <f ca="1">IFERROR(__xludf.DUMMYFUNCTION("""COMPUTED_VALUE"""),1.07406120211138)</f>
        <v>1.07406120211138</v>
      </c>
      <c r="G997" s="17">
        <f ca="1">IFERROR(__xludf.DUMMYFUNCTION("""COMPUTED_VALUE"""),1.07382384612513)</f>
        <v>1.0738238461251299</v>
      </c>
      <c r="H997" s="17">
        <f ca="1">IFERROR(__xludf.DUMMYFUNCTION("""COMPUTED_VALUE"""),1.03232738866989)</f>
        <v>1.03232738866989</v>
      </c>
      <c r="I997" s="17">
        <f ca="1">IFERROR(__xludf.DUMMYFUNCTION("""COMPUTED_VALUE"""),0.793756900036275)</f>
        <v>0.79375690003627497</v>
      </c>
      <c r="J997" s="17">
        <f ca="1">IFERROR(__xludf.DUMMYFUNCTION("""COMPUTED_VALUE"""),1.11193512378226)</f>
        <v>1.1119351237822599</v>
      </c>
      <c r="K997" s="17" t="str">
        <f ca="1">IFERROR(__xludf.DUMMYFUNCTION("""COMPUTED_VALUE"""),"nan")</f>
        <v>nan</v>
      </c>
      <c r="L997" s="17">
        <f ca="1">IFERROR(__xludf.DUMMYFUNCTION("""COMPUTED_VALUE"""),1.01392664079549)</f>
        <v>1.0139266407954901</v>
      </c>
      <c r="M997" s="17">
        <f ca="1">IFERROR(__xludf.DUMMYFUNCTION("""COMPUTED_VALUE"""),1.0771264445342)</f>
        <v>1.0771264445341999</v>
      </c>
      <c r="N997" s="17">
        <f ca="1">IFERROR(__xludf.DUMMYFUNCTION("""COMPUTED_VALUE"""),1.1738263156305)</f>
        <v>1.1738263156305</v>
      </c>
      <c r="O997" s="17">
        <f ca="1">IFERROR(__xludf.DUMMYFUNCTION("""COMPUTED_VALUE"""),1.00150826285088)</f>
        <v>1.00150826285088</v>
      </c>
      <c r="P997" s="17">
        <f ca="1">IFERROR(__xludf.DUMMYFUNCTION("""COMPUTED_VALUE"""),1.09779906724948)</f>
        <v>1.09779906724948</v>
      </c>
      <c r="Q997" s="17">
        <f ca="1">IFERROR(__xludf.DUMMYFUNCTION("""COMPUTED_VALUE"""),1.41039784314236)</f>
        <v>1.4103978431423601</v>
      </c>
      <c r="R997" s="17">
        <f ca="1">IFERROR(__xludf.DUMMYFUNCTION("""COMPUTED_VALUE"""),1.26717168273611)</f>
        <v>1.2671716827361099</v>
      </c>
      <c r="S997" s="17">
        <f ca="1">IFERROR(__xludf.DUMMYFUNCTION("""COMPUTED_VALUE"""),1.04035499593241)</f>
        <v>1.0403549959324101</v>
      </c>
      <c r="T997" s="17">
        <f ca="1">IFERROR(__xludf.DUMMYFUNCTION("""COMPUTED_VALUE"""),0.997899524192884)</f>
        <v>0.99789952419288397</v>
      </c>
      <c r="U997" s="17">
        <f ca="1">IFERROR(__xludf.DUMMYFUNCTION("""COMPUTED_VALUE"""),0.904604247056771)</f>
        <v>0.904604247056771</v>
      </c>
      <c r="V997" s="17">
        <f ca="1">IFERROR(__xludf.DUMMYFUNCTION("""COMPUTED_VALUE"""),0.916432103367782)</f>
        <v>0.91643210336778202</v>
      </c>
      <c r="W997" s="17">
        <f ca="1">IFERROR(__xludf.DUMMYFUNCTION("""COMPUTED_VALUE"""),1.10454779715661)</f>
        <v>1.10454779715661</v>
      </c>
      <c r="X997" s="17">
        <f ca="1">IFERROR(__xludf.DUMMYFUNCTION("""COMPUTED_VALUE"""),0.946948711027064)</f>
        <v>0.94694871102706402</v>
      </c>
      <c r="Y997" s="17">
        <f ca="1">IFERROR(__xludf.DUMMYFUNCTION("""COMPUTED_VALUE"""),0.916912744254883)</f>
        <v>0.91691274425488301</v>
      </c>
      <c r="Z997" s="17">
        <f ca="1">IFERROR(__xludf.DUMMYFUNCTION("""COMPUTED_VALUE"""),0.984730380271478)</f>
        <v>0.98473038027147797</v>
      </c>
      <c r="AA997" s="17">
        <f ca="1">IFERROR(__xludf.DUMMYFUNCTION("""COMPUTED_VALUE"""),2.25363873391964)</f>
        <v>2.2536387339196402</v>
      </c>
      <c r="AB997" s="17">
        <f ca="1">IFERROR(__xludf.DUMMYFUNCTION("""COMPUTED_VALUE"""),1.89910856237744)</f>
        <v>1.89910856237744</v>
      </c>
      <c r="AC997" s="17">
        <f ca="1">IFERROR(__xludf.DUMMYFUNCTION("""COMPUTED_VALUE"""),0.985563792034684)</f>
        <v>0.98556379203468403</v>
      </c>
      <c r="AD997" s="17">
        <f ca="1">IFERROR(__xludf.DUMMYFUNCTION("""COMPUTED_VALUE"""),1.06338382951196)</f>
        <v>1.06338382951196</v>
      </c>
      <c r="AE997" s="17">
        <f ca="1">IFERROR(__xludf.DUMMYFUNCTION("""COMPUTED_VALUE"""),1.23440886565882)</f>
        <v>1.2344088656588199</v>
      </c>
      <c r="AF997" s="17">
        <f ca="1">IFERROR(__xludf.DUMMYFUNCTION("""COMPUTED_VALUE"""),1.03692712155078)</f>
        <v>1.03692712155078</v>
      </c>
      <c r="AG997" s="17">
        <f ca="1">IFERROR(__xludf.DUMMYFUNCTION("""COMPUTED_VALUE"""),0.886671131246128)</f>
        <v>0.88667113124612795</v>
      </c>
      <c r="AH997" s="17">
        <f ca="1">IFERROR(__xludf.DUMMYFUNCTION("""COMPUTED_VALUE"""),0.900752285355771)</f>
        <v>0.90075228535577101</v>
      </c>
      <c r="AI997" s="17">
        <f ca="1">IFERROR(__xludf.DUMMYFUNCTION("""COMPUTED_VALUE"""),0.914549768182258)</f>
        <v>0.91454976818225797</v>
      </c>
      <c r="AJ997" s="17">
        <f ca="1">IFERROR(__xludf.DUMMYFUNCTION("""COMPUTED_VALUE"""),0.847123971824519)</f>
        <v>0.84712397182451904</v>
      </c>
    </row>
    <row r="998" spans="2:36" ht="15.75" customHeight="1" x14ac:dyDescent="0.45">
      <c r="B998" s="10" t="str">
        <f ca="1">IFERROR(__xludf.DUMMYFUNCTION("""COMPUTED_VALUE"""),"WormsTwoClass")</f>
        <v>WormsTwoClass</v>
      </c>
      <c r="C998" s="10" t="str">
        <f ca="1">IFERROR(__xludf.DUMMYFUNCTION("""COMPUTED_VALUE"""),"aligned_timestamps")</f>
        <v>aligned_timestamps</v>
      </c>
      <c r="D998" s="10">
        <f ca="1">IFERROR(__xludf.DUMMYFUNCTION("""COMPUTED_VALUE"""),0.2)</f>
        <v>0.2</v>
      </c>
      <c r="E998" s="17">
        <f ca="1">IFERROR(__xludf.DUMMYFUNCTION("""COMPUTED_VALUE"""),1.0761627225051)</f>
        <v>1.0761627225051</v>
      </c>
      <c r="F998" s="17">
        <f ca="1">IFERROR(__xludf.DUMMYFUNCTION("""COMPUTED_VALUE"""),1.03234525722097)</f>
        <v>1.0323452572209699</v>
      </c>
      <c r="G998" s="17">
        <f ca="1">IFERROR(__xludf.DUMMYFUNCTION("""COMPUTED_VALUE"""),1.03294618011822)</f>
        <v>1.03294618011822</v>
      </c>
      <c r="H998" s="17">
        <f ca="1">IFERROR(__xludf.DUMMYFUNCTION("""COMPUTED_VALUE"""),1.06229172675521)</f>
        <v>1.0622917267552101</v>
      </c>
      <c r="I998" s="17">
        <f ca="1">IFERROR(__xludf.DUMMYFUNCTION("""COMPUTED_VALUE"""),0.834868067523725)</f>
        <v>0.834868067523725</v>
      </c>
      <c r="J998" s="17">
        <f ca="1">IFERROR(__xludf.DUMMYFUNCTION("""COMPUTED_VALUE"""),1.10371000043028)</f>
        <v>1.10371000043028</v>
      </c>
      <c r="K998" s="17" t="str">
        <f ca="1">IFERROR(__xludf.DUMMYFUNCTION("""COMPUTED_VALUE"""),"nan")</f>
        <v>nan</v>
      </c>
      <c r="L998" s="17">
        <f ca="1">IFERROR(__xludf.DUMMYFUNCTION("""COMPUTED_VALUE"""),1.03292828896588)</f>
        <v>1.03292828896588</v>
      </c>
      <c r="M998" s="17">
        <f ca="1">IFERROR(__xludf.DUMMYFUNCTION("""COMPUTED_VALUE"""),1.02782316922506)</f>
        <v>1.0278231692250599</v>
      </c>
      <c r="N998" s="17">
        <f ca="1">IFERROR(__xludf.DUMMYFUNCTION("""COMPUTED_VALUE"""),1.11956271372981)</f>
        <v>1.1195627137298101</v>
      </c>
      <c r="O998" s="17">
        <f ca="1">IFERROR(__xludf.DUMMYFUNCTION("""COMPUTED_VALUE"""),1.01446829525902)</f>
        <v>1.01446829525902</v>
      </c>
      <c r="P998" s="17">
        <f ca="1">IFERROR(__xludf.DUMMYFUNCTION("""COMPUTED_VALUE"""),1.11036690464641)</f>
        <v>1.11036690464641</v>
      </c>
      <c r="Q998" s="17">
        <f ca="1">IFERROR(__xludf.DUMMYFUNCTION("""COMPUTED_VALUE"""),1.40773636222267)</f>
        <v>1.40773636222267</v>
      </c>
      <c r="R998" s="17">
        <f ca="1">IFERROR(__xludf.DUMMYFUNCTION("""COMPUTED_VALUE"""),1.70150090404064)</f>
        <v>1.7015009040406399</v>
      </c>
      <c r="S998" s="17">
        <f ca="1">IFERROR(__xludf.DUMMYFUNCTION("""COMPUTED_VALUE"""),1.16801131085651)</f>
        <v>1.16801131085651</v>
      </c>
      <c r="T998" s="17">
        <f ca="1">IFERROR(__xludf.DUMMYFUNCTION("""COMPUTED_VALUE"""),1.05365130185831)</f>
        <v>1.05365130185831</v>
      </c>
      <c r="U998" s="17">
        <f ca="1">IFERROR(__xludf.DUMMYFUNCTION("""COMPUTED_VALUE"""),1.06778370644765)</f>
        <v>1.0677837064476501</v>
      </c>
      <c r="V998" s="17">
        <f ca="1">IFERROR(__xludf.DUMMYFUNCTION("""COMPUTED_VALUE"""),1.06609781659124)</f>
        <v>1.06609781659124</v>
      </c>
      <c r="W998" s="17">
        <f ca="1">IFERROR(__xludf.DUMMYFUNCTION("""COMPUTED_VALUE"""),1.05529628127739)</f>
        <v>1.0552962812773901</v>
      </c>
      <c r="X998" s="17">
        <f ca="1">IFERROR(__xludf.DUMMYFUNCTION("""COMPUTED_VALUE"""),0.926654321007282)</f>
        <v>0.92665432100728196</v>
      </c>
      <c r="Y998" s="17">
        <f ca="1">IFERROR(__xludf.DUMMYFUNCTION("""COMPUTED_VALUE"""),1.04261065946216)</f>
        <v>1.04261065946216</v>
      </c>
      <c r="Z998" s="17">
        <f ca="1">IFERROR(__xludf.DUMMYFUNCTION("""COMPUTED_VALUE"""),1.0127739606334)</f>
        <v>1.0127739606334001</v>
      </c>
      <c r="AA998" s="17">
        <f ca="1">IFERROR(__xludf.DUMMYFUNCTION("""COMPUTED_VALUE"""),2.82677740629368)</f>
        <v>2.8267774062936799</v>
      </c>
      <c r="AB998" s="17">
        <f ca="1">IFERROR(__xludf.DUMMYFUNCTION("""COMPUTED_VALUE"""),1.6553699361131)</f>
        <v>1.6553699361131</v>
      </c>
      <c r="AC998" s="17">
        <f ca="1">IFERROR(__xludf.DUMMYFUNCTION("""COMPUTED_VALUE"""),1.02829353796019)</f>
        <v>1.0282935379601901</v>
      </c>
      <c r="AD998" s="17">
        <f ca="1">IFERROR(__xludf.DUMMYFUNCTION("""COMPUTED_VALUE"""),1.03275295357562)</f>
        <v>1.0327529535756199</v>
      </c>
      <c r="AE998" s="17">
        <f ca="1">IFERROR(__xludf.DUMMYFUNCTION("""COMPUTED_VALUE"""),1.29263017846603)</f>
        <v>1.2926301784660299</v>
      </c>
      <c r="AF998" s="17">
        <f ca="1">IFERROR(__xludf.DUMMYFUNCTION("""COMPUTED_VALUE"""),1.17043236623139)</f>
        <v>1.17043236623139</v>
      </c>
      <c r="AG998" s="17">
        <f ca="1">IFERROR(__xludf.DUMMYFUNCTION("""COMPUTED_VALUE"""),1.01995009892217)</f>
        <v>1.0199500989221699</v>
      </c>
      <c r="AH998" s="17">
        <f ca="1">IFERROR(__xludf.DUMMYFUNCTION("""COMPUTED_VALUE"""),0.97862590797891)</f>
        <v>0.97862590797891003</v>
      </c>
      <c r="AI998" s="17" t="str">
        <f ca="1">IFERROR(__xludf.DUMMYFUNCTION("""COMPUTED_VALUE"""),"nan")</f>
        <v>nan</v>
      </c>
      <c r="AJ998" s="17">
        <f ca="1">IFERROR(__xludf.DUMMYFUNCTION("""COMPUTED_VALUE"""),0.954627592320528)</f>
        <v>0.95462759232052796</v>
      </c>
    </row>
    <row r="999" spans="2:36" ht="15.75" customHeight="1" x14ac:dyDescent="0.45">
      <c r="B999" s="10" t="str">
        <f ca="1">IFERROR(__xludf.DUMMYFUNCTION("""COMPUTED_VALUE"""),"WormsTwoClass")</f>
        <v>WormsTwoClass</v>
      </c>
      <c r="C999" s="10" t="str">
        <f ca="1">IFERROR(__xludf.DUMMYFUNCTION("""COMPUTED_VALUE"""),"aligned_timestamps")</f>
        <v>aligned_timestamps</v>
      </c>
      <c r="D999" s="10">
        <f ca="1">IFERROR(__xludf.DUMMYFUNCTION("""COMPUTED_VALUE"""),0.4)</f>
        <v>0.4</v>
      </c>
      <c r="E999" s="17">
        <f ca="1">IFERROR(__xludf.DUMMYFUNCTION("""COMPUTED_VALUE"""),0.999758319031961)</f>
        <v>0.999758319031961</v>
      </c>
      <c r="F999" s="17">
        <f ca="1">IFERROR(__xludf.DUMMYFUNCTION("""COMPUTED_VALUE"""),0.954567797649567)</f>
        <v>0.95456779764956701</v>
      </c>
      <c r="G999" s="17">
        <f ca="1">IFERROR(__xludf.DUMMYFUNCTION("""COMPUTED_VALUE"""),0.957504052305039)</f>
        <v>0.95750405230503899</v>
      </c>
      <c r="H999" s="17">
        <f ca="1">IFERROR(__xludf.DUMMYFUNCTION("""COMPUTED_VALUE"""),0.978660629610785)</f>
        <v>0.97866062961078504</v>
      </c>
      <c r="I999" s="17">
        <f ca="1">IFERROR(__xludf.DUMMYFUNCTION("""COMPUTED_VALUE"""),0.859553598190841)</f>
        <v>0.85955359819084098</v>
      </c>
      <c r="J999" s="17">
        <f ca="1">IFERROR(__xludf.DUMMYFUNCTION("""COMPUTED_VALUE"""),1.06236145902999)</f>
        <v>1.0623614590299899</v>
      </c>
      <c r="K999" s="17" t="str">
        <f ca="1">IFERROR(__xludf.DUMMYFUNCTION("""COMPUTED_VALUE"""),"nan")</f>
        <v>nan</v>
      </c>
      <c r="L999" s="17">
        <f ca="1">IFERROR(__xludf.DUMMYFUNCTION("""COMPUTED_VALUE"""),1.0264240063134)</f>
        <v>1.0264240063134</v>
      </c>
      <c r="M999" s="17">
        <f ca="1">IFERROR(__xludf.DUMMYFUNCTION("""COMPUTED_VALUE"""),0.971912794721116)</f>
        <v>0.97191279472111602</v>
      </c>
      <c r="N999" s="17">
        <f ca="1">IFERROR(__xludf.DUMMYFUNCTION("""COMPUTED_VALUE"""),1.03549855573205)</f>
        <v>1.03549855573205</v>
      </c>
      <c r="O999" s="17">
        <f ca="1">IFERROR(__xludf.DUMMYFUNCTION("""COMPUTED_VALUE"""),1.00757628084234)</f>
        <v>1.0075762808423401</v>
      </c>
      <c r="P999" s="17">
        <f ca="1">IFERROR(__xludf.DUMMYFUNCTION("""COMPUTED_VALUE"""),1.03951582085057)</f>
        <v>1.0395158208505699</v>
      </c>
      <c r="Q999" s="17">
        <f ca="1">IFERROR(__xludf.DUMMYFUNCTION("""COMPUTED_VALUE"""),1.36186754431077)</f>
        <v>1.36186754431077</v>
      </c>
      <c r="R999" s="17">
        <f ca="1">IFERROR(__xludf.DUMMYFUNCTION("""COMPUTED_VALUE"""),1.91417589004329)</f>
        <v>1.9141758900432899</v>
      </c>
      <c r="S999" s="17">
        <f ca="1">IFERROR(__xludf.DUMMYFUNCTION("""COMPUTED_VALUE"""),1.20517795865194)</f>
        <v>1.20517795865194</v>
      </c>
      <c r="T999" s="17">
        <f ca="1">IFERROR(__xludf.DUMMYFUNCTION("""COMPUTED_VALUE"""),1.04318137585007)</f>
        <v>1.0431813758500701</v>
      </c>
      <c r="U999" s="17">
        <f ca="1">IFERROR(__xludf.DUMMYFUNCTION("""COMPUTED_VALUE"""),1.05845567490656)</f>
        <v>1.0584556749065599</v>
      </c>
      <c r="V999" s="17">
        <f ca="1">IFERROR(__xludf.DUMMYFUNCTION("""COMPUTED_VALUE"""),1.08361450204333)</f>
        <v>1.0836145020433301</v>
      </c>
      <c r="W999" s="17">
        <f ca="1">IFERROR(__xludf.DUMMYFUNCTION("""COMPUTED_VALUE"""),0.988197374371874)</f>
        <v>0.98819737437187405</v>
      </c>
      <c r="X999" s="17">
        <f ca="1">IFERROR(__xludf.DUMMYFUNCTION("""COMPUTED_VALUE"""),0.944914444653809)</f>
        <v>0.94491444465380903</v>
      </c>
      <c r="Y999" s="17">
        <f ca="1">IFERROR(__xludf.DUMMYFUNCTION("""COMPUTED_VALUE"""),1.0693410550273)</f>
        <v>1.0693410550272999</v>
      </c>
      <c r="Z999" s="17">
        <f ca="1">IFERROR(__xludf.DUMMYFUNCTION("""COMPUTED_VALUE"""),0.973287049226249)</f>
        <v>0.97328704922624898</v>
      </c>
      <c r="AA999" s="17">
        <f ca="1">IFERROR(__xludf.DUMMYFUNCTION("""COMPUTED_VALUE"""),3.93263584779541)</f>
        <v>3.9326358477954102</v>
      </c>
      <c r="AB999" s="17">
        <f ca="1">IFERROR(__xludf.DUMMYFUNCTION("""COMPUTED_VALUE"""),1.96264547031322)</f>
        <v>1.9626454703132199</v>
      </c>
      <c r="AC999" s="17">
        <f ca="1">IFERROR(__xludf.DUMMYFUNCTION("""COMPUTED_VALUE"""),0.99829172105651)</f>
        <v>0.99829172105650998</v>
      </c>
      <c r="AD999" s="17">
        <f ca="1">IFERROR(__xludf.DUMMYFUNCTION("""COMPUTED_VALUE"""),0.982974196078292)</f>
        <v>0.98297419607829195</v>
      </c>
      <c r="AE999" s="17" t="str">
        <f ca="1">IFERROR(__xludf.DUMMYFUNCTION("""COMPUTED_VALUE"""),"nan")</f>
        <v>nan</v>
      </c>
      <c r="AF999" s="17">
        <f ca="1">IFERROR(__xludf.DUMMYFUNCTION("""COMPUTED_VALUE"""),1.15524312858799)</f>
        <v>1.1552431285879901</v>
      </c>
      <c r="AG999" s="17">
        <f ca="1">IFERROR(__xludf.DUMMYFUNCTION("""COMPUTED_VALUE"""),1.0208913440987)</f>
        <v>1.0208913440987</v>
      </c>
      <c r="AH999" s="17">
        <f ca="1">IFERROR(__xludf.DUMMYFUNCTION("""COMPUTED_VALUE"""),0.946739866282383)</f>
        <v>0.94673986628238305</v>
      </c>
      <c r="AI999" s="17" t="str">
        <f ca="1">IFERROR(__xludf.DUMMYFUNCTION("""COMPUTED_VALUE"""),"nan")</f>
        <v>nan</v>
      </c>
      <c r="AJ999" s="17">
        <f ca="1">IFERROR(__xludf.DUMMYFUNCTION("""COMPUTED_VALUE"""),1.05887459223499)</f>
        <v>1.05887459223499</v>
      </c>
    </row>
    <row r="1000" spans="2:36" ht="15.75" customHeight="1" x14ac:dyDescent="0.45">
      <c r="B1000" s="10" t="str">
        <f ca="1">IFERROR(__xludf.DUMMYFUNCTION("""COMPUTED_VALUE"""),"WormsTwoClass")</f>
        <v>WormsTwoClass</v>
      </c>
      <c r="C1000" s="10" t="str">
        <f ca="1">IFERROR(__xludf.DUMMYFUNCTION("""COMPUTED_VALUE"""),"aligned_timestamps")</f>
        <v>aligned_timestamps</v>
      </c>
      <c r="D1000" s="10">
        <f ca="1">IFERROR(__xludf.DUMMYFUNCTION("""COMPUTED_VALUE"""),0.6)</f>
        <v>0.6</v>
      </c>
      <c r="E1000" s="17">
        <f ca="1">IFERROR(__xludf.DUMMYFUNCTION("""COMPUTED_VALUE"""),0.977579378581827)</f>
        <v>0.97757937858182697</v>
      </c>
      <c r="F1000" s="17">
        <f ca="1">IFERROR(__xludf.DUMMYFUNCTION("""COMPUTED_VALUE"""),0.936462200161346)</f>
        <v>0.93646220016134596</v>
      </c>
      <c r="G1000" s="17">
        <f ca="1">IFERROR(__xludf.DUMMYFUNCTION("""COMPUTED_VALUE"""),0.948339442780606)</f>
        <v>0.948339442780606</v>
      </c>
      <c r="H1000" s="17">
        <f ca="1">IFERROR(__xludf.DUMMYFUNCTION("""COMPUTED_VALUE"""),0.951690738635747)</f>
        <v>0.95169073863574705</v>
      </c>
      <c r="I1000" s="17">
        <f ca="1">IFERROR(__xludf.DUMMYFUNCTION("""COMPUTED_VALUE"""),0.880246530257529)</f>
        <v>0.88024653025752897</v>
      </c>
      <c r="J1000" s="17">
        <f ca="1">IFERROR(__xludf.DUMMYFUNCTION("""COMPUTED_VALUE"""),1.13173714616629)</f>
        <v>1.13173714616629</v>
      </c>
      <c r="K1000" s="17" t="str">
        <f ca="1">IFERROR(__xludf.DUMMYFUNCTION("""COMPUTED_VALUE"""),"nan")</f>
        <v>nan</v>
      </c>
      <c r="L1000" s="17">
        <f ca="1">IFERROR(__xludf.DUMMYFUNCTION("""COMPUTED_VALUE"""),1.09709748177871)</f>
        <v>1.09709748177871</v>
      </c>
      <c r="M1000" s="17">
        <f ca="1">IFERROR(__xludf.DUMMYFUNCTION("""COMPUTED_VALUE"""),0.952035948186719)</f>
        <v>0.95203594818671899</v>
      </c>
      <c r="N1000" s="17">
        <f ca="1">IFERROR(__xludf.DUMMYFUNCTION("""COMPUTED_VALUE"""),1.01698756433178)</f>
        <v>1.0169875643317801</v>
      </c>
      <c r="O1000" s="17">
        <f ca="1">IFERROR(__xludf.DUMMYFUNCTION("""COMPUTED_VALUE"""),0.987018219372423)</f>
        <v>0.98701821937242296</v>
      </c>
      <c r="P1000" s="17">
        <f ca="1">IFERROR(__xludf.DUMMYFUNCTION("""COMPUTED_VALUE"""),1.16626296644478)</f>
        <v>1.1662629664447799</v>
      </c>
      <c r="Q1000" s="17">
        <f ca="1">IFERROR(__xludf.DUMMYFUNCTION("""COMPUTED_VALUE"""),1.32515500890056)</f>
        <v>1.3251550089005599</v>
      </c>
      <c r="R1000" s="17">
        <f ca="1">IFERROR(__xludf.DUMMYFUNCTION("""COMPUTED_VALUE"""),1.84953766702636)</f>
        <v>1.8495376670263599</v>
      </c>
      <c r="S1000" s="17">
        <f ca="1">IFERROR(__xludf.DUMMYFUNCTION("""COMPUTED_VALUE"""),1.19387619267977)</f>
        <v>1.1938761926797701</v>
      </c>
      <c r="T1000" s="17">
        <f ca="1">IFERROR(__xludf.DUMMYFUNCTION("""COMPUTED_VALUE"""),1.08135344880744)</f>
        <v>1.0813534488074401</v>
      </c>
      <c r="U1000" s="17">
        <f ca="1">IFERROR(__xludf.DUMMYFUNCTION("""COMPUTED_VALUE"""),1.0591100881071)</f>
        <v>1.0591100881071001</v>
      </c>
      <c r="V1000" s="17">
        <f ca="1">IFERROR(__xludf.DUMMYFUNCTION("""COMPUTED_VALUE"""),1.12128962633057)</f>
        <v>1.1212896263305701</v>
      </c>
      <c r="W1000" s="17">
        <f ca="1">IFERROR(__xludf.DUMMYFUNCTION("""COMPUTED_VALUE"""),0.977266145028281)</f>
        <v>0.97726614502828102</v>
      </c>
      <c r="X1000" s="17">
        <f ca="1">IFERROR(__xludf.DUMMYFUNCTION("""COMPUTED_VALUE"""),0.984578830362253)</f>
        <v>0.98457883036225302</v>
      </c>
      <c r="Y1000" s="17">
        <f ca="1">IFERROR(__xludf.DUMMYFUNCTION("""COMPUTED_VALUE"""),1.09987933498671)</f>
        <v>1.09987933498671</v>
      </c>
      <c r="Z1000" s="17">
        <f ca="1">IFERROR(__xludf.DUMMYFUNCTION("""COMPUTED_VALUE"""),0.957667001181031)</f>
        <v>0.95766700118103099</v>
      </c>
      <c r="AA1000" s="17">
        <f ca="1">IFERROR(__xludf.DUMMYFUNCTION("""COMPUTED_VALUE"""),4.92015143983145)</f>
        <v>4.9201514398314501</v>
      </c>
      <c r="AB1000" s="17">
        <f ca="1">IFERROR(__xludf.DUMMYFUNCTION("""COMPUTED_VALUE"""),1.86958040083015)</f>
        <v>1.86958040083015</v>
      </c>
      <c r="AC1000" s="17">
        <f ca="1">IFERROR(__xludf.DUMMYFUNCTION("""COMPUTED_VALUE"""),1.03052762612703)</f>
        <v>1.03052762612703</v>
      </c>
      <c r="AD1000" s="17">
        <f ca="1">IFERROR(__xludf.DUMMYFUNCTION("""COMPUTED_VALUE"""),0.980373383764512)</f>
        <v>0.980373383764512</v>
      </c>
      <c r="AE1000" s="17" t="str">
        <f ca="1">IFERROR(__xludf.DUMMYFUNCTION("""COMPUTED_VALUE"""),"nan")</f>
        <v>nan</v>
      </c>
      <c r="AF1000" s="17">
        <f ca="1">IFERROR(__xludf.DUMMYFUNCTION("""COMPUTED_VALUE"""),1.2403963497821)</f>
        <v>1.2403963497821</v>
      </c>
      <c r="AG1000" s="17">
        <f ca="1">IFERROR(__xludf.DUMMYFUNCTION("""COMPUTED_VALUE"""),1.05535325418764)</f>
        <v>1.05535325418764</v>
      </c>
      <c r="AH1000" s="17">
        <f ca="1">IFERROR(__xludf.DUMMYFUNCTION("""COMPUTED_VALUE"""),0.957129748353259)</f>
        <v>0.95712974835325904</v>
      </c>
      <c r="AI1000" s="17" t="str">
        <f ca="1">IFERROR(__xludf.DUMMYFUNCTION("""COMPUTED_VALUE"""),"nan")</f>
        <v>nan</v>
      </c>
      <c r="AJ1000" s="17">
        <f ca="1">IFERROR(__xludf.DUMMYFUNCTION("""COMPUTED_VALUE"""),1.29309983547022)</f>
        <v>1.2930998354702199</v>
      </c>
    </row>
    <row r="1001" spans="2:36" ht="15.75" customHeight="1" x14ac:dyDescent="0.45">
      <c r="B1001" s="10" t="str">
        <f ca="1">IFERROR(__xludf.DUMMYFUNCTION("""COMPUTED_VALUE"""),"WormsTwoClass")</f>
        <v>WormsTwoClass</v>
      </c>
      <c r="C1001" s="10" t="str">
        <f ca="1">IFERROR(__xludf.DUMMYFUNCTION("""COMPUTED_VALUE"""),"aligned_timestamps")</f>
        <v>aligned_timestamps</v>
      </c>
      <c r="D1001" s="10">
        <f ca="1">IFERROR(__xludf.DUMMYFUNCTION("""COMPUTED_VALUE"""),0.8)</f>
        <v>0.8</v>
      </c>
      <c r="E1001" s="17">
        <f ca="1">IFERROR(__xludf.DUMMYFUNCTION("""COMPUTED_VALUE"""),0.952239227198792)</f>
        <v>0.95223922719879195</v>
      </c>
      <c r="F1001" s="17">
        <f ca="1">IFERROR(__xludf.DUMMYFUNCTION("""COMPUTED_VALUE"""),0.991593723188786)</f>
        <v>0.99159372318878602</v>
      </c>
      <c r="G1001" s="17">
        <f ca="1">IFERROR(__xludf.DUMMYFUNCTION("""COMPUTED_VALUE"""),1.03926007871349)</f>
        <v>1.03926007871349</v>
      </c>
      <c r="H1001" s="17">
        <f ca="1">IFERROR(__xludf.DUMMYFUNCTION("""COMPUTED_VALUE"""),0.959762487606866)</f>
        <v>0.959762487606866</v>
      </c>
      <c r="I1001" s="17">
        <f ca="1">IFERROR(__xludf.DUMMYFUNCTION("""COMPUTED_VALUE"""),0.90177171067863)</f>
        <v>0.90177171067863005</v>
      </c>
      <c r="J1001" s="17">
        <f ca="1">IFERROR(__xludf.DUMMYFUNCTION("""COMPUTED_VALUE"""),1.15033339825157)</f>
        <v>1.15033339825157</v>
      </c>
      <c r="K1001" s="17" t="str">
        <f ca="1">IFERROR(__xludf.DUMMYFUNCTION("""COMPUTED_VALUE"""),"nan")</f>
        <v>nan</v>
      </c>
      <c r="L1001" s="17">
        <f ca="1">IFERROR(__xludf.DUMMYFUNCTION("""COMPUTED_VALUE"""),1.5219378286596)</f>
        <v>1.5219378286595999</v>
      </c>
      <c r="M1001" s="17">
        <f ca="1">IFERROR(__xludf.DUMMYFUNCTION("""COMPUTED_VALUE"""),1.19707777519519)</f>
        <v>1.19707777519519</v>
      </c>
      <c r="N1001" s="17">
        <f ca="1">IFERROR(__xludf.DUMMYFUNCTION("""COMPUTED_VALUE"""),0.986595154566892)</f>
        <v>0.98659515456689195</v>
      </c>
      <c r="O1001" s="17">
        <f ca="1">IFERROR(__xludf.DUMMYFUNCTION("""COMPUTED_VALUE"""),1.43191449872092)</f>
        <v>1.43191449872092</v>
      </c>
      <c r="P1001" s="17">
        <f ca="1">IFERROR(__xludf.DUMMYFUNCTION("""COMPUTED_VALUE"""),1.29514369156382)</f>
        <v>1.2951436915638199</v>
      </c>
      <c r="Q1001" s="17">
        <f ca="1">IFERROR(__xludf.DUMMYFUNCTION("""COMPUTED_VALUE"""),1.34448477705827)</f>
        <v>1.34448477705827</v>
      </c>
      <c r="R1001" s="17">
        <f ca="1">IFERROR(__xludf.DUMMYFUNCTION("""COMPUTED_VALUE"""),1.61857281881697)</f>
        <v>1.6185728188169699</v>
      </c>
      <c r="S1001" s="17">
        <f ca="1">IFERROR(__xludf.DUMMYFUNCTION("""COMPUTED_VALUE"""),1.35892415319192)</f>
        <v>1.3589241531919201</v>
      </c>
      <c r="T1001" s="17">
        <f ca="1">IFERROR(__xludf.DUMMYFUNCTION("""COMPUTED_VALUE"""),1.1194820048946)</f>
        <v>1.1194820048945999</v>
      </c>
      <c r="U1001" s="17">
        <f ca="1">IFERROR(__xludf.DUMMYFUNCTION("""COMPUTED_VALUE"""),1.20086712757964)</f>
        <v>1.2008671275796401</v>
      </c>
      <c r="V1001" s="17">
        <f ca="1">IFERROR(__xludf.DUMMYFUNCTION("""COMPUTED_VALUE"""),1.20739544738527)</f>
        <v>1.2073954473852699</v>
      </c>
      <c r="W1001" s="17">
        <f ca="1">IFERROR(__xludf.DUMMYFUNCTION("""COMPUTED_VALUE"""),0.973368466041382)</f>
        <v>0.97336846604138205</v>
      </c>
      <c r="X1001" s="17">
        <f ca="1">IFERROR(__xludf.DUMMYFUNCTION("""COMPUTED_VALUE"""),1.05145163474473)</f>
        <v>1.05145163474473</v>
      </c>
      <c r="Y1001" s="17">
        <f ca="1">IFERROR(__xludf.DUMMYFUNCTION("""COMPUTED_VALUE"""),1.07197984797237)</f>
        <v>1.0719798479723699</v>
      </c>
      <c r="Z1001" s="17">
        <f ca="1">IFERROR(__xludf.DUMMYFUNCTION("""COMPUTED_VALUE"""),0.931407397222845)</f>
        <v>0.93140739722284505</v>
      </c>
      <c r="AA1001" s="17">
        <f ca="1">IFERROR(__xludf.DUMMYFUNCTION("""COMPUTED_VALUE"""),3.90361553392718)</f>
        <v>3.9036155339271801</v>
      </c>
      <c r="AB1001" s="17">
        <f ca="1">IFERROR(__xludf.DUMMYFUNCTION("""COMPUTED_VALUE"""),1.82423235282742)</f>
        <v>1.82423235282742</v>
      </c>
      <c r="AC1001" s="17">
        <f ca="1">IFERROR(__xludf.DUMMYFUNCTION("""COMPUTED_VALUE"""),0.987248858400116)</f>
        <v>0.987248858400116</v>
      </c>
      <c r="AD1001" s="17">
        <f ca="1">IFERROR(__xludf.DUMMYFUNCTION("""COMPUTED_VALUE"""),0.952667293306095)</f>
        <v>0.95266729330609501</v>
      </c>
      <c r="AE1001" s="17" t="str">
        <f ca="1">IFERROR(__xludf.DUMMYFUNCTION("""COMPUTED_VALUE"""),"nan")</f>
        <v>nan</v>
      </c>
      <c r="AF1001" s="17">
        <f ca="1">IFERROR(__xludf.DUMMYFUNCTION("""COMPUTED_VALUE"""),1.31523410406362)</f>
        <v>1.31523410406362</v>
      </c>
      <c r="AG1001" s="17">
        <f ca="1">IFERROR(__xludf.DUMMYFUNCTION("""COMPUTED_VALUE"""),1.04018928914699)</f>
        <v>1.0401892891469899</v>
      </c>
      <c r="AH1001" s="17">
        <f ca="1">IFERROR(__xludf.DUMMYFUNCTION("""COMPUTED_VALUE"""),0.984011262903262)</f>
        <v>0.98401126290326202</v>
      </c>
      <c r="AI1001" s="17" t="str">
        <f ca="1">IFERROR(__xludf.DUMMYFUNCTION("""COMPUTED_VALUE"""),"nan")</f>
        <v>nan</v>
      </c>
      <c r="AJ1001" s="17">
        <f ca="1">IFERROR(__xludf.DUMMYFUNCTION("""COMPUTED_VALUE"""),1.34986166362155)</f>
        <v>1.3498616636215499</v>
      </c>
    </row>
    <row r="1002" spans="2:36" ht="15.75" customHeight="1" x14ac:dyDescent="0.45">
      <c r="B1002" s="10" t="str">
        <f ca="1">IFERROR(__xludf.DUMMYFUNCTION("""COMPUTED_VALUE"""),"WormsTwoClass")</f>
        <v>WormsTwoClass</v>
      </c>
      <c r="C1002" s="10" t="str">
        <f ca="1">IFERROR(__xludf.DUMMYFUNCTION("""COMPUTED_VALUE"""),"mcar")</f>
        <v>mcar</v>
      </c>
      <c r="D1002" s="10">
        <f ca="1">IFERROR(__xludf.DUMMYFUNCTION("""COMPUTED_VALUE"""),0.1)</f>
        <v>0.1</v>
      </c>
      <c r="E1002" s="17">
        <f ca="1">IFERROR(__xludf.DUMMYFUNCTION("""COMPUTED_VALUE"""),0.991461637273283)</f>
        <v>0.99146163727328296</v>
      </c>
      <c r="F1002" s="17">
        <f ca="1">IFERROR(__xludf.DUMMYFUNCTION("""COMPUTED_VALUE"""),0.893706739338621)</f>
        <v>0.89370673933862099</v>
      </c>
      <c r="G1002" s="17">
        <f ca="1">IFERROR(__xludf.DUMMYFUNCTION("""COMPUTED_VALUE"""),0.89601782413221)</f>
        <v>0.89601782413220998</v>
      </c>
      <c r="H1002" s="17">
        <f ca="1">IFERROR(__xludf.DUMMYFUNCTION("""COMPUTED_VALUE"""),0.906950708513671)</f>
        <v>0.90695070851367099</v>
      </c>
      <c r="I1002" s="17">
        <f ca="1">IFERROR(__xludf.DUMMYFUNCTION("""COMPUTED_VALUE"""),0.460206639045641)</f>
        <v>0.46020663904564102</v>
      </c>
      <c r="J1002" s="17">
        <f ca="1">IFERROR(__xludf.DUMMYFUNCTION("""COMPUTED_VALUE"""),0.856584219472834)</f>
        <v>0.85658421947283403</v>
      </c>
      <c r="K1002" s="17" t="str">
        <f ca="1">IFERROR(__xludf.DUMMYFUNCTION("""COMPUTED_VALUE"""),"nan")</f>
        <v>nan</v>
      </c>
      <c r="L1002" s="17">
        <f ca="1">IFERROR(__xludf.DUMMYFUNCTION("""COMPUTED_VALUE"""),0.831277380263771)</f>
        <v>0.83127738026377096</v>
      </c>
      <c r="M1002" s="17">
        <f ca="1">IFERROR(__xludf.DUMMYFUNCTION("""COMPUTED_VALUE"""),0.901314714222416)</f>
        <v>0.90131471422241605</v>
      </c>
      <c r="N1002" s="17">
        <f ca="1">IFERROR(__xludf.DUMMYFUNCTION("""COMPUTED_VALUE"""),0.595822803357736)</f>
        <v>0.59582280335773596</v>
      </c>
      <c r="O1002" s="17">
        <f ca="1">IFERROR(__xludf.DUMMYFUNCTION("""COMPUTED_VALUE"""),0.871347155948116)</f>
        <v>0.87134715594811596</v>
      </c>
      <c r="P1002" s="17">
        <f ca="1">IFERROR(__xludf.DUMMYFUNCTION("""COMPUTED_VALUE"""),0.638592208033734)</f>
        <v>0.63859220803373395</v>
      </c>
      <c r="Q1002" s="17">
        <f ca="1">IFERROR(__xludf.DUMMYFUNCTION("""COMPUTED_VALUE"""),1.48544219646324)</f>
        <v>1.48544219646324</v>
      </c>
      <c r="R1002" s="17">
        <f ca="1">IFERROR(__xludf.DUMMYFUNCTION("""COMPUTED_VALUE"""),0.267245235465353)</f>
        <v>0.267245235465353</v>
      </c>
      <c r="S1002" s="17">
        <f ca="1">IFERROR(__xludf.DUMMYFUNCTION("""COMPUTED_VALUE"""),0.774264170457513)</f>
        <v>0.77426417045751295</v>
      </c>
      <c r="T1002" s="17">
        <f ca="1">IFERROR(__xludf.DUMMYFUNCTION("""COMPUTED_VALUE"""),0.433789067921941)</f>
        <v>0.433789067921941</v>
      </c>
      <c r="U1002" s="17">
        <f ca="1">IFERROR(__xludf.DUMMYFUNCTION("""COMPUTED_VALUE"""),0.488190961512423)</f>
        <v>0.48819096151242303</v>
      </c>
      <c r="V1002" s="17">
        <f ca="1">IFERROR(__xludf.DUMMYFUNCTION("""COMPUTED_VALUE"""),0.648607584087433)</f>
        <v>0.64860758408743302</v>
      </c>
      <c r="W1002" s="17">
        <f ca="1">IFERROR(__xludf.DUMMYFUNCTION("""COMPUTED_VALUE"""),0.40074731453564)</f>
        <v>0.40074731453564</v>
      </c>
      <c r="X1002" s="17">
        <f ca="1">IFERROR(__xludf.DUMMYFUNCTION("""COMPUTED_VALUE"""),0.545935822736599)</f>
        <v>0.54593582273659902</v>
      </c>
      <c r="Y1002" s="17">
        <f ca="1">IFERROR(__xludf.DUMMYFUNCTION("""COMPUTED_VALUE"""),0.216947889594317)</f>
        <v>0.21694788959431699</v>
      </c>
      <c r="Z1002" s="17">
        <f ca="1">IFERROR(__xludf.DUMMYFUNCTION("""COMPUTED_VALUE"""),0.571310899074517)</f>
        <v>0.57131089907451704</v>
      </c>
      <c r="AA1002" s="17">
        <f ca="1">IFERROR(__xludf.DUMMYFUNCTION("""COMPUTED_VALUE"""),0.521166908432031)</f>
        <v>0.52116690843203095</v>
      </c>
      <c r="AB1002" s="17">
        <f ca="1">IFERROR(__xludf.DUMMYFUNCTION("""COMPUTED_VALUE"""),0.430099248040141)</f>
        <v>0.43009924804014099</v>
      </c>
      <c r="AC1002" s="17">
        <f ca="1">IFERROR(__xludf.DUMMYFUNCTION("""COMPUTED_VALUE"""),0.212297092927035)</f>
        <v>0.212297092927035</v>
      </c>
      <c r="AD1002" s="17">
        <f ca="1">IFERROR(__xludf.DUMMYFUNCTION("""COMPUTED_VALUE"""),0.232944652421944)</f>
        <v>0.23294465242194401</v>
      </c>
      <c r="AE1002" s="17">
        <f ca="1">IFERROR(__xludf.DUMMYFUNCTION("""COMPUTED_VALUE"""),1.04939222603889)</f>
        <v>1.0493922260388899</v>
      </c>
      <c r="AF1002" s="17">
        <f ca="1">IFERROR(__xludf.DUMMYFUNCTION("""COMPUTED_VALUE"""),0.277372838835106)</f>
        <v>0.27737283883510599</v>
      </c>
      <c r="AG1002" s="17">
        <f ca="1">IFERROR(__xludf.DUMMYFUNCTION("""COMPUTED_VALUE"""),0.646937621449525)</f>
        <v>0.64693762144952505</v>
      </c>
      <c r="AH1002" s="17">
        <f ca="1">IFERROR(__xludf.DUMMYFUNCTION("""COMPUTED_VALUE"""),0.453543728139404)</f>
        <v>0.45354372813940402</v>
      </c>
      <c r="AI1002" s="17">
        <f ca="1">IFERROR(__xludf.DUMMYFUNCTION("""COMPUTED_VALUE"""),0.696732932464464)</f>
        <v>0.69673293246446399</v>
      </c>
      <c r="AJ1002" s="17">
        <f ca="1">IFERROR(__xludf.DUMMYFUNCTION("""COMPUTED_VALUE"""),0.459938530872282)</f>
        <v>0.45993853087228198</v>
      </c>
    </row>
    <row r="1003" spans="2:36" ht="15.75" customHeight="1" x14ac:dyDescent="0.45">
      <c r="B1003" s="10" t="str">
        <f ca="1">IFERROR(__xludf.DUMMYFUNCTION("""COMPUTED_VALUE"""),"WormsTwoClass")</f>
        <v>WormsTwoClass</v>
      </c>
      <c r="C1003" s="10" t="str">
        <f ca="1">IFERROR(__xludf.DUMMYFUNCTION("""COMPUTED_VALUE"""),"mcar")</f>
        <v>mcar</v>
      </c>
      <c r="D1003" s="10">
        <f ca="1">IFERROR(__xludf.DUMMYFUNCTION("""COMPUTED_VALUE"""),0.2)</f>
        <v>0.2</v>
      </c>
      <c r="E1003" s="17">
        <f ca="1">IFERROR(__xludf.DUMMYFUNCTION("""COMPUTED_VALUE"""),0.962607365595942)</f>
        <v>0.96260736559594196</v>
      </c>
      <c r="F1003" s="17">
        <f ca="1">IFERROR(__xludf.DUMMYFUNCTION("""COMPUTED_VALUE"""),0.871538035108321)</f>
        <v>0.87153803510832095</v>
      </c>
      <c r="G1003" s="17">
        <f ca="1">IFERROR(__xludf.DUMMYFUNCTION("""COMPUTED_VALUE"""),0.874096300800227)</f>
        <v>0.87409630080022704</v>
      </c>
      <c r="H1003" s="17">
        <f ca="1">IFERROR(__xludf.DUMMYFUNCTION("""COMPUTED_VALUE"""),0.876861783569514)</f>
        <v>0.87686178356951405</v>
      </c>
      <c r="I1003" s="17">
        <f ca="1">IFERROR(__xludf.DUMMYFUNCTION("""COMPUTED_VALUE"""),0.472415168383884)</f>
        <v>0.47241516838388398</v>
      </c>
      <c r="J1003" s="17">
        <f ca="1">IFERROR(__xludf.DUMMYFUNCTION("""COMPUTED_VALUE"""),0.868045315622745)</f>
        <v>0.86804531562274501</v>
      </c>
      <c r="K1003" s="17" t="str">
        <f ca="1">IFERROR(__xludf.DUMMYFUNCTION("""COMPUTED_VALUE"""),"nan")</f>
        <v>nan</v>
      </c>
      <c r="L1003" s="17">
        <f ca="1">IFERROR(__xludf.DUMMYFUNCTION("""COMPUTED_VALUE"""),0.817741085442819)</f>
        <v>0.81774108544281898</v>
      </c>
      <c r="M1003" s="17">
        <f ca="1">IFERROR(__xludf.DUMMYFUNCTION("""COMPUTED_VALUE"""),0.883269913036603)</f>
        <v>0.88326991303660296</v>
      </c>
      <c r="N1003" s="17">
        <f ca="1">IFERROR(__xludf.DUMMYFUNCTION("""COMPUTED_VALUE"""),0.643247048010417)</f>
        <v>0.64324704801041699</v>
      </c>
      <c r="O1003" s="17">
        <f ca="1">IFERROR(__xludf.DUMMYFUNCTION("""COMPUTED_VALUE"""),0.845612658098906)</f>
        <v>0.84561265809890596</v>
      </c>
      <c r="P1003" s="17">
        <f ca="1">IFERROR(__xludf.DUMMYFUNCTION("""COMPUTED_VALUE"""),0.61524577620325)</f>
        <v>0.61524577620325005</v>
      </c>
      <c r="Q1003" s="17">
        <f ca="1">IFERROR(__xludf.DUMMYFUNCTION("""COMPUTED_VALUE"""),1.44247751388123)</f>
        <v>1.44247751388123</v>
      </c>
      <c r="R1003" s="17">
        <f ca="1">IFERROR(__xludf.DUMMYFUNCTION("""COMPUTED_VALUE"""),0.308856314913765)</f>
        <v>0.30885631491376497</v>
      </c>
      <c r="S1003" s="17">
        <f ca="1">IFERROR(__xludf.DUMMYFUNCTION("""COMPUTED_VALUE"""),1.16778588305625)</f>
        <v>1.16778588305625</v>
      </c>
      <c r="T1003" s="17">
        <f ca="1">IFERROR(__xludf.DUMMYFUNCTION("""COMPUTED_VALUE"""),0.441915555514885)</f>
        <v>0.44191555551488498</v>
      </c>
      <c r="U1003" s="17">
        <f ca="1">IFERROR(__xludf.DUMMYFUNCTION("""COMPUTED_VALUE"""),0.528638168187016)</f>
        <v>0.52863816818701603</v>
      </c>
      <c r="V1003" s="17">
        <f ca="1">IFERROR(__xludf.DUMMYFUNCTION("""COMPUTED_VALUE"""),0.709179908570071)</f>
        <v>0.70917990857007096</v>
      </c>
      <c r="W1003" s="17">
        <f ca="1">IFERROR(__xludf.DUMMYFUNCTION("""COMPUTED_VALUE"""),0.440676350098556)</f>
        <v>0.44067635009855599</v>
      </c>
      <c r="X1003" s="17">
        <f ca="1">IFERROR(__xludf.DUMMYFUNCTION("""COMPUTED_VALUE"""),0.532660073150736)</f>
        <v>0.53266007315073605</v>
      </c>
      <c r="Y1003" s="17">
        <f ca="1">IFERROR(__xludf.DUMMYFUNCTION("""COMPUTED_VALUE"""),0.256841446217679)</f>
        <v>0.25684144621767901</v>
      </c>
      <c r="Z1003" s="17">
        <f ca="1">IFERROR(__xludf.DUMMYFUNCTION("""COMPUTED_VALUE"""),0.55381465271242)</f>
        <v>0.55381465271242003</v>
      </c>
      <c r="AA1003" s="17">
        <f ca="1">IFERROR(__xludf.DUMMYFUNCTION("""COMPUTED_VALUE"""),0.530811947384054)</f>
        <v>0.53081194738405402</v>
      </c>
      <c r="AB1003" s="17">
        <f ca="1">IFERROR(__xludf.DUMMYFUNCTION("""COMPUTED_VALUE"""),0.479164174958931)</f>
        <v>0.47916417495893099</v>
      </c>
      <c r="AC1003" s="17">
        <f ca="1">IFERROR(__xludf.DUMMYFUNCTION("""COMPUTED_VALUE"""),0.256157439822496)</f>
        <v>0.256157439822496</v>
      </c>
      <c r="AD1003" s="17">
        <f ca="1">IFERROR(__xludf.DUMMYFUNCTION("""COMPUTED_VALUE"""),0.283221304778176)</f>
        <v>0.28322130477817598</v>
      </c>
      <c r="AE1003" s="17">
        <f ca="1">IFERROR(__xludf.DUMMYFUNCTION("""COMPUTED_VALUE"""),1.02039782688287)</f>
        <v>1.02039782688287</v>
      </c>
      <c r="AF1003" s="17">
        <f ca="1">IFERROR(__xludf.DUMMYFUNCTION("""COMPUTED_VALUE"""),0.364667317141411)</f>
        <v>0.36466731714141098</v>
      </c>
      <c r="AG1003" s="17">
        <f ca="1">IFERROR(__xludf.DUMMYFUNCTION("""COMPUTED_VALUE"""),0.768134790824317)</f>
        <v>0.76813479082431702</v>
      </c>
      <c r="AH1003" s="17">
        <f ca="1">IFERROR(__xludf.DUMMYFUNCTION("""COMPUTED_VALUE"""),0.518849766097654)</f>
        <v>0.51884976609765399</v>
      </c>
      <c r="AI1003" s="17" t="str">
        <f ca="1">IFERROR(__xludf.DUMMYFUNCTION("""COMPUTED_VALUE"""),"nan")</f>
        <v>nan</v>
      </c>
      <c r="AJ1003" s="17">
        <f ca="1">IFERROR(__xludf.DUMMYFUNCTION("""COMPUTED_VALUE"""),0.58734016996102)</f>
        <v>0.58734016996102001</v>
      </c>
    </row>
    <row r="1004" spans="2:36" ht="15.75" customHeight="1" x14ac:dyDescent="0.45">
      <c r="B1004" s="10" t="str">
        <f ca="1">IFERROR(__xludf.DUMMYFUNCTION("""COMPUTED_VALUE"""),"WormsTwoClass")</f>
        <v>WormsTwoClass</v>
      </c>
      <c r="C1004" s="10" t="str">
        <f ca="1">IFERROR(__xludf.DUMMYFUNCTION("""COMPUTED_VALUE"""),"mcar")</f>
        <v>mcar</v>
      </c>
      <c r="D1004" s="10">
        <f ca="1">IFERROR(__xludf.DUMMYFUNCTION("""COMPUTED_VALUE"""),0.4)</f>
        <v>0.4</v>
      </c>
      <c r="E1004" s="17">
        <f ca="1">IFERROR(__xludf.DUMMYFUNCTION("""COMPUTED_VALUE"""),0.982390839356549)</f>
        <v>0.98239083935654903</v>
      </c>
      <c r="F1004" s="17">
        <f ca="1">IFERROR(__xludf.DUMMYFUNCTION("""COMPUTED_VALUE"""),0.880059981724035)</f>
        <v>0.88005998172403499</v>
      </c>
      <c r="G1004" s="17">
        <f ca="1">IFERROR(__xludf.DUMMYFUNCTION("""COMPUTED_VALUE"""),0.882635442792719)</f>
        <v>0.88263544279271899</v>
      </c>
      <c r="H1004" s="17">
        <f ca="1">IFERROR(__xludf.DUMMYFUNCTION("""COMPUTED_VALUE"""),0.891599177140107)</f>
        <v>0.89159917714010695</v>
      </c>
      <c r="I1004" s="17">
        <f ca="1">IFERROR(__xludf.DUMMYFUNCTION("""COMPUTED_VALUE"""),0.556967259448536)</f>
        <v>0.55696725944853598</v>
      </c>
      <c r="J1004" s="17">
        <f ca="1">IFERROR(__xludf.DUMMYFUNCTION("""COMPUTED_VALUE"""),0.864068638161118)</f>
        <v>0.86406863816111801</v>
      </c>
      <c r="K1004" s="17" t="str">
        <f ca="1">IFERROR(__xludf.DUMMYFUNCTION("""COMPUTED_VALUE"""),"nan")</f>
        <v>nan</v>
      </c>
      <c r="L1004" s="17">
        <f ca="1">IFERROR(__xludf.DUMMYFUNCTION("""COMPUTED_VALUE"""),0.833837144280967)</f>
        <v>0.833837144280967</v>
      </c>
      <c r="M1004" s="17">
        <f ca="1">IFERROR(__xludf.DUMMYFUNCTION("""COMPUTED_VALUE"""),0.889666906528477)</f>
        <v>0.88966690652847702</v>
      </c>
      <c r="N1004" s="17">
        <f ca="1">IFERROR(__xludf.DUMMYFUNCTION("""COMPUTED_VALUE"""),0.803246851608705)</f>
        <v>0.80324685160870501</v>
      </c>
      <c r="O1004" s="17">
        <f ca="1">IFERROR(__xludf.DUMMYFUNCTION("""COMPUTED_VALUE"""),0.864743952372717)</f>
        <v>0.86474395237271695</v>
      </c>
      <c r="P1004" s="17">
        <f ca="1">IFERROR(__xludf.DUMMYFUNCTION("""COMPUTED_VALUE"""),0.697536446936269)</f>
        <v>0.69753644693626904</v>
      </c>
      <c r="Q1004" s="17">
        <f ca="1">IFERROR(__xludf.DUMMYFUNCTION("""COMPUTED_VALUE"""),1.39826937128351)</f>
        <v>1.3982693712835099</v>
      </c>
      <c r="R1004" s="17">
        <f ca="1">IFERROR(__xludf.DUMMYFUNCTION("""COMPUTED_VALUE"""),0.459587043846693)</f>
        <v>0.45958704384669302</v>
      </c>
      <c r="S1004" s="17">
        <f ca="1">IFERROR(__xludf.DUMMYFUNCTION("""COMPUTED_VALUE"""),1.53730070932768)</f>
        <v>1.53730070932768</v>
      </c>
      <c r="T1004" s="17">
        <f ca="1">IFERROR(__xludf.DUMMYFUNCTION("""COMPUTED_VALUE"""),0.514677635714168)</f>
        <v>0.51467763571416802</v>
      </c>
      <c r="U1004" s="17">
        <f ca="1">IFERROR(__xludf.DUMMYFUNCTION("""COMPUTED_VALUE"""),0.592876449939277)</f>
        <v>0.59287644993927702</v>
      </c>
      <c r="V1004" s="17">
        <f ca="1">IFERROR(__xludf.DUMMYFUNCTION("""COMPUTED_VALUE"""),0.747909878600498)</f>
        <v>0.74790987860049796</v>
      </c>
      <c r="W1004" s="17">
        <f ca="1">IFERROR(__xludf.DUMMYFUNCTION("""COMPUTED_VALUE"""),0.6219052780473)</f>
        <v>0.6219052780473</v>
      </c>
      <c r="X1004" s="17">
        <f ca="1">IFERROR(__xludf.DUMMYFUNCTION("""COMPUTED_VALUE"""),0.594770740538686)</f>
        <v>0.59477074053868595</v>
      </c>
      <c r="Y1004" s="17">
        <f ca="1">IFERROR(__xludf.DUMMYFUNCTION("""COMPUTED_VALUE"""),0.451502673751636)</f>
        <v>0.451502673751636</v>
      </c>
      <c r="Z1004" s="17">
        <f ca="1">IFERROR(__xludf.DUMMYFUNCTION("""COMPUTED_VALUE"""),0.610878221700542)</f>
        <v>0.61087822170054196</v>
      </c>
      <c r="AA1004" s="17">
        <f ca="1">IFERROR(__xludf.DUMMYFUNCTION("""COMPUTED_VALUE"""),0.68796043889387)</f>
        <v>0.68796043889387004</v>
      </c>
      <c r="AB1004" s="17">
        <f ca="1">IFERROR(__xludf.DUMMYFUNCTION("""COMPUTED_VALUE"""),0.658864699227086)</f>
        <v>0.65886469922708601</v>
      </c>
      <c r="AC1004" s="17">
        <f ca="1">IFERROR(__xludf.DUMMYFUNCTION("""COMPUTED_VALUE"""),0.420742303242986)</f>
        <v>0.420742303242986</v>
      </c>
      <c r="AD1004" s="17">
        <f ca="1">IFERROR(__xludf.DUMMYFUNCTION("""COMPUTED_VALUE"""),0.451149887165581)</f>
        <v>0.45114988716558102</v>
      </c>
      <c r="AE1004" s="17">
        <f ca="1">IFERROR(__xludf.DUMMYFUNCTION("""COMPUTED_VALUE"""),1.00238318268377)</f>
        <v>1.0023831826837699</v>
      </c>
      <c r="AF1004" s="17">
        <f ca="1">IFERROR(__xludf.DUMMYFUNCTION("""COMPUTED_VALUE"""),0.542856835652442)</f>
        <v>0.54285683565244203</v>
      </c>
      <c r="AG1004" s="17">
        <f ca="1">IFERROR(__xludf.DUMMYFUNCTION("""COMPUTED_VALUE"""),0.936053168729113)</f>
        <v>0.93605316872911304</v>
      </c>
      <c r="AH1004" s="17">
        <f ca="1">IFERROR(__xludf.DUMMYFUNCTION("""COMPUTED_VALUE"""),0.635899011153908)</f>
        <v>0.63589901115390801</v>
      </c>
      <c r="AI1004" s="17" t="str">
        <f ca="1">IFERROR(__xludf.DUMMYFUNCTION("""COMPUTED_VALUE"""),"nan")</f>
        <v>nan</v>
      </c>
      <c r="AJ1004" s="17">
        <f ca="1">IFERROR(__xludf.DUMMYFUNCTION("""COMPUTED_VALUE"""),0.870454744527671)</f>
        <v>0.87045474452767102</v>
      </c>
    </row>
    <row r="1005" spans="2:36" ht="15.75" customHeight="1" x14ac:dyDescent="0.45">
      <c r="B1005" s="10" t="str">
        <f ca="1">IFERROR(__xludf.DUMMYFUNCTION("""COMPUTED_VALUE"""),"WormsTwoClass")</f>
        <v>WormsTwoClass</v>
      </c>
      <c r="C1005" s="10" t="str">
        <f ca="1">IFERROR(__xludf.DUMMYFUNCTION("""COMPUTED_VALUE"""),"mcar")</f>
        <v>mcar</v>
      </c>
      <c r="D1005" s="10">
        <f ca="1">IFERROR(__xludf.DUMMYFUNCTION("""COMPUTED_VALUE"""),0.6)</f>
        <v>0.6</v>
      </c>
      <c r="E1005" s="17">
        <f ca="1">IFERROR(__xludf.DUMMYFUNCTION("""COMPUTED_VALUE"""),1.0001367090213)</f>
        <v>1.0001367090213</v>
      </c>
      <c r="F1005" s="17">
        <f ca="1">IFERROR(__xludf.DUMMYFUNCTION("""COMPUTED_VALUE"""),0.905507098690408)</f>
        <v>0.90550709869040802</v>
      </c>
      <c r="G1005" s="17">
        <f ca="1">IFERROR(__xludf.DUMMYFUNCTION("""COMPUTED_VALUE"""),0.909320867107401)</f>
        <v>0.90932086710740101</v>
      </c>
      <c r="H1005" s="17">
        <f ca="1">IFERROR(__xludf.DUMMYFUNCTION("""COMPUTED_VALUE"""),0.928668568562861)</f>
        <v>0.92866856856286095</v>
      </c>
      <c r="I1005" s="17">
        <f ca="1">IFERROR(__xludf.DUMMYFUNCTION("""COMPUTED_VALUE"""),0.658244462639305)</f>
        <v>0.65824446263930503</v>
      </c>
      <c r="J1005" s="17">
        <f ca="1">IFERROR(__xludf.DUMMYFUNCTION("""COMPUTED_VALUE"""),0.904263129473094)</f>
        <v>0.90426312947309395</v>
      </c>
      <c r="K1005" s="17" t="str">
        <f ca="1">IFERROR(__xludf.DUMMYFUNCTION("""COMPUTED_VALUE"""),"nan")</f>
        <v>nan</v>
      </c>
      <c r="L1005" s="17">
        <f ca="1">IFERROR(__xludf.DUMMYFUNCTION("""COMPUTED_VALUE"""),0.884090038097782)</f>
        <v>0.88409003809778197</v>
      </c>
      <c r="M1005" s="17">
        <f ca="1">IFERROR(__xludf.DUMMYFUNCTION("""COMPUTED_VALUE"""),0.908392899944025)</f>
        <v>0.90839289994402495</v>
      </c>
      <c r="N1005" s="17">
        <f ca="1">IFERROR(__xludf.DUMMYFUNCTION("""COMPUTED_VALUE"""),0.918012068276962)</f>
        <v>0.91801206827696202</v>
      </c>
      <c r="O1005" s="17">
        <f ca="1">IFERROR(__xludf.DUMMYFUNCTION("""COMPUTED_VALUE"""),0.915878350358624)</f>
        <v>0.91587835035862397</v>
      </c>
      <c r="P1005" s="17">
        <f ca="1">IFERROR(__xludf.DUMMYFUNCTION("""COMPUTED_VALUE"""),0.763867631377662)</f>
        <v>0.763867631377662</v>
      </c>
      <c r="Q1005" s="17">
        <f ca="1">IFERROR(__xludf.DUMMYFUNCTION("""COMPUTED_VALUE"""),1.39079733543307)</f>
        <v>1.39079733543307</v>
      </c>
      <c r="R1005" s="17">
        <f ca="1">IFERROR(__xludf.DUMMYFUNCTION("""COMPUTED_VALUE"""),0.726169931345456)</f>
        <v>0.72616993134545604</v>
      </c>
      <c r="S1005" s="17">
        <f ca="1">IFERROR(__xludf.DUMMYFUNCTION("""COMPUTED_VALUE"""),1.53436734237466)</f>
        <v>1.53436734237466</v>
      </c>
      <c r="T1005" s="17">
        <f ca="1">IFERROR(__xludf.DUMMYFUNCTION("""COMPUTED_VALUE"""),0.631551979517581)</f>
        <v>0.63155197951758102</v>
      </c>
      <c r="U1005" s="17">
        <f ca="1">IFERROR(__xludf.DUMMYFUNCTION("""COMPUTED_VALUE"""),0.750087040888722)</f>
        <v>0.75008704088872202</v>
      </c>
      <c r="V1005" s="17">
        <f ca="1">IFERROR(__xludf.DUMMYFUNCTION("""COMPUTED_VALUE"""),0.861969102775166)</f>
        <v>0.86196910277516603</v>
      </c>
      <c r="W1005" s="17">
        <f ca="1">IFERROR(__xludf.DUMMYFUNCTION("""COMPUTED_VALUE"""),0.752466398870125)</f>
        <v>0.75246639887012501</v>
      </c>
      <c r="X1005" s="17">
        <f ca="1">IFERROR(__xludf.DUMMYFUNCTION("""COMPUTED_VALUE"""),0.698321996634723)</f>
        <v>0.69832199663472305</v>
      </c>
      <c r="Y1005" s="17">
        <f ca="1">IFERROR(__xludf.DUMMYFUNCTION("""COMPUTED_VALUE"""),0.65057711571041)</f>
        <v>0.65057711571040999</v>
      </c>
      <c r="Z1005" s="17">
        <f ca="1">IFERROR(__xludf.DUMMYFUNCTION("""COMPUTED_VALUE"""),0.704625842614703)</f>
        <v>0.70462584261470296</v>
      </c>
      <c r="AA1005" s="17">
        <f ca="1">IFERROR(__xludf.DUMMYFUNCTION("""COMPUTED_VALUE"""),1.40612970131615)</f>
        <v>1.40612970131615</v>
      </c>
      <c r="AB1005" s="17">
        <f ca="1">IFERROR(__xludf.DUMMYFUNCTION("""COMPUTED_VALUE"""),1.08795551930664)</f>
        <v>1.0879555193066399</v>
      </c>
      <c r="AC1005" s="17">
        <f ca="1">IFERROR(__xludf.DUMMYFUNCTION("""COMPUTED_VALUE"""),0.621081645215375)</f>
        <v>0.62108164521537501</v>
      </c>
      <c r="AD1005" s="17">
        <f ca="1">IFERROR(__xludf.DUMMYFUNCTION("""COMPUTED_VALUE"""),0.675407978398727)</f>
        <v>0.67540797839872702</v>
      </c>
      <c r="AE1005" s="17" t="str">
        <f ca="1">IFERROR(__xludf.DUMMYFUNCTION("""COMPUTED_VALUE"""),"nan")</f>
        <v>nan</v>
      </c>
      <c r="AF1005" s="17">
        <f ca="1">IFERROR(__xludf.DUMMYFUNCTION("""COMPUTED_VALUE"""),0.970605652384655)</f>
        <v>0.97060565238465502</v>
      </c>
      <c r="AG1005" s="17">
        <f ca="1">IFERROR(__xludf.DUMMYFUNCTION("""COMPUTED_VALUE"""),1.02965578519717)</f>
        <v>1.0296557851971699</v>
      </c>
      <c r="AH1005" s="17">
        <f ca="1">IFERROR(__xludf.DUMMYFUNCTION("""COMPUTED_VALUE"""),0.814700748277166)</f>
        <v>0.81470074827716599</v>
      </c>
      <c r="AI1005" s="17" t="str">
        <f ca="1">IFERROR(__xludf.DUMMYFUNCTION("""COMPUTED_VALUE"""),"nan")</f>
        <v>nan</v>
      </c>
      <c r="AJ1005" s="17">
        <f ca="1">IFERROR(__xludf.DUMMYFUNCTION("""COMPUTED_VALUE"""),1.01250896665153)</f>
        <v>1.0125089666515299</v>
      </c>
    </row>
    <row r="1006" spans="2:36" ht="15.75" customHeight="1" x14ac:dyDescent="0.45">
      <c r="B1006" s="10" t="str">
        <f ca="1">IFERROR(__xludf.DUMMYFUNCTION("""COMPUTED_VALUE"""),"WormsTwoClass")</f>
        <v>WormsTwoClass</v>
      </c>
      <c r="C1006" s="10" t="str">
        <f ca="1">IFERROR(__xludf.DUMMYFUNCTION("""COMPUTED_VALUE"""),"mcar")</f>
        <v>mcar</v>
      </c>
      <c r="D1006" s="10">
        <f ca="1">IFERROR(__xludf.DUMMYFUNCTION("""COMPUTED_VALUE"""),0.8)</f>
        <v>0.8</v>
      </c>
      <c r="E1006" s="17">
        <f ca="1">IFERROR(__xludf.DUMMYFUNCTION("""COMPUTED_VALUE"""),0.992827974553691)</f>
        <v>0.99282797455369098</v>
      </c>
      <c r="F1006" s="17">
        <f ca="1">IFERROR(__xludf.DUMMYFUNCTION("""COMPUTED_VALUE"""),0.972324708243689)</f>
        <v>0.972324708243689</v>
      </c>
      <c r="G1006" s="17">
        <f ca="1">IFERROR(__xludf.DUMMYFUNCTION("""COMPUTED_VALUE"""),0.997385108598447)</f>
        <v>0.99738510859844698</v>
      </c>
      <c r="H1006" s="17">
        <f ca="1">IFERROR(__xludf.DUMMYFUNCTION("""COMPUTED_VALUE"""),0.99472872662326)</f>
        <v>0.99472872662325995</v>
      </c>
      <c r="I1006" s="17">
        <f ca="1">IFERROR(__xludf.DUMMYFUNCTION("""COMPUTED_VALUE"""),0.803325470775203)</f>
        <v>0.803325470775203</v>
      </c>
      <c r="J1006" s="17">
        <f ca="1">IFERROR(__xludf.DUMMYFUNCTION("""COMPUTED_VALUE"""),0.984308457778401)</f>
        <v>0.98430845777840104</v>
      </c>
      <c r="K1006" s="17" t="str">
        <f ca="1">IFERROR(__xludf.DUMMYFUNCTION("""COMPUTED_VALUE"""),"nan")</f>
        <v>nan</v>
      </c>
      <c r="L1006" s="17">
        <f ca="1">IFERROR(__xludf.DUMMYFUNCTION("""COMPUTED_VALUE"""),0.989395484520502)</f>
        <v>0.98939548452050197</v>
      </c>
      <c r="M1006" s="17">
        <f ca="1">IFERROR(__xludf.DUMMYFUNCTION("""COMPUTED_VALUE"""),0.985742595335037)</f>
        <v>0.98574259533503705</v>
      </c>
      <c r="N1006" s="17">
        <f ca="1">IFERROR(__xludf.DUMMYFUNCTION("""COMPUTED_VALUE"""),1.02275820547944)</f>
        <v>1.02275820547944</v>
      </c>
      <c r="O1006" s="17">
        <f ca="1">IFERROR(__xludf.DUMMYFUNCTION("""COMPUTED_VALUE"""),1.01740766326546)</f>
        <v>1.0174076632654601</v>
      </c>
      <c r="P1006" s="17">
        <f ca="1">IFERROR(__xludf.DUMMYFUNCTION("""COMPUTED_VALUE"""),0.915383024439398)</f>
        <v>0.91538302443939801</v>
      </c>
      <c r="Q1006" s="17">
        <f ca="1">IFERROR(__xludf.DUMMYFUNCTION("""COMPUTED_VALUE"""),1.37563143571458)</f>
        <v>1.37563143571458</v>
      </c>
      <c r="R1006" s="17">
        <f ca="1">IFERROR(__xludf.DUMMYFUNCTION("""COMPUTED_VALUE"""),1.04167014241938)</f>
        <v>1.0416701424193799</v>
      </c>
      <c r="S1006" s="17">
        <f ca="1">IFERROR(__xludf.DUMMYFUNCTION("""COMPUTED_VALUE"""),1.5385588939044)</f>
        <v>1.5385588939043999</v>
      </c>
      <c r="T1006" s="17">
        <f ca="1">IFERROR(__xludf.DUMMYFUNCTION("""COMPUTED_VALUE"""),0.892101730189879)</f>
        <v>0.89210173018987904</v>
      </c>
      <c r="U1006" s="17">
        <f ca="1">IFERROR(__xludf.DUMMYFUNCTION("""COMPUTED_VALUE"""),0.89054498080749)</f>
        <v>0.89054498080749001</v>
      </c>
      <c r="V1006" s="17">
        <f ca="1">IFERROR(__xludf.DUMMYFUNCTION("""COMPUTED_VALUE"""),1.03668476274461)</f>
        <v>1.0366847627446101</v>
      </c>
      <c r="W1006" s="17">
        <f ca="1">IFERROR(__xludf.DUMMYFUNCTION("""COMPUTED_VALUE"""),0.891210474506221)</f>
        <v>0.89121047450622104</v>
      </c>
      <c r="X1006" s="17">
        <f ca="1">IFERROR(__xludf.DUMMYFUNCTION("""COMPUTED_VALUE"""),0.824975810099367)</f>
        <v>0.82497581009936705</v>
      </c>
      <c r="Y1006" s="17">
        <f ca="1">IFERROR(__xludf.DUMMYFUNCTION("""COMPUTED_VALUE"""),0.874353522287627)</f>
        <v>0.87435352228762697</v>
      </c>
      <c r="Z1006" s="17">
        <f ca="1">IFERROR(__xludf.DUMMYFUNCTION("""COMPUTED_VALUE"""),0.831583172688945)</f>
        <v>0.83158317268894499</v>
      </c>
      <c r="AA1006" s="17">
        <f ca="1">IFERROR(__xludf.DUMMYFUNCTION("""COMPUTED_VALUE"""),1.81967475995552)</f>
        <v>1.8196747599555201</v>
      </c>
      <c r="AB1006" s="17">
        <f ca="1">IFERROR(__xludf.DUMMYFUNCTION("""COMPUTED_VALUE"""),1.59154799096613)</f>
        <v>1.5915479909661301</v>
      </c>
      <c r="AC1006" s="17">
        <f ca="1">IFERROR(__xludf.DUMMYFUNCTION("""COMPUTED_VALUE"""),0.825262001007108)</f>
        <v>0.825262001007108</v>
      </c>
      <c r="AD1006" s="17">
        <f ca="1">IFERROR(__xludf.DUMMYFUNCTION("""COMPUTED_VALUE"""),0.865080371873039)</f>
        <v>0.86508037187303899</v>
      </c>
      <c r="AE1006" s="17" t="str">
        <f ca="1">IFERROR(__xludf.DUMMYFUNCTION("""COMPUTED_VALUE"""),"nan")</f>
        <v>nan</v>
      </c>
      <c r="AF1006" s="17">
        <f ca="1">IFERROR(__xludf.DUMMYFUNCTION("""COMPUTED_VALUE"""),1.11285598870729)</f>
        <v>1.11285598870729</v>
      </c>
      <c r="AG1006" s="17">
        <f ca="1">IFERROR(__xludf.DUMMYFUNCTION("""COMPUTED_VALUE"""),1.15189501946461)</f>
        <v>1.15189501946461</v>
      </c>
      <c r="AH1006" s="17">
        <f ca="1">IFERROR(__xludf.DUMMYFUNCTION("""COMPUTED_VALUE"""),0.953279549365475)</f>
        <v>0.95327954936547499</v>
      </c>
      <c r="AI1006" s="17" t="str">
        <f ca="1">IFERROR(__xludf.DUMMYFUNCTION("""COMPUTED_VALUE"""),"nan")</f>
        <v>nan</v>
      </c>
      <c r="AJ1006" s="17">
        <f ca="1">IFERROR(__xludf.DUMMYFUNCTION("""COMPUTED_VALUE"""),1.13426345821228)</f>
        <v>1.1342634582122799</v>
      </c>
    </row>
    <row r="1007" spans="2:36" ht="15.75" customHeight="1" x14ac:dyDescent="0.45">
      <c r="B1007" s="10" t="str">
        <f ca="1">IFERROR(__xludf.DUMMYFUNCTION("""COMPUTED_VALUE"""),"Yoga")</f>
        <v>Yoga</v>
      </c>
      <c r="C1007" s="10" t="str">
        <f ca="1">IFERROR(__xludf.DUMMYFUNCTION("""COMPUTED_VALUE"""),"aligned_series")</f>
        <v>aligned_series</v>
      </c>
      <c r="D1007" s="10">
        <f ca="1">IFERROR(__xludf.DUMMYFUNCTION("""COMPUTED_VALUE"""),0.1)</f>
        <v>0.1</v>
      </c>
      <c r="E1007" s="17">
        <f ca="1">IFERROR(__xludf.DUMMYFUNCTION("""COMPUTED_VALUE"""),0.676090525748674)</f>
        <v>0.67609052574867401</v>
      </c>
      <c r="F1007" s="17">
        <f ca="1">IFERROR(__xludf.DUMMYFUNCTION("""COMPUTED_VALUE"""),0.565912877158748)</f>
        <v>0.56591287715874805</v>
      </c>
      <c r="G1007" s="17">
        <f ca="1">IFERROR(__xludf.DUMMYFUNCTION("""COMPUTED_VALUE"""),0.567989540938739)</f>
        <v>0.56798954093873899</v>
      </c>
      <c r="H1007" s="17">
        <f ca="1">IFERROR(__xludf.DUMMYFUNCTION("""COMPUTED_VALUE"""),0.561358773733931)</f>
        <v>0.56135877373393095</v>
      </c>
      <c r="I1007" s="17">
        <f ca="1">IFERROR(__xludf.DUMMYFUNCTION("""COMPUTED_VALUE"""),0.274356197597481)</f>
        <v>0.27435619759748098</v>
      </c>
      <c r="J1007" s="17">
        <f ca="1">IFERROR(__xludf.DUMMYFUNCTION("""COMPUTED_VALUE"""),0.54087402787481)</f>
        <v>0.54087402787480998</v>
      </c>
      <c r="K1007" s="17" t="str">
        <f ca="1">IFERROR(__xludf.DUMMYFUNCTION("""COMPUTED_VALUE"""),"nan")</f>
        <v>nan</v>
      </c>
      <c r="L1007" s="17">
        <f ca="1">IFERROR(__xludf.DUMMYFUNCTION("""COMPUTED_VALUE"""),0.463469807984557)</f>
        <v>0.463469807984557</v>
      </c>
      <c r="M1007" s="17">
        <f ca="1">IFERROR(__xludf.DUMMYFUNCTION("""COMPUTED_VALUE"""),0.554354065065517)</f>
        <v>0.55435406506551699</v>
      </c>
      <c r="N1007" s="17">
        <f ca="1">IFERROR(__xludf.DUMMYFUNCTION("""COMPUTED_VALUE"""),0.587549581191133)</f>
        <v>0.58754958119113299</v>
      </c>
      <c r="O1007" s="17">
        <f ca="1">IFERROR(__xludf.DUMMYFUNCTION("""COMPUTED_VALUE"""),0.510130773184055)</f>
        <v>0.51013077318405498</v>
      </c>
      <c r="P1007" s="17">
        <f ca="1">IFERROR(__xludf.DUMMYFUNCTION("""COMPUTED_VALUE"""),0.529290620551493)</f>
        <v>0.52929062055149301</v>
      </c>
      <c r="Q1007" s="17">
        <f ca="1">IFERROR(__xludf.DUMMYFUNCTION("""COMPUTED_VALUE"""),0.896647765248704)</f>
        <v>0.89664776524870404</v>
      </c>
      <c r="R1007" s="17">
        <f ca="1">IFERROR(__xludf.DUMMYFUNCTION("""COMPUTED_VALUE"""),0.426717074206761)</f>
        <v>0.42671707420676103</v>
      </c>
      <c r="S1007" s="17">
        <f ca="1">IFERROR(__xludf.DUMMYFUNCTION("""COMPUTED_VALUE"""),0.697979559896832)</f>
        <v>0.69797955989683202</v>
      </c>
      <c r="T1007" s="17">
        <f ca="1">IFERROR(__xludf.DUMMYFUNCTION("""COMPUTED_VALUE"""),0.527704352327384)</f>
        <v>0.527704352327384</v>
      </c>
      <c r="U1007" s="17">
        <f ca="1">IFERROR(__xludf.DUMMYFUNCTION("""COMPUTED_VALUE"""),0.464912107333461)</f>
        <v>0.464912107333461</v>
      </c>
      <c r="V1007" s="17">
        <f ca="1">IFERROR(__xludf.DUMMYFUNCTION("""COMPUTED_VALUE"""),0.620135535358487)</f>
        <v>0.62013553535848698</v>
      </c>
      <c r="W1007" s="17">
        <f ca="1">IFERROR(__xludf.DUMMYFUNCTION("""COMPUTED_VALUE"""),0.605380704906634)</f>
        <v>0.60538070490663398</v>
      </c>
      <c r="X1007" s="17">
        <f ca="1">IFERROR(__xludf.DUMMYFUNCTION("""COMPUTED_VALUE"""),0.461407355316638)</f>
        <v>0.46140735531663801</v>
      </c>
      <c r="Y1007" s="17">
        <f ca="1">IFERROR(__xludf.DUMMYFUNCTION("""COMPUTED_VALUE"""),0.466959629689198)</f>
        <v>0.46695962968919802</v>
      </c>
      <c r="Z1007" s="17">
        <f ca="1">IFERROR(__xludf.DUMMYFUNCTION("""COMPUTED_VALUE"""),0.5024958750107)</f>
        <v>0.50249587501070003</v>
      </c>
      <c r="AA1007" s="17">
        <f ca="1">IFERROR(__xludf.DUMMYFUNCTION("""COMPUTED_VALUE"""),0.296761171751785)</f>
        <v>0.29676117175178501</v>
      </c>
      <c r="AB1007" s="17">
        <f ca="1">IFERROR(__xludf.DUMMYFUNCTION("""COMPUTED_VALUE"""),0.667038991476945)</f>
        <v>0.66703899147694501</v>
      </c>
      <c r="AC1007" s="17">
        <f ca="1">IFERROR(__xludf.DUMMYFUNCTION("""COMPUTED_VALUE"""),0.469536350414404)</f>
        <v>0.469536350414404</v>
      </c>
      <c r="AD1007" s="17">
        <f ca="1">IFERROR(__xludf.DUMMYFUNCTION("""COMPUTED_VALUE"""),0.534530620978185)</f>
        <v>0.53453062097818504</v>
      </c>
      <c r="AE1007" s="17">
        <f ca="1">IFERROR(__xludf.DUMMYFUNCTION("""COMPUTED_VALUE"""),0.794390557915739)</f>
        <v>0.79439055791573898</v>
      </c>
      <c r="AF1007" s="17">
        <f ca="1">IFERROR(__xludf.DUMMYFUNCTION("""COMPUTED_VALUE"""),0.448969273984601)</f>
        <v>0.44896927398460101</v>
      </c>
      <c r="AG1007" s="17">
        <f ca="1">IFERROR(__xludf.DUMMYFUNCTION("""COMPUTED_VALUE"""),0.676060637091434)</f>
        <v>0.67606063709143405</v>
      </c>
      <c r="AH1007" s="17">
        <f ca="1">IFERROR(__xludf.DUMMYFUNCTION("""COMPUTED_VALUE"""),0.648746812448129)</f>
        <v>0.64874681244812904</v>
      </c>
      <c r="AI1007" s="17" t="str">
        <f ca="1">IFERROR(__xludf.DUMMYFUNCTION("""COMPUTED_VALUE"""),"nan")</f>
        <v>nan</v>
      </c>
      <c r="AJ1007" s="17">
        <f ca="1">IFERROR(__xludf.DUMMYFUNCTION("""COMPUTED_VALUE"""),0.61506236497251)</f>
        <v>0.61506236497250999</v>
      </c>
    </row>
    <row r="1008" spans="2:36" ht="15.75" customHeight="1" x14ac:dyDescent="0.45">
      <c r="B1008" s="10" t="str">
        <f ca="1">IFERROR(__xludf.DUMMYFUNCTION("""COMPUTED_VALUE"""),"Yoga")</f>
        <v>Yoga</v>
      </c>
      <c r="C1008" s="10" t="str">
        <f ca="1">IFERROR(__xludf.DUMMYFUNCTION("""COMPUTED_VALUE"""),"aligned_series")</f>
        <v>aligned_series</v>
      </c>
      <c r="D1008" s="10">
        <f ca="1">IFERROR(__xludf.DUMMYFUNCTION("""COMPUTED_VALUE"""),0.2)</f>
        <v>0.2</v>
      </c>
      <c r="E1008" s="17">
        <f ca="1">IFERROR(__xludf.DUMMYFUNCTION("""COMPUTED_VALUE"""),0.706258857080877)</f>
        <v>0.70625885708087699</v>
      </c>
      <c r="F1008" s="17">
        <f ca="1">IFERROR(__xludf.DUMMYFUNCTION("""COMPUTED_VALUE"""),0.592052637728243)</f>
        <v>0.59205263772824301</v>
      </c>
      <c r="G1008" s="17">
        <f ca="1">IFERROR(__xludf.DUMMYFUNCTION("""COMPUTED_VALUE"""),0.594263478916325)</f>
        <v>0.59426347891632503</v>
      </c>
      <c r="H1008" s="17">
        <f ca="1">IFERROR(__xludf.DUMMYFUNCTION("""COMPUTED_VALUE"""),0.59032255853856)</f>
        <v>0.59032255853855997</v>
      </c>
      <c r="I1008" s="17">
        <f ca="1">IFERROR(__xludf.DUMMYFUNCTION("""COMPUTED_VALUE"""),0.305483328679256)</f>
        <v>0.30548332867925598</v>
      </c>
      <c r="J1008" s="17">
        <f ca="1">IFERROR(__xludf.DUMMYFUNCTION("""COMPUTED_VALUE"""),0.607287074076168)</f>
        <v>0.607287074076168</v>
      </c>
      <c r="K1008" s="17" t="str">
        <f ca="1">IFERROR(__xludf.DUMMYFUNCTION("""COMPUTED_VALUE"""),"nan")</f>
        <v>nan</v>
      </c>
      <c r="L1008" s="17">
        <f ca="1">IFERROR(__xludf.DUMMYFUNCTION("""COMPUTED_VALUE"""),0.468132061764923)</f>
        <v>0.468132061764923</v>
      </c>
      <c r="M1008" s="17">
        <f ca="1">IFERROR(__xludf.DUMMYFUNCTION("""COMPUTED_VALUE"""),0.591100136183557)</f>
        <v>0.59110013618355695</v>
      </c>
      <c r="N1008" s="17">
        <f ca="1">IFERROR(__xludf.DUMMYFUNCTION("""COMPUTED_VALUE"""),0.622937349778969)</f>
        <v>0.62293734977896897</v>
      </c>
      <c r="O1008" s="17">
        <f ca="1">IFERROR(__xludf.DUMMYFUNCTION("""COMPUTED_VALUE"""),0.565158584004418)</f>
        <v>0.56515858400441799</v>
      </c>
      <c r="P1008" s="17">
        <f ca="1">IFERROR(__xludf.DUMMYFUNCTION("""COMPUTED_VALUE"""),0.566193702052339)</f>
        <v>0.56619370205233899</v>
      </c>
      <c r="Q1008" s="17">
        <f ca="1">IFERROR(__xludf.DUMMYFUNCTION("""COMPUTED_VALUE"""),0.93998197252256)</f>
        <v>0.93998197252255999</v>
      </c>
      <c r="R1008" s="17">
        <f ca="1">IFERROR(__xludf.DUMMYFUNCTION("""COMPUTED_VALUE"""),0.428711543204457)</f>
        <v>0.42871154320445698</v>
      </c>
      <c r="S1008" s="17">
        <f ca="1">IFERROR(__xludf.DUMMYFUNCTION("""COMPUTED_VALUE"""),0.677820964512129)</f>
        <v>0.67782096451212903</v>
      </c>
      <c r="T1008" s="17">
        <f ca="1">IFERROR(__xludf.DUMMYFUNCTION("""COMPUTED_VALUE"""),0.534243417610767)</f>
        <v>0.53424341761076699</v>
      </c>
      <c r="U1008" s="17">
        <f ca="1">IFERROR(__xludf.DUMMYFUNCTION("""COMPUTED_VALUE"""),0.438880078716066)</f>
        <v>0.43888007871606599</v>
      </c>
      <c r="V1008" s="17">
        <f ca="1">IFERROR(__xludf.DUMMYFUNCTION("""COMPUTED_VALUE"""),0.634556958962014)</f>
        <v>0.63455695896201403</v>
      </c>
      <c r="W1008" s="17">
        <f ca="1">IFERROR(__xludf.DUMMYFUNCTION("""COMPUTED_VALUE"""),0.635739673470648)</f>
        <v>0.63573967347064797</v>
      </c>
      <c r="X1008" s="17">
        <f ca="1">IFERROR(__xludf.DUMMYFUNCTION("""COMPUTED_VALUE"""),0.458012486571271)</f>
        <v>0.45801248657127103</v>
      </c>
      <c r="Y1008" s="17">
        <f ca="1">IFERROR(__xludf.DUMMYFUNCTION("""COMPUTED_VALUE"""),0.485211101641295)</f>
        <v>0.485211101641295</v>
      </c>
      <c r="Z1008" s="17">
        <f ca="1">IFERROR(__xludf.DUMMYFUNCTION("""COMPUTED_VALUE"""),0.502730488784746)</f>
        <v>0.50273048878474602</v>
      </c>
      <c r="AA1008" s="17">
        <f ca="1">IFERROR(__xludf.DUMMYFUNCTION("""COMPUTED_VALUE"""),0.280967104791221)</f>
        <v>0.280967104791221</v>
      </c>
      <c r="AB1008" s="17">
        <f ca="1">IFERROR(__xludf.DUMMYFUNCTION("""COMPUTED_VALUE"""),1.16033209839184)</f>
        <v>1.1603320983918399</v>
      </c>
      <c r="AC1008" s="17">
        <f ca="1">IFERROR(__xludf.DUMMYFUNCTION("""COMPUTED_VALUE"""),0.50163426933336)</f>
        <v>0.50163426933335997</v>
      </c>
      <c r="AD1008" s="17">
        <f ca="1">IFERROR(__xludf.DUMMYFUNCTION("""COMPUTED_VALUE"""),0.567670262341487)</f>
        <v>0.56767026234148699</v>
      </c>
      <c r="AE1008" s="17">
        <f ca="1">IFERROR(__xludf.DUMMYFUNCTION("""COMPUTED_VALUE"""),0.804748723331032)</f>
        <v>0.80474872333103198</v>
      </c>
      <c r="AF1008" s="17">
        <f ca="1">IFERROR(__xludf.DUMMYFUNCTION("""COMPUTED_VALUE"""),0.463632483461719)</f>
        <v>0.46363248346171898</v>
      </c>
      <c r="AG1008" s="17">
        <f ca="1">IFERROR(__xludf.DUMMYFUNCTION("""COMPUTED_VALUE"""),0.745049672331938)</f>
        <v>0.74504967233193797</v>
      </c>
      <c r="AH1008" s="17">
        <f ca="1">IFERROR(__xludf.DUMMYFUNCTION("""COMPUTED_VALUE"""),0.697189626816497)</f>
        <v>0.69718962681649699</v>
      </c>
      <c r="AI1008" s="17" t="str">
        <f ca="1">IFERROR(__xludf.DUMMYFUNCTION("""COMPUTED_VALUE"""),"nan")</f>
        <v>nan</v>
      </c>
      <c r="AJ1008" s="17">
        <f ca="1">IFERROR(__xludf.DUMMYFUNCTION("""COMPUTED_VALUE"""),0.668648867782549)</f>
        <v>0.66864886778254895</v>
      </c>
    </row>
    <row r="1009" spans="2:36" ht="15.75" customHeight="1" x14ac:dyDescent="0.45">
      <c r="B1009" s="10" t="str">
        <f ca="1">IFERROR(__xludf.DUMMYFUNCTION("""COMPUTED_VALUE"""),"Yoga")</f>
        <v>Yoga</v>
      </c>
      <c r="C1009" s="10" t="str">
        <f ca="1">IFERROR(__xludf.DUMMYFUNCTION("""COMPUTED_VALUE"""),"aligned_series")</f>
        <v>aligned_series</v>
      </c>
      <c r="D1009" s="10">
        <f ca="1">IFERROR(__xludf.DUMMYFUNCTION("""COMPUTED_VALUE"""),0.4)</f>
        <v>0.4</v>
      </c>
      <c r="E1009" s="17">
        <f ca="1">IFERROR(__xludf.DUMMYFUNCTION("""COMPUTED_VALUE"""),0.698336093208809)</f>
        <v>0.69833609320880896</v>
      </c>
      <c r="F1009" s="17">
        <f ca="1">IFERROR(__xludf.DUMMYFUNCTION("""COMPUTED_VALUE"""),0.58900785332587)</f>
        <v>0.58900785332587002</v>
      </c>
      <c r="G1009" s="17">
        <f ca="1">IFERROR(__xludf.DUMMYFUNCTION("""COMPUTED_VALUE"""),0.593187075977351)</f>
        <v>0.59318707597735099</v>
      </c>
      <c r="H1009" s="17">
        <f ca="1">IFERROR(__xludf.DUMMYFUNCTION("""COMPUTED_VALUE"""),0.594577287115424)</f>
        <v>0.59457728711542401</v>
      </c>
      <c r="I1009" s="17">
        <f ca="1">IFERROR(__xludf.DUMMYFUNCTION("""COMPUTED_VALUE"""),0.347524533712183)</f>
        <v>0.347524533712183</v>
      </c>
      <c r="J1009" s="17">
        <f ca="1">IFERROR(__xludf.DUMMYFUNCTION("""COMPUTED_VALUE"""),0.660186327769001)</f>
        <v>0.66018632776900099</v>
      </c>
      <c r="K1009" s="17" t="str">
        <f ca="1">IFERROR(__xludf.DUMMYFUNCTION("""COMPUTED_VALUE"""),"nan")</f>
        <v>nan</v>
      </c>
      <c r="L1009" s="17">
        <f ca="1">IFERROR(__xludf.DUMMYFUNCTION("""COMPUTED_VALUE"""),0.472593273187913)</f>
        <v>0.472593273187913</v>
      </c>
      <c r="M1009" s="17">
        <f ca="1">IFERROR(__xludf.DUMMYFUNCTION("""COMPUTED_VALUE"""),0.591810031517716)</f>
        <v>0.59181003151771605</v>
      </c>
      <c r="N1009" s="17">
        <f ca="1">IFERROR(__xludf.DUMMYFUNCTION("""COMPUTED_VALUE"""),0.611417127790594)</f>
        <v>0.61141712779059398</v>
      </c>
      <c r="O1009" s="17">
        <f ca="1">IFERROR(__xludf.DUMMYFUNCTION("""COMPUTED_VALUE"""),0.553774351058229)</f>
        <v>0.55377435105822903</v>
      </c>
      <c r="P1009" s="17">
        <f ca="1">IFERROR(__xludf.DUMMYFUNCTION("""COMPUTED_VALUE"""),0.58535137768553)</f>
        <v>0.58535137768553003</v>
      </c>
      <c r="Q1009" s="17">
        <f ca="1">IFERROR(__xludf.DUMMYFUNCTION("""COMPUTED_VALUE"""),0.954959757606196)</f>
        <v>0.954959757606196</v>
      </c>
      <c r="R1009" s="17">
        <f ca="1">IFERROR(__xludf.DUMMYFUNCTION("""COMPUTED_VALUE"""),0.533867031550822)</f>
        <v>0.53386703155082205</v>
      </c>
      <c r="S1009" s="17">
        <f ca="1">IFERROR(__xludf.DUMMYFUNCTION("""COMPUTED_VALUE"""),0.75782104657303)</f>
        <v>0.75782104657302995</v>
      </c>
      <c r="T1009" s="17">
        <f ca="1">IFERROR(__xludf.DUMMYFUNCTION("""COMPUTED_VALUE"""),0.527687460744335)</f>
        <v>0.52768746074433504</v>
      </c>
      <c r="U1009" s="17">
        <f ca="1">IFERROR(__xludf.DUMMYFUNCTION("""COMPUTED_VALUE"""),0.446770917936562)</f>
        <v>0.44677091793656198</v>
      </c>
      <c r="V1009" s="17">
        <f ca="1">IFERROR(__xludf.DUMMYFUNCTION("""COMPUTED_VALUE"""),0.565092416588732)</f>
        <v>0.56509241658873199</v>
      </c>
      <c r="W1009" s="17">
        <f ca="1">IFERROR(__xludf.DUMMYFUNCTION("""COMPUTED_VALUE"""),0.578163304246062)</f>
        <v>0.57816330424606199</v>
      </c>
      <c r="X1009" s="17">
        <f ca="1">IFERROR(__xludf.DUMMYFUNCTION("""COMPUTED_VALUE"""),0.467974141920788)</f>
        <v>0.46797414192078801</v>
      </c>
      <c r="Y1009" s="17">
        <f ca="1">IFERROR(__xludf.DUMMYFUNCTION("""COMPUTED_VALUE"""),0.49779755469682)</f>
        <v>0.49779755469682002</v>
      </c>
      <c r="Z1009" s="17">
        <f ca="1">IFERROR(__xludf.DUMMYFUNCTION("""COMPUTED_VALUE"""),0.483885204254798)</f>
        <v>0.48388520425479797</v>
      </c>
      <c r="AA1009" s="17">
        <f ca="1">IFERROR(__xludf.DUMMYFUNCTION("""COMPUTED_VALUE"""),0.402105178333957)</f>
        <v>0.40210517833395698</v>
      </c>
      <c r="AB1009" s="17">
        <f ca="1">IFERROR(__xludf.DUMMYFUNCTION("""COMPUTED_VALUE"""),1.86997897141357)</f>
        <v>1.8699789714135699</v>
      </c>
      <c r="AC1009" s="17">
        <f ca="1">IFERROR(__xludf.DUMMYFUNCTION("""COMPUTED_VALUE"""),0.517674428075814)</f>
        <v>0.51767442807581399</v>
      </c>
      <c r="AD1009" s="17">
        <f ca="1">IFERROR(__xludf.DUMMYFUNCTION("""COMPUTED_VALUE"""),0.553370113675798)</f>
        <v>0.55337011367579803</v>
      </c>
      <c r="AE1009" s="17">
        <f ca="1">IFERROR(__xludf.DUMMYFUNCTION("""COMPUTED_VALUE"""),0.796461464811126)</f>
        <v>0.79646146481112601</v>
      </c>
      <c r="AF1009" s="17">
        <f ca="1">IFERROR(__xludf.DUMMYFUNCTION("""COMPUTED_VALUE"""),0.520083878476162)</f>
        <v>0.520083878476162</v>
      </c>
      <c r="AG1009" s="17">
        <f ca="1">IFERROR(__xludf.DUMMYFUNCTION("""COMPUTED_VALUE"""),0.722388121610424)</f>
        <v>0.72238812161042398</v>
      </c>
      <c r="AH1009" s="17">
        <f ca="1">IFERROR(__xludf.DUMMYFUNCTION("""COMPUTED_VALUE"""),0.675179724552644)</f>
        <v>0.67517972455264397</v>
      </c>
      <c r="AI1009" s="17" t="str">
        <f ca="1">IFERROR(__xludf.DUMMYFUNCTION("""COMPUTED_VALUE"""),"nan")</f>
        <v>nan</v>
      </c>
      <c r="AJ1009" s="17">
        <f ca="1">IFERROR(__xludf.DUMMYFUNCTION("""COMPUTED_VALUE"""),0.64827549362929)</f>
        <v>0.64827549362929004</v>
      </c>
    </row>
    <row r="1010" spans="2:36" ht="15.75" customHeight="1" x14ac:dyDescent="0.45">
      <c r="B1010" s="10" t="str">
        <f ca="1">IFERROR(__xludf.DUMMYFUNCTION("""COMPUTED_VALUE"""),"Yoga")</f>
        <v>Yoga</v>
      </c>
      <c r="C1010" s="10" t="str">
        <f ca="1">IFERROR(__xludf.DUMMYFUNCTION("""COMPUTED_VALUE"""),"aligned_series")</f>
        <v>aligned_series</v>
      </c>
      <c r="D1010" s="10">
        <f ca="1">IFERROR(__xludf.DUMMYFUNCTION("""COMPUTED_VALUE"""),0.6)</f>
        <v>0.6</v>
      </c>
      <c r="E1010" s="17">
        <f ca="1">IFERROR(__xludf.DUMMYFUNCTION("""COMPUTED_VALUE"""),0.718298349589514)</f>
        <v>0.718298349589514</v>
      </c>
      <c r="F1010" s="17">
        <f ca="1">IFERROR(__xludf.DUMMYFUNCTION("""COMPUTED_VALUE"""),0.622962779717306)</f>
        <v>0.62296277971730596</v>
      </c>
      <c r="G1010" s="17">
        <f ca="1">IFERROR(__xludf.DUMMYFUNCTION("""COMPUTED_VALUE"""),0.632116127118772)</f>
        <v>0.63211612711877196</v>
      </c>
      <c r="H1010" s="17">
        <f ca="1">IFERROR(__xludf.DUMMYFUNCTION("""COMPUTED_VALUE"""),0.635010917213101)</f>
        <v>0.63501091721310099</v>
      </c>
      <c r="I1010" s="17">
        <f ca="1">IFERROR(__xludf.DUMMYFUNCTION("""COMPUTED_VALUE"""),0.423872667347348)</f>
        <v>0.42387266734734802</v>
      </c>
      <c r="J1010" s="17">
        <f ca="1">IFERROR(__xludf.DUMMYFUNCTION("""COMPUTED_VALUE"""),0.957480149591318)</f>
        <v>0.957480149591318</v>
      </c>
      <c r="K1010" s="17" t="str">
        <f ca="1">IFERROR(__xludf.DUMMYFUNCTION("""COMPUTED_VALUE"""),"nan")</f>
        <v>nan</v>
      </c>
      <c r="L1010" s="17">
        <f ca="1">IFERROR(__xludf.DUMMYFUNCTION("""COMPUTED_VALUE"""),0.523088922248999)</f>
        <v>0.52308892224899906</v>
      </c>
      <c r="M1010" s="17">
        <f ca="1">IFERROR(__xludf.DUMMYFUNCTION("""COMPUTED_VALUE"""),0.628111857298417)</f>
        <v>0.62811185729841701</v>
      </c>
      <c r="N1010" s="17">
        <f ca="1">IFERROR(__xludf.DUMMYFUNCTION("""COMPUTED_VALUE"""),0.630801886508254)</f>
        <v>0.63080188650825397</v>
      </c>
      <c r="O1010" s="17">
        <f ca="1">IFERROR(__xludf.DUMMYFUNCTION("""COMPUTED_VALUE"""),0.590662843403611)</f>
        <v>0.59066284340361097</v>
      </c>
      <c r="P1010" s="17">
        <f ca="1">IFERROR(__xludf.DUMMYFUNCTION("""COMPUTED_VALUE"""),0.651705275676174)</f>
        <v>0.65170527567617398</v>
      </c>
      <c r="Q1010" s="17">
        <f ca="1">IFERROR(__xludf.DUMMYFUNCTION("""COMPUTED_VALUE"""),0.879179494112375)</f>
        <v>0.87917949411237495</v>
      </c>
      <c r="R1010" s="17">
        <f ca="1">IFERROR(__xludf.DUMMYFUNCTION("""COMPUTED_VALUE"""),0.625036217879928)</f>
        <v>0.62503621787992802</v>
      </c>
      <c r="S1010" s="17">
        <f ca="1">IFERROR(__xludf.DUMMYFUNCTION("""COMPUTED_VALUE"""),0.863051232764855)</f>
        <v>0.86305123276485496</v>
      </c>
      <c r="T1010" s="17">
        <f ca="1">IFERROR(__xludf.DUMMYFUNCTION("""COMPUTED_VALUE"""),0.589892624575986)</f>
        <v>0.58989262457598601</v>
      </c>
      <c r="U1010" s="17">
        <f ca="1">IFERROR(__xludf.DUMMYFUNCTION("""COMPUTED_VALUE"""),0.494220328559351)</f>
        <v>0.494220328559351</v>
      </c>
      <c r="V1010" s="17">
        <f ca="1">IFERROR(__xludf.DUMMYFUNCTION("""COMPUTED_VALUE"""),0.616219252533752)</f>
        <v>0.61621925253375198</v>
      </c>
      <c r="W1010" s="17">
        <f ca="1">IFERROR(__xludf.DUMMYFUNCTION("""COMPUTED_VALUE"""),0.564889727339096)</f>
        <v>0.56488972733909604</v>
      </c>
      <c r="X1010" s="17">
        <f ca="1">IFERROR(__xludf.DUMMYFUNCTION("""COMPUTED_VALUE"""),0.517766684685859)</f>
        <v>0.51776668468585896</v>
      </c>
      <c r="Y1010" s="17">
        <f ca="1">IFERROR(__xludf.DUMMYFUNCTION("""COMPUTED_VALUE"""),0.533716783656307)</f>
        <v>0.53371678365630704</v>
      </c>
      <c r="Z1010" s="17">
        <f ca="1">IFERROR(__xludf.DUMMYFUNCTION("""COMPUTED_VALUE"""),0.50004081992699)</f>
        <v>0.50004081992699001</v>
      </c>
      <c r="AA1010" s="17">
        <f ca="1">IFERROR(__xludf.DUMMYFUNCTION("""COMPUTED_VALUE"""),0.520548538511779)</f>
        <v>0.52054853851177896</v>
      </c>
      <c r="AB1010" s="17">
        <f ca="1">IFERROR(__xludf.DUMMYFUNCTION("""COMPUTED_VALUE"""),2.07802495561049)</f>
        <v>2.0780249556104899</v>
      </c>
      <c r="AC1010" s="17">
        <f ca="1">IFERROR(__xludf.DUMMYFUNCTION("""COMPUTED_VALUE"""),0.507776240783076)</f>
        <v>0.50777624078307604</v>
      </c>
      <c r="AD1010" s="17">
        <f ca="1">IFERROR(__xludf.DUMMYFUNCTION("""COMPUTED_VALUE"""),0.563301769804201)</f>
        <v>0.56330176980420099</v>
      </c>
      <c r="AE1010" s="17">
        <f ca="1">IFERROR(__xludf.DUMMYFUNCTION("""COMPUTED_VALUE"""),0.811702592615901)</f>
        <v>0.81170259261590105</v>
      </c>
      <c r="AF1010" s="17">
        <f ca="1">IFERROR(__xludf.DUMMYFUNCTION("""COMPUTED_VALUE"""),0.535726401069009)</f>
        <v>0.53572640106900904</v>
      </c>
      <c r="AG1010" s="17">
        <f ca="1">IFERROR(__xludf.DUMMYFUNCTION("""COMPUTED_VALUE"""),0.735234876855544)</f>
        <v>0.73523487685554401</v>
      </c>
      <c r="AH1010" s="17">
        <f ca="1">IFERROR(__xludf.DUMMYFUNCTION("""COMPUTED_VALUE"""),0.680648800489757)</f>
        <v>0.68064880048975696</v>
      </c>
      <c r="AI1010" s="17" t="str">
        <f ca="1">IFERROR(__xludf.DUMMYFUNCTION("""COMPUTED_VALUE"""),"nan")</f>
        <v>nan</v>
      </c>
      <c r="AJ1010" s="17">
        <f ca="1">IFERROR(__xludf.DUMMYFUNCTION("""COMPUTED_VALUE"""),0.654433103508401)</f>
        <v>0.654433103508401</v>
      </c>
    </row>
    <row r="1011" spans="2:36" ht="15.75" customHeight="1" x14ac:dyDescent="0.45">
      <c r="B1011" s="10" t="str">
        <f ca="1">IFERROR(__xludf.DUMMYFUNCTION("""COMPUTED_VALUE"""),"Yoga")</f>
        <v>Yoga</v>
      </c>
      <c r="C1011" s="10" t="str">
        <f ca="1">IFERROR(__xludf.DUMMYFUNCTION("""COMPUTED_VALUE"""),"aligned_series")</f>
        <v>aligned_series</v>
      </c>
      <c r="D1011" s="10">
        <f ca="1">IFERROR(__xludf.DUMMYFUNCTION("""COMPUTED_VALUE"""),0.8)</f>
        <v>0.8</v>
      </c>
      <c r="E1011" s="17">
        <f ca="1">IFERROR(__xludf.DUMMYFUNCTION("""COMPUTED_VALUE"""),0.725863834055143)</f>
        <v>0.72586383405514299</v>
      </c>
      <c r="F1011" s="17">
        <f ca="1">IFERROR(__xludf.DUMMYFUNCTION("""COMPUTED_VALUE"""),0.59676084153371)</f>
        <v>0.59676084153371001</v>
      </c>
      <c r="G1011" s="17">
        <f ca="1">IFERROR(__xludf.DUMMYFUNCTION("""COMPUTED_VALUE"""),0.602616215491803)</f>
        <v>0.602616215491803</v>
      </c>
      <c r="H1011" s="17">
        <f ca="1">IFERROR(__xludf.DUMMYFUNCTION("""COMPUTED_VALUE"""),0.612097899066093)</f>
        <v>0.61209789906609302</v>
      </c>
      <c r="I1011" s="17">
        <f ca="1">IFERROR(__xludf.DUMMYFUNCTION("""COMPUTED_VALUE"""),0.475482132843896)</f>
        <v>0.47548213284389601</v>
      </c>
      <c r="J1011" s="17">
        <f ca="1">IFERROR(__xludf.DUMMYFUNCTION("""COMPUTED_VALUE"""),0.946241914005152)</f>
        <v>0.94624191400515201</v>
      </c>
      <c r="K1011" s="17" t="str">
        <f ca="1">IFERROR(__xludf.DUMMYFUNCTION("""COMPUTED_VALUE"""),"nan")</f>
        <v>nan</v>
      </c>
      <c r="L1011" s="17">
        <f ca="1">IFERROR(__xludf.DUMMYFUNCTION("""COMPUTED_VALUE"""),0.489403869596336)</f>
        <v>0.48940386959633603</v>
      </c>
      <c r="M1011" s="17">
        <f ca="1">IFERROR(__xludf.DUMMYFUNCTION("""COMPUTED_VALUE"""),0.592375512602783)</f>
        <v>0.59237551260278298</v>
      </c>
      <c r="N1011" s="17">
        <f ca="1">IFERROR(__xludf.DUMMYFUNCTION("""COMPUTED_VALUE"""),0.619639773670667)</f>
        <v>0.61963977367066703</v>
      </c>
      <c r="O1011" s="17">
        <f ca="1">IFERROR(__xludf.DUMMYFUNCTION("""COMPUTED_VALUE"""),0.559201240958)</f>
        <v>0.55920124095799995</v>
      </c>
      <c r="P1011" s="17">
        <f ca="1">IFERROR(__xludf.DUMMYFUNCTION("""COMPUTED_VALUE"""),0.727226336327659)</f>
        <v>0.72722633632765898</v>
      </c>
      <c r="Q1011" s="17">
        <f ca="1">IFERROR(__xludf.DUMMYFUNCTION("""COMPUTED_VALUE"""),0.821213999599166)</f>
        <v>0.82121399959916597</v>
      </c>
      <c r="R1011" s="17">
        <f ca="1">IFERROR(__xludf.DUMMYFUNCTION("""COMPUTED_VALUE"""),0.696933161556035)</f>
        <v>0.69693316155603502</v>
      </c>
      <c r="S1011" s="17">
        <f ca="1">IFERROR(__xludf.DUMMYFUNCTION("""COMPUTED_VALUE"""),1.01719541281003)</f>
        <v>1.01719541281003</v>
      </c>
      <c r="T1011" s="17">
        <f ca="1">IFERROR(__xludf.DUMMYFUNCTION("""COMPUTED_VALUE"""),0.628365220822271)</f>
        <v>0.62836522082227098</v>
      </c>
      <c r="U1011" s="17">
        <f ca="1">IFERROR(__xludf.DUMMYFUNCTION("""COMPUTED_VALUE"""),0.493600678180593)</f>
        <v>0.493600678180593</v>
      </c>
      <c r="V1011" s="17">
        <f ca="1">IFERROR(__xludf.DUMMYFUNCTION("""COMPUTED_VALUE"""),0.575725918332056)</f>
        <v>0.575725918332056</v>
      </c>
      <c r="W1011" s="17">
        <f ca="1">IFERROR(__xludf.DUMMYFUNCTION("""COMPUTED_VALUE"""),0.567092041930758)</f>
        <v>0.56709204193075802</v>
      </c>
      <c r="X1011" s="17">
        <f ca="1">IFERROR(__xludf.DUMMYFUNCTION("""COMPUTED_VALUE"""),0.555001185476957)</f>
        <v>0.55500118547695698</v>
      </c>
      <c r="Y1011" s="17">
        <f ca="1">IFERROR(__xludf.DUMMYFUNCTION("""COMPUTED_VALUE"""),0.557391984732949)</f>
        <v>0.55739198473294904</v>
      </c>
      <c r="Z1011" s="17">
        <f ca="1">IFERROR(__xludf.DUMMYFUNCTION("""COMPUTED_VALUE"""),0.511722085847357)</f>
        <v>0.51172208584735701</v>
      </c>
      <c r="AA1011" s="17">
        <f ca="1">IFERROR(__xludf.DUMMYFUNCTION("""COMPUTED_VALUE"""),0.533441487013731)</f>
        <v>0.53344148701373095</v>
      </c>
      <c r="AB1011" s="17">
        <f ca="1">IFERROR(__xludf.DUMMYFUNCTION("""COMPUTED_VALUE"""),2.14947690745155)</f>
        <v>2.1494769074515498</v>
      </c>
      <c r="AC1011" s="17">
        <f ca="1">IFERROR(__xludf.DUMMYFUNCTION("""COMPUTED_VALUE"""),0.493900719000253)</f>
        <v>0.49390071900025301</v>
      </c>
      <c r="AD1011" s="17">
        <f ca="1">IFERROR(__xludf.DUMMYFUNCTION("""COMPUTED_VALUE"""),0.554838110366126)</f>
        <v>0.55483811036612596</v>
      </c>
      <c r="AE1011" s="17">
        <f ca="1">IFERROR(__xludf.DUMMYFUNCTION("""COMPUTED_VALUE"""),0.81743214721458)</f>
        <v>0.81743214721458002</v>
      </c>
      <c r="AF1011" s="17">
        <f ca="1">IFERROR(__xludf.DUMMYFUNCTION("""COMPUTED_VALUE"""),0.579711361523455)</f>
        <v>0.57971136152345504</v>
      </c>
      <c r="AG1011" s="17">
        <f ca="1">IFERROR(__xludf.DUMMYFUNCTION("""COMPUTED_VALUE"""),0.729426102080612)</f>
        <v>0.72942610208061198</v>
      </c>
      <c r="AH1011" s="17">
        <f ca="1">IFERROR(__xludf.DUMMYFUNCTION("""COMPUTED_VALUE"""),0.670079548923941)</f>
        <v>0.67007954892394095</v>
      </c>
      <c r="AI1011" s="17" t="str">
        <f ca="1">IFERROR(__xludf.DUMMYFUNCTION("""COMPUTED_VALUE"""),"nan")</f>
        <v>nan</v>
      </c>
      <c r="AJ1011" s="17">
        <f ca="1">IFERROR(__xludf.DUMMYFUNCTION("""COMPUTED_VALUE"""),0.660206822927316)</f>
        <v>0.66020682292731603</v>
      </c>
    </row>
    <row r="1012" spans="2:36" ht="15.75" customHeight="1" x14ac:dyDescent="0.45">
      <c r="B1012" s="10" t="str">
        <f ca="1">IFERROR(__xludf.DUMMYFUNCTION("""COMPUTED_VALUE"""),"Yoga")</f>
        <v>Yoga</v>
      </c>
      <c r="C1012" s="10" t="str">
        <f ca="1">IFERROR(__xludf.DUMMYFUNCTION("""COMPUTED_VALUE"""),"aligned_timestamps")</f>
        <v>aligned_timestamps</v>
      </c>
      <c r="D1012" s="10">
        <f ca="1">IFERROR(__xludf.DUMMYFUNCTION("""COMPUTED_VALUE"""),0.1)</f>
        <v>0.1</v>
      </c>
      <c r="E1012" s="17">
        <f ca="1">IFERROR(__xludf.DUMMYFUNCTION("""COMPUTED_VALUE"""),0.691211464060017)</f>
        <v>0.69121146406001699</v>
      </c>
      <c r="F1012" s="17">
        <f ca="1">IFERROR(__xludf.DUMMYFUNCTION("""COMPUTED_VALUE"""),0.57768214295059)</f>
        <v>0.57768214295058995</v>
      </c>
      <c r="G1012" s="17">
        <f ca="1">IFERROR(__xludf.DUMMYFUNCTION("""COMPUTED_VALUE"""),0.579088029577769)</f>
        <v>0.57908802957776895</v>
      </c>
      <c r="H1012" s="17">
        <f ca="1">IFERROR(__xludf.DUMMYFUNCTION("""COMPUTED_VALUE"""),0.565455730632627)</f>
        <v>0.565455730632627</v>
      </c>
      <c r="I1012" s="17">
        <f ca="1">IFERROR(__xludf.DUMMYFUNCTION("""COMPUTED_VALUE"""),0.172935860280339)</f>
        <v>0.172935860280339</v>
      </c>
      <c r="J1012" s="17">
        <f ca="1">IFERROR(__xludf.DUMMYFUNCTION("""COMPUTED_VALUE"""),0.555640275687888)</f>
        <v>0.55564027568788799</v>
      </c>
      <c r="K1012" s="17" t="str">
        <f ca="1">IFERROR(__xludf.DUMMYFUNCTION("""COMPUTED_VALUE"""),"nan")</f>
        <v>nan</v>
      </c>
      <c r="L1012" s="17">
        <f ca="1">IFERROR(__xludf.DUMMYFUNCTION("""COMPUTED_VALUE"""),0.344018849974474)</f>
        <v>0.34401884997447402</v>
      </c>
      <c r="M1012" s="17">
        <f ca="1">IFERROR(__xludf.DUMMYFUNCTION("""COMPUTED_VALUE"""),0.566666929953511)</f>
        <v>0.56666692995351098</v>
      </c>
      <c r="N1012" s="17">
        <f ca="1">IFERROR(__xludf.DUMMYFUNCTION("""COMPUTED_VALUE"""),0.534939348338708)</f>
        <v>0.53493934833870804</v>
      </c>
      <c r="O1012" s="17">
        <f ca="1">IFERROR(__xludf.DUMMYFUNCTION("""COMPUTED_VALUE"""),0.505289830722085)</f>
        <v>0.505289830722085</v>
      </c>
      <c r="P1012" s="17">
        <f ca="1">IFERROR(__xludf.DUMMYFUNCTION("""COMPUTED_VALUE"""),0.506193464396457)</f>
        <v>0.50619346439645696</v>
      </c>
      <c r="Q1012" s="17">
        <f ca="1">IFERROR(__xludf.DUMMYFUNCTION("""COMPUTED_VALUE"""),0.849481604621648)</f>
        <v>0.84948160462164801</v>
      </c>
      <c r="R1012" s="17">
        <f ca="1">IFERROR(__xludf.DUMMYFUNCTION("""COMPUTED_VALUE"""),0.333694911555873)</f>
        <v>0.333694911555873</v>
      </c>
      <c r="S1012" s="17">
        <f ca="1">IFERROR(__xludf.DUMMYFUNCTION("""COMPUTED_VALUE"""),0.398709758650354)</f>
        <v>0.39870975865035402</v>
      </c>
      <c r="T1012" s="17">
        <f ca="1">IFERROR(__xludf.DUMMYFUNCTION("""COMPUTED_VALUE"""),0.304572240383548)</f>
        <v>0.30457224038354802</v>
      </c>
      <c r="U1012" s="17">
        <f ca="1">IFERROR(__xludf.DUMMYFUNCTION("""COMPUTED_VALUE"""),0.295622751751675)</f>
        <v>0.29562275175167502</v>
      </c>
      <c r="V1012" s="17">
        <f ca="1">IFERROR(__xludf.DUMMYFUNCTION("""COMPUTED_VALUE"""),0.369368393423239)</f>
        <v>0.36936839342323902</v>
      </c>
      <c r="W1012" s="17">
        <f ca="1">IFERROR(__xludf.DUMMYFUNCTION("""COMPUTED_VALUE"""),0.555748520034741)</f>
        <v>0.55574852003474096</v>
      </c>
      <c r="X1012" s="17">
        <f ca="1">IFERROR(__xludf.DUMMYFUNCTION("""COMPUTED_VALUE"""),0.41880649015177)</f>
        <v>0.41880649015177002</v>
      </c>
      <c r="Y1012" s="17">
        <f ca="1">IFERROR(__xludf.DUMMYFUNCTION("""COMPUTED_VALUE"""),0.28875766849544)</f>
        <v>0.28875766849543999</v>
      </c>
      <c r="Z1012" s="17">
        <f ca="1">IFERROR(__xludf.DUMMYFUNCTION("""COMPUTED_VALUE"""),0.361117527740231)</f>
        <v>0.36111752774023098</v>
      </c>
      <c r="AA1012" s="17">
        <f ca="1">IFERROR(__xludf.DUMMYFUNCTION("""COMPUTED_VALUE"""),0.11073249154856)</f>
        <v>0.11073249154856001</v>
      </c>
      <c r="AB1012" s="17">
        <f ca="1">IFERROR(__xludf.DUMMYFUNCTION("""COMPUTED_VALUE"""),0.523487425116589)</f>
        <v>0.52348742511658897</v>
      </c>
      <c r="AC1012" s="17">
        <f ca="1">IFERROR(__xludf.DUMMYFUNCTION("""COMPUTED_VALUE"""),0.291317456652558)</f>
        <v>0.29131745665255798</v>
      </c>
      <c r="AD1012" s="17">
        <f ca="1">IFERROR(__xludf.DUMMYFUNCTION("""COMPUTED_VALUE"""),0.457445677559708)</f>
        <v>0.457445677559708</v>
      </c>
      <c r="AE1012" s="17">
        <f ca="1">IFERROR(__xludf.DUMMYFUNCTION("""COMPUTED_VALUE"""),0.506830445896524)</f>
        <v>0.50683044589652404</v>
      </c>
      <c r="AF1012" s="17">
        <f ca="1">IFERROR(__xludf.DUMMYFUNCTION("""COMPUTED_VALUE"""),0.344969720879355)</f>
        <v>0.34496972087935501</v>
      </c>
      <c r="AG1012" s="17">
        <f ca="1">IFERROR(__xludf.DUMMYFUNCTION("""COMPUTED_VALUE"""),0.728435630884928)</f>
        <v>0.72843563088492802</v>
      </c>
      <c r="AH1012" s="17">
        <f ca="1">IFERROR(__xludf.DUMMYFUNCTION("""COMPUTED_VALUE"""),0.382061149725175)</f>
        <v>0.38206114972517502</v>
      </c>
      <c r="AI1012" s="17" t="str">
        <f ca="1">IFERROR(__xludf.DUMMYFUNCTION("""COMPUTED_VALUE"""),"nan")</f>
        <v>nan</v>
      </c>
      <c r="AJ1012" s="17">
        <f ca="1">IFERROR(__xludf.DUMMYFUNCTION("""COMPUTED_VALUE"""),0.356486986754868)</f>
        <v>0.35648698675486801</v>
      </c>
    </row>
    <row r="1013" spans="2:36" ht="15.75" customHeight="1" x14ac:dyDescent="0.45">
      <c r="B1013" s="10" t="str">
        <f ca="1">IFERROR(__xludf.DUMMYFUNCTION("""COMPUTED_VALUE"""),"Yoga")</f>
        <v>Yoga</v>
      </c>
      <c r="C1013" s="10" t="str">
        <f ca="1">IFERROR(__xludf.DUMMYFUNCTION("""COMPUTED_VALUE"""),"aligned_timestamps")</f>
        <v>aligned_timestamps</v>
      </c>
      <c r="D1013" s="10">
        <f ca="1">IFERROR(__xludf.DUMMYFUNCTION("""COMPUTED_VALUE"""),0.2)</f>
        <v>0.2</v>
      </c>
      <c r="E1013" s="17">
        <f ca="1">IFERROR(__xludf.DUMMYFUNCTION("""COMPUTED_VALUE"""),0.706258857080877)</f>
        <v>0.70625885708087699</v>
      </c>
      <c r="F1013" s="17">
        <f ca="1">IFERROR(__xludf.DUMMYFUNCTION("""COMPUTED_VALUE"""),0.592052637728243)</f>
        <v>0.59205263772824301</v>
      </c>
      <c r="G1013" s="17">
        <f ca="1">IFERROR(__xludf.DUMMYFUNCTION("""COMPUTED_VALUE"""),0.594263478916325)</f>
        <v>0.59426347891632503</v>
      </c>
      <c r="H1013" s="17">
        <f ca="1">IFERROR(__xludf.DUMMYFUNCTION("""COMPUTED_VALUE"""),0.59032255853856)</f>
        <v>0.59032255853855997</v>
      </c>
      <c r="I1013" s="17">
        <f ca="1">IFERROR(__xludf.DUMMYFUNCTION("""COMPUTED_VALUE"""),0.305483328679256)</f>
        <v>0.30548332867925598</v>
      </c>
      <c r="J1013" s="17">
        <f ca="1">IFERROR(__xludf.DUMMYFUNCTION("""COMPUTED_VALUE"""),0.607287074076168)</f>
        <v>0.607287074076168</v>
      </c>
      <c r="K1013" s="17" t="str">
        <f ca="1">IFERROR(__xludf.DUMMYFUNCTION("""COMPUTED_VALUE"""),"nan")</f>
        <v>nan</v>
      </c>
      <c r="L1013" s="17">
        <f ca="1">IFERROR(__xludf.DUMMYFUNCTION("""COMPUTED_VALUE"""),0.468132061764923)</f>
        <v>0.468132061764923</v>
      </c>
      <c r="M1013" s="17">
        <f ca="1">IFERROR(__xludf.DUMMYFUNCTION("""COMPUTED_VALUE"""),0.591100136183557)</f>
        <v>0.59110013618355695</v>
      </c>
      <c r="N1013" s="17">
        <f ca="1">IFERROR(__xludf.DUMMYFUNCTION("""COMPUTED_VALUE"""),0.622937349778969)</f>
        <v>0.62293734977896897</v>
      </c>
      <c r="O1013" s="17">
        <f ca="1">IFERROR(__xludf.DUMMYFUNCTION("""COMPUTED_VALUE"""),0.565158584004418)</f>
        <v>0.56515858400441799</v>
      </c>
      <c r="P1013" s="17">
        <f ca="1">IFERROR(__xludf.DUMMYFUNCTION("""COMPUTED_VALUE"""),0.566193702052339)</f>
        <v>0.56619370205233899</v>
      </c>
      <c r="Q1013" s="17">
        <f ca="1">IFERROR(__xludf.DUMMYFUNCTION("""COMPUTED_VALUE"""),0.93998197252256)</f>
        <v>0.93998197252255999</v>
      </c>
      <c r="R1013" s="17">
        <f ca="1">IFERROR(__xludf.DUMMYFUNCTION("""COMPUTED_VALUE"""),0.428711543204457)</f>
        <v>0.42871154320445698</v>
      </c>
      <c r="S1013" s="17">
        <f ca="1">IFERROR(__xludf.DUMMYFUNCTION("""COMPUTED_VALUE"""),0.677820964512129)</f>
        <v>0.67782096451212903</v>
      </c>
      <c r="T1013" s="17">
        <f ca="1">IFERROR(__xludf.DUMMYFUNCTION("""COMPUTED_VALUE"""),0.534243417610767)</f>
        <v>0.53424341761076699</v>
      </c>
      <c r="U1013" s="17">
        <f ca="1">IFERROR(__xludf.DUMMYFUNCTION("""COMPUTED_VALUE"""),0.438880078716066)</f>
        <v>0.43888007871606599</v>
      </c>
      <c r="V1013" s="17">
        <f ca="1">IFERROR(__xludf.DUMMYFUNCTION("""COMPUTED_VALUE"""),0.634556958962014)</f>
        <v>0.63455695896201403</v>
      </c>
      <c r="W1013" s="17">
        <f ca="1">IFERROR(__xludf.DUMMYFUNCTION("""COMPUTED_VALUE"""),0.623489150078275)</f>
        <v>0.62348915007827499</v>
      </c>
      <c r="X1013" s="17">
        <f ca="1">IFERROR(__xludf.DUMMYFUNCTION("""COMPUTED_VALUE"""),0.465416732487516)</f>
        <v>0.46541673248751603</v>
      </c>
      <c r="Y1013" s="17">
        <f ca="1">IFERROR(__xludf.DUMMYFUNCTION("""COMPUTED_VALUE"""),0.485211101641295)</f>
        <v>0.485211101641295</v>
      </c>
      <c r="Z1013" s="17">
        <f ca="1">IFERROR(__xludf.DUMMYFUNCTION("""COMPUTED_VALUE"""),0.502730488784746)</f>
        <v>0.50273048878474602</v>
      </c>
      <c r="AA1013" s="17">
        <f ca="1">IFERROR(__xludf.DUMMYFUNCTION("""COMPUTED_VALUE"""),0.280967104791221)</f>
        <v>0.280967104791221</v>
      </c>
      <c r="AB1013" s="17">
        <f ca="1">IFERROR(__xludf.DUMMYFUNCTION("""COMPUTED_VALUE"""),1.21208795061818)</f>
        <v>1.2120879506181801</v>
      </c>
      <c r="AC1013" s="17">
        <f ca="1">IFERROR(__xludf.DUMMYFUNCTION("""COMPUTED_VALUE"""),0.501634231223946)</f>
        <v>0.50163423122394601</v>
      </c>
      <c r="AD1013" s="17">
        <f ca="1">IFERROR(__xludf.DUMMYFUNCTION("""COMPUTED_VALUE"""),0.57348450042742)</f>
        <v>0.57348450042742005</v>
      </c>
      <c r="AE1013" s="17">
        <f ca="1">IFERROR(__xludf.DUMMYFUNCTION("""COMPUTED_VALUE"""),0.803293870751176)</f>
        <v>0.80329387075117598</v>
      </c>
      <c r="AF1013" s="17">
        <f ca="1">IFERROR(__xludf.DUMMYFUNCTION("""COMPUTED_VALUE"""),0.463632483461719)</f>
        <v>0.46363248346171898</v>
      </c>
      <c r="AG1013" s="17">
        <f ca="1">IFERROR(__xludf.DUMMYFUNCTION("""COMPUTED_VALUE"""),0.728315976286942)</f>
        <v>0.728315976286942</v>
      </c>
      <c r="AH1013" s="17">
        <f ca="1">IFERROR(__xludf.DUMMYFUNCTION("""COMPUTED_VALUE"""),0.697084147039697)</f>
        <v>0.69708414703969701</v>
      </c>
      <c r="AI1013" s="17" t="str">
        <f ca="1">IFERROR(__xludf.DUMMYFUNCTION("""COMPUTED_VALUE"""),"nan")</f>
        <v>nan</v>
      </c>
      <c r="AJ1013" s="17">
        <f ca="1">IFERROR(__xludf.DUMMYFUNCTION("""COMPUTED_VALUE"""),0.678899035924658)</f>
        <v>0.67889903592465795</v>
      </c>
    </row>
    <row r="1014" spans="2:36" ht="15.75" customHeight="1" x14ac:dyDescent="0.45">
      <c r="B1014" s="10" t="str">
        <f ca="1">IFERROR(__xludf.DUMMYFUNCTION("""COMPUTED_VALUE"""),"Yoga")</f>
        <v>Yoga</v>
      </c>
      <c r="C1014" s="10" t="str">
        <f ca="1">IFERROR(__xludf.DUMMYFUNCTION("""COMPUTED_VALUE"""),"aligned_timestamps")</f>
        <v>aligned_timestamps</v>
      </c>
      <c r="D1014" s="10">
        <f ca="1">IFERROR(__xludf.DUMMYFUNCTION("""COMPUTED_VALUE"""),0.4)</f>
        <v>0.4</v>
      </c>
      <c r="E1014" s="17">
        <f ca="1">IFERROR(__xludf.DUMMYFUNCTION("""COMPUTED_VALUE"""),0.877471609925179)</f>
        <v>0.87747160992517903</v>
      </c>
      <c r="F1014" s="17">
        <f ca="1">IFERROR(__xludf.DUMMYFUNCTION("""COMPUTED_VALUE"""),0.61937196536008)</f>
        <v>0.61937196536007999</v>
      </c>
      <c r="G1014" s="17">
        <f ca="1">IFERROR(__xludf.DUMMYFUNCTION("""COMPUTED_VALUE"""),0.624191799181073)</f>
        <v>0.62419179918107304</v>
      </c>
      <c r="H1014" s="17">
        <f ca="1">IFERROR(__xludf.DUMMYFUNCTION("""COMPUTED_VALUE"""),0.625283754448119)</f>
        <v>0.62528375444811901</v>
      </c>
      <c r="I1014" s="17">
        <f ca="1">IFERROR(__xludf.DUMMYFUNCTION("""COMPUTED_VALUE"""),0.519401670191781)</f>
        <v>0.51940167019178096</v>
      </c>
      <c r="J1014" s="17">
        <f ca="1">IFERROR(__xludf.DUMMYFUNCTION("""COMPUTED_VALUE"""),0.652441945165761)</f>
        <v>0.65244194516576104</v>
      </c>
      <c r="K1014" s="17" t="str">
        <f ca="1">IFERROR(__xludf.DUMMYFUNCTION("""COMPUTED_VALUE"""),"nan")</f>
        <v>nan</v>
      </c>
      <c r="L1014" s="17">
        <f ca="1">IFERROR(__xludf.DUMMYFUNCTION("""COMPUTED_VALUE"""),0.579436162339255)</f>
        <v>0.57943616233925499</v>
      </c>
      <c r="M1014" s="17">
        <f ca="1">IFERROR(__xludf.DUMMYFUNCTION("""COMPUTED_VALUE"""),0.630143017019257)</f>
        <v>0.63014301701925701</v>
      </c>
      <c r="N1014" s="17">
        <f ca="1">IFERROR(__xludf.DUMMYFUNCTION("""COMPUTED_VALUE"""),0.775683684354392)</f>
        <v>0.77568368435439194</v>
      </c>
      <c r="O1014" s="17">
        <f ca="1">IFERROR(__xludf.DUMMYFUNCTION("""COMPUTED_VALUE"""),0.66432184476114)</f>
        <v>0.66432184476113998</v>
      </c>
      <c r="P1014" s="17">
        <f ca="1">IFERROR(__xludf.DUMMYFUNCTION("""COMPUTED_VALUE"""),0.788971191291468)</f>
        <v>0.78897119129146798</v>
      </c>
      <c r="Q1014" s="17">
        <f ca="1">IFERROR(__xludf.DUMMYFUNCTION("""COMPUTED_VALUE"""),1.1830031911381)</f>
        <v>1.1830031911381</v>
      </c>
      <c r="R1014" s="17">
        <f ca="1">IFERROR(__xludf.DUMMYFUNCTION("""COMPUTED_VALUE"""),0.56860767682241)</f>
        <v>0.56860767682240998</v>
      </c>
      <c r="S1014" s="17">
        <f ca="1">IFERROR(__xludf.DUMMYFUNCTION("""COMPUTED_VALUE"""),0.76580810012659)</f>
        <v>0.76580810012658995</v>
      </c>
      <c r="T1014" s="17">
        <f ca="1">IFERROR(__xludf.DUMMYFUNCTION("""COMPUTED_VALUE"""),0.585205918155184)</f>
        <v>0.58520591815518397</v>
      </c>
      <c r="U1014" s="17">
        <f ca="1">IFERROR(__xludf.DUMMYFUNCTION("""COMPUTED_VALUE"""),0.536940669940395)</f>
        <v>0.53694066994039502</v>
      </c>
      <c r="V1014" s="17">
        <f ca="1">IFERROR(__xludf.DUMMYFUNCTION("""COMPUTED_VALUE"""),0.709221141178172)</f>
        <v>0.70922114117817203</v>
      </c>
      <c r="W1014" s="17">
        <f ca="1">IFERROR(__xludf.DUMMYFUNCTION("""COMPUTED_VALUE"""),0.831996735289432)</f>
        <v>0.83199673528943197</v>
      </c>
      <c r="X1014" s="17">
        <f ca="1">IFERROR(__xludf.DUMMYFUNCTION("""COMPUTED_VALUE"""),0.516995316178945)</f>
        <v>0.51699531617894501</v>
      </c>
      <c r="Y1014" s="17">
        <f ca="1">IFERROR(__xludf.DUMMYFUNCTION("""COMPUTED_VALUE"""),0.610731488398193)</f>
        <v>0.61073148839819302</v>
      </c>
      <c r="Z1014" s="17">
        <f ca="1">IFERROR(__xludf.DUMMYFUNCTION("""COMPUTED_VALUE"""),0.645943280431944)</f>
        <v>0.64594328043194404</v>
      </c>
      <c r="AA1014" s="17">
        <f ca="1">IFERROR(__xludf.DUMMYFUNCTION("""COMPUTED_VALUE"""),0.818704804177764)</f>
        <v>0.81870480417776403</v>
      </c>
      <c r="AB1014" s="17">
        <f ca="1">IFERROR(__xludf.DUMMYFUNCTION("""COMPUTED_VALUE"""),1.12264979105831)</f>
        <v>1.12264979105831</v>
      </c>
      <c r="AC1014" s="17">
        <f ca="1">IFERROR(__xludf.DUMMYFUNCTION("""COMPUTED_VALUE"""),0.730981498745274)</f>
        <v>0.73098149874527396</v>
      </c>
      <c r="AD1014" s="17">
        <f ca="1">IFERROR(__xludf.DUMMYFUNCTION("""COMPUTED_VALUE"""),0.822619578057532)</f>
        <v>0.82261957805753205</v>
      </c>
      <c r="AE1014" s="17">
        <f ca="1">IFERROR(__xludf.DUMMYFUNCTION("""COMPUTED_VALUE"""),0.941652228749237)</f>
        <v>0.94165222874923704</v>
      </c>
      <c r="AF1014" s="17">
        <f ca="1">IFERROR(__xludf.DUMMYFUNCTION("""COMPUTED_VALUE"""),0.551919274339421)</f>
        <v>0.55191927433942101</v>
      </c>
      <c r="AG1014" s="17">
        <f ca="1">IFERROR(__xludf.DUMMYFUNCTION("""COMPUTED_VALUE"""),1.20116997034354)</f>
        <v>1.2011699703435399</v>
      </c>
      <c r="AH1014" s="17">
        <f ca="1">IFERROR(__xludf.DUMMYFUNCTION("""COMPUTED_VALUE"""),1.14019751102444)</f>
        <v>1.14019751102444</v>
      </c>
      <c r="AI1014" s="17" t="str">
        <f ca="1">IFERROR(__xludf.DUMMYFUNCTION("""COMPUTED_VALUE"""),"nan")</f>
        <v>nan</v>
      </c>
      <c r="AJ1014" s="17">
        <f ca="1">IFERROR(__xludf.DUMMYFUNCTION("""COMPUTED_VALUE"""),1.12013449493605)</f>
        <v>1.1201344949360501</v>
      </c>
    </row>
    <row r="1015" spans="2:36" ht="15.75" customHeight="1" x14ac:dyDescent="0.45">
      <c r="B1015" s="10" t="str">
        <f ca="1">IFERROR(__xludf.DUMMYFUNCTION("""COMPUTED_VALUE"""),"Yoga")</f>
        <v>Yoga</v>
      </c>
      <c r="C1015" s="10" t="str">
        <f ca="1">IFERROR(__xludf.DUMMYFUNCTION("""COMPUTED_VALUE"""),"aligned_timestamps")</f>
        <v>aligned_timestamps</v>
      </c>
      <c r="D1015" s="10">
        <f ca="1">IFERROR(__xludf.DUMMYFUNCTION("""COMPUTED_VALUE"""),0.6)</f>
        <v>0.6</v>
      </c>
      <c r="E1015" s="17">
        <f ca="1">IFERROR(__xludf.DUMMYFUNCTION("""COMPUTED_VALUE"""),0.994149911541435)</f>
        <v>0.99414991154143495</v>
      </c>
      <c r="F1015" s="17">
        <f ca="1">IFERROR(__xludf.DUMMYFUNCTION("""COMPUTED_VALUE"""),0.680915173053241)</f>
        <v>0.68091517305324101</v>
      </c>
      <c r="G1015" s="17">
        <f ca="1">IFERROR(__xludf.DUMMYFUNCTION("""COMPUTED_VALUE"""),0.692485035604636)</f>
        <v>0.69248503560463603</v>
      </c>
      <c r="H1015" s="17">
        <f ca="1">IFERROR(__xludf.DUMMYFUNCTION("""COMPUTED_VALUE"""),0.697456191071479)</f>
        <v>0.69745619107147905</v>
      </c>
      <c r="I1015" s="17">
        <f ca="1">IFERROR(__xludf.DUMMYFUNCTION("""COMPUTED_VALUE"""),0.642222285140496)</f>
        <v>0.64222228514049595</v>
      </c>
      <c r="J1015" s="17">
        <f ca="1">IFERROR(__xludf.DUMMYFUNCTION("""COMPUTED_VALUE"""),0.789099490311954)</f>
        <v>0.78909949031195403</v>
      </c>
      <c r="K1015" s="17" t="str">
        <f ca="1">IFERROR(__xludf.DUMMYFUNCTION("""COMPUTED_VALUE"""),"nan")</f>
        <v>nan</v>
      </c>
      <c r="L1015" s="17">
        <f ca="1">IFERROR(__xludf.DUMMYFUNCTION("""COMPUTED_VALUE"""),0.623266334998272)</f>
        <v>0.623266334998272</v>
      </c>
      <c r="M1015" s="17">
        <f ca="1">IFERROR(__xludf.DUMMYFUNCTION("""COMPUTED_VALUE"""),0.703693973750026)</f>
        <v>0.70369397375002596</v>
      </c>
      <c r="N1015" s="17">
        <f ca="1">IFERROR(__xludf.DUMMYFUNCTION("""COMPUTED_VALUE"""),0.900610413533149)</f>
        <v>0.90061041353314897</v>
      </c>
      <c r="O1015" s="17">
        <f ca="1">IFERROR(__xludf.DUMMYFUNCTION("""COMPUTED_VALUE"""),0.663807302659173)</f>
        <v>0.66380730265917298</v>
      </c>
      <c r="P1015" s="17">
        <f ca="1">IFERROR(__xludf.DUMMYFUNCTION("""COMPUTED_VALUE"""),0.914639142789042)</f>
        <v>0.91463914278904201</v>
      </c>
      <c r="Q1015" s="17">
        <f ca="1">IFERROR(__xludf.DUMMYFUNCTION("""COMPUTED_VALUE"""),1.34056884562987)</f>
        <v>1.3405688456298701</v>
      </c>
      <c r="R1015" s="17">
        <f ca="1">IFERROR(__xludf.DUMMYFUNCTION("""COMPUTED_VALUE"""),0.614074836502725)</f>
        <v>0.61407483650272499</v>
      </c>
      <c r="S1015" s="17">
        <f ca="1">IFERROR(__xludf.DUMMYFUNCTION("""COMPUTED_VALUE"""),0.84517035361096)</f>
        <v>0.84517035361096005</v>
      </c>
      <c r="T1015" s="17">
        <f ca="1">IFERROR(__xludf.DUMMYFUNCTION("""COMPUTED_VALUE"""),0.668115225158337)</f>
        <v>0.66811522515833699</v>
      </c>
      <c r="U1015" s="17">
        <f ca="1">IFERROR(__xludf.DUMMYFUNCTION("""COMPUTED_VALUE"""),0.588518173426354)</f>
        <v>0.58851817342635404</v>
      </c>
      <c r="V1015" s="17">
        <f ca="1">IFERROR(__xludf.DUMMYFUNCTION("""COMPUTED_VALUE"""),0.986420975377139)</f>
        <v>0.98642097537713902</v>
      </c>
      <c r="W1015" s="17">
        <f ca="1">IFERROR(__xludf.DUMMYFUNCTION("""COMPUTED_VALUE"""),0.998853966348123)</f>
        <v>0.99885396634812296</v>
      </c>
      <c r="X1015" s="17">
        <f ca="1">IFERROR(__xludf.DUMMYFUNCTION("""COMPUTED_VALUE"""),0.538589922608057)</f>
        <v>0.53858992260805705</v>
      </c>
      <c r="Y1015" s="17">
        <f ca="1">IFERROR(__xludf.DUMMYFUNCTION("""COMPUTED_VALUE"""),0.711941697961273)</f>
        <v>0.71194169796127305</v>
      </c>
      <c r="Z1015" s="17">
        <f ca="1">IFERROR(__xludf.DUMMYFUNCTION("""COMPUTED_VALUE"""),0.902993617870418)</f>
        <v>0.90299361787041799</v>
      </c>
      <c r="AA1015" s="17">
        <f ca="1">IFERROR(__xludf.DUMMYFUNCTION("""COMPUTED_VALUE"""),2.32557731330403)</f>
        <v>2.3255773133040298</v>
      </c>
      <c r="AB1015" s="17">
        <f ca="1">IFERROR(__xludf.DUMMYFUNCTION("""COMPUTED_VALUE"""),1.28205967340967)</f>
        <v>1.2820596734096701</v>
      </c>
      <c r="AC1015" s="17">
        <f ca="1">IFERROR(__xludf.DUMMYFUNCTION("""COMPUTED_VALUE"""),0.938654569541033)</f>
        <v>0.93865456954103299</v>
      </c>
      <c r="AD1015" s="17">
        <f ca="1">IFERROR(__xludf.DUMMYFUNCTION("""COMPUTED_VALUE"""),0.9710571059131)</f>
        <v>0.97105710591310002</v>
      </c>
      <c r="AE1015" s="17" t="str">
        <f ca="1">IFERROR(__xludf.DUMMYFUNCTION("""COMPUTED_VALUE"""),"nan")</f>
        <v>nan</v>
      </c>
      <c r="AF1015" s="17">
        <f ca="1">IFERROR(__xludf.DUMMYFUNCTION("""COMPUTED_VALUE"""),0.803369895273696)</f>
        <v>0.80336989527369596</v>
      </c>
      <c r="AG1015" s="17">
        <f ca="1">IFERROR(__xludf.DUMMYFUNCTION("""COMPUTED_VALUE"""),1.17541972043523)</f>
        <v>1.1754197204352299</v>
      </c>
      <c r="AH1015" s="17">
        <f ca="1">IFERROR(__xludf.DUMMYFUNCTION("""COMPUTED_VALUE"""),1.09146345912395)</f>
        <v>1.09146345912395</v>
      </c>
      <c r="AI1015" s="17" t="str">
        <f ca="1">IFERROR(__xludf.DUMMYFUNCTION("""COMPUTED_VALUE"""),"nan")</f>
        <v>nan</v>
      </c>
      <c r="AJ1015" s="17">
        <f ca="1">IFERROR(__xludf.DUMMYFUNCTION("""COMPUTED_VALUE"""),1.17061057025531)</f>
        <v>1.17061057025531</v>
      </c>
    </row>
    <row r="1016" spans="2:36" ht="15.75" customHeight="1" x14ac:dyDescent="0.45">
      <c r="B1016" s="10" t="str">
        <f ca="1">IFERROR(__xludf.DUMMYFUNCTION("""COMPUTED_VALUE"""),"Yoga")</f>
        <v>Yoga</v>
      </c>
      <c r="C1016" s="10" t="str">
        <f ca="1">IFERROR(__xludf.DUMMYFUNCTION("""COMPUTED_VALUE"""),"aligned_timestamps")</f>
        <v>aligned_timestamps</v>
      </c>
      <c r="D1016" s="10">
        <f ca="1">IFERROR(__xludf.DUMMYFUNCTION("""COMPUTED_VALUE"""),0.8)</f>
        <v>0.8</v>
      </c>
      <c r="E1016" s="17">
        <f ca="1">IFERROR(__xludf.DUMMYFUNCTION("""COMPUTED_VALUE"""),1.01670772108474)</f>
        <v>1.0167077210847399</v>
      </c>
      <c r="F1016" s="17">
        <f ca="1">IFERROR(__xludf.DUMMYFUNCTION("""COMPUTED_VALUE"""),0.893724753605346)</f>
        <v>0.89372475360534598</v>
      </c>
      <c r="G1016" s="17">
        <f ca="1">IFERROR(__xludf.DUMMYFUNCTION("""COMPUTED_VALUE"""),1.02658243425669)</f>
        <v>1.02658243425669</v>
      </c>
      <c r="H1016" s="17">
        <f ca="1">IFERROR(__xludf.DUMMYFUNCTION("""COMPUTED_VALUE"""),1.01688227477205)</f>
        <v>1.0168822747720501</v>
      </c>
      <c r="I1016" s="17">
        <f ca="1">IFERROR(__xludf.DUMMYFUNCTION("""COMPUTED_VALUE"""),0.843486927623985)</f>
        <v>0.84348692762398503</v>
      </c>
      <c r="J1016" s="17">
        <f ca="1">IFERROR(__xludf.DUMMYFUNCTION("""COMPUTED_VALUE"""),1.06373211264819)</f>
        <v>1.06373211264819</v>
      </c>
      <c r="K1016" s="17" t="str">
        <f ca="1">IFERROR(__xludf.DUMMYFUNCTION("""COMPUTED_VALUE"""),"nan")</f>
        <v>nan</v>
      </c>
      <c r="L1016" s="17">
        <f ca="1">IFERROR(__xludf.DUMMYFUNCTION("""COMPUTED_VALUE"""),0.69995297716843)</f>
        <v>0.69995297716842997</v>
      </c>
      <c r="M1016" s="17">
        <f ca="1">IFERROR(__xludf.DUMMYFUNCTION("""COMPUTED_VALUE"""),1.03259544693394)</f>
        <v>1.03259544693394</v>
      </c>
      <c r="N1016" s="17">
        <f ca="1">IFERROR(__xludf.DUMMYFUNCTION("""COMPUTED_VALUE"""),0.933421939365513)</f>
        <v>0.93342193936551299</v>
      </c>
      <c r="O1016" s="17">
        <f ca="1">IFERROR(__xludf.DUMMYFUNCTION("""COMPUTED_VALUE"""),0.818036264431252)</f>
        <v>0.81803626443125199</v>
      </c>
      <c r="P1016" s="17">
        <f ca="1">IFERROR(__xludf.DUMMYFUNCTION("""COMPUTED_VALUE"""),1.26972399096734)</f>
        <v>1.2697239909673399</v>
      </c>
      <c r="Q1016" s="17">
        <f ca="1">IFERROR(__xludf.DUMMYFUNCTION("""COMPUTED_VALUE"""),1.38137961309787)</f>
        <v>1.3813796130978699</v>
      </c>
      <c r="R1016" s="17">
        <f ca="1">IFERROR(__xludf.DUMMYFUNCTION("""COMPUTED_VALUE"""),0.768789504378545)</f>
        <v>0.76878950437854499</v>
      </c>
      <c r="S1016" s="17">
        <f ca="1">IFERROR(__xludf.DUMMYFUNCTION("""COMPUTED_VALUE"""),0.964437966307074)</f>
        <v>0.96443796630707401</v>
      </c>
      <c r="T1016" s="17">
        <f ca="1">IFERROR(__xludf.DUMMYFUNCTION("""COMPUTED_VALUE"""),0.837730866027872)</f>
        <v>0.83773086602787195</v>
      </c>
      <c r="U1016" s="17">
        <f ca="1">IFERROR(__xludf.DUMMYFUNCTION("""COMPUTED_VALUE"""),0.804346821815452)</f>
        <v>0.80434682181545203</v>
      </c>
      <c r="V1016" s="17">
        <f ca="1">IFERROR(__xludf.DUMMYFUNCTION("""COMPUTED_VALUE"""),1.14490620179978)</f>
        <v>1.14490620179978</v>
      </c>
      <c r="W1016" s="17">
        <f ca="1">IFERROR(__xludf.DUMMYFUNCTION("""COMPUTED_VALUE"""),0.978391273771064)</f>
        <v>0.97839127377106405</v>
      </c>
      <c r="X1016" s="17">
        <f ca="1">IFERROR(__xludf.DUMMYFUNCTION("""COMPUTED_VALUE"""),0.699172805859233)</f>
        <v>0.69917280585923303</v>
      </c>
      <c r="Y1016" s="17">
        <f ca="1">IFERROR(__xludf.DUMMYFUNCTION("""COMPUTED_VALUE"""),0.956006148207198)</f>
        <v>0.95600614820719798</v>
      </c>
      <c r="Z1016" s="17">
        <f ca="1">IFERROR(__xludf.DUMMYFUNCTION("""COMPUTED_VALUE"""),0.984262511633072)</f>
        <v>0.98426251163307199</v>
      </c>
      <c r="AA1016" s="17">
        <f ca="1">IFERROR(__xludf.DUMMYFUNCTION("""COMPUTED_VALUE"""),4.41587665386783)</f>
        <v>4.41587665386783</v>
      </c>
      <c r="AB1016" s="17">
        <f ca="1">IFERROR(__xludf.DUMMYFUNCTION("""COMPUTED_VALUE"""),1.21534134108929)</f>
        <v>1.2153413410892899</v>
      </c>
      <c r="AC1016" s="17">
        <f ca="1">IFERROR(__xludf.DUMMYFUNCTION("""COMPUTED_VALUE"""),0.967897168513756)</f>
        <v>0.96789716851375596</v>
      </c>
      <c r="AD1016" s="17">
        <f ca="1">IFERROR(__xludf.DUMMYFUNCTION("""COMPUTED_VALUE"""),0.993486089910295)</f>
        <v>0.99348608991029497</v>
      </c>
      <c r="AE1016" s="17" t="str">
        <f ca="1">IFERROR(__xludf.DUMMYFUNCTION("""COMPUTED_VALUE"""),"nan")</f>
        <v>nan</v>
      </c>
      <c r="AF1016" s="17">
        <f ca="1">IFERROR(__xludf.DUMMYFUNCTION("""COMPUTED_VALUE"""),1.06867224521555)</f>
        <v>1.0686722452155499</v>
      </c>
      <c r="AG1016" s="17">
        <f ca="1">IFERROR(__xludf.DUMMYFUNCTION("""COMPUTED_VALUE"""),1.23201066202974)</f>
        <v>1.23201066202974</v>
      </c>
      <c r="AH1016" s="17">
        <f ca="1">IFERROR(__xludf.DUMMYFUNCTION("""COMPUTED_VALUE"""),1.09634211224847)</f>
        <v>1.09634211224847</v>
      </c>
      <c r="AI1016" s="17" t="str">
        <f ca="1">IFERROR(__xludf.DUMMYFUNCTION("""COMPUTED_VALUE"""),"nan")</f>
        <v>nan</v>
      </c>
      <c r="AJ1016" s="17">
        <f ca="1">IFERROR(__xludf.DUMMYFUNCTION("""COMPUTED_VALUE"""),1.20228391034812)</f>
        <v>1.20228391034812</v>
      </c>
    </row>
    <row r="1017" spans="2:36" ht="15.75" customHeight="1" x14ac:dyDescent="0.45">
      <c r="B1017" s="10" t="str">
        <f ca="1">IFERROR(__xludf.DUMMYFUNCTION("""COMPUTED_VALUE"""),"Yoga")</f>
        <v>Yoga</v>
      </c>
      <c r="C1017" s="10" t="str">
        <f ca="1">IFERROR(__xludf.DUMMYFUNCTION("""COMPUTED_VALUE"""),"mcar")</f>
        <v>mcar</v>
      </c>
      <c r="D1017" s="10">
        <f ca="1">IFERROR(__xludf.DUMMYFUNCTION("""COMPUTED_VALUE"""),0.1)</f>
        <v>0.1</v>
      </c>
      <c r="E1017" s="17">
        <f ca="1">IFERROR(__xludf.DUMMYFUNCTION("""COMPUTED_VALUE"""),1.04718263615775)</f>
        <v>1.0471826361577501</v>
      </c>
      <c r="F1017" s="17">
        <f ca="1">IFERROR(__xludf.DUMMYFUNCTION("""COMPUTED_VALUE"""),0.515351752457007)</f>
        <v>0.51535175245700704</v>
      </c>
      <c r="G1017" s="17">
        <f ca="1">IFERROR(__xludf.DUMMYFUNCTION("""COMPUTED_VALUE"""),0.514678938981314)</f>
        <v>0.514678938981314</v>
      </c>
      <c r="H1017" s="17">
        <f ca="1">IFERROR(__xludf.DUMMYFUNCTION("""COMPUTED_VALUE"""),0.522453061947035)</f>
        <v>0.522453061947035</v>
      </c>
      <c r="I1017" s="17">
        <f ca="1">IFERROR(__xludf.DUMMYFUNCTION("""COMPUTED_VALUE"""),0.105472054211775)</f>
        <v>0.105472054211775</v>
      </c>
      <c r="J1017" s="17">
        <f ca="1">IFERROR(__xludf.DUMMYFUNCTION("""COMPUTED_VALUE"""),0.538941965338973)</f>
        <v>0.53894196533897298</v>
      </c>
      <c r="K1017" s="17" t="str">
        <f ca="1">IFERROR(__xludf.DUMMYFUNCTION("""COMPUTED_VALUE"""),"nan")</f>
        <v>nan</v>
      </c>
      <c r="L1017" s="17">
        <f ca="1">IFERROR(__xludf.DUMMYFUNCTION("""COMPUTED_VALUE"""),0.373752598293989)</f>
        <v>0.37375259829398899</v>
      </c>
      <c r="M1017" s="17">
        <f ca="1">IFERROR(__xludf.DUMMYFUNCTION("""COMPUTED_VALUE"""),0.529233828696807)</f>
        <v>0.52923382869680702</v>
      </c>
      <c r="N1017" s="17">
        <f ca="1">IFERROR(__xludf.DUMMYFUNCTION("""COMPUTED_VALUE"""),0.455416681790219)</f>
        <v>0.45541668179021899</v>
      </c>
      <c r="O1017" s="17">
        <f ca="1">IFERROR(__xludf.DUMMYFUNCTION("""COMPUTED_VALUE"""),0.409568523142257)</f>
        <v>0.409568523142257</v>
      </c>
      <c r="P1017" s="17">
        <f ca="1">IFERROR(__xludf.DUMMYFUNCTION("""COMPUTED_VALUE"""),0.585390084242094)</f>
        <v>0.58539008424209404</v>
      </c>
      <c r="Q1017" s="17">
        <f ca="1">IFERROR(__xludf.DUMMYFUNCTION("""COMPUTED_VALUE"""),1.10418207865639)</f>
        <v>1.1041820786563901</v>
      </c>
      <c r="R1017" s="17">
        <f ca="1">IFERROR(__xludf.DUMMYFUNCTION("""COMPUTED_VALUE"""),0.079651899958282)</f>
        <v>7.9651899958281994E-2</v>
      </c>
      <c r="S1017" s="17">
        <f ca="1">IFERROR(__xludf.DUMMYFUNCTION("""COMPUTED_VALUE"""),0.789645583402232)</f>
        <v>0.78964558340223201</v>
      </c>
      <c r="T1017" s="17">
        <f ca="1">IFERROR(__xludf.DUMMYFUNCTION("""COMPUTED_VALUE"""),0.159703546304931)</f>
        <v>0.159703546304931</v>
      </c>
      <c r="U1017" s="17">
        <f ca="1">IFERROR(__xludf.DUMMYFUNCTION("""COMPUTED_VALUE"""),0.187866099095959)</f>
        <v>0.187866099095959</v>
      </c>
      <c r="V1017" s="17">
        <f ca="1">IFERROR(__xludf.DUMMYFUNCTION("""COMPUTED_VALUE"""),0.416901249397506)</f>
        <v>0.416901249397506</v>
      </c>
      <c r="W1017" s="17">
        <f ca="1">IFERROR(__xludf.DUMMYFUNCTION("""COMPUTED_VALUE"""),0.337870131687041)</f>
        <v>0.337870131687041</v>
      </c>
      <c r="X1017" s="17">
        <f ca="1">IFERROR(__xludf.DUMMYFUNCTION("""COMPUTED_VALUE"""),0.277198244445171)</f>
        <v>0.27719824444517099</v>
      </c>
      <c r="Y1017" s="17">
        <f ca="1">IFERROR(__xludf.DUMMYFUNCTION("""COMPUTED_VALUE"""),0.139209110153663)</f>
        <v>0.139209110153663</v>
      </c>
      <c r="Z1017" s="17">
        <f ca="1">IFERROR(__xludf.DUMMYFUNCTION("""COMPUTED_VALUE"""),0.300521007534412)</f>
        <v>0.30052100753441202</v>
      </c>
      <c r="AA1017" s="17">
        <f ca="1">IFERROR(__xludf.DUMMYFUNCTION("""COMPUTED_VALUE"""),0.105876715882961)</f>
        <v>0.10587671588296101</v>
      </c>
      <c r="AB1017" s="17">
        <f ca="1">IFERROR(__xludf.DUMMYFUNCTION("""COMPUTED_VALUE"""),0.216556032285323)</f>
        <v>0.216556032285323</v>
      </c>
      <c r="AC1017" s="17">
        <f ca="1">IFERROR(__xludf.DUMMYFUNCTION("""COMPUTED_VALUE"""),0.448519570613126)</f>
        <v>0.44851957061312597</v>
      </c>
      <c r="AD1017" s="17">
        <f ca="1">IFERROR(__xludf.DUMMYFUNCTION("""COMPUTED_VALUE"""),0.183238894056082)</f>
        <v>0.18323889405608201</v>
      </c>
      <c r="AE1017" s="17">
        <f ca="1">IFERROR(__xludf.DUMMYFUNCTION("""COMPUTED_VALUE"""),0.703519830221224)</f>
        <v>0.703519830221224</v>
      </c>
      <c r="AF1017" s="17">
        <f ca="1">IFERROR(__xludf.DUMMYFUNCTION("""COMPUTED_VALUE"""),0.33100644246823)</f>
        <v>0.33100644246823002</v>
      </c>
      <c r="AG1017" s="17">
        <f ca="1">IFERROR(__xludf.DUMMYFUNCTION("""COMPUTED_VALUE"""),0.770658429337745)</f>
        <v>0.77065842933774498</v>
      </c>
      <c r="AH1017" s="17">
        <f ca="1">IFERROR(__xludf.DUMMYFUNCTION("""COMPUTED_VALUE"""),0.251235052789991)</f>
        <v>0.25123505278999098</v>
      </c>
      <c r="AI1017" s="17" t="str">
        <f ca="1">IFERROR(__xludf.DUMMYFUNCTION("""COMPUTED_VALUE"""),"nan")</f>
        <v>nan</v>
      </c>
      <c r="AJ1017" s="17">
        <f ca="1">IFERROR(__xludf.DUMMYFUNCTION("""COMPUTED_VALUE"""),0.375988844257895)</f>
        <v>0.37598884425789503</v>
      </c>
    </row>
    <row r="1018" spans="2:36" ht="15.75" customHeight="1" x14ac:dyDescent="0.45">
      <c r="B1018" s="10" t="str">
        <f ca="1">IFERROR(__xludf.DUMMYFUNCTION("""COMPUTED_VALUE"""),"Yoga")</f>
        <v>Yoga</v>
      </c>
      <c r="C1018" s="10" t="str">
        <f ca="1">IFERROR(__xludf.DUMMYFUNCTION("""COMPUTED_VALUE"""),"mcar")</f>
        <v>mcar</v>
      </c>
      <c r="D1018" s="10">
        <f ca="1">IFERROR(__xludf.DUMMYFUNCTION("""COMPUTED_VALUE"""),0.2)</f>
        <v>0.2</v>
      </c>
      <c r="E1018" s="17">
        <f ca="1">IFERROR(__xludf.DUMMYFUNCTION("""COMPUTED_VALUE"""),0.999903962566257)</f>
        <v>0.99990396256625702</v>
      </c>
      <c r="F1018" s="17">
        <f ca="1">IFERROR(__xludf.DUMMYFUNCTION("""COMPUTED_VALUE"""),0.516037593278312)</f>
        <v>0.516037593278312</v>
      </c>
      <c r="G1018" s="17">
        <f ca="1">IFERROR(__xludf.DUMMYFUNCTION("""COMPUTED_VALUE"""),0.516245643945448)</f>
        <v>0.51624564394544803</v>
      </c>
      <c r="H1018" s="17">
        <f ca="1">IFERROR(__xludf.DUMMYFUNCTION("""COMPUTED_VALUE"""),0.518972045581892)</f>
        <v>0.51897204558189203</v>
      </c>
      <c r="I1018" s="17">
        <f ca="1">IFERROR(__xludf.DUMMYFUNCTION("""COMPUTED_VALUE"""),0.122521173228562)</f>
        <v>0.122521173228562</v>
      </c>
      <c r="J1018" s="17">
        <f ca="1">IFERROR(__xludf.DUMMYFUNCTION("""COMPUTED_VALUE"""),0.533880424961791)</f>
        <v>0.533880424961791</v>
      </c>
      <c r="K1018" s="17" t="str">
        <f ca="1">IFERROR(__xludf.DUMMYFUNCTION("""COMPUTED_VALUE"""),"nan")</f>
        <v>nan</v>
      </c>
      <c r="L1018" s="17">
        <f ca="1">IFERROR(__xludf.DUMMYFUNCTION("""COMPUTED_VALUE"""),0.373318726303839)</f>
        <v>0.373318726303839</v>
      </c>
      <c r="M1018" s="17">
        <f ca="1">IFERROR(__xludf.DUMMYFUNCTION("""COMPUTED_VALUE"""),0.531263497453959)</f>
        <v>0.53126349745395895</v>
      </c>
      <c r="N1018" s="17">
        <f ca="1">IFERROR(__xludf.DUMMYFUNCTION("""COMPUTED_VALUE"""),0.51090273792413)</f>
        <v>0.51090273792412999</v>
      </c>
      <c r="O1018" s="17">
        <f ca="1">IFERROR(__xludf.DUMMYFUNCTION("""COMPUTED_VALUE"""),0.432131149775751)</f>
        <v>0.43213114977575101</v>
      </c>
      <c r="P1018" s="17">
        <f ca="1">IFERROR(__xludf.DUMMYFUNCTION("""COMPUTED_VALUE"""),0.57106019310275)</f>
        <v>0.57106019310275002</v>
      </c>
      <c r="Q1018" s="17">
        <f ca="1">IFERROR(__xludf.DUMMYFUNCTION("""COMPUTED_VALUE"""),1.0839335303047)</f>
        <v>1.0839335303047</v>
      </c>
      <c r="R1018" s="17">
        <f ca="1">IFERROR(__xludf.DUMMYFUNCTION("""COMPUTED_VALUE"""),0.0983992399454523)</f>
        <v>9.8399239945452299E-2</v>
      </c>
      <c r="S1018" s="17">
        <f ca="1">IFERROR(__xludf.DUMMYFUNCTION("""COMPUTED_VALUE"""),1.33721167257214)</f>
        <v>1.3372116725721399</v>
      </c>
      <c r="T1018" s="17">
        <f ca="1">IFERROR(__xludf.DUMMYFUNCTION("""COMPUTED_VALUE"""),0.165227299099099)</f>
        <v>0.165227299099099</v>
      </c>
      <c r="U1018" s="17">
        <f ca="1">IFERROR(__xludf.DUMMYFUNCTION("""COMPUTED_VALUE"""),0.203117160421852)</f>
        <v>0.20311716042185199</v>
      </c>
      <c r="V1018" s="17">
        <f ca="1">IFERROR(__xludf.DUMMYFUNCTION("""COMPUTED_VALUE"""),0.416407769497477)</f>
        <v>0.41640776949747699</v>
      </c>
      <c r="W1018" s="17">
        <f ca="1">IFERROR(__xludf.DUMMYFUNCTION("""COMPUTED_VALUE"""),0.386322810506661)</f>
        <v>0.38632281050666101</v>
      </c>
      <c r="X1018" s="17">
        <f ca="1">IFERROR(__xludf.DUMMYFUNCTION("""COMPUTED_VALUE"""),0.638788622929948)</f>
        <v>0.63878862292994798</v>
      </c>
      <c r="Y1018" s="17">
        <f ca="1">IFERROR(__xludf.DUMMYFUNCTION("""COMPUTED_VALUE"""),0.173893669201882)</f>
        <v>0.17389366920188201</v>
      </c>
      <c r="Z1018" s="17">
        <f ca="1">IFERROR(__xludf.DUMMYFUNCTION("""COMPUTED_VALUE"""),0.299004427619181)</f>
        <v>0.299004427619181</v>
      </c>
      <c r="AA1018" s="17">
        <f ca="1">IFERROR(__xludf.DUMMYFUNCTION("""COMPUTED_VALUE"""),0.109021148107351)</f>
        <v>0.109021148107351</v>
      </c>
      <c r="AB1018" s="17">
        <f ca="1">IFERROR(__xludf.DUMMYFUNCTION("""COMPUTED_VALUE"""),0.217187918065833)</f>
        <v>0.21718791806583301</v>
      </c>
      <c r="AC1018" s="17">
        <f ca="1">IFERROR(__xludf.DUMMYFUNCTION("""COMPUTED_VALUE"""),0.416821936741663)</f>
        <v>0.41682193674166301</v>
      </c>
      <c r="AD1018" s="17">
        <f ca="1">IFERROR(__xludf.DUMMYFUNCTION("""COMPUTED_VALUE"""),0.206977455934552)</f>
        <v>0.206977455934552</v>
      </c>
      <c r="AE1018" s="17">
        <f ca="1">IFERROR(__xludf.DUMMYFUNCTION("""COMPUTED_VALUE"""),0.702528721017784)</f>
        <v>0.70252872101778396</v>
      </c>
      <c r="AF1018" s="17">
        <f ca="1">IFERROR(__xludf.DUMMYFUNCTION("""COMPUTED_VALUE"""),0.439586308623432)</f>
        <v>0.43958630862343201</v>
      </c>
      <c r="AG1018" s="17">
        <f ca="1">IFERROR(__xludf.DUMMYFUNCTION("""COMPUTED_VALUE"""),0.737686283413501)</f>
        <v>0.73768628341350095</v>
      </c>
      <c r="AH1018" s="17">
        <f ca="1">IFERROR(__xludf.DUMMYFUNCTION("""COMPUTED_VALUE"""),0.338135850838784)</f>
        <v>0.338135850838784</v>
      </c>
      <c r="AI1018" s="17" t="str">
        <f ca="1">IFERROR(__xludf.DUMMYFUNCTION("""COMPUTED_VALUE"""),"nan")</f>
        <v>nan</v>
      </c>
      <c r="AJ1018" s="17">
        <f ca="1">IFERROR(__xludf.DUMMYFUNCTION("""COMPUTED_VALUE"""),0.430676229101694)</f>
        <v>0.43067622910169401</v>
      </c>
    </row>
    <row r="1019" spans="2:36" ht="15.75" customHeight="1" x14ac:dyDescent="0.45">
      <c r="B1019" s="10" t="str">
        <f ca="1">IFERROR(__xludf.DUMMYFUNCTION("""COMPUTED_VALUE"""),"Yoga")</f>
        <v>Yoga</v>
      </c>
      <c r="C1019" s="10" t="str">
        <f ca="1">IFERROR(__xludf.DUMMYFUNCTION("""COMPUTED_VALUE"""),"mcar")</f>
        <v>mcar</v>
      </c>
      <c r="D1019" s="10">
        <f ca="1">IFERROR(__xludf.DUMMYFUNCTION("""COMPUTED_VALUE"""),0.4)</f>
        <v>0.4</v>
      </c>
      <c r="E1019" s="17">
        <f ca="1">IFERROR(__xludf.DUMMYFUNCTION("""COMPUTED_VALUE"""),0.997758522960078)</f>
        <v>0.99775852296007805</v>
      </c>
      <c r="F1019" s="17">
        <f ca="1">IFERROR(__xludf.DUMMYFUNCTION("""COMPUTED_VALUE"""),0.517359492570191)</f>
        <v>0.51735949257019098</v>
      </c>
      <c r="G1019" s="17">
        <f ca="1">IFERROR(__xludf.DUMMYFUNCTION("""COMPUTED_VALUE"""),0.518344619920962)</f>
        <v>0.51834461992096204</v>
      </c>
      <c r="H1019" s="17">
        <f ca="1">IFERROR(__xludf.DUMMYFUNCTION("""COMPUTED_VALUE"""),0.522947574371683)</f>
        <v>0.52294757437168304</v>
      </c>
      <c r="I1019" s="17">
        <f ca="1">IFERROR(__xludf.DUMMYFUNCTION("""COMPUTED_VALUE"""),0.17952249285031)</f>
        <v>0.17952249285030999</v>
      </c>
      <c r="J1019" s="17">
        <f ca="1">IFERROR(__xludf.DUMMYFUNCTION("""COMPUTED_VALUE"""),0.541220230197985)</f>
        <v>0.54122023019798504</v>
      </c>
      <c r="K1019" s="17" t="str">
        <f ca="1">IFERROR(__xludf.DUMMYFUNCTION("""COMPUTED_VALUE"""),"nan")</f>
        <v>nan</v>
      </c>
      <c r="L1019" s="17">
        <f ca="1">IFERROR(__xludf.DUMMYFUNCTION("""COMPUTED_VALUE"""),0.375325049500714)</f>
        <v>0.37532504950071399</v>
      </c>
      <c r="M1019" s="17">
        <f ca="1">IFERROR(__xludf.DUMMYFUNCTION("""COMPUTED_VALUE"""),0.529568576692524)</f>
        <v>0.529568576692524</v>
      </c>
      <c r="N1019" s="17">
        <f ca="1">IFERROR(__xludf.DUMMYFUNCTION("""COMPUTED_VALUE"""),0.623622295387306)</f>
        <v>0.62362229538730596</v>
      </c>
      <c r="O1019" s="17">
        <f ca="1">IFERROR(__xludf.DUMMYFUNCTION("""COMPUTED_VALUE"""),0.434793082778269)</f>
        <v>0.434793082778269</v>
      </c>
      <c r="P1019" s="17">
        <f ca="1">IFERROR(__xludf.DUMMYFUNCTION("""COMPUTED_VALUE"""),0.600608937232714)</f>
        <v>0.60060893723271402</v>
      </c>
      <c r="Q1019" s="17">
        <f ca="1">IFERROR(__xludf.DUMMYFUNCTION("""COMPUTED_VALUE"""),1.12224700822634)</f>
        <v>1.12224700822634</v>
      </c>
      <c r="R1019" s="17">
        <f ca="1">IFERROR(__xludf.DUMMYFUNCTION("""COMPUTED_VALUE"""),0.146532679709006)</f>
        <v>0.14653267970900599</v>
      </c>
      <c r="S1019" s="17">
        <f ca="1">IFERROR(__xludf.DUMMYFUNCTION("""COMPUTED_VALUE"""),1.48058317909243)</f>
        <v>1.48058317909243</v>
      </c>
      <c r="T1019" s="17">
        <f ca="1">IFERROR(__xludf.DUMMYFUNCTION("""COMPUTED_VALUE"""),0.229826521448672)</f>
        <v>0.22982652144867199</v>
      </c>
      <c r="U1019" s="17">
        <f ca="1">IFERROR(__xludf.DUMMYFUNCTION("""COMPUTED_VALUE"""),0.235636363075042)</f>
        <v>0.23563636307504199</v>
      </c>
      <c r="V1019" s="17">
        <f ca="1">IFERROR(__xludf.DUMMYFUNCTION("""COMPUTED_VALUE"""),0.438442630016667)</f>
        <v>0.438442630016667</v>
      </c>
      <c r="W1019" s="17">
        <f ca="1">IFERROR(__xludf.DUMMYFUNCTION("""COMPUTED_VALUE"""),0.557703089837783)</f>
        <v>0.55770308983778305</v>
      </c>
      <c r="X1019" s="17">
        <f ca="1">IFERROR(__xludf.DUMMYFUNCTION("""COMPUTED_VALUE"""),0.330131124481326)</f>
        <v>0.33013112448132598</v>
      </c>
      <c r="Y1019" s="17">
        <f ca="1">IFERROR(__xludf.DUMMYFUNCTION("""COMPUTED_VALUE"""),0.250104006166374)</f>
        <v>0.25010400616637402</v>
      </c>
      <c r="Z1019" s="17">
        <f ca="1">IFERROR(__xludf.DUMMYFUNCTION("""COMPUTED_VALUE"""),0.384929442948779)</f>
        <v>0.38492944294877901</v>
      </c>
      <c r="AA1019" s="17">
        <f ca="1">IFERROR(__xludf.DUMMYFUNCTION("""COMPUTED_VALUE"""),0.194716138657631)</f>
        <v>0.19471613865763099</v>
      </c>
      <c r="AB1019" s="17">
        <f ca="1">IFERROR(__xludf.DUMMYFUNCTION("""COMPUTED_VALUE"""),0.271878387957128)</f>
        <v>0.27187838795712799</v>
      </c>
      <c r="AC1019" s="17">
        <f ca="1">IFERROR(__xludf.DUMMYFUNCTION("""COMPUTED_VALUE"""),0.395447943070345)</f>
        <v>0.39544794307034498</v>
      </c>
      <c r="AD1019" s="17">
        <f ca="1">IFERROR(__xludf.DUMMYFUNCTION("""COMPUTED_VALUE"""),0.380997483297643)</f>
        <v>0.38099748329764299</v>
      </c>
      <c r="AE1019" s="17">
        <f ca="1">IFERROR(__xludf.DUMMYFUNCTION("""COMPUTED_VALUE"""),0.842811603699887)</f>
        <v>0.84281160369988695</v>
      </c>
      <c r="AF1019" s="17">
        <f ca="1">IFERROR(__xludf.DUMMYFUNCTION("""COMPUTED_VALUE"""),0.646029609997323)</f>
        <v>0.64602960999732295</v>
      </c>
      <c r="AG1019" s="17">
        <f ca="1">IFERROR(__xludf.DUMMYFUNCTION("""COMPUTED_VALUE"""),1.04038459454675)</f>
        <v>1.04038459454675</v>
      </c>
      <c r="AH1019" s="17">
        <f ca="1">IFERROR(__xludf.DUMMYFUNCTION("""COMPUTED_VALUE"""),0.613906459479422)</f>
        <v>0.61390645947942202</v>
      </c>
      <c r="AI1019" s="17" t="str">
        <f ca="1">IFERROR(__xludf.DUMMYFUNCTION("""COMPUTED_VALUE"""),"nan")</f>
        <v>nan</v>
      </c>
      <c r="AJ1019" s="17">
        <f ca="1">IFERROR(__xludf.DUMMYFUNCTION("""COMPUTED_VALUE"""),0.59590632630995)</f>
        <v>0.59590632630995</v>
      </c>
    </row>
    <row r="1020" spans="2:36" ht="15.75" customHeight="1" x14ac:dyDescent="0.45">
      <c r="B1020" s="10" t="str">
        <f ca="1">IFERROR(__xludf.DUMMYFUNCTION("""COMPUTED_VALUE"""),"Yoga")</f>
        <v>Yoga</v>
      </c>
      <c r="C1020" s="10" t="str">
        <f ca="1">IFERROR(__xludf.DUMMYFUNCTION("""COMPUTED_VALUE"""),"mcar")</f>
        <v>mcar</v>
      </c>
      <c r="D1020" s="10">
        <f ca="1">IFERROR(__xludf.DUMMYFUNCTION("""COMPUTED_VALUE"""),0.6)</f>
        <v>0.6</v>
      </c>
      <c r="E1020" s="17">
        <f ca="1">IFERROR(__xludf.DUMMYFUNCTION("""COMPUTED_VALUE"""),0.981967850584696)</f>
        <v>0.98196785058469604</v>
      </c>
      <c r="F1020" s="17">
        <f ca="1">IFERROR(__xludf.DUMMYFUNCTION("""COMPUTED_VALUE"""),0.516342109656972)</f>
        <v>0.51634210965697203</v>
      </c>
      <c r="G1020" s="17">
        <f ca="1">IFERROR(__xludf.DUMMYFUNCTION("""COMPUTED_VALUE"""),0.519620211753137)</f>
        <v>0.519620211753137</v>
      </c>
      <c r="H1020" s="17">
        <f ca="1">IFERROR(__xludf.DUMMYFUNCTION("""COMPUTED_VALUE"""),0.523997434015059)</f>
        <v>0.52399743401505905</v>
      </c>
      <c r="I1020" s="17">
        <f ca="1">IFERROR(__xludf.DUMMYFUNCTION("""COMPUTED_VALUE"""),0.257779710347581)</f>
        <v>0.25777971034758101</v>
      </c>
      <c r="J1020" s="17">
        <f ca="1">IFERROR(__xludf.DUMMYFUNCTION("""COMPUTED_VALUE"""),0.624991162941257)</f>
        <v>0.62499116294125701</v>
      </c>
      <c r="K1020" s="17" t="str">
        <f ca="1">IFERROR(__xludf.DUMMYFUNCTION("""COMPUTED_VALUE"""),"nan")</f>
        <v>nan</v>
      </c>
      <c r="L1020" s="17">
        <f ca="1">IFERROR(__xludf.DUMMYFUNCTION("""COMPUTED_VALUE"""),0.402370081104306)</f>
        <v>0.402370081104306</v>
      </c>
      <c r="M1020" s="17">
        <f ca="1">IFERROR(__xludf.DUMMYFUNCTION("""COMPUTED_VALUE"""),0.536203173531299)</f>
        <v>0.53620317353129898</v>
      </c>
      <c r="N1020" s="17">
        <f ca="1">IFERROR(__xludf.DUMMYFUNCTION("""COMPUTED_VALUE"""),0.711873468508819)</f>
        <v>0.71187346850881905</v>
      </c>
      <c r="O1020" s="17">
        <f ca="1">IFERROR(__xludf.DUMMYFUNCTION("""COMPUTED_VALUE"""),0.446336734014636)</f>
        <v>0.44633673401463603</v>
      </c>
      <c r="P1020" s="17">
        <f ca="1">IFERROR(__xludf.DUMMYFUNCTION("""COMPUTED_VALUE"""),0.658383200237014)</f>
        <v>0.65838320023701402</v>
      </c>
      <c r="Q1020" s="17">
        <f ca="1">IFERROR(__xludf.DUMMYFUNCTION("""COMPUTED_VALUE"""),1.13750139080879)</f>
        <v>1.1375013908087901</v>
      </c>
      <c r="R1020" s="17">
        <f ca="1">IFERROR(__xludf.DUMMYFUNCTION("""COMPUTED_VALUE"""),0.263955560335641)</f>
        <v>0.26395556033564099</v>
      </c>
      <c r="S1020" s="17">
        <f ca="1">IFERROR(__xludf.DUMMYFUNCTION("""COMPUTED_VALUE"""),1.45412901526413)</f>
        <v>1.45412901526413</v>
      </c>
      <c r="T1020" s="17">
        <f ca="1">IFERROR(__xludf.DUMMYFUNCTION("""COMPUTED_VALUE"""),0.324061833118704)</f>
        <v>0.32406183311870401</v>
      </c>
      <c r="U1020" s="17">
        <f ca="1">IFERROR(__xludf.DUMMYFUNCTION("""COMPUTED_VALUE"""),0.279319103081506)</f>
        <v>0.27931910308150598</v>
      </c>
      <c r="V1020" s="17">
        <f ca="1">IFERROR(__xludf.DUMMYFUNCTION("""COMPUTED_VALUE"""),0.525300952170515)</f>
        <v>0.52530095217051498</v>
      </c>
      <c r="W1020" s="17">
        <f ca="1">IFERROR(__xludf.DUMMYFUNCTION("""COMPUTED_VALUE"""),0.677794992705945)</f>
        <v>0.67779499270594501</v>
      </c>
      <c r="X1020" s="17">
        <f ca="1">IFERROR(__xludf.DUMMYFUNCTION("""COMPUTED_VALUE"""),0.336444254610534)</f>
        <v>0.33644425461053401</v>
      </c>
      <c r="Y1020" s="17">
        <f ca="1">IFERROR(__xludf.DUMMYFUNCTION("""COMPUTED_VALUE"""),0.409314233780321)</f>
        <v>0.409314233780321</v>
      </c>
      <c r="Z1020" s="17">
        <f ca="1">IFERROR(__xludf.DUMMYFUNCTION("""COMPUTED_VALUE"""),0.511071121059609)</f>
        <v>0.51107112105960895</v>
      </c>
      <c r="AA1020" s="17">
        <f ca="1">IFERROR(__xludf.DUMMYFUNCTION("""COMPUTED_VALUE"""),0.254814719485911)</f>
        <v>0.254814719485911</v>
      </c>
      <c r="AB1020" s="17">
        <f ca="1">IFERROR(__xludf.DUMMYFUNCTION("""COMPUTED_VALUE"""),0.521781693156999)</f>
        <v>0.52178169315699896</v>
      </c>
      <c r="AC1020" s="17">
        <f ca="1">IFERROR(__xludf.DUMMYFUNCTION("""COMPUTED_VALUE"""),0.53874136822631)</f>
        <v>0.53874136822631002</v>
      </c>
      <c r="AD1020" s="17">
        <f ca="1">IFERROR(__xludf.DUMMYFUNCTION("""COMPUTED_VALUE"""),0.568146786354775)</f>
        <v>0.568146786354775</v>
      </c>
      <c r="AE1020" s="17">
        <f ca="1">IFERROR(__xludf.DUMMYFUNCTION("""COMPUTED_VALUE"""),1.03174423083169)</f>
        <v>1.03174423083169</v>
      </c>
      <c r="AF1020" s="17">
        <f ca="1">IFERROR(__xludf.DUMMYFUNCTION("""COMPUTED_VALUE"""),0.520504337304792)</f>
        <v>0.52050433730479195</v>
      </c>
      <c r="AG1020" s="17">
        <f ca="1">IFERROR(__xludf.DUMMYFUNCTION("""COMPUTED_VALUE"""),1.03655668912323)</f>
        <v>1.0365566891232301</v>
      </c>
      <c r="AH1020" s="17">
        <f ca="1">IFERROR(__xludf.DUMMYFUNCTION("""COMPUTED_VALUE"""),0.957311403382743)</f>
        <v>0.95731140338274301</v>
      </c>
      <c r="AI1020" s="17" t="str">
        <f ca="1">IFERROR(__xludf.DUMMYFUNCTION("""COMPUTED_VALUE"""),"nan")</f>
        <v>nan</v>
      </c>
      <c r="AJ1020" s="17">
        <f ca="1">IFERROR(__xludf.DUMMYFUNCTION("""COMPUTED_VALUE"""),0.888563416931167)</f>
        <v>0.88856341693116703</v>
      </c>
    </row>
    <row r="1021" spans="2:36" ht="15.75" customHeight="1" x14ac:dyDescent="0.45">
      <c r="B1021" s="10" t="str">
        <f ca="1">IFERROR(__xludf.DUMMYFUNCTION("""COMPUTED_VALUE"""),"Yoga")</f>
        <v>Yoga</v>
      </c>
      <c r="C1021" s="10" t="str">
        <f ca="1">IFERROR(__xludf.DUMMYFUNCTION("""COMPUTED_VALUE"""),"mcar")</f>
        <v>mcar</v>
      </c>
      <c r="D1021" s="10">
        <f ca="1">IFERROR(__xludf.DUMMYFUNCTION("""COMPUTED_VALUE"""),0.8)</f>
        <v>0.8</v>
      </c>
      <c r="E1021" s="17">
        <f ca="1">IFERROR(__xludf.DUMMYFUNCTION("""COMPUTED_VALUE"""),0.986594139844961)</f>
        <v>0.98659413984496103</v>
      </c>
      <c r="F1021" s="17">
        <f ca="1">IFERROR(__xludf.DUMMYFUNCTION("""COMPUTED_VALUE"""),0.57306372259777)</f>
        <v>0.57306372259777005</v>
      </c>
      <c r="G1021" s="17">
        <f ca="1">IFERROR(__xludf.DUMMYFUNCTION("""COMPUTED_VALUE"""),0.588030294164079)</f>
        <v>0.58803029416407904</v>
      </c>
      <c r="H1021" s="17">
        <f ca="1">IFERROR(__xludf.DUMMYFUNCTION("""COMPUTED_VALUE"""),0.648278861295392)</f>
        <v>0.64827886129539203</v>
      </c>
      <c r="I1021" s="17">
        <f ca="1">IFERROR(__xludf.DUMMYFUNCTION("""COMPUTED_VALUE"""),0.50553539199335)</f>
        <v>0.50553539199334996</v>
      </c>
      <c r="J1021" s="17">
        <f ca="1">IFERROR(__xludf.DUMMYFUNCTION("""COMPUTED_VALUE"""),0.827523079433257)</f>
        <v>0.82752307943325698</v>
      </c>
      <c r="K1021" s="17" t="str">
        <f ca="1">IFERROR(__xludf.DUMMYFUNCTION("""COMPUTED_VALUE"""),"nan")</f>
        <v>nan</v>
      </c>
      <c r="L1021" s="17">
        <f ca="1">IFERROR(__xludf.DUMMYFUNCTION("""COMPUTED_VALUE"""),0.496628299051852)</f>
        <v>0.49662829905185202</v>
      </c>
      <c r="M1021" s="17">
        <f ca="1">IFERROR(__xludf.DUMMYFUNCTION("""COMPUTED_VALUE"""),0.711844975454114)</f>
        <v>0.71184497545411396</v>
      </c>
      <c r="N1021" s="17">
        <f ca="1">IFERROR(__xludf.DUMMYFUNCTION("""COMPUTED_VALUE"""),0.806729306910732)</f>
        <v>0.80672930691073197</v>
      </c>
      <c r="O1021" s="17">
        <f ca="1">IFERROR(__xludf.DUMMYFUNCTION("""COMPUTED_VALUE"""),0.565134070177454)</f>
        <v>0.56513407017745398</v>
      </c>
      <c r="P1021" s="17">
        <f ca="1">IFERROR(__xludf.DUMMYFUNCTION("""COMPUTED_VALUE"""),0.81931652093174)</f>
        <v>0.81931652093174001</v>
      </c>
      <c r="Q1021" s="17">
        <f ca="1">IFERROR(__xludf.DUMMYFUNCTION("""COMPUTED_VALUE"""),1.15775719334714)</f>
        <v>1.15775719334714</v>
      </c>
      <c r="R1021" s="17">
        <f ca="1">IFERROR(__xludf.DUMMYFUNCTION("""COMPUTED_VALUE"""),0.440373079397374)</f>
        <v>0.44037307939737402</v>
      </c>
      <c r="S1021" s="17">
        <f ca="1">IFERROR(__xludf.DUMMYFUNCTION("""COMPUTED_VALUE"""),1.47161125961172)</f>
        <v>1.4716112596117199</v>
      </c>
      <c r="T1021" s="17">
        <f ca="1">IFERROR(__xludf.DUMMYFUNCTION("""COMPUTED_VALUE"""),0.528938890912063)</f>
        <v>0.52893889091206303</v>
      </c>
      <c r="U1021" s="17">
        <f ca="1">IFERROR(__xludf.DUMMYFUNCTION("""COMPUTED_VALUE"""),0.416676860104017)</f>
        <v>0.416676860104017</v>
      </c>
      <c r="V1021" s="17">
        <f ca="1">IFERROR(__xludf.DUMMYFUNCTION("""COMPUTED_VALUE"""),0.71739230733695)</f>
        <v>0.71739230733695003</v>
      </c>
      <c r="W1021" s="17">
        <f ca="1">IFERROR(__xludf.DUMMYFUNCTION("""COMPUTED_VALUE"""),0.885197107158758)</f>
        <v>0.88519710715875799</v>
      </c>
      <c r="X1021" s="17">
        <f ca="1">IFERROR(__xludf.DUMMYFUNCTION("""COMPUTED_VALUE"""),0.490826739686516)</f>
        <v>0.49082673968651602</v>
      </c>
      <c r="Y1021" s="17">
        <f ca="1">IFERROR(__xludf.DUMMYFUNCTION("""COMPUTED_VALUE"""),0.683205652916158)</f>
        <v>0.68320565291615798</v>
      </c>
      <c r="Z1021" s="17">
        <f ca="1">IFERROR(__xludf.DUMMYFUNCTION("""COMPUTED_VALUE"""),0.764485396010669)</f>
        <v>0.764485396010669</v>
      </c>
      <c r="AA1021" s="17">
        <f ca="1">IFERROR(__xludf.DUMMYFUNCTION("""COMPUTED_VALUE"""),0.592523031438623)</f>
        <v>0.59252303143862295</v>
      </c>
      <c r="AB1021" s="17">
        <f ca="1">IFERROR(__xludf.DUMMYFUNCTION("""COMPUTED_VALUE"""),0.974228443966967)</f>
        <v>0.97422844396696695</v>
      </c>
      <c r="AC1021" s="17">
        <f ca="1">IFERROR(__xludf.DUMMYFUNCTION("""COMPUTED_VALUE"""),0.787006653075335)</f>
        <v>0.78700665307533502</v>
      </c>
      <c r="AD1021" s="17">
        <f ca="1">IFERROR(__xludf.DUMMYFUNCTION("""COMPUTED_VALUE"""),0.841033454220201)</f>
        <v>0.84103345422020104</v>
      </c>
      <c r="AE1021" s="17" t="str">
        <f ca="1">IFERROR(__xludf.DUMMYFUNCTION("""COMPUTED_VALUE"""),"nan")</f>
        <v>nan</v>
      </c>
      <c r="AF1021" s="17">
        <f ca="1">IFERROR(__xludf.DUMMYFUNCTION("""COMPUTED_VALUE"""),0.807255467910069)</f>
        <v>0.80725546791006897</v>
      </c>
      <c r="AG1021" s="17">
        <f ca="1">IFERROR(__xludf.DUMMYFUNCTION("""COMPUTED_VALUE"""),1.14079240967855)</f>
        <v>1.14079240967855</v>
      </c>
      <c r="AH1021" s="17">
        <f ca="1">IFERROR(__xludf.DUMMYFUNCTION("""COMPUTED_VALUE"""),1.05565065874733)</f>
        <v>1.05565065874733</v>
      </c>
      <c r="AI1021" s="17" t="str">
        <f ca="1">IFERROR(__xludf.DUMMYFUNCTION("""COMPUTED_VALUE"""),"nan")</f>
        <v>nan</v>
      </c>
      <c r="AJ1021" s="17">
        <f ca="1">IFERROR(__xludf.DUMMYFUNCTION("""COMPUTED_VALUE"""),1.01673257587799)</f>
        <v>1.0167325758779899</v>
      </c>
    </row>
    <row r="1022" spans="2:36" ht="15.75" customHeight="1" x14ac:dyDescent="0.45">
      <c r="B1022" s="10"/>
      <c r="C1022" s="10"/>
      <c r="D1022" s="10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</row>
    <row r="1023" spans="2:36" ht="15.75" customHeight="1" x14ac:dyDescent="0.45">
      <c r="B1023" s="10"/>
      <c r="C1023" s="10"/>
      <c r="D1023" s="10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</row>
    <row r="1024" spans="2:36" ht="15.75" customHeight="1" x14ac:dyDescent="0.45">
      <c r="B1024" s="10"/>
      <c r="C1024" s="10"/>
      <c r="D1024" s="10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</row>
    <row r="1025" spans="2:36" ht="15.75" customHeight="1" x14ac:dyDescent="0.45">
      <c r="B1025" s="10"/>
      <c r="C1025" s="10"/>
      <c r="D1025" s="10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</row>
    <row r="1026" spans="2:36" ht="15.75" customHeight="1" x14ac:dyDescent="0.45">
      <c r="B1026" s="10"/>
      <c r="C1026" s="10"/>
      <c r="D1026" s="10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</row>
    <row r="1027" spans="2:36" ht="15.75" customHeight="1" x14ac:dyDescent="0.45">
      <c r="B1027" s="10"/>
      <c r="C1027" s="10"/>
      <c r="D1027" s="10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</row>
    <row r="1028" spans="2:36" ht="15.75" customHeight="1" x14ac:dyDescent="0.45">
      <c r="B1028" s="10"/>
      <c r="C1028" s="10"/>
      <c r="D1028" s="10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</row>
    <row r="1029" spans="2:36" ht="15.75" customHeight="1" x14ac:dyDescent="0.45">
      <c r="B1029" s="10"/>
      <c r="C1029" s="10"/>
      <c r="D1029" s="10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</row>
    <row r="1030" spans="2:36" ht="15.75" customHeight="1" x14ac:dyDescent="0.45">
      <c r="B1030" s="10"/>
      <c r="C1030" s="10"/>
      <c r="D1030" s="10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</row>
    <row r="1031" spans="2:36" ht="15.75" customHeight="1" x14ac:dyDescent="0.45">
      <c r="B1031" s="10"/>
      <c r="C1031" s="10"/>
      <c r="D1031" s="10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</row>
    <row r="1032" spans="2:36" ht="15.75" customHeight="1" x14ac:dyDescent="0.45">
      <c r="B1032" s="10"/>
      <c r="C1032" s="10"/>
      <c r="D1032" s="10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</row>
    <row r="1033" spans="2:36" ht="15.75" customHeight="1" x14ac:dyDescent="0.45">
      <c r="B1033" s="10"/>
      <c r="C1033" s="10"/>
      <c r="D1033" s="10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</row>
    <row r="1034" spans="2:36" ht="15.75" customHeight="1" x14ac:dyDescent="0.45">
      <c r="B1034" s="10"/>
      <c r="C1034" s="10"/>
      <c r="D1034" s="10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</row>
    <row r="1035" spans="2:36" ht="15.75" customHeight="1" x14ac:dyDescent="0.45">
      <c r="B1035" s="10"/>
      <c r="C1035" s="10"/>
      <c r="D1035" s="10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</row>
    <row r="1036" spans="2:36" ht="15.75" customHeight="1" x14ac:dyDescent="0.45">
      <c r="B1036" s="10"/>
      <c r="C1036" s="10"/>
      <c r="D1036" s="10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</row>
    <row r="1037" spans="2:36" ht="15.75" customHeight="1" x14ac:dyDescent="0.45">
      <c r="B1037" s="10"/>
      <c r="C1037" s="10"/>
      <c r="D1037" s="10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</row>
    <row r="1038" spans="2:36" ht="15.75" customHeight="1" x14ac:dyDescent="0.45">
      <c r="B1038" s="10"/>
      <c r="C1038" s="10"/>
      <c r="D1038" s="10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</row>
    <row r="1039" spans="2:36" ht="15.75" customHeight="1" x14ac:dyDescent="0.45">
      <c r="B1039" s="10"/>
      <c r="C1039" s="10"/>
      <c r="D1039" s="10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</row>
    <row r="1040" spans="2:36" ht="15.75" customHeight="1" x14ac:dyDescent="0.45">
      <c r="B1040" s="10"/>
      <c r="C1040" s="10"/>
      <c r="D1040" s="10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</row>
    <row r="1041" spans="2:36" ht="15.75" customHeight="1" x14ac:dyDescent="0.45">
      <c r="B1041" s="10"/>
      <c r="C1041" s="10"/>
      <c r="D1041" s="10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</row>
    <row r="1042" spans="2:36" ht="15.75" customHeight="1" x14ac:dyDescent="0.45">
      <c r="B1042" s="10"/>
      <c r="C1042" s="10"/>
      <c r="D1042" s="10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</row>
    <row r="1043" spans="2:36" ht="15.75" customHeight="1" x14ac:dyDescent="0.45">
      <c r="B1043" s="10"/>
      <c r="C1043" s="10"/>
      <c r="D1043" s="10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</row>
    <row r="1044" spans="2:36" ht="15.75" customHeight="1" x14ac:dyDescent="0.45">
      <c r="B1044" s="10"/>
      <c r="C1044" s="10"/>
      <c r="D1044" s="10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</row>
    <row r="1045" spans="2:36" ht="15.75" customHeight="1" x14ac:dyDescent="0.45">
      <c r="B1045" s="10"/>
      <c r="C1045" s="10"/>
      <c r="D1045" s="10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</row>
    <row r="1046" spans="2:36" ht="15.75" customHeight="1" x14ac:dyDescent="0.45">
      <c r="B1046" s="10"/>
      <c r="C1046" s="10"/>
      <c r="D1046" s="10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</row>
    <row r="1047" spans="2:36" ht="15.75" customHeight="1" x14ac:dyDescent="0.45">
      <c r="B1047" s="10"/>
      <c r="C1047" s="10"/>
      <c r="D1047" s="10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</row>
    <row r="1048" spans="2:36" ht="15.75" customHeight="1" x14ac:dyDescent="0.45">
      <c r="B1048" s="10"/>
      <c r="C1048" s="10"/>
      <c r="D1048" s="10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</row>
    <row r="1049" spans="2:36" ht="15.75" customHeight="1" x14ac:dyDescent="0.45">
      <c r="B1049" s="10"/>
      <c r="C1049" s="10"/>
      <c r="D1049" s="10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</row>
    <row r="1050" spans="2:36" ht="15.75" customHeight="1" x14ac:dyDescent="0.45">
      <c r="B1050" s="10"/>
      <c r="C1050" s="10"/>
      <c r="D1050" s="10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</row>
    <row r="1051" spans="2:36" ht="15.75" customHeight="1" x14ac:dyDescent="0.45">
      <c r="B1051" s="10"/>
      <c r="C1051" s="10"/>
      <c r="D1051" s="10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</row>
    <row r="1052" spans="2:36" ht="15.75" customHeight="1" x14ac:dyDescent="0.45">
      <c r="B1052" s="10"/>
      <c r="C1052" s="10"/>
      <c r="D1052" s="10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</row>
    <row r="1053" spans="2:36" ht="15.75" customHeight="1" x14ac:dyDescent="0.45">
      <c r="B1053" s="10"/>
      <c r="C1053" s="10"/>
      <c r="D1053" s="10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</row>
    <row r="1054" spans="2:36" ht="15.75" customHeight="1" x14ac:dyDescent="0.45">
      <c r="B1054" s="10"/>
      <c r="C1054" s="10"/>
      <c r="D1054" s="10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</row>
    <row r="1055" spans="2:36" ht="15.75" customHeight="1" x14ac:dyDescent="0.45">
      <c r="B1055" s="10"/>
      <c r="C1055" s="10"/>
      <c r="D1055" s="10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</row>
    <row r="1056" spans="2:36" ht="15.75" customHeight="1" x14ac:dyDescent="0.45">
      <c r="B1056" s="10"/>
      <c r="C1056" s="10"/>
      <c r="D1056" s="10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</row>
    <row r="1057" spans="2:36" ht="15.75" customHeight="1" x14ac:dyDescent="0.45">
      <c r="B1057" s="10"/>
      <c r="C1057" s="10"/>
      <c r="D1057" s="10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</row>
    <row r="1058" spans="2:36" ht="15.75" customHeight="1" x14ac:dyDescent="0.45">
      <c r="B1058" s="10"/>
      <c r="C1058" s="10"/>
      <c r="D1058" s="10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</row>
    <row r="1059" spans="2:36" ht="15.75" customHeight="1" x14ac:dyDescent="0.45">
      <c r="B1059" s="10"/>
      <c r="C1059" s="10"/>
      <c r="D1059" s="10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</row>
    <row r="1060" spans="2:36" ht="15.75" customHeight="1" x14ac:dyDescent="0.45">
      <c r="B1060" s="10"/>
      <c r="C1060" s="10"/>
      <c r="D1060" s="10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</row>
    <row r="1061" spans="2:36" ht="15.75" customHeight="1" x14ac:dyDescent="0.45">
      <c r="B1061" s="10"/>
      <c r="C1061" s="10"/>
      <c r="D1061" s="10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</row>
    <row r="1062" spans="2:36" ht="15.75" customHeight="1" x14ac:dyDescent="0.45">
      <c r="B1062" s="10"/>
      <c r="C1062" s="10"/>
      <c r="D1062" s="10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</row>
    <row r="1063" spans="2:36" ht="15.75" customHeight="1" x14ac:dyDescent="0.45">
      <c r="B1063" s="10"/>
      <c r="C1063" s="10"/>
      <c r="D1063" s="10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</row>
    <row r="1064" spans="2:36" ht="15.75" customHeight="1" x14ac:dyDescent="0.45">
      <c r="B1064" s="10"/>
      <c r="C1064" s="10"/>
      <c r="D1064" s="10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</row>
    <row r="1065" spans="2:36" ht="15.75" customHeight="1" x14ac:dyDescent="0.45">
      <c r="B1065" s="10"/>
      <c r="C1065" s="10"/>
      <c r="D1065" s="10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</row>
    <row r="1066" spans="2:36" ht="15.75" customHeight="1" x14ac:dyDescent="0.45">
      <c r="B1066" s="10"/>
      <c r="C1066" s="10"/>
      <c r="D1066" s="10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</row>
    <row r="1067" spans="2:36" ht="15.75" customHeight="1" x14ac:dyDescent="0.45">
      <c r="B1067" s="10"/>
      <c r="C1067" s="10"/>
      <c r="D1067" s="10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</row>
    <row r="1068" spans="2:36" ht="15.75" customHeight="1" x14ac:dyDescent="0.45">
      <c r="B1068" s="10"/>
      <c r="C1068" s="10"/>
      <c r="D1068" s="10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</row>
    <row r="1069" spans="2:36" ht="15.75" customHeight="1" x14ac:dyDescent="0.45">
      <c r="B1069" s="10"/>
      <c r="C1069" s="10"/>
      <c r="D1069" s="10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</row>
    <row r="1070" spans="2:36" ht="15.75" customHeight="1" x14ac:dyDescent="0.45">
      <c r="B1070" s="10"/>
      <c r="C1070" s="10"/>
      <c r="D1070" s="10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</row>
    <row r="1071" spans="2:36" ht="15.75" customHeight="1" x14ac:dyDescent="0.45">
      <c r="B1071" s="10"/>
      <c r="C1071" s="10"/>
      <c r="D1071" s="10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</row>
    <row r="1072" spans="2:36" ht="15.75" customHeight="1" x14ac:dyDescent="0.45">
      <c r="B1072" s="10"/>
      <c r="C1072" s="10"/>
      <c r="D1072" s="10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</row>
    <row r="1073" spans="2:36" ht="15.75" customHeight="1" x14ac:dyDescent="0.45">
      <c r="B1073" s="10"/>
      <c r="C1073" s="10"/>
      <c r="D1073" s="10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</row>
    <row r="1074" spans="2:36" ht="15.75" customHeight="1" x14ac:dyDescent="0.45">
      <c r="B1074" s="10"/>
      <c r="C1074" s="10"/>
      <c r="D1074" s="10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</row>
    <row r="1075" spans="2:36" ht="15.75" customHeight="1" x14ac:dyDescent="0.45">
      <c r="B1075" s="10"/>
      <c r="C1075" s="10"/>
      <c r="D1075" s="10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</row>
    <row r="1076" spans="2:36" ht="15.75" customHeight="1" x14ac:dyDescent="0.45">
      <c r="B1076" s="10"/>
      <c r="C1076" s="10"/>
      <c r="D1076" s="10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</row>
    <row r="1077" spans="2:36" ht="15.75" customHeight="1" x14ac:dyDescent="0.45">
      <c r="B1077" s="10"/>
      <c r="C1077" s="10"/>
      <c r="D1077" s="10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</row>
    <row r="1078" spans="2:36" ht="15.75" customHeight="1" x14ac:dyDescent="0.45">
      <c r="B1078" s="10"/>
      <c r="C1078" s="10"/>
      <c r="D1078" s="10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</row>
    <row r="1079" spans="2:36" ht="15.75" customHeight="1" x14ac:dyDescent="0.45">
      <c r="B1079" s="10"/>
      <c r="C1079" s="10"/>
      <c r="D1079" s="10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</row>
    <row r="1080" spans="2:36" ht="15.75" customHeight="1" x14ac:dyDescent="0.45">
      <c r="B1080" s="10"/>
      <c r="C1080" s="10"/>
      <c r="D1080" s="10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</row>
    <row r="1081" spans="2:36" ht="15.75" customHeight="1" x14ac:dyDescent="0.45">
      <c r="B1081" s="10"/>
      <c r="C1081" s="10"/>
      <c r="D1081" s="10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</row>
    <row r="1082" spans="2:36" ht="15.75" customHeight="1" x14ac:dyDescent="0.45">
      <c r="B1082" s="10"/>
      <c r="C1082" s="10"/>
      <c r="D1082" s="10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</row>
    <row r="1083" spans="2:36" ht="15.75" customHeight="1" x14ac:dyDescent="0.45">
      <c r="B1083" s="10"/>
      <c r="C1083" s="10"/>
      <c r="D1083" s="10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</row>
    <row r="1084" spans="2:36" ht="15.75" customHeight="1" x14ac:dyDescent="0.45">
      <c r="B1084" s="10"/>
      <c r="C1084" s="10"/>
      <c r="D1084" s="10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</row>
    <row r="1085" spans="2:36" ht="15.75" customHeight="1" x14ac:dyDescent="0.45">
      <c r="B1085" s="10"/>
      <c r="C1085" s="10"/>
      <c r="D1085" s="10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</row>
    <row r="1086" spans="2:36" ht="15.75" customHeight="1" x14ac:dyDescent="0.45">
      <c r="B1086" s="10"/>
      <c r="C1086" s="10"/>
      <c r="D1086" s="10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</row>
    <row r="1087" spans="2:36" ht="15.75" customHeight="1" x14ac:dyDescent="0.45">
      <c r="B1087" s="10"/>
      <c r="C1087" s="10"/>
      <c r="D1087" s="10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</row>
    <row r="1088" spans="2:36" ht="15.75" customHeight="1" x14ac:dyDescent="0.45">
      <c r="B1088" s="10"/>
      <c r="C1088" s="10"/>
      <c r="D1088" s="10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</row>
    <row r="1089" spans="2:36" ht="15.75" customHeight="1" x14ac:dyDescent="0.45">
      <c r="B1089" s="10"/>
      <c r="C1089" s="10"/>
      <c r="D1089" s="10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</row>
    <row r="1090" spans="2:36" ht="15.75" customHeight="1" x14ac:dyDescent="0.45">
      <c r="B1090" s="10"/>
      <c r="C1090" s="10"/>
      <c r="D1090" s="10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</row>
    <row r="1091" spans="2:36" ht="15.75" customHeight="1" x14ac:dyDescent="0.45">
      <c r="B1091" s="10"/>
      <c r="C1091" s="10"/>
      <c r="D1091" s="10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</row>
    <row r="1092" spans="2:36" ht="15.75" customHeight="1" x14ac:dyDescent="0.45">
      <c r="B1092" s="10"/>
      <c r="C1092" s="10"/>
      <c r="D1092" s="10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</row>
    <row r="1093" spans="2:36" ht="15.75" customHeight="1" x14ac:dyDescent="0.45">
      <c r="B1093" s="10"/>
      <c r="C1093" s="10"/>
      <c r="D1093" s="10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</row>
    <row r="1094" spans="2:36" ht="15.75" customHeight="1" x14ac:dyDescent="0.45">
      <c r="B1094" s="10"/>
      <c r="C1094" s="10"/>
      <c r="D1094" s="10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</row>
    <row r="1095" spans="2:36" ht="15.75" customHeight="1" x14ac:dyDescent="0.45">
      <c r="B1095" s="10"/>
      <c r="C1095" s="10"/>
      <c r="D1095" s="10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</row>
    <row r="1096" spans="2:36" ht="15.75" customHeight="1" x14ac:dyDescent="0.45">
      <c r="B1096" s="10"/>
      <c r="C1096" s="10"/>
      <c r="D1096" s="10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</row>
    <row r="1097" spans="2:36" ht="15.75" customHeight="1" x14ac:dyDescent="0.45">
      <c r="B1097" s="6"/>
      <c r="C1097" s="6"/>
      <c r="D1097" s="6"/>
      <c r="E1097" s="19"/>
      <c r="F1097" s="20"/>
      <c r="G1097" s="20"/>
      <c r="H1097" s="20"/>
      <c r="I1097" s="20"/>
      <c r="J1097" s="20"/>
      <c r="K1097" s="20"/>
      <c r="L1097" s="20"/>
      <c r="M1097" s="20"/>
      <c r="N1097" s="6"/>
      <c r="O1097" s="20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9"/>
      <c r="AG1097" s="2"/>
      <c r="AH1097" s="6"/>
      <c r="AI1097" s="6"/>
      <c r="AJ1097" s="20"/>
    </row>
    <row r="1098" spans="2:36" ht="15.75" customHeight="1" x14ac:dyDescent="0.45">
      <c r="B1098" s="3"/>
      <c r="C1098" s="3"/>
      <c r="D1098" s="3"/>
      <c r="E1098" s="3"/>
      <c r="F1098" s="5"/>
      <c r="G1098" s="5"/>
      <c r="H1098" s="5"/>
      <c r="I1098" s="5"/>
      <c r="J1098" s="5"/>
      <c r="K1098" s="5"/>
      <c r="L1098" s="5"/>
      <c r="M1098" s="5"/>
      <c r="N1098" s="3"/>
      <c r="O1098" s="5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9"/>
      <c r="AG1098" s="2"/>
      <c r="AH1098" s="3"/>
      <c r="AI1098" s="3"/>
      <c r="AJ1098" s="5"/>
    </row>
    <row r="1099" spans="2:36" ht="15.75" customHeight="1" x14ac:dyDescent="0.45">
      <c r="B1099" s="3"/>
      <c r="C1099" s="3"/>
      <c r="D1099" s="3"/>
      <c r="E1099" s="3"/>
      <c r="F1099" s="5"/>
      <c r="G1099" s="5"/>
      <c r="H1099" s="5"/>
      <c r="I1099" s="5"/>
      <c r="J1099" s="5"/>
      <c r="K1099" s="5"/>
      <c r="L1099" s="5"/>
      <c r="M1099" s="5"/>
      <c r="N1099" s="3"/>
      <c r="O1099" s="5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9"/>
      <c r="AG1099" s="2"/>
      <c r="AH1099" s="3"/>
      <c r="AI1099" s="3"/>
      <c r="AJ1099" s="5"/>
    </row>
    <row r="1100" spans="2:36" ht="15.75" customHeight="1" x14ac:dyDescent="0.45">
      <c r="B1100" s="3"/>
      <c r="C1100" s="3"/>
      <c r="D1100" s="3"/>
      <c r="E1100" s="3"/>
      <c r="F1100" s="5"/>
      <c r="G1100" s="5"/>
      <c r="H1100" s="5"/>
      <c r="I1100" s="5"/>
      <c r="J1100" s="5"/>
      <c r="K1100" s="5"/>
      <c r="L1100" s="5"/>
      <c r="M1100" s="5"/>
      <c r="N1100" s="3"/>
      <c r="O1100" s="5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9"/>
      <c r="AG1100" s="2"/>
      <c r="AH1100" s="3"/>
      <c r="AI1100" s="3"/>
      <c r="AJ1100" s="5"/>
    </row>
    <row r="1101" spans="2:36" ht="15.75" customHeight="1" x14ac:dyDescent="0.45">
      <c r="B1101" s="3"/>
      <c r="C1101" s="3"/>
      <c r="D1101" s="3"/>
      <c r="E1101" s="3"/>
      <c r="F1101" s="5"/>
      <c r="G1101" s="5"/>
      <c r="H1101" s="5"/>
      <c r="I1101" s="5"/>
      <c r="J1101" s="5"/>
      <c r="K1101" s="5"/>
      <c r="L1101" s="5"/>
      <c r="M1101" s="5"/>
      <c r="N1101" s="3"/>
      <c r="O1101" s="5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9"/>
      <c r="AG1101" s="2"/>
      <c r="AH1101" s="3"/>
      <c r="AI1101" s="3"/>
      <c r="AJ1101" s="5"/>
    </row>
    <row r="1102" spans="2:36" ht="15.75" customHeight="1" x14ac:dyDescent="0.45">
      <c r="B1102" s="3"/>
      <c r="C1102" s="3"/>
      <c r="D1102" s="3"/>
      <c r="E1102" s="3"/>
      <c r="F1102" s="5"/>
      <c r="G1102" s="5"/>
      <c r="H1102" s="5"/>
      <c r="I1102" s="5"/>
      <c r="J1102" s="5"/>
      <c r="K1102" s="5"/>
      <c r="L1102" s="5"/>
      <c r="M1102" s="5"/>
      <c r="N1102" s="3"/>
      <c r="O1102" s="5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9"/>
      <c r="AG1102" s="2"/>
      <c r="AH1102" s="3"/>
      <c r="AI1102" s="3"/>
      <c r="AJ1102" s="5"/>
    </row>
    <row r="1103" spans="2:36" ht="15.75" customHeight="1" x14ac:dyDescent="0.45">
      <c r="B1103" s="3"/>
      <c r="C1103" s="3"/>
      <c r="D1103" s="3"/>
      <c r="E1103" s="3"/>
      <c r="F1103" s="5"/>
      <c r="G1103" s="5"/>
      <c r="H1103" s="5"/>
      <c r="I1103" s="5"/>
      <c r="J1103" s="5"/>
      <c r="K1103" s="5"/>
      <c r="L1103" s="5"/>
      <c r="M1103" s="5"/>
      <c r="N1103" s="3"/>
      <c r="O1103" s="5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9"/>
      <c r="AG1103" s="2"/>
      <c r="AH1103" s="3"/>
      <c r="AI1103" s="3"/>
      <c r="AJ1103" s="5"/>
    </row>
    <row r="1104" spans="2:36" ht="15.75" customHeight="1" x14ac:dyDescent="0.45">
      <c r="B1104" s="3"/>
      <c r="C1104" s="3"/>
      <c r="D1104" s="3"/>
      <c r="E1104" s="3"/>
      <c r="F1104" s="5"/>
      <c r="G1104" s="5"/>
      <c r="H1104" s="5"/>
      <c r="I1104" s="5"/>
      <c r="J1104" s="5"/>
      <c r="K1104" s="5"/>
      <c r="L1104" s="5"/>
      <c r="M1104" s="5"/>
      <c r="N1104" s="3"/>
      <c r="O1104" s="5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9"/>
      <c r="AG1104" s="2"/>
      <c r="AH1104" s="3"/>
      <c r="AI1104" s="3"/>
      <c r="AJ1104" s="5"/>
    </row>
    <row r="1105" spans="2:36" ht="15.75" customHeight="1" x14ac:dyDescent="0.45">
      <c r="B1105" s="3"/>
      <c r="C1105" s="3"/>
      <c r="D1105" s="3"/>
      <c r="E1105" s="3"/>
      <c r="F1105" s="5"/>
      <c r="G1105" s="5"/>
      <c r="H1105" s="5"/>
      <c r="I1105" s="5"/>
      <c r="J1105" s="5"/>
      <c r="K1105" s="5"/>
      <c r="L1105" s="5"/>
      <c r="M1105" s="5"/>
      <c r="N1105" s="3"/>
      <c r="O1105" s="5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9"/>
      <c r="AG1105" s="2"/>
      <c r="AH1105" s="3"/>
      <c r="AI1105" s="3"/>
      <c r="AJ1105" s="5"/>
    </row>
    <row r="1106" spans="2:36" ht="15.75" customHeight="1" x14ac:dyDescent="0.45">
      <c r="B1106" s="3"/>
      <c r="C1106" s="3"/>
      <c r="D1106" s="3"/>
      <c r="E1106" s="3"/>
      <c r="F1106" s="5"/>
      <c r="G1106" s="5"/>
      <c r="H1106" s="5"/>
      <c r="I1106" s="5"/>
      <c r="J1106" s="5"/>
      <c r="K1106" s="5"/>
      <c r="L1106" s="5"/>
      <c r="M1106" s="5"/>
      <c r="N1106" s="3"/>
      <c r="O1106" s="5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9"/>
      <c r="AG1106" s="2"/>
      <c r="AH1106" s="3"/>
      <c r="AI1106" s="3"/>
      <c r="AJ1106" s="5"/>
    </row>
    <row r="1107" spans="2:36" ht="15.75" customHeight="1" x14ac:dyDescent="0.45">
      <c r="B1107" s="3"/>
      <c r="C1107" s="3"/>
      <c r="D1107" s="3"/>
      <c r="E1107" s="3"/>
      <c r="F1107" s="5"/>
      <c r="G1107" s="5"/>
      <c r="H1107" s="5"/>
      <c r="I1107" s="5"/>
      <c r="J1107" s="5"/>
      <c r="K1107" s="5"/>
      <c r="L1107" s="5"/>
      <c r="M1107" s="5"/>
      <c r="N1107" s="3"/>
      <c r="O1107" s="5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9"/>
      <c r="AG1107" s="2"/>
      <c r="AH1107" s="3"/>
      <c r="AI1107" s="3"/>
      <c r="AJ1107" s="5"/>
    </row>
    <row r="1108" spans="2:36" ht="15.75" customHeight="1" x14ac:dyDescent="0.45">
      <c r="B1108" s="3"/>
      <c r="C1108" s="3"/>
      <c r="D1108" s="3"/>
      <c r="E1108" s="3"/>
      <c r="F1108" s="5"/>
      <c r="G1108" s="5"/>
      <c r="H1108" s="5"/>
      <c r="I1108" s="5"/>
      <c r="J1108" s="5"/>
      <c r="K1108" s="5"/>
      <c r="L1108" s="5"/>
      <c r="M1108" s="5"/>
      <c r="N1108" s="3"/>
      <c r="O1108" s="5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9"/>
      <c r="AG1108" s="2"/>
      <c r="AH1108" s="3"/>
      <c r="AI1108" s="3"/>
      <c r="AJ1108" s="5"/>
    </row>
    <row r="1109" spans="2:36" ht="15.75" customHeight="1" x14ac:dyDescent="0.45">
      <c r="B1109" s="3"/>
      <c r="C1109" s="3"/>
      <c r="D1109" s="3"/>
      <c r="E1109" s="3"/>
      <c r="F1109" s="5"/>
      <c r="G1109" s="5"/>
      <c r="H1109" s="5"/>
      <c r="I1109" s="5"/>
      <c r="J1109" s="5"/>
      <c r="K1109" s="5"/>
      <c r="L1109" s="5"/>
      <c r="M1109" s="5"/>
      <c r="N1109" s="3"/>
      <c r="O1109" s="5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9"/>
      <c r="AG1109" s="2"/>
      <c r="AH1109" s="3"/>
      <c r="AI1109" s="3"/>
      <c r="AJ1109" s="5"/>
    </row>
    <row r="1110" spans="2:36" ht="15.75" customHeight="1" x14ac:dyDescent="0.45">
      <c r="B1110" s="3"/>
      <c r="C1110" s="3"/>
      <c r="D1110" s="3"/>
      <c r="E1110" s="3"/>
      <c r="F1110" s="5"/>
      <c r="G1110" s="5"/>
      <c r="H1110" s="5"/>
      <c r="I1110" s="5"/>
      <c r="J1110" s="5"/>
      <c r="K1110" s="5"/>
      <c r="L1110" s="5"/>
      <c r="M1110" s="5"/>
      <c r="N1110" s="3"/>
      <c r="O1110" s="5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9"/>
      <c r="AG1110" s="2"/>
      <c r="AH1110" s="3"/>
      <c r="AI1110" s="3"/>
      <c r="AJ1110" s="5"/>
    </row>
    <row r="1111" spans="2:36" ht="15.75" customHeight="1" x14ac:dyDescent="0.45">
      <c r="B1111" s="3"/>
      <c r="C1111" s="3"/>
      <c r="D1111" s="3"/>
      <c r="E1111" s="3"/>
      <c r="F1111" s="5"/>
      <c r="G1111" s="5"/>
      <c r="H1111" s="5"/>
      <c r="I1111" s="5"/>
      <c r="J1111" s="5"/>
      <c r="K1111" s="5"/>
      <c r="L1111" s="5"/>
      <c r="M1111" s="5"/>
      <c r="N1111" s="3"/>
      <c r="O1111" s="5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9"/>
      <c r="AG1111" s="2"/>
      <c r="AH1111" s="3"/>
      <c r="AI1111" s="3"/>
      <c r="AJ1111" s="5"/>
    </row>
    <row r="1112" spans="2:36" ht="15.75" customHeight="1" x14ac:dyDescent="0.45">
      <c r="B1112" s="3"/>
      <c r="C1112" s="3"/>
      <c r="D1112" s="3"/>
      <c r="E1112" s="3"/>
      <c r="F1112" s="5"/>
      <c r="G1112" s="5"/>
      <c r="H1112" s="5"/>
      <c r="I1112" s="5"/>
      <c r="J1112" s="5"/>
      <c r="K1112" s="5"/>
      <c r="L1112" s="5"/>
      <c r="M1112" s="5"/>
      <c r="N1112" s="3"/>
      <c r="O1112" s="5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9"/>
      <c r="AG1112" s="2"/>
      <c r="AH1112" s="3"/>
      <c r="AI1112" s="3"/>
      <c r="AJ1112" s="5"/>
    </row>
    <row r="1113" spans="2:36" ht="15.75" customHeight="1" x14ac:dyDescent="0.45">
      <c r="B1113" s="3"/>
      <c r="C1113" s="3"/>
      <c r="D1113" s="3"/>
      <c r="E1113" s="3"/>
      <c r="F1113" s="5"/>
      <c r="G1113" s="5"/>
      <c r="H1113" s="5"/>
      <c r="I1113" s="5"/>
      <c r="J1113" s="5"/>
      <c r="K1113" s="5"/>
      <c r="L1113" s="5"/>
      <c r="M1113" s="5"/>
      <c r="N1113" s="3"/>
      <c r="O1113" s="5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9"/>
      <c r="AG1113" s="2"/>
      <c r="AH1113" s="3"/>
      <c r="AI1113" s="3"/>
      <c r="AJ1113" s="5"/>
    </row>
    <row r="1114" spans="2:36" ht="15.75" customHeight="1" x14ac:dyDescent="0.45">
      <c r="B1114" s="3"/>
      <c r="C1114" s="3"/>
      <c r="D1114" s="3"/>
      <c r="E1114" s="3"/>
      <c r="F1114" s="5"/>
      <c r="G1114" s="5"/>
      <c r="H1114" s="5"/>
      <c r="I1114" s="5"/>
      <c r="J1114" s="5"/>
      <c r="K1114" s="5"/>
      <c r="L1114" s="5"/>
      <c r="M1114" s="5"/>
      <c r="N1114" s="3"/>
      <c r="O1114" s="5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9"/>
      <c r="AG1114" s="2"/>
      <c r="AH1114" s="3"/>
      <c r="AI1114" s="3"/>
      <c r="AJ1114" s="5"/>
    </row>
    <row r="1115" spans="2:36" ht="15.75" customHeight="1" x14ac:dyDescent="0.45">
      <c r="B1115" s="3"/>
      <c r="C1115" s="3"/>
      <c r="D1115" s="3"/>
      <c r="E1115" s="3"/>
      <c r="F1115" s="5"/>
      <c r="G1115" s="5"/>
      <c r="H1115" s="5"/>
      <c r="I1115" s="5"/>
      <c r="J1115" s="5"/>
      <c r="K1115" s="5"/>
      <c r="L1115" s="5"/>
      <c r="M1115" s="5"/>
      <c r="N1115" s="3"/>
      <c r="O1115" s="5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9"/>
      <c r="AG1115" s="2"/>
      <c r="AH1115" s="3"/>
      <c r="AI1115" s="3"/>
      <c r="AJ1115" s="5"/>
    </row>
    <row r="1116" spans="2:36" ht="15.75" customHeight="1" x14ac:dyDescent="0.45">
      <c r="B1116" s="3"/>
      <c r="C1116" s="3"/>
      <c r="D1116" s="3"/>
      <c r="E1116" s="3"/>
      <c r="F1116" s="5"/>
      <c r="G1116" s="5"/>
      <c r="H1116" s="5"/>
      <c r="I1116" s="5"/>
      <c r="J1116" s="5"/>
      <c r="K1116" s="5"/>
      <c r="L1116" s="5"/>
      <c r="M1116" s="5"/>
      <c r="N1116" s="3"/>
      <c r="O1116" s="5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9"/>
      <c r="AG1116" s="2"/>
      <c r="AH1116" s="3"/>
      <c r="AI1116" s="3"/>
      <c r="AJ1116" s="5"/>
    </row>
    <row r="1117" spans="2:36" ht="15.75" customHeight="1" x14ac:dyDescent="0.45">
      <c r="B1117" s="3"/>
      <c r="C1117" s="3"/>
      <c r="D1117" s="3"/>
      <c r="E1117" s="3"/>
      <c r="F1117" s="5"/>
      <c r="G1117" s="5"/>
      <c r="H1117" s="5"/>
      <c r="I1117" s="5"/>
      <c r="J1117" s="5"/>
      <c r="K1117" s="5"/>
      <c r="L1117" s="5"/>
      <c r="M1117" s="5"/>
      <c r="N1117" s="3"/>
      <c r="O1117" s="5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9"/>
      <c r="AG1117" s="2"/>
      <c r="AH1117" s="3"/>
      <c r="AI1117" s="3"/>
      <c r="AJ1117" s="5"/>
    </row>
    <row r="1118" spans="2:36" ht="15.75" customHeight="1" x14ac:dyDescent="0.45">
      <c r="B1118" s="3"/>
      <c r="C1118" s="3"/>
      <c r="D1118" s="3"/>
      <c r="E1118" s="3"/>
      <c r="F1118" s="5"/>
      <c r="G1118" s="5"/>
      <c r="H1118" s="5"/>
      <c r="I1118" s="5"/>
      <c r="J1118" s="5"/>
      <c r="K1118" s="5"/>
      <c r="L1118" s="5"/>
      <c r="M1118" s="5"/>
      <c r="N1118" s="3"/>
      <c r="O1118" s="5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9"/>
      <c r="AG1118" s="2"/>
      <c r="AH1118" s="3"/>
      <c r="AI1118" s="3"/>
      <c r="AJ1118" s="5"/>
    </row>
    <row r="1119" spans="2:36" ht="15.75" customHeight="1" x14ac:dyDescent="0.45">
      <c r="B1119" s="3"/>
      <c r="C1119" s="3"/>
      <c r="D1119" s="3"/>
      <c r="E1119" s="3"/>
      <c r="F1119" s="5"/>
      <c r="G1119" s="5"/>
      <c r="H1119" s="5"/>
      <c r="I1119" s="5"/>
      <c r="J1119" s="5"/>
      <c r="K1119" s="5"/>
      <c r="L1119" s="5"/>
      <c r="M1119" s="5"/>
      <c r="N1119" s="3"/>
      <c r="O1119" s="5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9"/>
      <c r="AG1119" s="2"/>
      <c r="AH1119" s="3"/>
      <c r="AI1119" s="3"/>
      <c r="AJ1119" s="5"/>
    </row>
    <row r="1120" spans="2:36" ht="15.75" customHeight="1" x14ac:dyDescent="0.45">
      <c r="B1120" s="3"/>
      <c r="C1120" s="3"/>
      <c r="D1120" s="3"/>
      <c r="E1120" s="3"/>
      <c r="F1120" s="5"/>
      <c r="G1120" s="5"/>
      <c r="H1120" s="5"/>
      <c r="I1120" s="5"/>
      <c r="J1120" s="5"/>
      <c r="K1120" s="5"/>
      <c r="L1120" s="5"/>
      <c r="M1120" s="5"/>
      <c r="N1120" s="3"/>
      <c r="O1120" s="5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9"/>
      <c r="AG1120" s="2"/>
      <c r="AH1120" s="3"/>
      <c r="AI1120" s="3"/>
      <c r="AJ1120" s="5"/>
    </row>
    <row r="1121" spans="2:36" ht="15.75" customHeight="1" x14ac:dyDescent="0.45">
      <c r="B1121" s="3"/>
      <c r="C1121" s="3"/>
      <c r="D1121" s="3"/>
      <c r="E1121" s="3"/>
      <c r="F1121" s="5"/>
      <c r="G1121" s="5"/>
      <c r="H1121" s="5"/>
      <c r="I1121" s="5"/>
      <c r="J1121" s="5"/>
      <c r="K1121" s="5"/>
      <c r="L1121" s="5"/>
      <c r="M1121" s="5"/>
      <c r="N1121" s="3"/>
      <c r="O1121" s="5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9"/>
      <c r="AG1121" s="2"/>
      <c r="AH1121" s="3"/>
      <c r="AI1121" s="3"/>
      <c r="AJ1121" s="5"/>
    </row>
    <row r="1122" spans="2:36" ht="15.75" customHeight="1" x14ac:dyDescent="0.45">
      <c r="B1122" s="3"/>
      <c r="C1122" s="3"/>
      <c r="D1122" s="3"/>
      <c r="E1122" s="3"/>
      <c r="F1122" s="5"/>
      <c r="G1122" s="5"/>
      <c r="H1122" s="5"/>
      <c r="I1122" s="5"/>
      <c r="J1122" s="5"/>
      <c r="K1122" s="5"/>
      <c r="L1122" s="5"/>
      <c r="M1122" s="5"/>
      <c r="N1122" s="3"/>
      <c r="O1122" s="5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9"/>
      <c r="AG1122" s="2"/>
      <c r="AH1122" s="3"/>
      <c r="AI1122" s="3"/>
      <c r="AJ1122" s="5"/>
    </row>
    <row r="1123" spans="2:36" ht="15.75" customHeight="1" x14ac:dyDescent="0.45">
      <c r="B1123" s="3"/>
      <c r="C1123" s="3"/>
      <c r="D1123" s="3"/>
      <c r="E1123" s="3"/>
      <c r="F1123" s="5"/>
      <c r="G1123" s="5"/>
      <c r="H1123" s="5"/>
      <c r="I1123" s="5"/>
      <c r="J1123" s="5"/>
      <c r="K1123" s="5"/>
      <c r="L1123" s="5"/>
      <c r="M1123" s="5"/>
      <c r="N1123" s="3"/>
      <c r="O1123" s="5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9"/>
      <c r="AG1123" s="2"/>
      <c r="AH1123" s="3"/>
      <c r="AI1123" s="3"/>
      <c r="AJ1123" s="5"/>
    </row>
    <row r="1124" spans="2:36" ht="15.75" customHeight="1" x14ac:dyDescent="0.45">
      <c r="B1124" s="3"/>
      <c r="C1124" s="3"/>
      <c r="D1124" s="3"/>
      <c r="E1124" s="3"/>
      <c r="F1124" s="5"/>
      <c r="G1124" s="5"/>
      <c r="H1124" s="5"/>
      <c r="I1124" s="5"/>
      <c r="J1124" s="5"/>
      <c r="K1124" s="5"/>
      <c r="L1124" s="5"/>
      <c r="M1124" s="5"/>
      <c r="N1124" s="3"/>
      <c r="O1124" s="5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9"/>
      <c r="AG1124" s="2"/>
      <c r="AH1124" s="3"/>
      <c r="AI1124" s="3"/>
      <c r="AJ1124" s="5"/>
    </row>
    <row r="1125" spans="2:36" ht="15.75" customHeight="1" x14ac:dyDescent="0.45">
      <c r="B1125" s="3"/>
      <c r="C1125" s="3"/>
      <c r="D1125" s="3"/>
      <c r="E1125" s="3"/>
      <c r="F1125" s="5"/>
      <c r="G1125" s="5"/>
      <c r="H1125" s="5"/>
      <c r="I1125" s="5"/>
      <c r="J1125" s="5"/>
      <c r="K1125" s="5"/>
      <c r="L1125" s="5"/>
      <c r="M1125" s="5"/>
      <c r="N1125" s="3"/>
      <c r="O1125" s="5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9"/>
      <c r="AG1125" s="2"/>
      <c r="AH1125" s="3"/>
      <c r="AI1125" s="3"/>
      <c r="AJ1125" s="5"/>
    </row>
    <row r="1126" spans="2:36" ht="15.75" customHeight="1" x14ac:dyDescent="0.45">
      <c r="B1126" s="3"/>
      <c r="C1126" s="3"/>
      <c r="D1126" s="3"/>
      <c r="E1126" s="3"/>
      <c r="F1126" s="5"/>
      <c r="G1126" s="5"/>
      <c r="H1126" s="5"/>
      <c r="I1126" s="5"/>
      <c r="J1126" s="5"/>
      <c r="K1126" s="5"/>
      <c r="L1126" s="5"/>
      <c r="M1126" s="5"/>
      <c r="N1126" s="3"/>
      <c r="O1126" s="5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9"/>
      <c r="AG1126" s="2"/>
      <c r="AH1126" s="3"/>
      <c r="AI1126" s="3"/>
      <c r="AJ1126" s="5"/>
    </row>
  </sheetData>
  <conditionalFormatting sqref="K2:K751 F2:J1096 L2:AJ1096">
    <cfRule type="expression" dxfId="2" priority="4">
      <formula>AND(LOWER(TRIM($AG2))="nan", LOWER(TRIM($AJ2))="nan")</formula>
    </cfRule>
    <cfRule type="expression" dxfId="1" priority="5">
      <formula>OR(LOWER(TRIM($AG2))="nan")</formula>
    </cfRule>
    <cfRule type="expression" dxfId="0" priority="6">
      <formula>OR(LOWER(TRIM($AJ2))="nan")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_c_Upstream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Quentin Nater</cp:lastModifiedBy>
  <dcterms:created xsi:type="dcterms:W3CDTF">2026-02-26T14:55:53Z</dcterms:created>
  <dcterms:modified xsi:type="dcterms:W3CDTF">2026-09-29T14:06:19Z</dcterms:modified>
</cp:coreProperties>
</file>